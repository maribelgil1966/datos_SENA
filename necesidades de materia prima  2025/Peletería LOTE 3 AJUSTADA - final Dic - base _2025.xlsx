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mc:AlternateContent xmlns:mc="http://schemas.openxmlformats.org/markup-compatibility/2006">
    <mc:Choice Requires="x15">
      <x15ac:absPath xmlns:x15ac="http://schemas.microsoft.com/office/spreadsheetml/2010/11/ac" url="C:\Users\ASUS\Downloads\"/>
    </mc:Choice>
  </mc:AlternateContent>
  <xr:revisionPtr revIDLastSave="210" documentId="13_ncr:1_{5CC5E5A7-4631-49C1-9537-7F3BE36C41DF}" xr6:coauthVersionLast="47" xr6:coauthVersionMax="47" xr10:uidLastSave="{0C453AD0-648B-4700-BC95-D01045E418D1}"/>
  <bookViews>
    <workbookView xWindow="-120" yWindow="-120" windowWidth="29040" windowHeight="15720" xr2:uid="{00000000-000D-0000-FFFF-FFFF00000000}"/>
  </bookViews>
  <sheets>
    <sheet name="Hoja1" sheetId="1" r:id="rId1"/>
  </sheets>
  <definedNames>
    <definedName name="_xlnm._FilterDatabase" localSheetId="0" hidden="1">Hoja1!$A$12:$L$12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8" i="1" l="1"/>
  <c r="J237" i="1"/>
  <c r="K237" i="1" s="1"/>
  <c r="J236" i="1"/>
  <c r="K236" i="1" s="1"/>
  <c r="J235" i="1"/>
  <c r="K235" i="1" s="1"/>
  <c r="J234" i="1"/>
  <c r="K234" i="1" s="1"/>
  <c r="J233" i="1"/>
  <c r="K233" i="1" s="1"/>
  <c r="J232" i="1"/>
  <c r="K232" i="1" s="1"/>
  <c r="J231" i="1"/>
  <c r="K231" i="1" s="1"/>
  <c r="J230" i="1"/>
  <c r="K230" i="1" s="1"/>
  <c r="J229" i="1"/>
  <c r="K229" i="1" s="1"/>
  <c r="J228" i="1"/>
  <c r="K228" i="1" s="1"/>
  <c r="J227" i="1"/>
  <c r="K227" i="1" s="1"/>
  <c r="J226" i="1"/>
  <c r="K226" i="1" s="1"/>
  <c r="J225" i="1"/>
  <c r="K225" i="1" s="1"/>
  <c r="J224" i="1"/>
  <c r="K224" i="1" s="1"/>
  <c r="J223" i="1"/>
  <c r="K223" i="1" s="1"/>
  <c r="J222" i="1"/>
  <c r="K222" i="1" s="1"/>
  <c r="J221" i="1"/>
  <c r="K221" i="1" s="1"/>
  <c r="J220" i="1"/>
  <c r="K220" i="1" s="1"/>
  <c r="J219" i="1"/>
  <c r="K219" i="1" s="1"/>
  <c r="J218" i="1"/>
  <c r="K218" i="1" s="1"/>
  <c r="J217" i="1"/>
  <c r="K217" i="1" s="1"/>
  <c r="J216" i="1"/>
  <c r="K216" i="1" s="1"/>
  <c r="J215" i="1"/>
  <c r="K215" i="1" s="1"/>
  <c r="J214" i="1"/>
  <c r="K214" i="1" s="1"/>
  <c r="J213" i="1"/>
  <c r="K213" i="1" s="1"/>
  <c r="J212" i="1"/>
  <c r="K212" i="1" s="1"/>
  <c r="J211" i="1"/>
  <c r="K211" i="1" s="1"/>
  <c r="J210" i="1"/>
  <c r="K210" i="1" s="1"/>
  <c r="J209" i="1"/>
  <c r="K209" i="1" s="1"/>
  <c r="J208" i="1"/>
  <c r="K208" i="1" s="1"/>
  <c r="J207" i="1"/>
  <c r="K207" i="1" s="1"/>
  <c r="J206" i="1"/>
  <c r="K206" i="1" s="1"/>
  <c r="J205" i="1"/>
  <c r="K205" i="1" s="1"/>
  <c r="J204" i="1"/>
  <c r="K204" i="1" s="1"/>
  <c r="J203" i="1"/>
  <c r="K203" i="1" s="1"/>
  <c r="J202" i="1"/>
  <c r="K202" i="1" s="1"/>
  <c r="J201" i="1"/>
  <c r="K201" i="1" s="1"/>
  <c r="J200" i="1"/>
  <c r="K200" i="1" s="1"/>
  <c r="J199" i="1"/>
  <c r="K199" i="1" s="1"/>
  <c r="J198" i="1"/>
  <c r="K198" i="1" s="1"/>
  <c r="J197" i="1"/>
  <c r="K197" i="1" s="1"/>
  <c r="J196" i="1"/>
  <c r="K196" i="1" s="1"/>
  <c r="J195" i="1"/>
  <c r="K195" i="1" s="1"/>
  <c r="J194" i="1"/>
  <c r="K194" i="1" s="1"/>
  <c r="J193" i="1"/>
  <c r="K193" i="1" s="1"/>
  <c r="J192" i="1"/>
  <c r="K192" i="1" s="1"/>
  <c r="J191" i="1"/>
  <c r="K191" i="1" s="1"/>
  <c r="J190" i="1"/>
  <c r="K190" i="1" s="1"/>
  <c r="J189" i="1"/>
  <c r="K189" i="1" s="1"/>
  <c r="J188" i="1"/>
  <c r="K188" i="1" s="1"/>
  <c r="J187" i="1"/>
  <c r="K187" i="1" s="1"/>
  <c r="J186" i="1"/>
  <c r="K186" i="1" s="1"/>
  <c r="J185" i="1"/>
  <c r="K185" i="1" s="1"/>
  <c r="J184" i="1"/>
  <c r="K184" i="1" s="1"/>
  <c r="J183" i="1"/>
  <c r="K183" i="1" s="1"/>
  <c r="J182" i="1"/>
  <c r="K182" i="1" s="1"/>
  <c r="J181" i="1"/>
  <c r="K181" i="1" s="1"/>
  <c r="J180" i="1"/>
  <c r="K180" i="1" s="1"/>
  <c r="J179" i="1"/>
  <c r="K179" i="1" s="1"/>
  <c r="J178" i="1"/>
  <c r="K178" i="1" s="1"/>
  <c r="J177" i="1"/>
  <c r="K177" i="1" s="1"/>
  <c r="J176" i="1"/>
  <c r="K176" i="1" s="1"/>
  <c r="J175" i="1"/>
  <c r="K175" i="1" s="1"/>
  <c r="J174" i="1"/>
  <c r="K174" i="1" s="1"/>
  <c r="J173" i="1"/>
  <c r="K173" i="1" s="1"/>
  <c r="J172" i="1"/>
  <c r="K172" i="1" s="1"/>
  <c r="J171" i="1"/>
  <c r="K171" i="1" s="1"/>
  <c r="J170" i="1"/>
  <c r="K170" i="1" s="1"/>
  <c r="J169" i="1"/>
  <c r="K169" i="1" s="1"/>
  <c r="J168" i="1"/>
  <c r="K168" i="1" s="1"/>
  <c r="J167" i="1"/>
  <c r="K167" i="1" s="1"/>
  <c r="J166" i="1"/>
  <c r="K166" i="1" s="1"/>
  <c r="J165" i="1"/>
  <c r="K165" i="1" s="1"/>
  <c r="J164" i="1"/>
  <c r="K164" i="1" s="1"/>
  <c r="J163" i="1"/>
  <c r="K163" i="1" s="1"/>
  <c r="J162" i="1"/>
  <c r="K162" i="1" s="1"/>
  <c r="J161" i="1"/>
  <c r="K161" i="1" s="1"/>
  <c r="J160" i="1"/>
  <c r="K160" i="1" s="1"/>
  <c r="J159" i="1"/>
  <c r="K159" i="1" s="1"/>
  <c r="J158" i="1"/>
  <c r="K158" i="1" s="1"/>
  <c r="J157" i="1"/>
  <c r="K157" i="1" s="1"/>
  <c r="J156" i="1"/>
  <c r="K156" i="1" s="1"/>
  <c r="J155" i="1"/>
  <c r="K155" i="1" s="1"/>
  <c r="J154" i="1"/>
  <c r="K154" i="1" s="1"/>
  <c r="J153" i="1"/>
  <c r="K153" i="1" s="1"/>
  <c r="J152" i="1"/>
  <c r="K152" i="1" s="1"/>
  <c r="J151" i="1"/>
  <c r="K151" i="1" s="1"/>
  <c r="J150" i="1"/>
  <c r="K150" i="1" s="1"/>
  <c r="J149" i="1"/>
  <c r="K149" i="1" s="1"/>
  <c r="J148" i="1"/>
  <c r="K148" i="1" s="1"/>
  <c r="J147" i="1"/>
  <c r="K147" i="1" s="1"/>
  <c r="J146" i="1"/>
  <c r="K146" i="1" s="1"/>
  <c r="J145" i="1"/>
  <c r="K145" i="1" s="1"/>
  <c r="J144" i="1"/>
  <c r="K144" i="1" s="1"/>
  <c r="J143" i="1"/>
  <c r="K143" i="1" s="1"/>
  <c r="J142" i="1"/>
  <c r="K142" i="1" s="1"/>
  <c r="J141" i="1"/>
  <c r="K141" i="1" s="1"/>
  <c r="J140" i="1"/>
  <c r="K140" i="1" s="1"/>
  <c r="J139" i="1"/>
  <c r="K139" i="1" s="1"/>
  <c r="J138" i="1"/>
  <c r="K138" i="1" s="1"/>
  <c r="J137" i="1"/>
  <c r="K137" i="1" s="1"/>
  <c r="J136" i="1"/>
  <c r="K136" i="1" s="1"/>
  <c r="J135" i="1"/>
  <c r="K135" i="1" s="1"/>
  <c r="J134" i="1"/>
  <c r="K134" i="1" s="1"/>
  <c r="J133" i="1"/>
  <c r="K133" i="1" s="1"/>
  <c r="J132" i="1"/>
  <c r="K132" i="1" s="1"/>
  <c r="J131" i="1"/>
  <c r="K131" i="1" s="1"/>
  <c r="J130" i="1"/>
  <c r="K130" i="1" s="1"/>
  <c r="J129" i="1"/>
  <c r="K129" i="1" s="1"/>
  <c r="J128" i="1"/>
  <c r="K128" i="1" s="1"/>
  <c r="J127" i="1"/>
  <c r="K127" i="1" s="1"/>
  <c r="J126" i="1"/>
  <c r="K126" i="1" s="1"/>
  <c r="J125" i="1"/>
  <c r="K125" i="1" s="1"/>
  <c r="J124" i="1"/>
  <c r="K124" i="1" s="1"/>
  <c r="J123" i="1"/>
  <c r="K123" i="1" s="1"/>
  <c r="J122" i="1"/>
  <c r="K122" i="1" s="1"/>
  <c r="J121" i="1"/>
  <c r="K121" i="1" s="1"/>
  <c r="J120" i="1"/>
  <c r="K120" i="1" s="1"/>
  <c r="J119" i="1"/>
  <c r="K119" i="1" s="1"/>
  <c r="J118" i="1"/>
  <c r="K118" i="1" s="1"/>
  <c r="J117" i="1"/>
  <c r="K117" i="1" s="1"/>
  <c r="J116" i="1"/>
  <c r="K116" i="1" s="1"/>
  <c r="J115" i="1"/>
  <c r="K115" i="1" s="1"/>
  <c r="J114" i="1"/>
  <c r="K114" i="1" s="1"/>
  <c r="J113" i="1"/>
  <c r="K113" i="1" s="1"/>
  <c r="J112" i="1"/>
  <c r="K112" i="1" s="1"/>
  <c r="J111" i="1"/>
  <c r="K111" i="1" s="1"/>
  <c r="J110" i="1"/>
  <c r="K110" i="1" s="1"/>
  <c r="J109" i="1"/>
  <c r="K109" i="1" s="1"/>
  <c r="J108" i="1"/>
  <c r="K108" i="1" s="1"/>
  <c r="J107" i="1"/>
  <c r="K107" i="1" s="1"/>
  <c r="J106" i="1"/>
  <c r="K106"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90" i="1" s="1"/>
  <c r="J89" i="1"/>
  <c r="K89" i="1" s="1"/>
  <c r="J88" i="1"/>
  <c r="K88" i="1" s="1"/>
  <c r="J87" i="1"/>
  <c r="K87" i="1" s="1"/>
  <c r="J86" i="1"/>
  <c r="K86" i="1" s="1"/>
  <c r="J85" i="1"/>
  <c r="K85" i="1" s="1"/>
  <c r="J84" i="1"/>
  <c r="K84" i="1" s="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J55" i="1"/>
  <c r="K55" i="1" s="1"/>
  <c r="J54" i="1"/>
  <c r="K54" i="1" s="1"/>
  <c r="J53" i="1"/>
  <c r="K53" i="1" s="1"/>
  <c r="J52" i="1"/>
  <c r="K52" i="1" s="1"/>
  <c r="J51" i="1"/>
  <c r="K51" i="1" s="1"/>
  <c r="J50" i="1"/>
  <c r="K50" i="1" s="1"/>
  <c r="J49" i="1"/>
  <c r="K49" i="1" s="1"/>
  <c r="J48" i="1"/>
  <c r="K48" i="1" s="1"/>
  <c r="J47" i="1"/>
  <c r="K47" i="1" s="1"/>
  <c r="J46" i="1"/>
  <c r="K46" i="1" s="1"/>
  <c r="J45" i="1"/>
  <c r="K45" i="1" s="1"/>
  <c r="J44" i="1"/>
  <c r="K44" i="1" s="1"/>
  <c r="J43" i="1"/>
  <c r="K43" i="1" s="1"/>
  <c r="J42" i="1"/>
  <c r="K42" i="1" s="1"/>
  <c r="J41" i="1"/>
  <c r="K41" i="1" s="1"/>
  <c r="J40" i="1"/>
  <c r="K40" i="1" s="1"/>
  <c r="J39" i="1"/>
  <c r="K39" i="1" s="1"/>
  <c r="J38" i="1"/>
  <c r="K38" i="1" s="1"/>
  <c r="J37" i="1"/>
  <c r="K37" i="1" s="1"/>
  <c r="J36" i="1"/>
  <c r="K36" i="1" s="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J20" i="1"/>
  <c r="K20" i="1" s="1"/>
  <c r="J19" i="1"/>
  <c r="K19" i="1" s="1"/>
  <c r="J18" i="1"/>
  <c r="K18" i="1" s="1"/>
  <c r="J17" i="1"/>
  <c r="K17" i="1" s="1"/>
  <c r="J16" i="1"/>
  <c r="K16" i="1" s="1"/>
  <c r="J15" i="1"/>
  <c r="K15" i="1" s="1"/>
  <c r="J14" i="1"/>
  <c r="K14" i="1" s="1"/>
  <c r="J13" i="1"/>
  <c r="K13" i="1" s="1"/>
  <c r="K238" i="1" l="1"/>
  <c r="M241" i="1" s="1"/>
  <c r="J2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Elkin Antonio Zuleta Montoya</author>
  </authors>
  <commentList>
    <comment ref="B12" authorId="0" shapeId="0" xr:uid="{00000000-0006-0000-0000-000001000000}">
      <text>
        <r>
          <rPr>
            <b/>
            <sz val="9"/>
            <color indexed="81"/>
            <rFont val="Tahoma"/>
            <family val="2"/>
          </rPr>
          <t>Nikkel:</t>
        </r>
        <r>
          <rPr>
            <sz val="9"/>
            <color indexed="81"/>
            <rFont val="Tahoma"/>
            <family val="2"/>
          </rPr>
          <t xml:space="preserve">
Buscarlo en la hoja Adjunta</t>
        </r>
      </text>
    </comment>
    <comment ref="E12" authorId="1" shapeId="0" xr:uid="{00000000-0006-0000-0000-000002000000}">
      <text>
        <r>
          <rPr>
            <b/>
            <sz val="9"/>
            <color indexed="81"/>
            <rFont val="Tahoma"/>
            <family val="2"/>
          </rPr>
          <t>Nikkel:</t>
        </r>
        <r>
          <rPr>
            <sz val="9"/>
            <color indexed="81"/>
            <rFont val="Tahoma"/>
            <family val="2"/>
          </rPr>
          <t xml:space="preserve">
Si requiere el nombre el  nombre de la unidad, lo puede consultar en la hoja Unidades.
Tambien lo puede editar de manera directa
</t>
        </r>
      </text>
    </comment>
    <comment ref="F12" authorId="1" shapeId="0" xr:uid="{00000000-0006-0000-0000-000003000000}">
      <text>
        <r>
          <rPr>
            <sz val="9"/>
            <color indexed="81"/>
            <rFont val="Tahoma"/>
            <family val="2"/>
          </rPr>
          <t>Escoger de la lista y si no lo encuentra , completarlo  de forma manual</t>
        </r>
      </text>
    </comment>
    <comment ref="I12" authorId="0" shapeId="0" xr:uid="{00000000-0006-0000-0000-000004000000}">
      <text>
        <r>
          <rPr>
            <b/>
            <sz val="9"/>
            <color indexed="81"/>
            <rFont val="Tahoma"/>
            <family val="2"/>
          </rPr>
          <t>Nikkel:</t>
        </r>
        <r>
          <rPr>
            <sz val="9"/>
            <color indexed="81"/>
            <rFont val="Tahoma"/>
            <family val="2"/>
          </rPr>
          <t xml:space="preserve">
Anotar el valor directo , sin el formato (%)
</t>
        </r>
      </text>
    </comment>
  </commentList>
</comments>
</file>

<file path=xl/sharedStrings.xml><?xml version="1.0" encoding="utf-8"?>
<sst xmlns="http://schemas.openxmlformats.org/spreadsheetml/2006/main" count="942" uniqueCount="550">
  <si>
    <t>OFERTA ECONOMICA</t>
  </si>
  <si>
    <t>LOTE 3 PELETERIA</t>
  </si>
  <si>
    <t>Nombre de la empresa</t>
  </si>
  <si>
    <t>SUMINISTROS MAYBE S.A.S.</t>
  </si>
  <si>
    <t>NIT:</t>
  </si>
  <si>
    <t>800154801-6</t>
  </si>
  <si>
    <t>Nombre de contacto:</t>
  </si>
  <si>
    <t>LUZ MARINA MEJIA PEREZ</t>
  </si>
  <si>
    <t>Correo electrónico:</t>
  </si>
  <si>
    <t>MAYBE@UNE.NET.CO</t>
  </si>
  <si>
    <t xml:space="preserve">Referencia: </t>
  </si>
  <si>
    <t>Proceso No. SASI-ANT-CDMC-0042-2024</t>
  </si>
  <si>
    <t>Objeto:</t>
  </si>
  <si>
    <t>5_9201_191 suministro de materiales de formación e insumos que se requieren para la ejecución de los diferentes programas y proyectos impartidos por el centro del diseño y manufactura del cuero.</t>
  </si>
  <si>
    <t>Item</t>
  </si>
  <si>
    <t>Código
UNSPSC</t>
  </si>
  <si>
    <t>Producto</t>
  </si>
  <si>
    <t>Descripción</t>
  </si>
  <si>
    <t>Unidad de medida</t>
  </si>
  <si>
    <t>Presentación</t>
  </si>
  <si>
    <t>Cantidad solicitada</t>
  </si>
  <si>
    <t xml:space="preserve">Valor Unitario sin IVA </t>
  </si>
  <si>
    <t>Valor del IVA (%)</t>
  </si>
  <si>
    <t xml:space="preserve">Valor Unitario con IVA </t>
  </si>
  <si>
    <t>Valor Total  con IVA</t>
  </si>
  <si>
    <t>Entregas</t>
  </si>
  <si>
    <t>Cuero Forro Cerdo</t>
  </si>
  <si>
    <t>Piel de cerdo curtida al cromo, atravesada. Material utilizado para forro. Textura afelpada, las cerdas (pelos del animal) atraviesan su piel y dejan unos pequeños orificios muy visibles en el dorso. Espesor 0,6mm a 0,8mm. Tamaño 110 / 200 dm2</t>
  </si>
  <si>
    <t>dm2</t>
  </si>
  <si>
    <t>Unidad</t>
  </si>
  <si>
    <t>ENTREGA 1</t>
  </si>
  <si>
    <t>Forro Badana</t>
  </si>
  <si>
    <t>Piel de origen vacuno, curtición mineral, acabado anilina, teñido superficial, plana flor. Presentación: vaqueta (dm2). Toque liso, sin brillo y calidad media. Calibre 0,8mm a 10mm.</t>
  </si>
  <si>
    <t>Pie2</t>
  </si>
  <si>
    <t>Cuero vaqueta amarilla</t>
  </si>
  <si>
    <t>Piel de origen vacuno, curtición mineral, acabado anilina, teñido superficial, plana flo, color amarillo. Presentación: vaqueta (dm2). Toque liso, sin brillo y calidad media. Calibre10mm-12mm</t>
  </si>
  <si>
    <t>Cuero softy</t>
  </si>
  <si>
    <t>Cuero bobino, curtición mineral, plena flor, acabado semianilina, teñido atravesado, brillo medio, superficie lisa o grabada, buena resistencia al frote, resistencia al calor, cuero apto para la manufactura de calzado y marroquinería, suave y flexible. Calibre 12 -14</t>
  </si>
  <si>
    <t>Cuero tipo napa acabado anilina</t>
  </si>
  <si>
    <t>Cuero liso que se curte con cromo, tiene los poros abiertos, siendo imposible de cubrir con colorantes o barnices no orgánicos (sí se puede teñir con colorantes de anilina), con un recubrimiento pigmentario muy ligero que no oculta su apariencia y características naturales. Es un cuero muy premium pues no se pueden cubrir las imperfecciones de la piel como picaduras, arañazos o marcas en general. Calibre 12-14</t>
  </si>
  <si>
    <t>Cuero napa confección sabanero</t>
  </si>
  <si>
    <t xml:space="preserve">Curtida al cromo o combinada y teñida a penetración completa, acabado pigmentado, plena flor, toque suave y flexible, resistencia al frote, resistencia al calor. Debe tener el más alto grado de suavidad en el cuero . Calibre 0,6-0,8 </t>
  </si>
  <si>
    <t>Cuero napa confección envejecido</t>
  </si>
  <si>
    <t xml:space="preserve">Curtida al cromo o combinada y teñida a penetración completa, acabado pigmentado, plena flor, toque suave y flexible, resistencia al frote, resistencia al calor. Debe tener el más alto grado de suavidad en el cuero, acabado envejecido. Calibre 0,6-0,8 </t>
  </si>
  <si>
    <t>Cuero napa confección becerro</t>
  </si>
  <si>
    <t xml:space="preserve">Piel de becerro, curtida al cromo o combinada y teñida a penetración completa, acabado pigmentado, plena flor, toque suave y flexible, resistencia al frote, resistencia al calor. Debe tener el más alto grado de suavidad en el cuero, acabado en diferentes colores. Calibre 0,6-0,8 </t>
  </si>
  <si>
    <t>Cuero napa pigmentado</t>
  </si>
  <si>
    <t>Cuero liso curtido a cromo, el acabado se logra con pigmentos muy fuertes y penetrantes que se fijan a la superficie de la flor con ayuda de un liganteque le dan un color y una apariencia uniforme. El pigmentado otorga a la piel buena resistencia a la luz y durabilidad, aunque aminora su terzura, suavidad al tacto y transpirabilidad pero más fácil de limpiar. Calibre 12-14</t>
  </si>
  <si>
    <t>Cuero charol</t>
  </si>
  <si>
    <t>Cuero curtido con una de sus superficies recubierta por una película impermeable al agua muy brillante y lisa, obtenida por aplicación de diversas capas de fondos, barnices y lacas, alguna de las cuales puede ser pigmentada. Los barnices, lacas, etc., pueden ser aceites de linaza cocidos, nitrocelulosa plastificada, o resinas sintéticas.Calibre 10-12</t>
  </si>
  <si>
    <t>Cuero Tala #2</t>
  </si>
  <si>
    <t xml:space="preserve">Cuero con curtición vegetal, plena flor, toque liso  #2
con estructura firme, compacta y rígida; permite un corte limpio y preciso. Selección A, suavidad del 8%. </t>
  </si>
  <si>
    <t>Lona algodón</t>
  </si>
  <si>
    <t xml:space="preserve">Elaborada en algodón 100%, diferentes tejidos que le brinden caracteristicas de resistencia a la abrasión, a la tracción, al peso, a la filtración y articulos de protección, se requiere que sean tipo duck que tiene las tramas más apretadas. Debe permitir facil manupulación para la confección y uso de productos de bolsos, mochila y calzado Debe ser aprestada y/o embarretada. Peso 200gr a 600gr. </t>
  </si>
  <si>
    <t>m</t>
  </si>
  <si>
    <t>Metro</t>
  </si>
  <si>
    <t>Lona poliéster</t>
  </si>
  <si>
    <t xml:space="preserve">Lona de pvc es un tejido de poliéster recubierto de PVC, lo cual le confiere unas características perfectas frente a agresiones ambientales. Impermeable, antimoho y antihumedad.Acabado lacado por un lado.Resistente a la tensión y al desgarro.
Peso 335 +/- 15 gr/m2 </t>
  </si>
  <si>
    <t>Forro nylon</t>
  </si>
  <si>
    <t>Es un textil delgado, tacto suave, acabado mate, resistente al agua pero no impermeable, no desilacha, Composición 100% nylon. Tejido plano. Peso 150gr/m2. colores según catalogo de la empresa.</t>
  </si>
  <si>
    <t>Forro super nylon</t>
  </si>
  <si>
    <t>Es un textil delgado, tacto suave, acabado mate, resistente al agua pero no impermeable.  no desilacha, Composición 100% nylon. Tejido plano. Peso 150gr/m2. colores según catalogo de la empresa.</t>
  </si>
  <si>
    <t>Forro cerro sport</t>
  </si>
  <si>
    <t>Es un textil delgado, tacto suave, acabado mate, resistente al agua pero no impermeable. no desilacha,  composición 100% nylon. Tejido plano. Peso 130gr/m2. colores según catalogo de la empresa.</t>
  </si>
  <si>
    <t>Tela Velvet o terciopelo</t>
  </si>
  <si>
    <t>Tejido con superficie lustrosa  brillante formada por hilos cortos  y apretados, sin elastecidad, composicion poliéster 100%. Peso300+/-3% gr, tacto afelpado</t>
  </si>
  <si>
    <t>Síntetico PU delgado</t>
  </si>
  <si>
    <t>Material elaborado con dos capas, la capa de superficie es un recubrimiento de resina de poliuretano y la segunda capa es la tela de respaldo es un tejido de poliéster. Material transpirable, suave y resistente, para confeccion de prendas de vestir. Colores:metalizado y  según catalogo entregado por proveedor.</t>
  </si>
  <si>
    <t>Tela sintético de PVC</t>
  </si>
  <si>
    <t xml:space="preserve">Material elaborado con dos capas, la capa superficie es un recubrimiento de cloruro de polivinilo y la segunda capa es tela de respaldo en tejido poliéster.  Material durable, tiene excelente resistencia mecánica al impacto y resistencia al agua. Colores: según tendencias de moda. </t>
  </si>
  <si>
    <t>Sintético para capelladas</t>
  </si>
  <si>
    <t>Sintetico para  calzado, utilizado en la elaboracion de calzado deportivo, casual, infantil, masculino, femenino y botas. Es ampliamente utilizado en la industria del calzado y la marroquineria debido a sus propiedades fisicas calidad y variedad de colores que se pueden encontrar. Material elaborado con dos capas, la capa superficie es un recubrimiento de cloruro de polivinilo y la segunda capa es tela de respaldo en tejido poliéster. Material durable, tiene excelente resistencia mecánica al impacto y resistencia al agua.  (Colores según catálogo de última colección)</t>
  </si>
  <si>
    <t>Carnaza sintetica</t>
  </si>
  <si>
    <t>Producto  para  la elaboracion de calzado, utilizado principalmente en la fabricacion de calzado deportivo, casual, infantil, masculino, femenino y botas. Es ampliamente utilizado en la industria del calzado y la marroquineria debido a sus propiedades fisicas calidad y variedad de colores que se pueden encontrar. Ancho: 1.45mts +/- 0.5
Peso: 350gr/m2 ó 505gr/ml
Composición: 100% Poliéster</t>
  </si>
  <si>
    <t>Sintético comfort bondeado</t>
  </si>
  <si>
    <t>Producto  para  la elaboracion de calzado, utilizado principalmente como parte complemento del forro para los zapatos especialmente en los cuellos y lenguetas de los diferentes tipos de zapatos, los usos mas utilizados son en tipo deportivo, casual, infantil, masculino, femenino y botas. Es ampliamente utilizado en la industria del calzado y la marroquineria debido a sus propiedades fisicas calidad y variedad de colores que se pueden encontrar. Sintético / Etilviniloasetato /Forro textil bondeado suave al tacto</t>
  </si>
  <si>
    <t>Vinilo transparente</t>
  </si>
  <si>
    <t>Película de PVC flexible de excelente transparencia y alto brillo. Su excelente transparencia lo convierte en un producto ideal para empaques flexibles. Calibre 16.</t>
  </si>
  <si>
    <t>Malla bondeada capellada</t>
  </si>
  <si>
    <t>Malla bondeada para la fabricación de capelladas para calzado.Textil tipo malla para forro de calzado o parte externa, reforzado con espuma para aumentar su calibre y potenciar su suavidad, absorción de humedad</t>
  </si>
  <si>
    <t>Malla Mosquitero</t>
  </si>
  <si>
    <t>Es una fina malla resistente y permeable que se utiliza para los visores de billeteras y portadocumentos.  Estable frente a la luz, tejido plano, al corte deshila. Material: Nylon y Poliéster. Abertura de la malla +/-0,5mm.Color Cafe y negro</t>
  </si>
  <si>
    <t>Cambrel 100 gr</t>
  </si>
  <si>
    <t>Cambrel o Politex a base100% (Polipropileno). Es un Térmoplastico cristalino obtenido por polimerización de polipropileno derivado del petróleo que se compone de microfibras unidas no tejidas, se encuentra en gran variedad de colores. Calibre 200gr</t>
  </si>
  <si>
    <t>Interlón</t>
  </si>
  <si>
    <t>Es un tipo de tela producida al formar una red con fibras que se unen por procedimientos químicos, pero sin ser tejidas, sin pasar por un telar. Físicamente se siente como papel tela. Es una lámina, de fibras flexibles y porosas, sin trama. Composición: Poliéster aglomerado químicamente. Calibre:100 gr. Color:Blanco</t>
  </si>
  <si>
    <t>Gabardina</t>
  </si>
  <si>
    <t>Tela gabardina para confección de togas y birretes.
Tejido plano. Peso 130 gr/m2. Composición 100% poliéster
Ancho de tela: 1,50 mt. Color: Negro y verde
No debe presentar marras, despistes, variación de color, rotos , barrado, sombras y orillos malos. No deben presentarse empates en el rollo de tela menores a 15 metros, y no deben haber más de Empates (o costura) en un rollo de tela de 100 metros. Tolerancias en anchos de +- 2% del ancho de tela
estipulado.- Tolerancia en la variación del largo de tela de +- 1%.- Una tela tipo A, no debe presentar defectos
continuos o repetitivos por mas de 3 metros.</t>
  </si>
  <si>
    <t>Microfibra Velvet No.0.5</t>
  </si>
  <si>
    <t>Lamina enrollable sintética compuesta por 50% poliuretano y  50%poliamida,  es utilizada para reforzar y/o estructurar diferentes tipos de materiales de marroquinería. Estos se caracterizan por ser realmente suaves, resistentes e indeformables. Calibre: : mm 0,5 (+/-0,1) Peso : 300 g/m (+/-50) 
Calibre: mm 0,7 (+/-0,1). Peso : g/m2, 300 (+/-50) Resistencia a la tracción: L N/1cm&gt; 50 T &gt; 50 Alargamiento:L %/1cm &gt; 40 T &gt; 50 Resistencia al desgarro: L N/3cm &gt; 40 T &gt; 40. Resistencia a la explosión g/cm2 &gt; 13. Suavidad (mm) 5.0 +/- 1.0.</t>
  </si>
  <si>
    <t>Microfibra Velvet No.10</t>
  </si>
  <si>
    <t>Lamina enrollable sintética compuesta por 50% poliuretano y  50%poliamida,  es utilizada para reforzar y/o estructurar diferentes tipos de materiales de marroquinería. Estos se caracterizan por ser realmente suaves, resistentes e indeformables. Calibre: 1 mm (+/-0,1) Peso : 300 g/m (+/-50) 
Calibre: mm 1,0 (+/-0,1). Peso : g/m2, 300 (+/-50) Resistencia a la tracción: L N/1cm&gt; 50 T &gt; 50 Alargamiento:L %/1cm &gt; 40 T &gt; 50 Resistencia al desgarro: L N/3cm &gt; 40 T &gt; 40. Resistencia a la explosión g/cm2 &gt; 13. Suavidad (mm) 5.0 +/- 1.0.</t>
  </si>
  <si>
    <t>Reata multifilamento1"</t>
  </si>
  <si>
    <t>Tipo de Material: Reata con tratamiento ignifugo (retardante al fuego) resistente a la rotura 3000 Lbf.
Composicion: Polipropileno 100%, de alta resistencia a la tension y abrasión. Presentación: rollo por 50 metros. Ancho: 25mm
Colores:negro,verde militar,beige,cafe, azul oscuro.</t>
  </si>
  <si>
    <t>Reata multifilamento 1 1/2"</t>
  </si>
  <si>
    <t>Tipo de Material: Reata con tratamiento ignifugo (retardante al fuego) resistente a la rotura 3000 Lbf.
Composicion: Polipropileno 100%, de alta resistencia a la tension y abrasión. Presentación: rollo por 50 metros.  Ancho: 38mm
Colores:negro,verde militar,beige,cafe, azul oscuro.</t>
  </si>
  <si>
    <t>Reata Nylon  tubular 1"</t>
  </si>
  <si>
    <t>Tipo de Material: Reata con tratamiento ignifugo (retardante al fuego) resistente a la rotura 3000 Lbf.
Composicion: Nylon 100%, de alta resistencia a la tension y abrasión. Anchos: (1") 25mm Colores: Negro, verde militar,beige,cafe, azul oscura</t>
  </si>
  <si>
    <t>Reata Nylon tubular 2"</t>
  </si>
  <si>
    <t>Tipo de Material: Reata con tratamiento ignifugo (retardante al fuego) resistente a la rotura 3000 Lbf.
Composicion: Nylon 100%, de alta resistencia a la tension y abrasión. Anchos: (2") 50 mm Colores:Negro, verde militar,beige,cafe, azul oscura</t>
  </si>
  <si>
    <t>Ribete cinta falla 24mm</t>
  </si>
  <si>
    <t>Cinta falla industrial para ribetear de 24 mm, con apresto, fabricada 100% poliester, cinta acanalada de excelente resistencia y calidad al ribetear. Rollo de 100mt. Colores según requerimientos del comprador.Colores:negro, beige, verde miliar, roja, gris , azul oscuro, cafe.</t>
  </si>
  <si>
    <t>Mina de plata</t>
  </si>
  <si>
    <t>Mina de recambio para marcar líneas de corte en patrones de calzado y marroquinería. Presentación sin carcaza con una composición de aluminio del 8% proceso de punta de pluma 1mm, tinta plateada y colores.</t>
  </si>
  <si>
    <t>u</t>
  </si>
  <si>
    <t>Mina de plata borrable</t>
  </si>
  <si>
    <t>Mina de recambio para marcar líneas de corte en patrones de calzado y marroquinería. Presentación sin carcaza con una composición de aluminio del 8% proceso de punta de pluma 1mm y tinta plateada.borrables</t>
  </si>
  <si>
    <t>Alcohol Industrial</t>
  </si>
  <si>
    <t>Es alcohol etílico al que se le ha adicionado un desnaturalizante. Es un liquido transparente, volátil con bajo punto de ebullición, de sabor y olor característico.  Se emplea como solvente en todo tipo de disolventes industriales, tintas, lacas y pintura.   Es un producto obtenido a partir de fermentaciones alcohólicas y un proceso de destilación. Composición: 95% Alcohol Etílico (mínimo). 3750 ML</t>
  </si>
  <si>
    <t>ml</t>
  </si>
  <si>
    <t>Garrafa
3785 ml</t>
  </si>
  <si>
    <t>Gasolina blanca</t>
  </si>
  <si>
    <t>Solvente a base de hidrocarburos alifáticos para limpieza y desengrasante, color transparente.</t>
  </si>
  <si>
    <t>Frasco x 500ml</t>
  </si>
  <si>
    <t xml:space="preserve">Limpiador para acabados </t>
  </si>
  <si>
    <t>VZ40 producto elaborado con base en hidrocarburos, miscible con la mayoría de solventes utilizados a nivel industrial y poco soluble en agua. Es un líquido de aspecto transparente y con olor característico. Recomendado en el proceso de terminado de calzado para la limpieza de materiales sintéticos, cueros naturales, y otros materiales del calzado con residuos de adhesivos e impurezas del proceso de armado.</t>
  </si>
  <si>
    <t>cc</t>
  </si>
  <si>
    <t>Garrafa
3600 cc</t>
  </si>
  <si>
    <t>Varsol</t>
  </si>
  <si>
    <t>Mezcla de hidrocarburos alifáticos derivados del petróleo, químicamente estable y no corrosivo. Excelente producto para la limpieza y mantenimiento de pisos y superficies en general, gracias a su alto poder desengrasante. Quita manchas en prendas de algodón, nylon y fibras sintéticas. Sin olor. Presentacion garrafa por 3785 ml o 4000 ml.</t>
  </si>
  <si>
    <t>Varsol ecologico</t>
  </si>
  <si>
    <t>Es un poderoso desmanchador y desengrasante para labores de limpieza de gran variedad de superficies y tejidos. De uso doméstico e institucional. Remueve manchas en pisos, azulejos, mosaicos y baldosas, dejándolas relucientes y libres de malos olores. Ayuda a quitar manchas en prendas de vestir y calzado.  Presentacion garrafa por 3785 ml o 4000 ml.</t>
  </si>
  <si>
    <t xml:space="preserve">5-56 Lubricante en spray </t>
  </si>
  <si>
    <t>Lubrica partes metálicas, eliminando y evitando chirridos, reduciendo fricción y mejorando el deslizamiento entre superficies como chapas, bisagras, balineras, ventiladores, y aspiradoras electrodomésticos, rieles de ventanas, candados y equipos en general PENETRA aflojando piezas metálicas atascadas como pernos de llantas de tornillos, tuercas y piezas obstruidas y corroídas. Limpia polvo, mugre, grasa y oxido leve. Además remueve adhesivos, stickers, calcomanías y asfalto que se adhiere al vehículo. DESPLAZA la humedad en componentes eléctricos y mecánicos evitando cortocircuitos y encendiendo motores húmedos al aplicarlo directamente en el distribuidor. PROTEGE los metales evitando la oxidación para limpiar, proteger y lubricar bornes de batería, alternador, cables, bujías, herramientas y el distribuidor del automóvil.Envase de aerosol 180 cc</t>
  </si>
  <si>
    <t>Frasco
180 cc</t>
  </si>
  <si>
    <t>Lubricante para máquinas de coser.</t>
  </si>
  <si>
    <t>Aceite para lubricacion de maquinas de coser:  No es corrosivo, No tiene color ni sabor, No es gomoso, Posee buena capacidad para emulsificarse,
Es miscible con todos los derivados del petróleo. Galón de 3,7 l a 4 l</t>
  </si>
  <si>
    <t xml:space="preserve">l </t>
  </si>
  <si>
    <t>Galón
3,7 L</t>
  </si>
  <si>
    <t>Adhesivo cloropreno base agua de bajo desempeño</t>
  </si>
  <si>
    <t>Pegante acuoso de bajo desempeño sin amoniaco
Ecológico a base de agua para realizar pegue fuerte de piezas en cuero. Permite un pegue óptimo de materiales sintéticos al cuero como cremalleras y forros, que permanece en el tiempo.</t>
  </si>
  <si>
    <t>1 kilo</t>
  </si>
  <si>
    <t>Adhesivo cloropreno base agua de alto desempeño.</t>
  </si>
  <si>
    <t>Adhesivo acuoso de alto desempeño a base de dispersiones cloropreno,resinas y aditivos. Contiene una alta concentración de ingredientes activos que garantizan excelente fuerza de adhesión. Diseñado para unir espumas, fibras y telas. Puede utilizarse en una amplia variedad de aplicaciones en materiales como madera y plástico.Viscosidad Brookfield (70 ± 50) cP.Contenidos de sólidos (49 ± 2) %. Densidad (4.1 – 4.3) Kg/galón, pH (25°C) 9.5 ± 0.5 Rendimiento De 3 a 4 veces más que un cemento de contacto base solvente. Apariencia Húmedo: líquido blanco.
Seco: Película transparente</t>
  </si>
  <si>
    <t>k</t>
  </si>
  <si>
    <t>Adhesivo cemento de contacto neopreno alto desempeño</t>
  </si>
  <si>
    <t>Adhesivo de contacto de alto desempeño, fabricado con cauchos de cloropreno, resinas fenólicas de excelente calidad.
Tiene un alto contenido de sólidos lo cual hace que desarrolle una alta fuerza de adhesión. Sin tolueno. Además, posee una alta viscosidad y un amplio tiempo abierto. De color amarillo claro y olor característico a solventes orgánicos. Se puede aplicar con brocha, llana, espátula, cepillo o mecánicamente.
Presentación: galon x 3000cc</t>
  </si>
  <si>
    <t>Galón 
3000cc</t>
  </si>
  <si>
    <t>Cantidad Adicional 150</t>
  </si>
  <si>
    <t>Adhesivo solución de caucho</t>
  </si>
  <si>
    <t>Solución corriente es un adhesivo base solvente basado en caucho natural y resinas sintéticas de excelente calidad. Es de color blanco y presenta olor característico a solventes orgánicos. Se puede aplicar con brocha, llana, espátula, cepillo o mecánicamente. Para uniones temporales de piezas de cuero, carnaza, espuma y textiles, antes de coserlas durante la fabricación de calzado, bolsos, cinturones, muebles, entre otras aplicaciones. También pega papel y cartón, y en general en procesos donde no se requiera de gran resistencia al desgarre o esfuerzos de tracción.
Presentación: galon x 3000cc</t>
  </si>
  <si>
    <t>Galón
3000cc</t>
  </si>
  <si>
    <t>Cantidad Adicional 95</t>
  </si>
  <si>
    <t>cant 36 - 01 oct</t>
  </si>
  <si>
    <t>Suela deportiva hombre expanso</t>
  </si>
  <si>
    <t>Suelas para calzado deportivo en material expanso, el expanso es un material resistente cómodo y liviano  que lo hace adecuado para la fabricacion de zapatos de gama deportiva. En la siguiente  numeración en pares : 37 (10), 38(20),39(25),40(25),41(10),42(10).</t>
  </si>
  <si>
    <t>Par</t>
  </si>
  <si>
    <t xml:space="preserve">Suela deportiva hombre caucho </t>
  </si>
  <si>
    <t>Suelas para calzado deportivo en material caucho, el caucho es un material resistente cómodo y con un excelente agarre es antideslizante  que lo hace adecuado para la fabricacion de zapatos de gama deportiva. En la siguiente  numeración en pares : 37 (10), 38(20),39(25),40(25),41(10),42(10).</t>
  </si>
  <si>
    <t>Suela deportiva mujer expanso</t>
  </si>
  <si>
    <t>Suelas para calzado deportivo en material expanso, el expanso es un material resistente cómodo y liviano  que lo hace adecuado para la fabricacion de zapatos de gama deportiva. En la siguiente  numeración en pares : 34 (10), 35(10),36(10),37(25),38(25),39(10), 40(10).</t>
  </si>
  <si>
    <t xml:space="preserve">Suela deportiva mujer caucho </t>
  </si>
  <si>
    <t>Suelas para calzado deportivo en material caucho, el caucho es un material resistente cómodo y con un excelente agarre es antideslizante  que lo hace adecuado para la fabricacion de zapatos de gama deportiva. En la siguiente  numeración en pares : 34 (10), 35(10),36(10),37(25),38(25),39(10), 40(10)</t>
  </si>
  <si>
    <t>Suela para sandalia mujer en expanso</t>
  </si>
  <si>
    <t>Suelas para sandalias en material expanso, el expanso es un material resistente cómodo y liviano adecuado para la fabricacion de sandalias tipo tres puntadas . En la siguiente  numeración en pares : 34 (10), 35(10),36(10),37(25),38(25),39(10), 40(10)</t>
  </si>
  <si>
    <t>Suela deportiva para niño en expanso</t>
  </si>
  <si>
    <t>Suelas para calzado deportivo en material expanso, el expanso es un material resistente cómodo y liviano  que lo hace adecuado para la fabricacion de zapatos de gama deportiva. En la siguiente  numeración en pares infantiles : 27 (15), 28(15), 29(20), 30(20),31(15), 32(15).</t>
  </si>
  <si>
    <t xml:space="preserve">Suela para bota en caucho </t>
  </si>
  <si>
    <t>Suelas para calzado tipo bota  en material caucho, el caucho es un material resistente cómodo y con un excelente agarre es antideslizante  que lo hace adecuado para la fabricacion de zapatos tipo trekking, y bota de dotación. En la siguiente  numeración en pares : 37 (10), 38(20),39(25),40(25),41(10),42(10).</t>
  </si>
  <si>
    <t xml:space="preserve">Plantillas de comfort para calzado </t>
  </si>
  <si>
    <t>Plantillas de comfort para calzado, transpirable, facíl de limpiar ,  cómodos para uso en distintos tipos de calzado, puede reducir el daño al pie debido a la vibración y movimiento realizado al ejercer alguna actividad cotidiana. material : poliuretano, en tallas desde el 35 al 42</t>
  </si>
  <si>
    <t>Estopa</t>
  </si>
  <si>
    <t>Estopa peinada hecha a base de hilos de algodón y poliester con filamentos medios y largos que facilitan manejo y uso. Material 100% Algodon. Usos:  Ideal para la limpieza de grasas, aceites de maquinas, residuos de trabajos de construccion en general, y auxiliar para el aseo de manos de personal de industria</t>
  </si>
  <si>
    <t>Paquete 
1 kilo</t>
  </si>
  <si>
    <t>Lámina galvanizada  calibre 0.30</t>
  </si>
  <si>
    <t>Láminas con recubrimiento de zinc bajo proceso de galvanización en frío, con aplicaciones para la construcción y la metalmecánica. medidas 1219 mm x 2440 mm (largo x ancho) Material Acero base SPCC-1D JIS G3141-96</t>
  </si>
  <si>
    <t>Cinta foil de 64 cm</t>
  </si>
  <si>
    <t>Papel transparente para estampado en caliente para cuero, PVC, rollo de 64Cm ancho x 120 metros,transparente y de colores.</t>
  </si>
  <si>
    <t>Rollo
120 metros</t>
  </si>
  <si>
    <t>Cinta Nylon</t>
  </si>
  <si>
    <t>Cinta  poliamida de alta tenacidad Nylon mono adhesiva con soporte de tela de poliamida de alta tenacidad. Diseñado y utilizado sobre todo en la industria de la marroquinería por su gran resistencia al desgarre, resistencia a la carga de rotura y la estructura especial que ofrece la mejor resistencia al deslizamiento de las costuras. Ancho: 10mm. Presentación: Rollo</t>
  </si>
  <si>
    <t>Rollo x 50 mt</t>
  </si>
  <si>
    <t xml:space="preserve">Aplicador de pegamento </t>
  </si>
  <si>
    <t>Espatula para aplicar pegamento en trabajo de manualidades en cuero, elaborada en plastico depolipropileno ancho de la paleta 1.5 cm largo 11,5 cm.</t>
  </si>
  <si>
    <t>Papel de lija No.120</t>
  </si>
  <si>
    <t>Lámina de lijado hecho a base de mineral de óxido de aluminio, el cual es un grano redondo y de alta durabilidad, con reverso de papel pesado, recomendada para lijar en seco. Grano fino P120. Tamaño: 23 cm de ancho x 28 cm de alto aproximadamente</t>
  </si>
  <si>
    <t>Papel de lija No.220</t>
  </si>
  <si>
    <t>Lámina de lijado hecho a base de mineral de óxido de aluminio, el cual es un grano redondo y de alta durabilidad, con reverso de papel pesado, recomendada para lijar en seco. Grano P220. Tamaño 23 cm de ancho x 28 cm de alto aproximadamente</t>
  </si>
  <si>
    <t>Papel de lija No.280</t>
  </si>
  <si>
    <t>Lámina de lijado hecho a base de mineral de óxido de aluminio, el cual es un grano redondo y de alta durabilidad, con reverso de papel pesado, recomendada para lijar en seco. Grano P280. Tamaño 23 cm de ancho x 28 cm de alto aproximadamente</t>
  </si>
  <si>
    <t>Papel de lija No.320</t>
  </si>
  <si>
    <t>Lámina de lijado hecho a base de mineral de óxido de aluminio, el cual es un grano redondo y de alta durabilidad, con reverso de papel pesado, recomendada para lijar en seco. Grano P320. Tamaño 23 cm de ancho x 28 cm de alto aproximadamente.</t>
  </si>
  <si>
    <t>Papel de lija No.400</t>
  </si>
  <si>
    <t>Lámina de lijado hecho a base de mineral de óxido de aluminio, el cual es un grano redondo y de alta durabilidad, con reverso de papel pesado, recomendada para lijar en seco. Grano P400. Tamaño 23 cm de ancho x 28 cm de alto aproximadamente.</t>
  </si>
  <si>
    <t>Papel de lija No.600</t>
  </si>
  <si>
    <t>Lámina de lijado hecho a base de mineral de óxido de aluminio, el cual es un grano redondo y de alta durabilidad, con reverso de papel pesado, recomendada para lijar en seco. Grano P600. Tamaño 23 cm de ancho x 28 cm de alto aproximadamente.</t>
  </si>
  <si>
    <t>Papel de lija No.800</t>
  </si>
  <si>
    <t>Lámina de lijado hecho a base de mineral de óxido de aluminio, el cual es un grano redondo y de alta durabilidad, con reverso de papel pesado, recomendada para lijar en seco. Grano P800. Tamaño 23 cm de ancho x 28 cm de alto aproximadamente.</t>
  </si>
  <si>
    <t>Papel de lija No.1000</t>
  </si>
  <si>
    <t>Lámina de lijado hecho a base de mineral de óxido de aluminio, el cual es un grano redondo y de alta durabilidad, con reverso de papel pesado, recomendada para lijar en seco. Grano P1000. Tamaño 23 cm de ancho x 28 cm de alto aproximadamente.</t>
  </si>
  <si>
    <t>Papel de lija No.1200</t>
  </si>
  <si>
    <t>Lámina de lijado hecho a base de mineral de óxido de aluminio, el cual es un grano redondo y de alta durabilidad, con reverso de papel pesado, recomendada para lijar en seco. Grano P1200. Tamaño 23 cm de ancho x 28 cm de alto aproximadamente.</t>
  </si>
  <si>
    <t>Lija de banda  N° 80 (21")</t>
  </si>
  <si>
    <t xml:space="preserve">Lija de banda Discover, especialmente diseñada para ser usada con lijadora de banda. Es un accesorio para tareas de lijado en superficies varias superficies; para lijado, desbaste, rebajado, eliminación de pintura o preparación de superficies y generar acabado de alta calidad. </t>
  </si>
  <si>
    <t>Lija de banda  N° 120 (21")</t>
  </si>
  <si>
    <t>Agujas punta roma</t>
  </si>
  <si>
    <t>Aguja capotera numero 17 y 22. Referencia: AT20218 Nº 16 - Ø 1.09 mm - largo: no menor 44 mm, agujas tapiceras de ojo dorado sin punta, también llamadas laneras. Especiales para punto de cruz y tejidos gruesos de lana. Punta redondeada.
Aguja capotera para costura manual con hilo. Filamento de metal, cobre u otro material duro con ojo grande y punta roma, lo que permite deslizarse entre las fibras del tejido sin dañarlo y ensartar tiras, cordones de cuero, hilos encerados e hilos terlenka.</t>
  </si>
  <si>
    <t>Cantidad Adicional 400</t>
  </si>
  <si>
    <t>Aguja corta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</si>
  <si>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
Punta: R (redonda)
Calibres de aguja: Nm 100/16 (Ø 1.00 mm), Nm 110/18 (Ø 1.10 mm),Nm 140/22 (Ø 1.40 mm).
Diámetro del talón: no menor 200 (Ø 2 mm)</t>
  </si>
  <si>
    <t>Paño x 10 agujas</t>
  </si>
  <si>
    <t>Aguja corta cabo grueso punta cortante</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</si>
  <si>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
Punta: LR
Diámetro del talón: no menor 200 (Ø 2 mm)
Calibres de aguja: Nm 100/16 (Ø 1.00 mm), Nm 140/22 (Ø 1.40 mm)</t>
  </si>
  <si>
    <t>Aguja larga cabo grueso punta redonda</t>
  </si>
  <si>
    <t>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R (redonda)
Diámetro del talón: no menor 200 (Ø 2 mm)
Calibres de aguja: Nm 100/16 (Ø 1.00 mm), Nm 110/18 (Ø 1.10 mm),Nm 125/20(Ø 1.25 mm).</t>
  </si>
  <si>
    <t>Aguja larga cabo grueso punta cortante</t>
  </si>
  <si>
    <t xml:space="preserve">Agujas de coser a máquina elaboradas en acero con revestimiento de cromo para evitar el óxido y dar más resistencia. La punta de las agujas redondas es circular, es decir, estas agujas tienen una punta en forma de cono y no corta el material cuando lo atraviesa, son usada para coser textiles.
Sistema de la aguja: 134-35
Punta: LR
Diámetro del talón: no menor 200 (Ø 2 mm)
Calibres de aguja: Nm 110/18 (Ø 1.10 mm), Nm 125/20 (Ø 1.25 mm) </t>
  </si>
  <si>
    <t xml:space="preserve">Hilo Nylon calibre 40 </t>
  </si>
  <si>
    <t>Hilo de nylon lubricado hecho de filamento continuo de nylon 6.6 preestabilizado. Tiene un acabado suave de baja fricción que reduce los efectos del calor de la aguja y ofrece una excelente resistencia a la abrasión. Colores
VERDE MILITAR 45BVA,17BVA
MOZTAZA 52BVA
VINOTINTO 19BVA
ROJO 20BVA
CAFE 93CVA,27DVA,39BVA
NARANJA 41BVA
NEGRO
 Calibre: 40. Cono 500mts</t>
  </si>
  <si>
    <t>Hilo Nylon calibre 60</t>
  </si>
  <si>
    <t>Hilo de nylon lubricado hecho de filamento continuo de nylon 6.6 preestabilizado. Tiene un acabado suave de baja fricción que reduce los efectos del calor de la aguja y ofrece una excelente resistencia a la abrasión. Colores surtidos.
VERDE MILITAR 45BVA,17BVA
MOZTAZA 52BVA
VINOTINTO 19BVA
ROJO 20BVA
NARANJA 41BVA
Calibre: 60. Cono 700mts</t>
  </si>
  <si>
    <t>Hilo Slam</t>
  </si>
  <si>
    <t>Hilo  de poliéster trenzado encerado completamente teñido por lo que los colores son vibrantes. Hecho en Italia, viene en una amplia gama de colores.  Calibre 1. Cono x 500mts. Colores según carta disponible.</t>
  </si>
  <si>
    <t xml:space="preserve">Hilo Terlenka # 15 </t>
  </si>
  <si>
    <t>Poliamida para elaborar productos que requieren resistencia, bolsos, sandalias,
elaborados a mano con agujas, Dentro del sector textil se utilizan para artículos
de tapicería, alfombras y otro menaje del hogar La fibra sintética es una fibra textil que proviene de diversos productos derivados del
petróleo Terlenka # 15 Cono Por 600 Metros
Hilo Terlenca #15 x 100gr , utilizado en la bisutería para la fabricación de pulseras, collares, entre otro tipo de manualidades.</t>
  </si>
  <si>
    <t>Cantidad Adicional 19
Diferentes colores</t>
  </si>
  <si>
    <t>Llave metálica de lujo níquel para cremallera everbrigth No. 5</t>
  </si>
  <si>
    <t>Deslizador para cremallera everbright. Apariencia brillante, suavidad de deslizamiento y resistencia a la corrosión con diferentes diseños de pull para decorar artículos de lujo. Material:Aleacion de Zinc
Acabado: Niquel
Tamaño: #5</t>
  </si>
  <si>
    <t>Llave de lujo oro para cremallera de nylon No.6</t>
  </si>
  <si>
    <t>Deslizador vaciado en zamak para cremallera continua de nylon No.6.  Acabado oro perfectamente pulido, apariencia brillante.Diseño de la paleta según tendencias de moda.</t>
  </si>
  <si>
    <t>Llave de lujo niquel para cremallera de nylon No.3</t>
  </si>
  <si>
    <t>Deslizador vaciado en zamak para cremallera continua de nylon No.3.  Acabado níquel perfectamente pulido, apariencia brillante. Diseño de la paleta según tendencias de moda.</t>
  </si>
  <si>
    <t>Llave de lujo oro para cremallera de nylon No.3</t>
  </si>
  <si>
    <t>Deslizador vaciado en zamak para cremallera continua de nylon No.3.  Acabado oro perfectamente pulido, apariencia brillante.</t>
  </si>
  <si>
    <t>Llave sencilla níquel para cierre nylon  No. 6</t>
  </si>
  <si>
    <t>Deslizador metálico para cadena continua No.6, sin bloqueo, libre con facilidad para abrir y cerrar porque no dispone de mecanismos de cierre. Acabado níquel.
Tamaño No.6</t>
  </si>
  <si>
    <t>Llave metálica de lujo  oro para cremallera everbrigth No. 5</t>
  </si>
  <si>
    <t>Deslizador para cremallera everbright. Apariencia brillante, suavidad de deslizamiento y resistencia a la corrosión con diferentes diseños de pull para decorar artículos de lujo. Material:Aleacion de Zinc
Acabado: Oro
Tamaño: #5</t>
  </si>
  <si>
    <t>Slider de seguridad  para cremallera N°5</t>
  </si>
  <si>
    <t>Cremallera: #5
Seguridad: Auto Lock;
Tipo de Cremallera: Metal; Espiral o Nailon Nylon;
Uso: Ropa, Bolsa, Producto Textil de Casa, Zapatos
Cierre de cremallera, deslizador para cremallera, Cierre, Corredera, Bragueta
Los deslizadores para cremalleras se pueden utilizar ampliamente para hacer o fijar ropa, bolsas, vestidos, abrigos, chaquetas, cartucheras, faldas, fundas de almohada, bolsas protectoras de almacenamiento, manualidades, bolsos, etc</t>
  </si>
  <si>
    <t>Argolla mosquetón lujo oro 25mm</t>
  </si>
  <si>
    <t>Argolla redonda con apertura de bloqueo elaborada en zamac maciza, liviana, de alta resistencia a la corrosión.
Diseño de clip de resorte, liberación rápida. Fácil de operar con el muelle incorporado. Apariencia brillante.Medidas (Milímetros): Diámetro interno: 25mm
Acabado Oro</t>
  </si>
  <si>
    <t>Media argolla 25mm zamak niquel</t>
  </si>
  <si>
    <t>Argolla  cerrada media luna, elaborada en zamak con alta calidad de terminación. Diámetro interno 25mm.  Acabado níquel brillante, finamente pulido.</t>
  </si>
  <si>
    <t>Media argolla 25mm zamak oro</t>
  </si>
  <si>
    <t>Argolla  cerrada media luna, elaborada en zamak con alta calidad de terminación. Diámetro interno 25mm.  Acabado oro brillante, finamente pulido.</t>
  </si>
  <si>
    <t>Cuadrantes de 25mm zamak acabado oro</t>
  </si>
  <si>
    <t>Argolla  cerrada rectangular en zamak con alta calidad de terminación. Diámetro interno 25mm.  Acabado oro.</t>
  </si>
  <si>
    <t>Trabilla con pasador fijo 25mm oro</t>
  </si>
  <si>
    <t>Cuadro o rectángulo con una pieza interna fija a los laterales que sirve como  regulador del paso de la correa. Elaborada en zamak finamente pulido.  Acabado: oro brillante. Tamaño: 25mm.</t>
  </si>
  <si>
    <r>
      <t xml:space="preserve">Hebilla caimán plastica </t>
    </r>
    <r>
      <rPr>
        <sz val="10"/>
        <color rgb="FFFF0000"/>
        <rFont val="Aptos Narrow"/>
        <family val="2"/>
        <scheme val="minor"/>
      </rPr>
      <t xml:space="preserve"> </t>
    </r>
    <r>
      <rPr>
        <sz val="10"/>
        <color rgb="FF000000"/>
        <rFont val="Aptos Narrow"/>
        <family val="2"/>
        <scheme val="minor"/>
      </rPr>
      <t>38mm</t>
    </r>
  </si>
  <si>
    <t xml:space="preserve">Hebilla plastica de acetal para la elaboracion de cinturones, medidas 38mm </t>
  </si>
  <si>
    <t xml:space="preserve">Hebillas de 2 cm acero inoxidable </t>
  </si>
  <si>
    <t>Hebilla de 2 cm (medida interna ) en acero inoxidable  color niquelado, pavonado y oro .</t>
  </si>
  <si>
    <t xml:space="preserve">Hebillas de 3 cm acero inxidable </t>
  </si>
  <si>
    <t>Hebilla de 3cm( medida interna) en acero inoxidable  color niquelado, pavonado y oro.</t>
  </si>
  <si>
    <t>Remache hongo de lujo oro</t>
  </si>
  <si>
    <t>Elemento metálico de fijación que se emplea para unir de forma permanente dos o más piezas, compuesto de una cabeza en forma de hongo con rosca y un tornillo para sujetar. Material: zamak finamente pulido.  Acabado: oro brillante.</t>
  </si>
  <si>
    <t xml:space="preserve">Laminas de Espuma </t>
  </si>
  <si>
    <t xml:space="preserve">Espuma flexible PU, En bloques y planchas,  de 2.000 x 1.000mm. Estándar: Densidad 60 </t>
  </si>
  <si>
    <t>Lámina
1mt x 2mt</t>
  </si>
  <si>
    <t xml:space="preserve">Laminas de Espuma Antiescara </t>
  </si>
  <si>
    <t>Característica:
Muy recomendada como elemento esencial en estudios de grabación, en Sistemas Home Theater, en cabinas acústicas, auditorios y teatros. La espuma acústica es un material absorbente acústico del tipo poroso (esqueleto flexible). Su mecanismo de absorción acústica se basa en la resistencia que ofrece al flujo de aire, reduciendo la amplitud de la onda sonora, transformando la energía sonora en calor, lo que implica mayor efectividad del material donde la onda sonora presenta un máximo de velocidad (1/4 de longitud de onda).                                                                                                      Presentación:
Planchas, generalmente de 2.000 x 1.000 mm. Espesores de 70mm.</t>
  </si>
  <si>
    <t xml:space="preserve">Espuma flexible PU En bloques y planchas, generalmente de 2.000 x 1.000mm. X 20mm  Densidades estándar: Densidad 40 </t>
  </si>
  <si>
    <t>Madeja hilos para macrame # 30</t>
  </si>
  <si>
    <t>Madejas de Piola de algodón retorcido #30
Ideal para trabajos artesanales de tejidos en macramé.
Color crudo natural
100 gramos
Composición: 100% Algodón
El oferente debe presentar al centro de Formación, si este lo requiere, una muestra física de 1 metro para garantizar que cumpla con los requerimientos de ficha técnica.</t>
  </si>
  <si>
    <t>gr</t>
  </si>
  <si>
    <t>Madeja 
100 gr</t>
  </si>
  <si>
    <t xml:space="preserve">Contrafuerte termoplástico </t>
  </si>
  <si>
    <t>Ficha Técnica
Uso: contrafuertes para calzado
Medidas: ancho 1,00m x largo 1,45m
Espesores (mm): de 0,6mm hasta 12mm
Color: PEBD marrón traslúcido – tela base blanca
Base: tejido no tejido –  non woven color blanco
Polímero: PEBD modificado con copolímeros
Pegamento: tipo HOT MELT
Sugerencia de uso:
0,6mm calzado bebé, infantil y zapatilla
0,8mm calzado de dama infantil
1,0mm calzado caballero y casual</t>
  </si>
  <si>
    <t>Lamina</t>
  </si>
  <si>
    <t>Lamina
1mt x 1,45 mt</t>
  </si>
  <si>
    <t>Láminas Termoplásticas para Punteras</t>
  </si>
  <si>
    <t>Ficha Técnica
Uso: punteras para calzado
Medidas: ancho 1,00m x largo 1,45m
Espesores (mm): de 0,5mm hasta 1,0mm
Color: mezcla PEBD natural
Base: tejido no tejido –  non woven color blanco
Polímero: PEBD modificado con copolímeros
Pegamento: tipo HOT MELT
Sugerencia de uso:
0,5 – 0,6mm calzado bebé, infantil y zapatillas
0,8mm calzado infantil escolar dama
1,0mm calzado caballero y casual</t>
  </si>
  <si>
    <t>Lamina 
1mt x 1,45 mt</t>
  </si>
  <si>
    <t>Sellafix</t>
  </si>
  <si>
    <t>Producto diseñado para rellenar las superficies con muchos poros o ásperas. Sirve de puente para nivelar en materiales pegados de diferente textura. Prepara los materiales para aplicar la tinta marroquinera. Colores disponibles: Neutro. Presentación: Frasco de 500 cc</t>
  </si>
  <si>
    <t>Frasco
500 cc</t>
  </si>
  <si>
    <t>Tinta Marroquinera</t>
  </si>
  <si>
    <t>Producto de alta concentración para para el acabado de bordes de cuero o aglomerados con variedad de colores disponibles. Presentación: Frasco de 500 cc</t>
  </si>
  <si>
    <t>cant 5 01 opct</t>
  </si>
  <si>
    <t>Tinta acuosa</t>
  </si>
  <si>
    <t>Tintura base acuosa especial para cuero  logrando dar color, cambiar o renovar el color del cuero liso,  con variedad de colores es combinable entre si para generar más tonos.
También puede pintar otros materiales como vaqueta, crupón, cartón, odena, lona, madera yeso y cerámica, mateniendo las mismas características en el resultado. Contenido Neto: 60 CC</t>
  </si>
  <si>
    <t>Frasco
60 cc</t>
  </si>
  <si>
    <t>Sellador de cantos</t>
  </si>
  <si>
    <t>Base de alto poder de relleno y preparador a base acuosa, especial para la elaboración de bordes y cantos de cuero y sintéticos. Se usa como fondo de fácil aplicación que no necesita cepillado y da un efecto excepcionalmente abombado , cuerposo y pleno en la primera aplicacion. Se puede aplicar manualmente o con máquina de entintar.  Permite usar maquina alisadora a calor (temperatura de 200°C a 350°C)). Color: Neutro.
Presentacion: Frasco x 1 litro.PRIMER COAT</t>
  </si>
  <si>
    <t>Frasco x Lt</t>
  </si>
  <si>
    <t xml:space="preserve">Emulsión </t>
  </si>
  <si>
    <t>Emulsion  acuosa, autobrillante, pulimentable para planta, canto y tacón en: crupon, odena, esterilla, aglomerados. Aplicable con espuma, brocha o pistola. Colores disponibles: Negro,durazno, café, natural.</t>
  </si>
  <si>
    <t>U</t>
  </si>
  <si>
    <t>Colorante orgánico para tinturar</t>
  </si>
  <si>
    <t>Carex. Colorante para teñir artículos de cuero, fieltro, lona, tela, cartón y madera. Su secado es sorprendentemente rápido, no deja manchas y sus tonos son inalterables. Da un color vivaz y profundo sin ocultar las características físicas del cuero. No cuartea las pieles debido a que no contiene materias primas que las perjudiquen y su fijación es total, porque sus componentes garantizan dicho efecto y tien un gran poder colorante. No es perecedero (No vence). Colores según carta de color.</t>
  </si>
  <si>
    <t>Frasco x 60 cc</t>
  </si>
  <si>
    <t>Cera De Abejas 100% Natural Sin Refinar Certificada 500 Gr</t>
  </si>
  <si>
    <t>Materia prima 100% natural. Se obtiene por fusión con agua caliente de las paredes del panal construido por la abeja Apis mellifera L., después de extraída la miel, y posterior purificación. Contiene un 70 – 75 % de ésteres de alcoholes de cadena lineal C24 a C36 (pares) con ácidos de cadena lineal de hasta C36 así como hidroxiácidos C18. El componente mayoritario es el palmitato de miricilo. También contiene ácidos libres, carbohidratos, alcoholes grasos libres, y ésteres esteáricos de ácidos grasos. Se trata de un agente de consistencia usado en formulaciones tópicas como espesante y endurecedor de cremas y pomadas, permitiendo además la incorporación de agua en el caso de las emulsiones W/O.</t>
  </si>
  <si>
    <t>Frasco 
500gr</t>
  </si>
  <si>
    <t>Sellador acrilico base acuosa</t>
  </si>
  <si>
    <t>Sellador acrilico que protege de rayones, producto a base de agua se limpia con agua y jabón. Resistente al agua. No se borra, agrieta, pela ni raya, Excelente tanto para trabajos artesanales como para producción de alta velocidad. Sellador lo suficientemente flexible para cinturones, zapatos, bolsos, artículos de talabartería/guarnicionería y tapicería.Presentación: frasco por 4 onzas / 118 Ml Acrylic finisher # 600</t>
  </si>
  <si>
    <t>Frasco 
180 ml</t>
  </si>
  <si>
    <t>Grasa de potro</t>
  </si>
  <si>
    <t>Fórmula especial para cueros, cuida, suaviza, nutre, protege e impermeabiliza artículos de cuero: Chaquetas, botas, maletines, cinturones, sillas de montar. Mantiene el color natural del cuero,componentes ceras naturales y polietilénicas. parafinas, solvente, colorante.presentacion 60 gr</t>
  </si>
  <si>
    <t>Frasco
60 gr</t>
  </si>
  <si>
    <t xml:space="preserve">Crema gardenia para cuero </t>
  </si>
  <si>
    <t>Uso en pieles grasas y semimates, aplicacion con esponga, aspecto final acabado suave con tacto graso. Frasco x 100gr</t>
  </si>
  <si>
    <t>Frasco
100gr</t>
  </si>
  <si>
    <t>Papel teflón protector industrial</t>
  </si>
  <si>
    <t>Lámina de teflón resistente al calor. Indicada para proteger el plato superior de la termofijadora de rayaduras y la adhesión de restos de materiales. Distribuye la temperatura de manera uniforme y minimiza el desgaste del plato inferior.Lamina 1mt x 1 mt</t>
  </si>
  <si>
    <t>Lamina
1 mt x 1 mt</t>
  </si>
  <si>
    <t>Cinta de teflon</t>
  </si>
  <si>
    <t>Cinta de  Teflón -plástico a base de polímeros de gran resistencia y flexibilidad, que ofrece versatilidad y consistencia con casi cualquier superficie con la que entra en contacto, convirtiéndose en el principal componente de la cinta adhesiva, al brindar distintos beneficios gracias a sus propiedades, aplicables en la industria moderna, como:Resistencia a altas temperaturas, desde los 190°C hasta 350° 3M™ Cinta de PTFE reforzada con Fibra de Vidrio 5453, marrón, 25 mm x 33 m x 211 µ
Coeficiente de adhesión bajo
Eficaz ante la oxidación</t>
  </si>
  <si>
    <t>Metro
Ancho 1"</t>
  </si>
  <si>
    <t>Alicates para cuero</t>
  </si>
  <si>
    <t>Pinza con fuerza multiplicada para ejercer presión en el cuero al momento del pegado. Sirve también para marcar los pliegues en el cuero sin dañarlo gracias a su acabado de goma o forrado en cuero. Mandíbula en goma y/o forrado en cuero doble apertura: 12/30 mm. Acero inoxidable.</t>
  </si>
  <si>
    <t>Rodillo para asentar cuero</t>
  </si>
  <si>
    <t xml:space="preserve"> Rodillo de presion de mader, posee una buena resistencia al desgaste y una larga vida útil. Superficie plateada:
El rodillo es suave y conveniente para presionar el cuero de manera uniforme.Mango ergonomico:
El mango en madera maciza con función antideslizante es cómodo de sostener durante mucho tiempo.
Medidas :15,5 cm * 3 cm ancho del rodillo de madera.</t>
  </si>
  <si>
    <t>Asentador de correas</t>
  </si>
  <si>
    <t>Herramienta para asentar tiras o correas después de realizar la unión con adhesivo en piezas de cuero y materiales afines. Hace las veces de martillo, pero con un toque más suave. Elaborada en madera densa, dura y pesada, resistente, de excelente calidad y finamente acabada para no generar rayones en los materiales. Mango con agarre cómodo y firme.
Tamaño:  25 cm de altura aprox.</t>
  </si>
  <si>
    <t>Asentador del filo</t>
  </si>
  <si>
    <t xml:space="preserve">Asentador de filo para mantener afilados los cuchillos y punzones, ayuda a alinear el microfilo de cualquier hoja. Kit 5 piezas de piedras para afilar cuchillos con placa extrafina/gruesa y base antideslizante, grano 400/600/800/1000/1200 </t>
  </si>
  <si>
    <t>Asentador del filo para rebajadores</t>
  </si>
  <si>
    <t>Plancha afiladora de herramientas para cuero diseñado con ranuras de riel para pulir el filo de las palas, por ser una herramienta auxiliar de lijado se debe utilizar con una tira de lija. Elaborada en acero de alta calidad con alta dureza, sólido e inoxidable. Color: Negro
Tamaño: aproximadamente 45x50mm/1,8 x 2in
Espesor: aproximadamente 11mm / 0.4in</t>
  </si>
  <si>
    <t xml:space="preserve">U </t>
  </si>
  <si>
    <t>Horma en madera con radios en cada arista-  3 ángulos, 10/12/15MM</t>
  </si>
  <si>
    <t xml:space="preserve">Herramienta para ahormar piezas de cuero.
molde fijo para dar curvatura al cuero es una herramienta profesional hecha a mano para artesanías en cuero, cada lado de la horma tiene un radio.
 3 ángulos en cada arista:  10/12/15MM
</t>
  </si>
  <si>
    <t>Kit de punzón para costura manual de cuero</t>
  </si>
  <si>
    <t>Mango de cobre y agujas con las siguientes especificaciones:
Longitud del ón: aproximadamente 6,6 cm/2,59
pulgadas 14 
Longitud: aproximadamente 3,9 cm/1,53 pulgadas
Longitud de las s rectas: aproximadamente 6,9 cm/2,71 pulgadas, diámetro: 2 mm
Longitud de las s curvas: aproximadamente 7,8 cm/3,0 pulgadas, diámetro: aproximadamente 2,5 mm
Longitud de las s de ganchillo: aproximadamente 7,8 cm/3,0 pulgadas, diámetro: aproximadamente 2,5 mm</t>
  </si>
  <si>
    <t>Cautin</t>
  </si>
  <si>
    <t>Cautín solador tipo lápiz de 60w. Herramienta que tiene una resitencia y punta de cobre, con temperatura regulable, se utiliza para quemar los hilos de nylón.</t>
  </si>
  <si>
    <t>Quemador de hilos</t>
  </si>
  <si>
    <t>Esta innovadora herramienta, recorta, quema o derrite los hilos, la punta extrafina se calienta instantáneamente con solo presionar el botón lo cual permite que la aplicación sea precisa, el cuál es ideal para terminar proyectos de tejidos, es inalambrico funciona con pilas AA,La punta se calienta al instante con la presión de un botón! Puede calentarse hasta unos 700 grados F/371 grados C en cuestión de 2-3 segundos.la punta del filamento hace que se queme incluso en los hilos y nudos más finos.</t>
  </si>
  <si>
    <t>Aplicador de tinta electrico especial para cantos de cuero y otros.</t>
  </si>
  <si>
    <t>Aplicador de tinta manual especial para cantos de cuero y otros: Bolígrafo de pintura para manualidades de cuero. La  zanja en la punta cónica (bronce) ayuda a recoger la pintura, rueda a medida que avanzas por el borde del cuero mientras pintas, cabo  en forma de cilindro en aluminio y eje de aluminio.</t>
  </si>
  <si>
    <t>Entintador de rodillo para mesa</t>
  </si>
  <si>
    <t>Entintador de rodillo para dar acabados finos en los bordes del cuero.
- Carcasa metálica, Rodillo hecho en aluminio.
- Tamaño mediano
- Pieza para graduar el paso de la tinta y guía para introducir la pieza</t>
  </si>
  <si>
    <t>Juego de perforadores de hebijón</t>
  </si>
  <si>
    <t>Juego de punzones huecos con punta de corte de forma redonda para perforar, elaborado en acero templado de alta calidad, con una cabidad lateral para que salga el residuo del corte, no se oxidan, superficie pulida y mantiene el filo, apto para cortar o perforar diferentes materiales como  caucho, cuero, fieltro, plástico, corcho, tela, etc.
Tamaños: #3 #4 #5 #6 #7 #9 #10 #12</t>
  </si>
  <si>
    <t>Juego x
8 Perforadores</t>
  </si>
  <si>
    <t>Juego de rebajadores franceses</t>
  </si>
  <si>
    <t>Herramienta canteadora francesa, utilizada para rebajar porciones de cuero de ancho fijo en partes intermedias, elaborado en acero templado. Puntas afiladas con precisión. Cabo de madera contorneado que facilita su manejo.
Anchos: 4 mm/6 mm/8 mm/10mm/12 mm</t>
  </si>
  <si>
    <t>Juego por 7 rebajadores</t>
  </si>
  <si>
    <t>Kit de biseladora de bordes matacantos</t>
  </si>
  <si>
    <t>Herramienta para biselar los bordes del cuero en forma de " U" generando corte oblicuo en los bordes. Mango de Ébano en forma de gota, hoja en acero con tratamiento térmico Calibres 0 /05 mm, 1/1.0 mm.2/1.8mm, 3/2.5 mm, 4/3.0mm y 5/4.0 mm</t>
  </si>
  <si>
    <t>Juego por 5 biseladores</t>
  </si>
  <si>
    <t>Kit de herramientas para hacer flores de tela y accesorios</t>
  </si>
  <si>
    <t>Herramienta hacer flores de tela 17 cabezales(puntas diferentes) máquina eléctrica(cautil) hacer flores de tela máquina de planchado de flores artificiales enchufe de ee. uu. 110v , 17 cabezales de planchado: incluyendo 12 cabezales de planchado de paleta y 5 cabezales de planchado de bola, se pueden utilizar for hacer todo tipo de flores de tela. Fácil de cambiar las cabezas de planchado, mango de madera</t>
  </si>
  <si>
    <t>Kit x 17 cabezales + máquina</t>
  </si>
  <si>
    <t>Kit de herramienta para tallar</t>
  </si>
  <si>
    <t>Sellos para tallar el cuero , material acero quirurgico:
1-Cuchilla giratoria
7 herramientas para alto y bajo relieve , 7 diseños diferentes.
1-Mazo nylon</t>
  </si>
  <si>
    <t>Kit x 7 herramientas + cuchilla giratoria de corte + mazo</t>
  </si>
  <si>
    <t>Lezna con puntas intercambiables</t>
  </si>
  <si>
    <t>Lezna con cabo de madera y puntas intercambiables:
Hoja de punzón de diamante (estilo japonés):
Tamaño 1: 1.9mm,
Tamaño 2: 2.3mm
Tamaño 3: 2.7mm
Hoja de punzón de estilo francés (plana):
Tamaño 1: 1.9mm,
Tamaño 2: 2.3mm
Tamaño 3: 2.7mm</t>
  </si>
  <si>
    <t>Kit
(Lezna + 3 puntas intercambiables)</t>
  </si>
  <si>
    <t>Martillo de nylon</t>
  </si>
  <si>
    <t>Martillo con cabezas de nylon blanco duradero de alto impacto y calidad. La dureza del martillo es moderada, por lo que la superficie de la pieza de trabajo no se daña.La cabeza del martillo utiliza un proceso de instalación especial que no se suelta ni se cae. El mango del martillo está hecho de madera dura con recubrimiento de caucho para facilitar el agarre. Dimensiones de la cabeza: 30mm</t>
  </si>
  <si>
    <t>Mazos</t>
  </si>
  <si>
    <t>Martillo grande de madera con aplicación polimerica para el golpe, utilizado para trabajos de marroquinería y calzado</t>
  </si>
  <si>
    <t>Mini cepilladora</t>
  </si>
  <si>
    <t>Mini cepilladora de cuero
Dos opciones
Cepilladora de fondo redondeada
Cepilladora de fondo recto
Material: Ébano
Tamaño: 80 x 22 x 22 mm</t>
  </si>
  <si>
    <t>Mordazas</t>
  </si>
  <si>
    <t>Herramienta que permite sujetar materiales al momento de realizar costuras manuales. Caballete en madera para sostener pieza para costura manual en madera con soportes de cuero</t>
  </si>
  <si>
    <t>Kit Aerografo con mini compresor electrico</t>
  </si>
  <si>
    <t xml:space="preserve">Aerografo profesional incluye un compresor de aire portátil, una manguera de aire, un aerógrafo alimentado por gravedad, un minifiltro de aire y un soporte.
Kit profesional de aerógrafo con alimentación por gravedad para manualidades de pintura de aficionados.
Material: aluminio + cobre + caucho + nylon + plástic
Aerógrafo para hacer modelos, decoración de tartas, dibujar el contorno del camuflaje, tatuajes de uñas arte, etc.
Minicompresor de aire silencioso y de primera calidad, portátil, ligero y fácil de transportar. Entrada: 100-250 V, 50/60 Hz, 0,6 A como máximo
Salida: 12 V DC, 1,6 A,
salida de aire por minuto: 8 L/min.
Presión máxima: 25-30 psi
Diámetro de la boquilla: 0,3 mm
Capacidad del vaso de líquido: 7 cc
Diámetro de la manguera: 1/8 pulgadas
Longitud de la manguera de silicona
: 1,5 m Tamaño del compresor de aire: 120 * 95 * 65 mm/4,72 x 3,74 x 2,56 pulgadas </t>
  </si>
  <si>
    <t>Madeja hilos para macrame # 45</t>
  </si>
  <si>
    <t>Madejas de Piola de algodón retorcido #45
Ideal para trabajos artesanales de tejidos en macramé.
Color crudo natural
100 gramos
Composición: 100% Algodón
El oferente debe presentar al centro de Formación, si este lo requiere, una muestra física de 1 metro para garantizar que cumpla con los requerimientos de ficha técnica.</t>
  </si>
  <si>
    <t>Pulidor de bordes</t>
  </si>
  <si>
    <t>Herramienta de primera calidad, elaborada en madera densa, dura, pesada y resistente a la abrasión y desgaste. Posee 5 ranuras o canales para bruñir diferentes espesores de cuero. Contorno cómodo de sostener.
5 tamaños de ranuras para bruñir:
    8 mm (20 onzas)
    6 mm (15 onzas)
    5 mm (12,5 onzas)
    4 mm (8 onzas)
    3 mm (5,5 onzas)</t>
  </si>
  <si>
    <t>Herramienta de mano para entintar bordes manual</t>
  </si>
  <si>
    <t>Herramienta de uso manual para entintar los cantos del cuero, utilizado en el sector de marroquineria y calzado, facil de operar y de alta eficiencia, contendor en acrilico transparente para visuliazar el color de la tinta, rodillo en cobre con ranuras angulosas que regulan el paso del producto, contiene destonillador y accesorios para el montaje del rodillo.</t>
  </si>
  <si>
    <t>Cepillo de pulir de Lana para Calzado</t>
  </si>
  <si>
    <t>Cepillo de pulir de lana para calzado
Se utiliza para pulir o cepillar el zapato. Forma parte del acabado del mismo.
MEDIDAS:
260 X 100 mm
260 x 75 mm</t>
  </si>
  <si>
    <t>Removedor de dientes de cremallera</t>
  </si>
  <si>
    <t>Herramienta para extracción de dientes a la cremallera y base para martillar. Material: Aleación de acero inoxidable. Tipos: #3 y #5. Altura: 95mm. Base para martillar: 30x55mm</t>
  </si>
  <si>
    <t>Rodillo asentador</t>
  </si>
  <si>
    <t xml:space="preserve">Rodillo asentador para cuero y otros materiales, elaborado en latón macizo con superficie finamente cepillada. Tuercas hexagonales de acero inoxidable.
De longitud x diámetro: Aprox 65x4 0mm/2.55x1.57inches
Longitud del mango: aprox. 85mm/3,34 pulgadas
Longitud Total: aprox. 125mm/4,92 pulgadas
Peso: aproximadamente 1000g
Color: oro </t>
  </si>
  <si>
    <t>Superficie de corte teflón</t>
  </si>
  <si>
    <t>Tabla de corte para uso  profesional, realizada en polietileno de alta densidad. Espesor de la tabla de 20mm para  obtener mayor rigidez y menos deformaciones.Tamaño: 600x400x20mm. Color:Blanco</t>
  </si>
  <si>
    <t>Superficies de golpe</t>
  </si>
  <si>
    <t>Superficie polimerica utilizada para soportar el  perforado de piezas en  cuero u otros materiales similares. Tamaño 15 cm x 15 cm</t>
  </si>
  <si>
    <t>Tijeras para marroquinería tipo mariposa grande</t>
  </si>
  <si>
    <t xml:space="preserve">Cuchillas de acero inoxidable súper afiladas para cortar cuero liviano u otro material. Cuerpo completo en acero inoxidable. Las asas son extra grandes para mayor comodidad. Tamaño: Grande. </t>
  </si>
  <si>
    <t>Tijeras piqueteadoras zig zag</t>
  </si>
  <si>
    <t>Tijeras dentadas diseñadas para el corte en zig zag. Mango ABS, cuchilla de acero inoxidable endurecido. Longitud total : 23.5 mm / Distancia entre dientes 5mm.</t>
  </si>
  <si>
    <t>Tijera Sastre Industrial 10"</t>
  </si>
  <si>
    <t>Especificaciones:
Empaque: Tarjeta
Longitud de corte: 115 mm
Longitud total: 10'' (254mm)
Peso: 292 g
Características:
Acabado pulido
Fabricada en acero al alto carbono
Filos rectificados y templados
Hojas rectas sobrepuestas con tuerca de seguridad
Usos:
Para uso industrial o en pollerias</t>
  </si>
  <si>
    <t>No cumple</t>
  </si>
  <si>
    <t>Tenedores franceses</t>
  </si>
  <si>
    <t>Kit de perforadores estilo frances.  Espacio disponible entre dientes: 
Obverse: 2.7 (2 y 8 dientes) / 3.0 (2 y 8 dientes) / 3.38 (2 y 8 dientes) / 3.85mm (2 y 8 dientes)  
Reverse: 2.7 (2 y 5 dientes) / 3.0 (2 y 5 dientes) / 3.38 (2 y 8 dientes) / 3.85mm (2 y 8 dientes) .
 Mango de 120 mm de longitud y 8 mm de espesor. Ángulo de los dientes: 45 °
Longitud de los dientes: 10mm. Cada diente ha sido altamente pulido. Los dientes pulidos altos permiten perforar y extraer más fácilmente el cuero del cuero.
Diferencia en comparación con otros hierros: diseño de mango actualizado y un centro de gravedad más suave.Los hierros están hechos de acero aleado y no se oxidan. Herramienta tratada térmicamente durante 58HRC.
Cada diente individual ha sido pulido en espejo, para permitir una liberación más suave de los hierros al retirarlos del cuero.</t>
  </si>
  <si>
    <t>Kit
16 tenedores</t>
  </si>
  <si>
    <t>Tenedores punta diamante</t>
  </si>
  <si>
    <t>Herramienta utilizada para abrir simultaneamente varias perforaciones en forma de diamante. Material: Acero inoxidable
Tamaño: 3mm, 4mm, 5mm
Punta: 2 puntas, 5 puntas, 10 puntas
Longitud de la púa: 10 mm
Longitud: 110mm
Grosor del mango: 7 mm</t>
  </si>
  <si>
    <t>Kit
4 piezas</t>
  </si>
  <si>
    <t xml:space="preserve">Troqueles para broche billetera </t>
  </si>
  <si>
    <t>Troquel broche semi cazuela piezas metálicas compuestas de dos partes, una es la hembra o matriz y el macho o punzón, que se utilizan para diferentes funciones como ensamblar. Referencia de máquina remachadora tipo Gameco.Solicitar tamaño del herraje al grupo tecnicodel Sena.</t>
  </si>
  <si>
    <t>Kit 
4 piezas</t>
  </si>
  <si>
    <t>Troqueles para broche cazuela</t>
  </si>
  <si>
    <t>Troquel broche casuela. Piezas metálicas compuestas de dos partes, una es la hembra o matriz y el macho o punzón, que se utilizan para diferentes funciones como ensamblar. Referencia de máquina remachadora tipo Gameco.Solicitar tamaño del herraje al grupo tecnicodel Sena.</t>
  </si>
  <si>
    <t>Troqueles para remache hongo</t>
  </si>
  <si>
    <t xml:space="preserve"> Piezas metálicas compuestas de dos partes, una es la hembra o matriz  y el macho, que se utilizan en la confección para diferentes procesos.
Dado Para Remache doble cabeza 
Solicitar las especificaciones de la máquina antes de realizar la compra
Cantidad de boquillas: 2
Material: Acero
Referencia máquina remachadora tipo Gameco.Solicitar tamaño del herraje al grupo tecnico del Sena.</t>
  </si>
  <si>
    <t>Kit
2 piezas</t>
  </si>
  <si>
    <t>Troqueles para remache doble cabeza</t>
  </si>
  <si>
    <t xml:space="preserve">Pinzas para Calzado </t>
  </si>
  <si>
    <t>Característica:
con una estructura de acero inoxidable de buena calidad, duradera, antioxidante y anticorrosiva. El producto se utiliza principalmente para estirar y apretar la parte superior de cuero o hecha a mano, con alicates de acero pulido en forma de pico con martillo incorporado y sacamoscas en la parte inferior, ayuda mucho en la artesanía del cuero, mejora la eficiencia del trabajo. Se trata de un alicate duradero para zapateros y talabarteros, muy prácticos. Los alicates duraderos son adecuados para herramientas de fabricación de zapatos, que se utilizan en las fábricas de zapatos para dar forma a los zapatos
Especificaciones:
Tipo de artículo: alicates duraderos
Material: acero inoxidable
Forma: boca puntiaguda
Uso del producto: herramientas de fabricación de zapatos, utilizadas en fábricas de calzado para dar forma a los zapatos</t>
  </si>
  <si>
    <t>Martillo para Calzado</t>
  </si>
  <si>
    <t xml:space="preserve">Martillo De Reparación De Calzado, Mango De Madera, Longitud del mango: 18 cm
Longitud de la cabeza: 10 cm
Material: acero inoxidable y madera
Color: plata y madera
Contenido del paquete:
1 martillo de piel hecho a mano. </t>
  </si>
  <si>
    <t>Carpeta De Hueso Tradicional (plegadera)</t>
  </si>
  <si>
    <t xml:space="preserve"> Herramienta perfecta para obtener pliegues, pliegues y líneas de marcado nítidas y precisas en el papel. Herramienta esencial para papel y tela.
Proporciona un control preciso a la hora de moldear el cuero.
Características
- Material: plástico.
- Tamaño: 20,5 x 2,2 x 0,3 cm.</t>
  </si>
  <si>
    <t>Cinta Métrica Zapatería Estilo Ingles X60 Cm</t>
  </si>
  <si>
    <r>
      <t>Cinta Métrica Zapatería Estilo Ingles X60 Cm. Por una cara lleva la medida inglesa y francesa del pie para fabricar el calzado. Por la otra cara lleva la medida estándar de cm y milímetros.
Esta cinta es utilizada para determinar la longitud, el ancho, el contorno y el volumen del pie, utilizada por zapateros profesionales y artesanales que fabrican calzado sobre medidas.</t>
    </r>
    <r>
      <rPr>
        <sz val="10"/>
        <color rgb="FFFF0000"/>
        <rFont val="Aptos Narrow"/>
        <family val="2"/>
        <scheme val="minor"/>
      </rPr>
      <t xml:space="preserve"> </t>
    </r>
    <r>
      <rPr>
        <sz val="10"/>
        <color rgb="FF000000"/>
        <rFont val="Aptos Narrow"/>
        <family val="2"/>
        <scheme val="minor"/>
      </rPr>
      <t xml:space="preserve">Las cintas o metros de costurera más sencillas son de tela o plástico; en todo caso, material muy flexible que se adapta a las prendas de vestir durante el proceso de confección. </t>
    </r>
  </si>
  <si>
    <t xml:space="preserve">Compas de puntas secas </t>
  </si>
  <si>
    <t xml:space="preserve"> Compás de precisión de puntas seca                                                                                                                                               Hecho en Acero.
- Tamaño de 10cm . Para toma de medidas y proporciones.
Uso para realizar y marcar paralelas en diferentes materiales
Permite dibujar círculos de Ø 10 cm
Apertura máxima de 5 cm</t>
  </si>
  <si>
    <t>Alicate Sacabocado + Remachadora</t>
  </si>
  <si>
    <t>Características principales
Diámetro mínimo de perforación - Diámetro máximo de perforación
2 mm - 4.5 mm
Tamaño
8 "
Cantidad de punzones
6
Mango ergonómico
Sí</t>
  </si>
  <si>
    <t>Gancho Sacahormas</t>
  </si>
  <si>
    <t>Gancho de acero para sacar hormas de zapatos. Acabado en forma de T para mejorar el agarre. Se trata de una herramienta artesanal para sacar las hormas.
Largo: 30 cm
Longitud de la punta: 4 cm</t>
  </si>
  <si>
    <t>Calzador Metálico</t>
  </si>
  <si>
    <t>Calzador Zapatos Unisex Acero 14 Cms Metalico calzadores en acero para calzado de dama o caballero.
MEDIDA: 14 Cms.</t>
  </si>
  <si>
    <t>Tarjetero metálico de lujo con bloqueo Rfid</t>
  </si>
  <si>
    <t xml:space="preserve">Tarjetero metálico de lujo con bloqueo RFID masculino para billetera pequeña delgada de cuero  con protección contra clonación de documento de identificación y tarjetas bancarias.
Longitud del artículo 7cm
Anchura de Elemento 10cm
Peso del artículo: 0.085kg
Composición del material:Aluminio
Click inferior para expulsar las tarjetas
</t>
  </si>
  <si>
    <t>Kit  guia aerea ajustable para máquina de coser industrial triple arrastre</t>
  </si>
  <si>
    <t>Fabricado en material metálico de alta calidad, anticorrosión y alta resistencia para una máxima durabilidad. Rodillo combinado con bisagras y guía ajustable de parada recta que se puede ajustar en altura y elevarse cuando no esté en uso. Diseñada para acoplarse a la parte superior del cuerpo de la máquina de coser Permite coser con precisión Se adapta a la mayoría de las máquinas de coser industriales Material: acero Color: plata Codigo: GB/30 Fondo estándar GB/50 Portador de borde inferior GB/70 Guía recta fija GB/72 Guía recta ajustable GB/80 Guía de bisagras GB/82 Guía ajustable para cremalleras, mecanismos para maquina plana y maquina de codo triple transporte.</t>
  </si>
  <si>
    <t>Kit con 2 piezas</t>
  </si>
  <si>
    <t>Kit aereo ajustable para máquina de coser industrial triple arrastre-Cremallera</t>
  </si>
  <si>
    <t>Dispositivo metalico para guia standar especial para la colocacion de cremalleras codigo 6765/10</t>
  </si>
  <si>
    <t xml:space="preserve"> Kit con 2 piezas</t>
  </si>
  <si>
    <t>Kit de pies para maquina de coser para  la colocacion de cremalleras, para máquinas de coser</t>
  </si>
  <si>
    <t xml:space="preserve">Dispositivo metalico para guia standar especial para la colocacion de cremalleras
Pie de cremallera estrecho derecho/izquierdo para máquinas de coser PFAFF 145, 335, 545, 1245, Mitsubishi CU865
</t>
  </si>
  <si>
    <t xml:space="preserve">Kit de pies para maquina de coser para  la colocacion de cremalleras </t>
  </si>
  <si>
    <t>Dispositivo metalico para guia standar especial para la colocacion de cremalleras
Pie de cremallera con punta derecha e izquierda para JACK H2 Consew 205RB / Brother B797 /JUKIDU-141,DU-1181/Highlead GC0318/Feiyue FY-5318</t>
  </si>
  <si>
    <t>Kit de pies metalicos triple transporte para envivar lado izquierdo</t>
  </si>
  <si>
    <t>Disposito de arrastre  acanalado con aguja a la derecha  para coser vivos en cuero
Uso: envivar piezas de cuero
Material: metal de alta calidad, duradero y resistente al uso
Codigo:
67E05
67I05</t>
  </si>
  <si>
    <t>Kit de pies metalicos triple transportepara envivar lado derecho</t>
  </si>
  <si>
    <t>Disposito de arrastre  acanalado con aguja a la derecha  para coser vivos en cuero
Uso: envivar piezas de cuero
Material: metal de alta calidad, duradero y resistente al uso
Codigo:
0067 221483 trasero
0067 221423 delantero
0067 221573 trasero
0067 221553 delantero</t>
  </si>
  <si>
    <t>Kit de pies metalicos triple transporte para  hebilleros</t>
  </si>
  <si>
    <t>Disposito de arrastre  para coser hebillas en cuero
Uso: coser hebilleros
Material: metal de alta calidad, duradero y resistente al uso
Codigo: 89672211</t>
  </si>
  <si>
    <t>Kit de pies metalicos triple transporte para costura de manijas</t>
  </si>
  <si>
    <t xml:space="preserve">Juego de dispositivos metálicos para la confeccion de manijas en  cuero
Uso: triple arrastre para coser manijas
Material: metal de alta calidad, duradero y resistente al uso.
</t>
  </si>
  <si>
    <t>Pie para desbastadora con pin para surco de 30 mm.</t>
  </si>
  <si>
    <t>Dispositivo para rebajar cuero, permite pelar y hacer surco
para plegar con una sola operación.
Rodillo: central
medidas: 30 mm</t>
  </si>
  <si>
    <t>Pie para desbastadora con rodillo 45 mm.</t>
  </si>
  <si>
    <t>Pie con rodillo de alimentacion de 45 mm.
Se utiliza cuando se requiere un rebajo muy preciso en materiales de difícil deslizamiento:
el rodillo permite la máxima suavidad
incluso en materiales muy resistentes y tenaces.
Pasador excéntrico.
Medidas: 45mm</t>
  </si>
  <si>
    <t xml:space="preserve">Pie para desbastadora con rodillo giratorio para plegado  de 1.5 / 2 mm. </t>
  </si>
  <si>
    <t xml:space="preserve">Dispositivo para realizar canales para plegado, El ancho estándar de la rueda pequeña que hace el canal es de 2 mm. Pasador excéntrico.
Medidas: 1.5 / 2 mm </t>
  </si>
  <si>
    <t>Pie para desbastadora con pieza conica de 17 mm.</t>
  </si>
  <si>
    <t>Pie con rodillo conico de 17 mm.
Se utiliza cuando se requiere un biselado preciso en materiales de difícil deslizamiento:
el rodillo permite la máxima suavidad
incluso en materiales muy resistentes y tenaces.
Pasador excéntrico.</t>
  </si>
  <si>
    <t>Pie para desbastadora con rodillo de 34 mm.</t>
  </si>
  <si>
    <t>El pie completo 1498 C consta de dos partes:
el pie (código 1453) y el rodillo de 34 mm (código 1498)
Ideal para dividir 34 mm. 801
Rodillo, que permite la máxima suavidad incluso sobre
materiales muy resistentes y duros, desde cartón a fibras,
hasta pieles grandes y pieles grasas muy duras.</t>
  </si>
  <si>
    <t>Pie para desbastadora corto de 20 mm.</t>
  </si>
  <si>
    <t>20 mm de pie. Muy utilizado especialmente en el sector del calzado para desbastes cortos y angulosos
1486</t>
  </si>
  <si>
    <t>Herramienta de instalación para cremallera</t>
  </si>
  <si>
    <t xml:space="preserve">Herramienta de instalación para cremallera,  de instalación Manual sin bloqueo, cabezal de abrazadera, palanca deslizante,  graduable para llaves numero  #3 #4 #5 #6 #8 #10 </t>
  </si>
  <si>
    <t xml:space="preserve">Horma en madera con curvatura de redio 50 mm </t>
  </si>
  <si>
    <t>Herramienta para ahormar piezas de cuero.
molde fijo para dar curvatura al cuero es una herramienta profesional hecha a mano.
Medidas: Radio 50 mm
Ancho 100 mm - Alto 120 mm - profundidad 100 mm</t>
  </si>
  <si>
    <t xml:space="preserve">Dispositivo de arraste para rebajar cuero grano fino </t>
  </si>
  <si>
    <t>Rodillo de esmeril de grano fino, para materiales delicados y delgados, donde se requiere una excelente precisión en el procesamiento. Piedra No.120
8011</t>
  </si>
  <si>
    <t>Dispositivo de arraste para rebajar cuero poliuretano</t>
  </si>
  <si>
    <t>Dispositivo de arraste para rebajar cuero especial para trabajos en cuero muy finos sobre materiales delicados, como borlas, cabritos y forros. Material: poliuretano de alta densidad 3354</t>
  </si>
  <si>
    <t>Dispositivo de arraste para rebajar cuero acero</t>
  </si>
  <si>
    <t>Rodillo de acero con dientes cruzados.
Montado sobre rodamientos de agujas. Combina la fuerza de arrastre de los rodillos de acero con una fuerza 'centrípeta' que tiende a mantener la pieza de trabajo adherida a la guía. Barril de acero dentado
Material: Acero 10750</t>
  </si>
  <si>
    <t>Borla para birrete</t>
  </si>
  <si>
    <t>Borla o banderin para adorno de birrete. Mecha y campana en polipropileno.  La longitud de la mecha debe ser mínimo de 18,5 cm. Color: verde. Presentar muestra física al comprador antes para elegir el diseño.</t>
  </si>
  <si>
    <t>Kit 16 Ch + 10 Cámaras 1080p +d,d 2tb</t>
  </si>
  <si>
    <t>Kit de 10 cámaras, tipo domo o bala Hilook by Hikvision Full HD 1080P 2MP.  Excelente resolución Full HD
LAS CAMARAS SON PLASTICAS**
• Turbo hd
• Lente Fijo 2.8mm 
• SMART IR 20Mts 
• WDR DIGITAL 
•Soporta HDTVI/AHD/CVI/CVBS
• Día/Noche • ( GARANTÍA DE UN AÑO)
REFERENCIA CAMARAS DOMO: THC-T120P
REFERENCIA CAMARAS BALA: THC-B120P
1 DVR HILOOK TURBO HD 16 CANALES 1080P LITE
REFERENCIA DVR: 116G-F1
1 Bahía SATA / 6TB • Compresión de video H.264+
Soporta HD- TVI/AHD/CVI/CVBS • Soporta 30Fps
1 Canal IP hasta 1080P • Soporta Camaras hasta 2MP
Salida VGA/HDMI, PentaHíbrido 
MATERIAL: PLASTICO
1 DISCO 2 TERAS PULL ( 6 MESES DE GARANTIA )
10 PARES DE VIDEO BALUN AHD
10 FUENTES DE 12V A 1 Amperio 
100 METROS DE CABLE CAT 5e. 
 10 CAJAS DE PASO 10X10 PVC 
10 PARES DE BORNERAS.
1 GABINETE METALICO PARA LA SEGURIDAD DE TU DVR.</t>
  </si>
  <si>
    <t>unidad</t>
  </si>
  <si>
    <t>Motor colgante con eje flexible y accesorios</t>
  </si>
  <si>
    <t xml:space="preserve">Motor máquina de eje flexible SR
La máquina de eje flexible universal de 1/6 HP de Foredom funciona en rotación hacia adelante y hacia atrás a velocidades de hasta 18.000 RPM. El M.SR combina las características, potencia, reversibilidad, fiabilidad y versatilidad,  equipado con un fardo de motor para colgar, y nuestro eje interior estándar de punta de llave de 39 "de largo y funda exterior para conectar a cualquiera de las más de 20 piezas de mano intercambiables y de desconexión rápida de Foredom.
Detalles del motor:
El rodamiento de bolas de la serie SR de 1/6 HP tiene un 33% más de potencia que los motores antiguos de 1/8 HP, y un 66% más que los modelos originales de 1/10 HP. La potencia adicional ayuda a reducir el estancamiento o la desaceleración en cargas de trabajo normales.
</t>
  </si>
  <si>
    <t xml:space="preserve">Caladora De Brazo 16 Pulgadas 120w 550-1600rpm </t>
  </si>
  <si>
    <t>Caladora con potente motor y control de velocidad, botón de accionamiento, puerto para salida de polvo, guía paralela. Tamaño del brazo 16 Pulgadas
Tipo de velocidad Variable, Uso Industrial
Velocidad 550-1600 cpm
Potencia 120 W, Incluye Lámpara y eje flexible, manual de instrucciones
Garantía 3 Años, Eléctrica, Toma de la hoja, Voltaje 220 V, Tipo velocidad
Cuenta con bloqueo de seguridad.
Condición: Nuevo
SS406</t>
  </si>
  <si>
    <t>Hojas de sierra para caladora</t>
  </si>
  <si>
    <t>Hoja MS51 para cortar madera y plástico
- Geometría de los dientes diseñada para garantizar durabilidad y optimo rendimiento.
- Rectificación de alta calidad para las aplicaciones pesadas.
- Proporciona cortes rápidos y limpios.
- Hoja de alta tecnología.
- Fabricadas con acero de alta velocidad(HSS)
- Mayor durabilidad y seguridad de las hojas.
Tamaño: 16 pulgadas</t>
  </si>
  <si>
    <t>Caja
x  5 Hojas</t>
  </si>
  <si>
    <t xml:space="preserve">Discos de lijadora rotoorbital </t>
  </si>
  <si>
    <t>Resina adhesiva resistente a la acumulación de calor.
Respaldo tratado químicamente para resistir la rotura.
Diámetro: 5 pulg/ 127 mm.
Grano: 150 G.
Terminado: fino.
Discos por paquete: 5</t>
  </si>
  <si>
    <t>Caja
x  5 Unidades</t>
  </si>
  <si>
    <t>Lijadora roto-orbital  5".con sistema velcro turquesa 200W 120 V</t>
  </si>
  <si>
    <t>Lijadora electrica recomendada para: madera, pintura.
 El motor de 2.0 amperes gira la almohadilla a 14,000 OPM para lijar con un terminado suave ,diseñada para operar a un bajo nivel de ruido con vibración reducida El tamaño de la almohadilla es 4-1/2" x 4"
Palanca afianzadora grande para instalar la lija rápido y fácil.
Incluye Papel abrasivo, placa perforada y bolsa para polvo
Potente motor de 200W.
    Clase de protección: 2.
    Con empuñadura antideslizante.
    Con colector de polvo.
    Sistema velcro incluido que facilita el cambio de lijas.
    Número de oscilaciones: 14000 opm.
    Diámetro de oscilación de 4.5in.
    Dimensiones de la placa lijadora: 112mm de ancho por 102mm de largo.
    Dimensiones totales: 112mm de ancho, 141mm de alto y 131mm de largo.
    Pesa 1.1kg, 14,000 OPM para un lijado rápido y con acabado suave
    Accesorios incluidos: 1 papel de lija, 1 perforador de lija.
    Realiza tu trabajo de una manera más eficiente
Condición: Nuevo
BO4556</t>
  </si>
  <si>
    <t>Lijadora de banda y disco 4 x 6" de 375
W (1/2 HP)</t>
  </si>
  <si>
    <t>Lijadora de banda y disco, base de la banda de hierro fundido para mayor
estabilidad y menor vibraciónPosiciones de mesa de banda 0° a 90°, para lijado
horizontal o vertical
 Multiposición de mesa de trabajo 0° a 45° con guía
angular de 0° a 60° Cambio de banda sin necesidad de herramienta
Potente motor de 375W.
Clase de protección: 1.
Con colector de polvo.
Diámetro de oscilación de 910in.
Velocidad mínima de rotación de 3500rpm y máxima de 3500rpm..
Pesa 16kg.
Accesorios incluidos: 1 disco de lijado.
Condición: Nuevo
PUL-4X6T</t>
  </si>
  <si>
    <t>Bandas de lijas 4" x 36"</t>
  </si>
  <si>
    <t>Paquete de cinta de lijado de 4 x 36 pulgadas, 4 x 36 pulgadas, 12 unidades (4 de cada uno de 80, 120 y 150 granos), oxido de aluminio para lijadoraFabricado con grano de oxido de aluminio de alta calidad
La interfaz del cinturon es firme y no se rompe facilmente gracias a la tecnologia de empalme de regazo diagonal
Se utiliza principalmente para madera, aluminio, metal no ferroso, vidrio, plastico, piedra, etc
Antiestatico, lavable y un aditivo en la resina para resistir la carga
El surtido de 12 piezas incluye 4 granos de 80, 120 y 150 de cada uno</t>
  </si>
  <si>
    <t>Paquete x 12 Und</t>
  </si>
  <si>
    <t>Discos de lija de 6" para PUL-4x6</t>
  </si>
  <si>
    <t>Fabricado en óxido de aluminio
Para aplicaciones de lijado y pulido asperos a pesados para ayudar a eliminar arañazos o imperfecciones; adecuado para lijadoras orbitales aleatorias y ofrece potencia de corte para todas tus necesidades de lijado y pulido
Gancho y bucle: la almohadilla trasera evita cualquier desconexión de la lijadora y ofrece una instalacion o extraccion rapida y facíl.
Disco autoadherible con respaldo de tela de algodón
Grano 120,180,240 Y 320 para PUL 4x6</t>
  </si>
  <si>
    <t xml:space="preserve">Polichadora 9" 1250W 3500RPM </t>
  </si>
  <si>
    <t>Polichadora  ideal para tareas de preparación de superficie en metal y madera , remoción de óxido, pinturas, escoria, barnices y masillas plásticas con disco de fibra de grano grueso e intermedio, terminación y pulido de superficies finas con discos de fibra o paño. Para Talleres de reparación, mantenimiento y producción de automóviles y carrocerías, y Fabricas de muebles artesanales en madera de alta dureza. 
Velocidad 3500 RPM
Potencia 1250 W
Alimentación Eléctrica
Voltaje 120 V
Tipo velocidad Variable
Tiene respaldo y garantía por desperfectos de fábrica.
Contiene
1 polichadora 7 pulg 1250W 0-600/0-3500 RPM,1 Empuñadura circular, 1 Base circular 7pg 180 mm, 1 Brida 5/8, 1 Llave hexagonal 8 mm
DWP849X-B3</t>
  </si>
  <si>
    <t>Disco de lana  9"</t>
  </si>
  <si>
    <t>Disco para polichar lana virgen
Referencia: Rosca 5/8 npt 9"
Encerado y pulido automotriz
Para trabajos en múltiples superficies.
Bonete de lana grueso de 1 pieza, no requiere un plato adicional.
Doble cara, puede ser utilizado por ambos lados
Alto rendimiento, ideal para talleres de pintura automotriz.
Rosca 5/8 NPT.</t>
  </si>
  <si>
    <t>Taladro De Banco / Piso, De 1/2 De 8 Pulgadas</t>
  </si>
  <si>
    <t xml:space="preserve">
Taladro de piso 8" de 250 W (1/3 HP), broquero de 1/2"
5 Velocidades que se ajustan para los diferentes diámetros de perforación
Broquero de cambio rápido de 5/8” sin llave, permite manualmente el cambio de accesorios
Interruptor de seguridad con llave, el taladro no puede ser puesto en marcha si no se cuenta con la llave
Tapa de cubierta para poleas que permite verificar y cambiar de forma fácil y segura las velocidades, tope de profundidad con graduación y seguro de ajuste rápido para perforaciones repetitivas a una misma altura
Especificaciones
Potencia nominal 1/3 HP / 250 W
Broquero 1/2" (13 mm)
Cono de árbol B16
Velocidad variable (5) 760 - 3,070 rpm
Dimensiones (Base x Fondo x Alto) 18 cm x 29 cm x 59 cm
Mesa de trabajo (6" x 6") 16 cm x 16 cm
Altura de trabajo (8") 20 cm
Tensión / Frecuencia 127 V / 60 Hz
Consumo 2.5 A
Ciclo de trabajo 50 minutos de trabajo por 20 minutos de descanso. Máximo diario 6 horas
Peso 14 kg
Condición: Nuevo
TRP16174
</t>
  </si>
  <si>
    <t xml:space="preserve">Taladro inalambrico percutor 3/8 12 v 2 baterias de 1.5 Ah </t>
  </si>
  <si>
    <t>Taladro inalambrico percutor 3/8 12 v 2 baterias de 1.5 Ah  
- Diseño compacto y ergonómico con solo 193 mm de largo
- El rodamiento de bolas reduce el movimiento de la broca.
- Batería tipo deslizante y agarre ergonómico mejorado.
- Variable de 2 velocidades (0-450 y 0-1,700 RPM) para una amplia gama de aplicaciones de taladrado, sujeción y taladrado.
- Mayor potencia del motor para una mayor velocidad de aplicación y un par de apriete máximo
- 0-25,500 IPM para taladrado rápido en materiales de albañilería
- Ligero para reducir la fatiga
Portabrocas rígido sin llave de una sola manga de 10 mm (3/8")
- Capacidad Acero / Madera / Albañilería: 10/21/8 mm (3/8"/ 13/16" / 5/16")
- Capacidad de Mandril: 0.8 - 10 mm (1/32 - 3/8 ")
- Impactos por minuto (ipm) Alta / Baja: 0 - 25,500 / 0 - 6,750
- Velocidad sin carga (rpm) Alta / Baja: 0 - 1,700 / 0 - 450
- Torsión de sujeción máxima Duro / blando: 30/14 Nm (270/130 lbs)
- Par de bloqueo máximo: 28 Nm (250 in lbs)
-- Voltaje: 12 V Max
- Ajuste del par del embrague 0.5 - 3.5 Nm (4 - 30 lbs)
- Nivel de vibración Perforación de impacto en concreto: 13.0 m / s2
- Nivel de presión de sonido 82 dB (A)
- Nivel de potencia de sonido 93 dB (A)
- Incluye 2 pilas de 1,5 Ah, cargador y estuche
- Peso con batería: 1.3 Kg
-- Portabrocas rígido sin llave de una sola manga de 10 mm (3/8")
-- Capacidad Acero / Madera / Albañilería: 10/21/8 mm (3/8"/ 13/16" / 5/16")
-- Capacidad de Mandril: 0.8 - 10 mm (1/32 - 3/8 ")
-- Impactos por minuto (ipm) Alta / Baja: 0 - 25,500 / 0 - 6,750
-- Velocidad sin carga (rpm) Alta / Baja: 0 - 1,700 / 0 - 450
-- Torsión de sujeción máxima Duro / blando: 30/14 Nm (270/130 lbs)
-- Par de bloqueo máximo: 28 Nm (250 in lbs)-
-- Voltaje: 12 V Ma x
-- Ajuste del par del embrague 0.5 - 3.5 Nm (4 - 30 lbs)
-- Nivel de vibración Perforación de impacto en concreto: 13.0 m / s2
-- Nivel de presión de sonido 82 dB (A)
-- Nivel de potencia de sonido 93 dB (A)
-- Incluye 2 pilas de 1,5 Ah, cargador y estuche
-- Peso con batería: 1.3 Kg
HP333DWYE</t>
  </si>
  <si>
    <t>Sierra Ingleteadora profesional de 1650W y 10"</t>
  </si>
  <si>
    <t>Sierra Ingleteadora profesional de 1650W y 10". Cuenta con base maquinada en aluminio, mango recubierto de goma para mayor seguridad y comodidad durante su uso, bolso de Tela para Polvo y empuñadura para un fácil transporte. 9 Posiciones de Corte Predeterminadas. Herramienta ideal para marquetería, carpintería, gabinetes. Tope para cortes repetitivos para cortes de una misma longitud. Bloqueo de interruptor del gatillo para operar con una sola mano. Con luz LED en la línea de corte para obtener mejor iluminación y cortes 100% precisos. Tamaño compacto y peso ligero para un fácil transporte.Voltaje 120V.
Diámetro de la hoja: 10'' (254 mm) Voltaje: 120 V Frecuencia: 60 Hz Velocidad: 4,800 RPM Potencia 1650 W Cortes prefijados en 9 posiciones. Profundidad de corte a 90° de 3-1/2'' Corte de inglete: 47° a la izquierda y 52° a la derecha Corte en bisel: 45° a la izquierda Corte compuesto: si Longitud del cable: 2 metros Aplicaciones: marquetería, carpintería, gabinetes.
 SM16-B3</t>
  </si>
  <si>
    <t>Aspiradora Sopladora Con Cepillo 19 Litros Solidos Líquidos</t>
  </si>
  <si>
    <t xml:space="preserve">la Aspiradora Seco/Húmedo 19 Lts 101521 con capacidad de 5 Galones, es un equipo de gran potencia, liviano y Cuenta con una Sopladora desmontable para limpieza de hojas en jardines y áreas verdes.
Peso 6 kg, Dimensiones 34 × 34 × 50 cm Potencia 6 HP (4,480 W), Capacidad 19 Litros – 5 Galones
Largo de manguera 1.9 Mts
Largo de cable 3.6 Mts, Nivel de ruido 85 dB, Capacidad de succión de líquido 11 Litros
Ciclo de trabajo 50 minutos de trabajo por 20 minutos de descanso, máximo trabajo diario 6 horas
Incluye boquilla tipo cepillo 2 en 1, Boquilla esquinero, Boquilla 2 en 1 para piso, jalador y cepillo, Boquilla para sopladora, 3 Tubos de extensión diámetro 1 1/4",Adaptador para sopladora, Filtro de espuma para líquidos, Filtro de tela.
101521
</t>
  </si>
  <si>
    <t>Juego de brocas para taladro</t>
  </si>
  <si>
    <t xml:space="preserve">Juego de brocas, 246 piezas de brocas de alta calidad para perforación de cemento y metal de madera, atornillado, kit combinado completo surtido en estuche de transporte organizado, embalaje reforzado, contenido todo incluido: este juego completo cuenta con una amplia gama de herramientas, incluyendo varios tipos de brocas, destornillador, sierras de agujero, tapones de taladro, llaves hexagonales y muchas más, completo con un cojín protector de esponja para evitar que las brocas se mezclen o se caigan.
La caja contiene 87 brocas HSS, 22 brocas de madera, 21 brocas de mampostería, 4 topes de taladro, 66 brocas de 1 pulgada, 30 brocas de 2 pulgadas, 6 destornilladores de tuerca, 2 llaves hexagonales, 1 contra fregadero, 4 sierras de agujero, 1 adaptador de eje, 1 perforador de clavos y 1 sujeción de brocas. 
</t>
  </si>
  <si>
    <t>Prensa esquinera 3''</t>
  </si>
  <si>
    <t xml:space="preserve">Abrazadera angular 3'' Apertura máxima: 3'' (76.2mm)
Cuerpo fabricado en aluminio, forma uniones perfectas a 90°, tornillos de ajuste fabricados en acero, usos Ideal para unión de marcos y cuadros.Peso: 220 g,
</t>
  </si>
  <si>
    <t>Lámina de mdf 4 mm</t>
  </si>
  <si>
    <t>laminas de mdf  baja densidad de 4 mm 1.83 x 2.44 metros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(mm)
2.5 - 4 - 5.5</t>
  </si>
  <si>
    <t>Hoja
1.83 mt x 2.44 mt</t>
  </si>
  <si>
    <t xml:space="preserve">Lámina de mdf 9mm </t>
  </si>
  <si>
    <t>Laminas de mdf  baja densidad de 10mm   MDF DELGADO ESTANDAR CRUDO ARAUCO
Tablero sin recubrimiento para usos y aplicaciones interiores.
Acabado liso en las dos caras superficiales, alta resistencia a la flexión, buena tracción perpendicular, excelente agarre al tornillo, densidad estándar, lo que facilita su trabajo
APLICACIÓN
Se utiliza en la fabricación industrial o artesanal de mueblería, instalaciones de interiores y closets, estanterías para equipos electrónicos, puertas, embalajes, cajas, juguetes, muebles de cocina y baños, y otras aplicaciones de ebanistería.
CALIBRE (9 mm)
2.5 - 4 - 5.5</t>
  </si>
  <si>
    <t>Suelas para Baletas</t>
  </si>
  <si>
    <t>las suelas para baletas son principalmente elaboradas en PVC, de apariencia delgada y flexible, se utiliza principalmente en la fabricacion de zapato para mujer, zapato delicado abierto tipo sandalias o baletas. en la siguiente numeración  en pares:  34(10),35(10),36(20),37(20),38(10), 39(10).</t>
  </si>
  <si>
    <t>Cordones redondos en algodón calzado infantil</t>
  </si>
  <si>
    <t>Cordones para calzado, elaborados en algodón de 90cm para calzado infantil en colores surtidos</t>
  </si>
  <si>
    <t xml:space="preserve">Primer Eva </t>
  </si>
  <si>
    <t>Primer Eva Plus vulcanizante para pegado de suelas. Presentación 750cc.</t>
  </si>
  <si>
    <t>Botella 
750 ml</t>
  </si>
  <si>
    <t xml:space="preserve">Halogenante  </t>
  </si>
  <si>
    <t xml:space="preserve">Usado en el proceso de pegue de suelas de TR y caucho su funcion es la de preparar dichos materiales abriendo sus poros para un pegado optimo </t>
  </si>
  <si>
    <t>Galon
3600 ml</t>
  </si>
  <si>
    <t>Cant 5 01 oct</t>
  </si>
  <si>
    <t>Mesa Plegable Tipo Maleta En Polietileno De 183 cm</t>
  </si>
  <si>
    <t>Mesa plegable de por vida, están construidas de polietileno de alta densidad y tienen un diseño plegable para facilitar su transporte y almacenamiento. Su diseño liviano, función de bloqueo automático y práctico transporte facilitan la instalación y desmo</t>
  </si>
  <si>
    <t>Suelas en eva</t>
  </si>
  <si>
    <r>
      <t>Es un </t>
    </r>
    <r>
      <rPr>
        <sz val="10"/>
        <color rgb="FF040C28"/>
        <rFont val="Calibri"/>
        <family val="2"/>
      </rPr>
      <t>material suave capaz de proporcionar una gran amortiguación ante impactos o diferentes pesos</t>
    </r>
    <r>
      <rPr>
        <sz val="10"/>
        <color rgb="FF4D5156"/>
        <rFont val="Calibri"/>
        <family val="2"/>
      </rPr>
      <t>. Además, los zapatos con suela EVA son mucho más ligeros que otros realizados con otro tipo de materiales, siendo también más resistentes y duraderos.</t>
    </r>
  </si>
  <si>
    <t>Punzon 1,5mm Dentado para la maquina de corte oscilante</t>
  </si>
  <si>
    <t>Punzon 1,5mm Dentado para la maquina de corte oscilante. Item AT01030841. Maquina corte oscilante</t>
  </si>
  <si>
    <t>Punzon 2,5mm Dentado para la maquina de corte oscilante</t>
  </si>
  <si>
    <t>Punzon 2,5mm Dentado para la maquina de corte oscilante. AT01033463. Maquina corte oscilante</t>
  </si>
  <si>
    <t>Punzon 5,0mm Dentado para la maquina de corte oscilante</t>
  </si>
  <si>
    <t>Punzon 5,0mm Dentado para la maquina de corte oscilante. ITEM AT01033703. Maquina corte oscilante</t>
  </si>
  <si>
    <t>Protector cuchilla en teflon blanco tipo corto</t>
  </si>
  <si>
    <t>Protector cuchilla en teflon blanco tipo corto. ITEM AT01033494. Maquina corte oscilante</t>
  </si>
  <si>
    <t>Tornillo Prisionero sujec. Cuchilla</t>
  </si>
  <si>
    <t>Tornillo Prisionero sujec. Cuchilla. Item AT02003206. Maquina corte oscilante</t>
  </si>
  <si>
    <t>Portacuchillas 0,6MM</t>
  </si>
  <si>
    <t>PORTACUCHILLAS 0,6MM. AT01039716. Maquina corte oscilante</t>
  </si>
  <si>
    <t>Cursor estándar de mandrino</t>
  </si>
  <si>
    <t>CURSOR ESTANDAR DE MANDRINO. Item AT02011930. Maquina corte oscilante</t>
  </si>
  <si>
    <t>Codo Racor Mandrino</t>
  </si>
  <si>
    <t>CODO RACOR  MANDRINO. Item AT02012258. Maquina corte oscilante</t>
  </si>
  <si>
    <t>Bass Electroválvula</t>
  </si>
  <si>
    <t>BASE ELECTROVALVULA. ITEM AT01033054. Maquina corte oscilante</t>
  </si>
  <si>
    <t>Electrovalvulva herram. SYJ3143-5LOU-Q</t>
  </si>
  <si>
    <t>ELECTROVALVULA HERRAM SYJ3143-5LOU-Q. Item AT02011392. Maquina corte oscilante</t>
  </si>
  <si>
    <t xml:space="preserve">Electrovalvula aspiracion  SY7120-5YO-02F-Q </t>
  </si>
  <si>
    <t>ELECTROVALVULA ASPIRACION  SYJ314M-5LOU-Q. Item AT02011591 . Maquina corte oscilante</t>
  </si>
  <si>
    <t>Electroválvula Mandrino OSC. CUCH. SY7120-5YO-02F-Q</t>
  </si>
  <si>
    <t>ELECTROVALVULA MANDRINO OSC. CUCH. SY7120-5YO-02F-Q. Item AT02012339. Maquina corte oscilante</t>
  </si>
  <si>
    <t>Cuchilla 6,5/0,6MM Multiproposito</t>
  </si>
  <si>
    <t>CUCHILLA 6,5/0,6MM MULTIPROPOSITO. Item AT01039999. Maquina corte oscilante</t>
  </si>
  <si>
    <t>Correa Roja Doble Dentada Mandrino Eje W</t>
  </si>
  <si>
    <t>CORREA ROJA DOBLE DENTADA MANDRINO EJE W. Item AT02013342. Maquina corte oscilante</t>
  </si>
  <si>
    <t>Soporte sujeta material del perforador</t>
  </si>
  <si>
    <t>SOPORTE SUJETA MATERIAL DEL PERFORADOR. Item AT01039876. Maquina de corte oscilante</t>
  </si>
  <si>
    <t>Tapete Beige 1050X650 PARA 222</t>
  </si>
  <si>
    <t>TAPETE BEIGE 1050X650 PARA 223. Item AT01044413. Maquina corte oscilante</t>
  </si>
  <si>
    <t>Cuchilla 0,6 MM/5-15o Descarga. P. Rigid/Multicapa</t>
  </si>
  <si>
    <t>CUCHILLA 0,6 MM/5-15o DESCARGA. P. RIGID/MULTICAPA. Item AT01040073. Maquina corte oscilante</t>
  </si>
  <si>
    <t>TOTAL</t>
  </si>
  <si>
    <t>Atentamente,</t>
  </si>
  <si>
    <t>REPRESENTANTE LEGAL</t>
  </si>
  <si>
    <t>Firma:</t>
  </si>
  <si>
    <t>Nombre:</t>
  </si>
  <si>
    <t xml:space="preserve">Cedula: </t>
  </si>
  <si>
    <t>Correo electrónico</t>
  </si>
  <si>
    <t>MAYBESUMINISTROS@GMAIL.COM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</si>
</sst>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Red]\-&quot;$&quot;\ #,##0"/>
    <numFmt numFmtId="165" formatCode="&quot;$&quot;\ #,##0.00;[Red]\-&quot;$&quot;\ #,##0.00"/>
    <numFmt numFmtId="166" formatCode="_-&quot;$&quot;\ * #,##0.00_-;\-&quot;$&quot;\ * #,##0.00_-;_-&quot;$&quot;\ * &quot;-&quot;??_-;_-@_-"/>
    <numFmt numFmtId="167" formatCode="&quot;$&quot;#,##0.00"/>
  </numFmts>
  <fonts count="25">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rial"/>
      <family val="2"/>
    </font>
    <font>
      <b/>
      <sz val="11"/>
      <color rgb="FF000000"/>
      <name val="Calibri"/>
      <family val="2"/>
    </font>
    <font>
      <b/>
      <sz val="10"/>
      <color rgb="FF000000"/>
      <name val="Calibri"/>
      <family val="2"/>
    </font>
    <font>
      <b/>
      <sz val="10"/>
      <color rgb="FF000000"/>
      <name val="Calibri Light"/>
      <family val="2"/>
    </font>
    <font>
      <b/>
      <sz val="11"/>
      <color theme="1"/>
      <name val="Calibri"/>
      <family val="2"/>
    </font>
    <font>
      <sz val="10"/>
      <color rgb="FF000000"/>
      <name val="Calibri"/>
      <family val="2"/>
    </font>
    <font>
      <sz val="10"/>
      <name val="Calibri"/>
      <family val="2"/>
    </font>
    <font>
      <sz val="10"/>
      <color theme="1"/>
      <name val="Calibri"/>
      <family val="2"/>
    </font>
    <font>
      <sz val="10"/>
      <color rgb="FF000000"/>
      <name val="Times New Roman"/>
      <family val="1"/>
    </font>
    <font>
      <sz val="10"/>
      <color rgb="FFFF0000"/>
      <name val="Aptos Narrow"/>
      <family val="2"/>
      <scheme val="minor"/>
    </font>
    <font>
      <sz val="10"/>
      <color rgb="FF000000"/>
      <name val="Aptos Narrow"/>
      <family val="2"/>
      <scheme val="minor"/>
    </font>
    <font>
      <sz val="10"/>
      <color rgb="FF333333"/>
      <name val="Aptos Narrow"/>
      <family val="2"/>
      <scheme val="minor"/>
    </font>
    <font>
      <sz val="10"/>
      <color rgb="FF4D5156"/>
      <name val="Calibri"/>
      <family val="2"/>
    </font>
    <font>
      <sz val="10"/>
      <color rgb="FF040C28"/>
      <name val="Calibri"/>
      <family val="2"/>
    </font>
    <font>
      <sz val="10"/>
      <color theme="1"/>
      <name val="Aptos Narrow"/>
      <family val="2"/>
      <scheme val="minor"/>
    </font>
    <font>
      <sz val="10"/>
      <color rgb="FF000000"/>
      <name val="Arial"/>
      <family val="2"/>
    </font>
    <font>
      <b/>
      <sz val="10"/>
      <color rgb="FF000000"/>
      <name val="Arial"/>
      <family val="2"/>
    </font>
    <font>
      <b/>
      <sz val="9"/>
      <color indexed="81"/>
      <name val="Tahoma"/>
      <family val="2"/>
    </font>
    <font>
      <sz val="9"/>
      <color indexed="81"/>
      <name val="Tahoma"/>
      <family val="2"/>
    </font>
    <font>
      <b/>
      <sz val="11"/>
      <color rgb="FFFF0000"/>
      <name val="Aptos Narrow"/>
      <family val="2"/>
      <scheme val="minor"/>
    </font>
    <font>
      <sz val="11"/>
      <color rgb="FFFF0000"/>
      <name val="Aptos Narrow"/>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FFFF"/>
        <bgColor rgb="FFFFFFFF"/>
      </patternFill>
    </fill>
    <fill>
      <patternFill patternType="solid">
        <fgColor rgb="FFFFFFFF"/>
        <bgColor rgb="FF000000"/>
      </patternFill>
    </fill>
    <fill>
      <patternFill patternType="solid">
        <fgColor theme="6" tint="0.39997558519241921"/>
        <bgColor indexed="64"/>
      </patternFill>
    </fill>
    <fill>
      <patternFill patternType="solid">
        <fgColor theme="0"/>
        <bgColor indexed="64"/>
      </patternFill>
    </fill>
    <fill>
      <patternFill patternType="solid">
        <fgColor rgb="FFFFFFFF"/>
        <bgColor indexed="64"/>
      </patternFill>
    </fill>
    <fill>
      <patternFill patternType="solid">
        <fgColor theme="9"/>
        <bgColor indexed="64"/>
      </patternFill>
    </fill>
    <fill>
      <patternFill patternType="solid">
        <fgColor rgb="FF92D050"/>
        <bgColor indexed="64"/>
      </patternFill>
    </fill>
    <fill>
      <patternFill patternType="solid">
        <fgColor rgb="FFFF0000"/>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3">
    <xf numFmtId="0" fontId="0" fillId="0" borderId="0"/>
    <xf numFmtId="166" fontId="1" fillId="0" borderId="0" applyFont="0" applyFill="0" applyBorder="0" applyAlignment="0" applyProtection="0"/>
    <xf numFmtId="0" fontId="3" fillId="0" borderId="0" applyNumberFormat="0" applyFill="0" applyBorder="0" applyAlignment="0" applyProtection="0"/>
  </cellStyleXfs>
  <cellXfs count="134">
    <xf numFmtId="0" fontId="0" fillId="0" borderId="0" xfId="0"/>
    <xf numFmtId="165" fontId="0" fillId="0" borderId="0" xfId="0" applyNumberFormat="1"/>
    <xf numFmtId="0" fontId="8" fillId="6" borderId="4" xfId="0" applyFont="1" applyFill="1" applyBorder="1" applyAlignment="1">
      <alignment horizontal="center" vertical="center"/>
    </xf>
    <xf numFmtId="0" fontId="9" fillId="7" borderId="5" xfId="0" applyFont="1" applyFill="1" applyBorder="1" applyAlignment="1">
      <alignment horizontal="center" vertical="center"/>
    </xf>
    <xf numFmtId="0" fontId="10" fillId="0" borderId="5" xfId="0" applyFont="1" applyBorder="1" applyAlignment="1">
      <alignment horizontal="center" vertical="center"/>
    </xf>
    <xf numFmtId="0" fontId="9" fillId="8" borderId="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3" xfId="0" applyBorder="1" applyAlignment="1">
      <alignment horizontal="center" vertical="center"/>
    </xf>
    <xf numFmtId="165" fontId="12" fillId="0" borderId="2" xfId="0" applyNumberFormat="1" applyFont="1" applyBorder="1" applyAlignment="1">
      <alignment horizontal="center" vertical="center"/>
    </xf>
    <xf numFmtId="9" fontId="0" fillId="0" borderId="3" xfId="0" applyNumberFormat="1" applyBorder="1" applyAlignment="1">
      <alignment horizontal="center" vertical="center"/>
    </xf>
    <xf numFmtId="164" fontId="0" fillId="0" borderId="3" xfId="0" applyNumberFormat="1" applyBorder="1" applyAlignment="1">
      <alignment horizontal="center" vertical="center"/>
    </xf>
    <xf numFmtId="0" fontId="8" fillId="6" borderId="7" xfId="0" applyFont="1" applyFill="1" applyBorder="1" applyAlignment="1">
      <alignment horizontal="center" vertical="center"/>
    </xf>
    <xf numFmtId="0" fontId="9" fillId="7" borderId="8" xfId="0" applyFont="1" applyFill="1" applyBorder="1" applyAlignment="1">
      <alignment horizontal="center" vertical="center"/>
    </xf>
    <xf numFmtId="0" fontId="10" fillId="0" borderId="8" xfId="0" applyFont="1" applyBorder="1" applyAlignment="1">
      <alignment horizontal="center" vertical="center"/>
    </xf>
    <xf numFmtId="0" fontId="9" fillId="8" borderId="8" xfId="0" applyFont="1" applyFill="1" applyBorder="1" applyAlignment="1">
      <alignment horizontal="center" vertical="center"/>
    </xf>
    <xf numFmtId="0" fontId="9" fillId="0" borderId="8" xfId="0" applyFont="1" applyBorder="1" applyAlignment="1">
      <alignment horizontal="center" vertical="center"/>
    </xf>
    <xf numFmtId="0" fontId="10" fillId="8" borderId="8" xfId="0" applyFont="1" applyFill="1" applyBorder="1" applyAlignment="1">
      <alignment horizontal="center" vertical="center"/>
    </xf>
    <xf numFmtId="0" fontId="11" fillId="3" borderId="9" xfId="0" applyFont="1" applyFill="1" applyBorder="1" applyAlignment="1">
      <alignment horizontal="center" vertical="center"/>
    </xf>
    <xf numFmtId="0" fontId="9" fillId="0" borderId="7" xfId="0" applyFont="1" applyBorder="1" applyAlignment="1">
      <alignment horizontal="center" vertical="center"/>
    </xf>
    <xf numFmtId="0" fontId="10" fillId="0" borderId="2" xfId="0" applyFont="1" applyBorder="1" applyAlignment="1">
      <alignment horizontal="center" vertical="center"/>
    </xf>
    <xf numFmtId="0" fontId="9" fillId="8"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10" xfId="0" applyFont="1" applyFill="1" applyBorder="1" applyAlignment="1">
      <alignment horizontal="center" vertical="center"/>
    </xf>
    <xf numFmtId="0" fontId="9" fillId="0" borderId="11" xfId="0" applyFont="1" applyBorder="1" applyAlignment="1">
      <alignment horizontal="center" vertical="center"/>
    </xf>
    <xf numFmtId="0" fontId="11" fillId="3" borderId="12" xfId="0" applyFont="1" applyFill="1" applyBorder="1" applyAlignment="1">
      <alignment horizontal="center" vertical="center"/>
    </xf>
    <xf numFmtId="0" fontId="11" fillId="9" borderId="7" xfId="0" applyFont="1" applyFill="1" applyBorder="1" applyAlignment="1">
      <alignment horizontal="center" vertical="center"/>
    </xf>
    <xf numFmtId="0" fontId="10" fillId="0" borderId="13" xfId="0" applyFont="1" applyBorder="1" applyAlignment="1">
      <alignment horizontal="center" vertical="center"/>
    </xf>
    <xf numFmtId="0" fontId="11" fillId="3" borderId="8" xfId="0" applyFont="1" applyFill="1" applyBorder="1" applyAlignment="1">
      <alignment horizontal="center" vertical="center"/>
    </xf>
    <xf numFmtId="0" fontId="9" fillId="0" borderId="13" xfId="0" applyFont="1" applyBorder="1" applyAlignment="1">
      <alignment horizontal="center"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9" fillId="10" borderId="8" xfId="0" applyFont="1" applyFill="1" applyBorder="1" applyAlignment="1">
      <alignment horizontal="center" vertical="center"/>
    </xf>
    <xf numFmtId="0" fontId="10" fillId="0" borderId="9" xfId="0" applyFont="1" applyBorder="1" applyAlignment="1">
      <alignment horizontal="center" vertical="center"/>
    </xf>
    <xf numFmtId="0" fontId="11" fillId="3" borderId="13" xfId="0" applyFont="1" applyFill="1" applyBorder="1" applyAlignment="1">
      <alignment horizontal="center" vertical="center"/>
    </xf>
    <xf numFmtId="0" fontId="11" fillId="0" borderId="8" xfId="0" applyFont="1" applyBorder="1" applyAlignment="1">
      <alignment horizontal="center" vertical="center" readingOrder="1"/>
    </xf>
    <xf numFmtId="0" fontId="11" fillId="11" borderId="8" xfId="0" applyFont="1" applyFill="1" applyBorder="1" applyAlignment="1">
      <alignment horizontal="center" vertical="center" readingOrder="1"/>
    </xf>
    <xf numFmtId="0" fontId="9" fillId="0" borderId="8" xfId="0" applyFont="1" applyBorder="1" applyAlignment="1">
      <alignment horizontal="center" vertical="center" readingOrder="1"/>
    </xf>
    <xf numFmtId="0" fontId="11" fillId="0" borderId="8" xfId="0" applyFont="1" applyBorder="1" applyAlignment="1">
      <alignment horizontal="center" vertical="center"/>
    </xf>
    <xf numFmtId="0" fontId="9" fillId="0" borderId="12" xfId="0" applyFont="1" applyBorder="1" applyAlignment="1">
      <alignment horizontal="center" vertical="center"/>
    </xf>
    <xf numFmtId="0" fontId="10" fillId="0" borderId="7" xfId="0" applyFont="1" applyBorder="1" applyAlignment="1">
      <alignment horizontal="center" vertical="center"/>
    </xf>
    <xf numFmtId="0" fontId="11" fillId="0" borderId="14" xfId="0" applyFont="1" applyBorder="1" applyAlignment="1">
      <alignment horizontal="center" vertical="center"/>
    </xf>
    <xf numFmtId="0" fontId="10" fillId="0" borderId="14" xfId="0" applyFont="1" applyBorder="1" applyAlignment="1">
      <alignment horizontal="center" vertical="center"/>
    </xf>
    <xf numFmtId="0" fontId="11" fillId="0" borderId="9" xfId="0" applyFont="1" applyBorder="1" applyAlignment="1">
      <alignment horizontal="center" vertical="center"/>
    </xf>
    <xf numFmtId="0" fontId="8" fillId="6" borderId="9" xfId="0" applyFont="1" applyFill="1" applyBorder="1" applyAlignment="1">
      <alignment horizontal="center" vertical="center"/>
    </xf>
    <xf numFmtId="0" fontId="8" fillId="6" borderId="2" xfId="0" applyFont="1" applyFill="1" applyBorder="1" applyAlignment="1">
      <alignment horizontal="center" vertical="center"/>
    </xf>
    <xf numFmtId="0" fontId="15" fillId="0" borderId="9" xfId="0" applyFont="1" applyBorder="1" applyAlignment="1">
      <alignment horizontal="center" vertical="center"/>
    </xf>
    <xf numFmtId="0" fontId="11" fillId="3" borderId="15" xfId="0" applyFont="1" applyFill="1" applyBorder="1" applyAlignment="1">
      <alignment horizontal="center" vertical="center"/>
    </xf>
    <xf numFmtId="0" fontId="11" fillId="3" borderId="4" xfId="0" applyFont="1" applyFill="1" applyBorder="1" applyAlignment="1">
      <alignment horizontal="center" vertical="center"/>
    </xf>
    <xf numFmtId="0" fontId="16" fillId="0" borderId="9" xfId="0" applyFont="1" applyBorder="1" applyAlignment="1">
      <alignment horizontal="center" vertical="center"/>
    </xf>
    <xf numFmtId="0" fontId="18" fillId="10" borderId="8"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7" xfId="0" applyFont="1" applyFill="1" applyBorder="1" applyAlignment="1">
      <alignment horizontal="center" vertical="center"/>
    </xf>
    <xf numFmtId="0" fontId="11" fillId="0" borderId="13" xfId="0" applyFont="1" applyBorder="1" applyAlignment="1">
      <alignment horizontal="center" vertical="center"/>
    </xf>
    <xf numFmtId="0" fontId="11" fillId="3" borderId="2" xfId="0" applyFont="1" applyFill="1" applyBorder="1" applyAlignment="1">
      <alignment horizontal="center" vertical="center"/>
    </xf>
    <xf numFmtId="0" fontId="8" fillId="6" borderId="17" xfId="0" applyFont="1" applyFill="1" applyBorder="1" applyAlignment="1">
      <alignment horizontal="center" vertical="center"/>
    </xf>
    <xf numFmtId="0" fontId="10" fillId="0" borderId="18" xfId="0" applyFont="1" applyBorder="1" applyAlignment="1">
      <alignment horizontal="center" vertical="center"/>
    </xf>
    <xf numFmtId="0" fontId="18" fillId="10" borderId="5" xfId="0" applyFont="1" applyFill="1" applyBorder="1" applyAlignment="1">
      <alignment horizontal="center" vertical="center"/>
    </xf>
    <xf numFmtId="0" fontId="10" fillId="0" borderId="19" xfId="0" applyFont="1" applyBorder="1" applyAlignment="1">
      <alignment horizontal="center" vertical="center"/>
    </xf>
    <xf numFmtId="0" fontId="11" fillId="0" borderId="20" xfId="0" applyFont="1" applyBorder="1" applyAlignment="1">
      <alignment horizontal="center" vertical="center"/>
    </xf>
    <xf numFmtId="0" fontId="0" fillId="0" borderId="2" xfId="0" applyBorder="1" applyAlignment="1">
      <alignment horizontal="center" vertical="center"/>
    </xf>
    <xf numFmtId="165"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19" fillId="0" borderId="0" xfId="0" applyFont="1" applyAlignment="1">
      <alignment vertical="center"/>
    </xf>
    <xf numFmtId="166" fontId="0" fillId="0" borderId="0" xfId="1" applyFont="1" applyAlignment="1"/>
    <xf numFmtId="0" fontId="0" fillId="0" borderId="0" xfId="0" applyAlignment="1">
      <alignment vertical="center"/>
    </xf>
    <xf numFmtId="166" fontId="0" fillId="0" borderId="0" xfId="0" applyNumberFormat="1"/>
    <xf numFmtId="0" fontId="20" fillId="0" borderId="0" xfId="0" applyFont="1" applyAlignment="1">
      <alignment vertical="center"/>
    </xf>
    <xf numFmtId="0" fontId="19" fillId="0" borderId="0" xfId="0" applyFont="1"/>
    <xf numFmtId="0" fontId="3" fillId="0" borderId="0" xfId="2" applyAlignment="1"/>
    <xf numFmtId="0" fontId="0" fillId="0" borderId="8" xfId="0" applyBorder="1"/>
    <xf numFmtId="164" fontId="0" fillId="0" borderId="22" xfId="0" applyNumberFormat="1" applyBorder="1" applyAlignment="1">
      <alignment horizontal="center" vertical="center"/>
    </xf>
    <xf numFmtId="164" fontId="0" fillId="0" borderId="17" xfId="0" applyNumberFormat="1" applyBorder="1" applyAlignment="1">
      <alignment horizontal="center" vertical="center"/>
    </xf>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165" fontId="7" fillId="3" borderId="2"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167" fontId="5" fillId="5" borderId="22" xfId="0" applyNumberFormat="1" applyFont="1" applyFill="1" applyBorder="1" applyAlignment="1">
      <alignment horizontal="center" vertical="center" wrapText="1"/>
    </xf>
    <xf numFmtId="0" fontId="2" fillId="4" borderId="8" xfId="0" applyFont="1" applyFill="1" applyBorder="1" applyAlignment="1">
      <alignment wrapText="1"/>
    </xf>
    <xf numFmtId="0" fontId="0" fillId="0" borderId="0" xfId="0" applyAlignment="1">
      <alignment wrapText="1"/>
    </xf>
    <xf numFmtId="3" fontId="23" fillId="4" borderId="0" xfId="0" applyNumberFormat="1" applyFont="1" applyFill="1"/>
    <xf numFmtId="0" fontId="0" fillId="12" borderId="8" xfId="0" applyFill="1" applyBorder="1"/>
    <xf numFmtId="0" fontId="0" fillId="13" borderId="3" xfId="0" applyFill="1" applyBorder="1" applyAlignment="1">
      <alignment horizontal="center" vertical="center"/>
    </xf>
    <xf numFmtId="0" fontId="24" fillId="0" borderId="3" xfId="0" applyFont="1" applyBorder="1" applyAlignment="1">
      <alignment horizontal="center" vertical="center"/>
    </xf>
    <xf numFmtId="0" fontId="9" fillId="8"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4" borderId="8" xfId="0" applyFont="1" applyFill="1" applyBorder="1" applyAlignment="1">
      <alignment horizontal="center" vertical="center"/>
    </xf>
    <xf numFmtId="0" fontId="10" fillId="4" borderId="8" xfId="0" applyFont="1" applyFill="1" applyBorder="1" applyAlignment="1">
      <alignment horizontal="center" vertical="center"/>
    </xf>
    <xf numFmtId="0" fontId="9" fillId="4" borderId="8" xfId="0" applyFont="1" applyFill="1" applyBorder="1" applyAlignment="1">
      <alignment horizontal="center" vertical="center" wrapText="1"/>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xf>
    <xf numFmtId="0" fontId="0" fillId="4" borderId="3" xfId="0" applyFill="1" applyBorder="1" applyAlignment="1">
      <alignment horizontal="center" vertical="center"/>
    </xf>
    <xf numFmtId="165" fontId="12" fillId="4" borderId="2" xfId="0" applyNumberFormat="1" applyFont="1" applyFill="1" applyBorder="1" applyAlignment="1">
      <alignment horizontal="center" vertical="center"/>
    </xf>
    <xf numFmtId="9" fontId="0" fillId="4" borderId="3" xfId="0" applyNumberFormat="1" applyFill="1" applyBorder="1" applyAlignment="1">
      <alignment horizontal="center" vertical="center"/>
    </xf>
    <xf numFmtId="164" fontId="0" fillId="4" borderId="3" xfId="0" applyNumberFormat="1" applyFill="1" applyBorder="1" applyAlignment="1">
      <alignment horizontal="center" vertical="center"/>
    </xf>
    <xf numFmtId="164" fontId="0" fillId="4" borderId="22" xfId="0" applyNumberFormat="1" applyFill="1" applyBorder="1" applyAlignment="1">
      <alignment horizontal="center" vertical="center"/>
    </xf>
    <xf numFmtId="0" fontId="0" fillId="4" borderId="8" xfId="0" applyFill="1" applyBorder="1"/>
    <xf numFmtId="0" fontId="8" fillId="4" borderId="2"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13" xfId="0" applyFont="1" applyFill="1" applyBorder="1" applyAlignment="1">
      <alignment horizontal="center" vertical="center"/>
    </xf>
    <xf numFmtId="0" fontId="10" fillId="0" borderId="14" xfId="0" applyFont="1" applyBorder="1" applyAlignment="1">
      <alignment horizontal="center" vertical="center" wrapText="1"/>
    </xf>
    <xf numFmtId="0" fontId="11" fillId="0" borderId="9" xfId="0" applyFont="1" applyBorder="1" applyAlignment="1">
      <alignment horizontal="center" vertical="center" wrapText="1"/>
    </xf>
    <xf numFmtId="0" fontId="0" fillId="14" borderId="8" xfId="0" applyFill="1" applyBorder="1"/>
    <xf numFmtId="0" fontId="0" fillId="10" borderId="8" xfId="0" applyFill="1" applyBorder="1"/>
    <xf numFmtId="0" fontId="0" fillId="10" borderId="0" xfId="0" applyFill="1"/>
    <xf numFmtId="164" fontId="0" fillId="0" borderId="0" xfId="0" applyNumberFormat="1"/>
    <xf numFmtId="0" fontId="8" fillId="10" borderId="7" xfId="0" applyFont="1" applyFill="1" applyBorder="1" applyAlignment="1">
      <alignment horizontal="center" vertical="center"/>
    </xf>
    <xf numFmtId="0" fontId="9" fillId="10" borderId="8" xfId="0" applyFont="1" applyFill="1" applyBorder="1" applyAlignment="1">
      <alignment horizontal="center" vertical="center" wrapText="1"/>
    </xf>
    <xf numFmtId="0" fontId="11" fillId="10" borderId="6" xfId="0" applyFont="1" applyFill="1" applyBorder="1" applyAlignment="1">
      <alignment horizontal="center" vertical="center"/>
    </xf>
    <xf numFmtId="0" fontId="11" fillId="10" borderId="7" xfId="0" applyFont="1" applyFill="1" applyBorder="1" applyAlignment="1">
      <alignment horizontal="center" vertical="center"/>
    </xf>
    <xf numFmtId="0" fontId="0" fillId="10" borderId="3" xfId="0" applyFill="1" applyBorder="1" applyAlignment="1">
      <alignment horizontal="center" vertical="center"/>
    </xf>
    <xf numFmtId="165" fontId="12" fillId="10" borderId="2" xfId="0" applyNumberFormat="1" applyFont="1" applyFill="1" applyBorder="1" applyAlignment="1">
      <alignment horizontal="center" vertical="center"/>
    </xf>
    <xf numFmtId="9" fontId="0" fillId="10" borderId="3" xfId="0" applyNumberFormat="1" applyFill="1" applyBorder="1" applyAlignment="1">
      <alignment horizontal="center" vertical="center"/>
    </xf>
    <xf numFmtId="164" fontId="0" fillId="10" borderId="3" xfId="0" applyNumberFormat="1" applyFill="1" applyBorder="1" applyAlignment="1">
      <alignment horizontal="center" vertical="center"/>
    </xf>
    <xf numFmtId="164" fontId="0" fillId="10" borderId="22" xfId="0" applyNumberFormat="1" applyFill="1" applyBorder="1" applyAlignment="1">
      <alignment horizontal="center" vertical="center"/>
    </xf>
    <xf numFmtId="0" fontId="10" fillId="10" borderId="8" xfId="0" applyFont="1" applyFill="1" applyBorder="1" applyAlignment="1">
      <alignment horizontal="center" vertical="center"/>
    </xf>
    <xf numFmtId="16" fontId="0" fillId="10" borderId="0" xfId="0" applyNumberFormat="1" applyFill="1"/>
    <xf numFmtId="0" fontId="8" fillId="0" borderId="7"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16" fontId="0" fillId="0" borderId="0" xfId="0" applyNumberFormat="1"/>
    <xf numFmtId="0" fontId="9" fillId="4" borderId="9" xfId="0" applyFont="1" applyFill="1" applyBorder="1" applyAlignment="1">
      <alignment horizontal="center" vertical="center"/>
    </xf>
    <xf numFmtId="0" fontId="0" fillId="4" borderId="8" xfId="0" applyFill="1" applyBorder="1" applyAlignment="1">
      <alignment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4" fillId="0" borderId="2" xfId="0" applyFont="1" applyBorder="1" applyAlignment="1">
      <alignment horizontal="left" vertical="top"/>
    </xf>
    <xf numFmtId="0" fontId="2" fillId="0" borderId="2" xfId="0" applyFont="1" applyBorder="1" applyAlignment="1">
      <alignment horizontal="left" vertical="top"/>
    </xf>
    <xf numFmtId="0" fontId="8" fillId="6" borderId="17" xfId="0" applyFont="1" applyFill="1" applyBorder="1" applyAlignment="1">
      <alignment horizontal="center" vertical="center"/>
    </xf>
    <xf numFmtId="0" fontId="8" fillId="6" borderId="21" xfId="0" applyFont="1" applyFill="1" applyBorder="1" applyAlignment="1">
      <alignment horizontal="center" vertical="center"/>
    </xf>
    <xf numFmtId="0" fontId="8" fillId="6" borderId="16" xfId="0" applyFont="1" applyFill="1" applyBorder="1" applyAlignment="1">
      <alignment horizontal="center" vertical="center"/>
    </xf>
    <xf numFmtId="0" fontId="3" fillId="0" borderId="2" xfId="2" applyBorder="1" applyAlignment="1">
      <alignment horizontal="left" vertical="top"/>
    </xf>
  </cellXfs>
  <cellStyles count="3">
    <cellStyle name="Lien hypertexte" xfId="2" builtinId="8"/>
    <cellStyle name="Monétaire" xfId="1" builtinId="4"/>
    <cellStyle name="Normal" xfId="0" builtinId="0"/>
  </cellStyles>
  <dxfs count="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244</xdr:row>
      <xdr:rowOff>0</xdr:rowOff>
    </xdr:from>
    <xdr:to>
      <xdr:col>2</xdr:col>
      <xdr:colOff>904875</xdr:colOff>
      <xdr:row>247</xdr:row>
      <xdr:rowOff>50165</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46491525"/>
          <a:ext cx="1485900" cy="621665"/>
        </a:xfrm>
        <a:prstGeom prst="rect">
          <a:avLst/>
        </a:prstGeom>
        <a:noFill/>
      </xdr:spPr>
    </xdr:pic>
    <xdr:clientData/>
  </xdr:twoCellAnchor>
  <xdr:twoCellAnchor editAs="oneCell">
    <xdr:from>
      <xdr:col>0</xdr:col>
      <xdr:colOff>0</xdr:colOff>
      <xdr:row>0</xdr:row>
      <xdr:rowOff>76200</xdr:rowOff>
    </xdr:from>
    <xdr:to>
      <xdr:col>2</xdr:col>
      <xdr:colOff>1438275</xdr:colOff>
      <xdr:row>2</xdr:row>
      <xdr:rowOff>9525</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76200"/>
          <a:ext cx="2724150" cy="6000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AYBE@UNE.NET.CO" TargetMode="External"/><Relationship Id="rId1" Type="http://schemas.openxmlformats.org/officeDocument/2006/relationships/hyperlink" Target="mailto:MAYBESUMINISTROS@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
  <sheetViews>
    <sheetView tabSelected="1" topLeftCell="A9" zoomScale="110" zoomScaleNormal="110" workbookViewId="0">
      <pane ySplit="4" topLeftCell="A70" activePane="bottomLeft" state="frozen"/>
      <selection pane="bottomLeft" activeCell="C152" sqref="C152"/>
    </sheetView>
  </sheetViews>
  <sheetFormatPr defaultColWidth="11.42578125" defaultRowHeight="15"/>
  <cols>
    <col min="1" max="1" width="8.28515625" customWidth="1"/>
    <col min="2" max="2" width="8.7109375" customWidth="1"/>
    <col min="3" max="3" width="61" customWidth="1"/>
    <col min="4" max="4" width="34.140625" customWidth="1"/>
    <col min="5" max="5" width="10.5703125" customWidth="1"/>
    <col min="6" max="6" width="12.5703125" customWidth="1"/>
    <col min="7" max="7" width="14.85546875" customWidth="1"/>
    <col min="8" max="8" width="15.7109375" style="1" customWidth="1"/>
    <col min="9" max="9" width="9.140625" customWidth="1"/>
    <col min="10" max="10" width="13.5703125" customWidth="1"/>
    <col min="11" max="11" width="13.28515625" customWidth="1"/>
    <col min="12" max="12" width="25.42578125" customWidth="1"/>
    <col min="13" max="13" width="12" bestFit="1" customWidth="1"/>
  </cols>
  <sheetData>
    <row r="1" spans="1:13" ht="37.5" customHeight="1"/>
    <row r="2" spans="1:13">
      <c r="A2" s="126" t="s">
        <v>0</v>
      </c>
      <c r="B2" s="126"/>
      <c r="C2" s="126"/>
      <c r="D2" s="126"/>
      <c r="E2" s="126"/>
      <c r="F2" s="126"/>
      <c r="G2" s="126"/>
    </row>
    <row r="3" spans="1:13">
      <c r="A3" s="127" t="s">
        <v>1</v>
      </c>
      <c r="B3" s="127"/>
      <c r="C3" s="127"/>
      <c r="D3" s="127"/>
      <c r="E3" s="127"/>
      <c r="F3" s="127"/>
      <c r="G3" s="127"/>
    </row>
    <row r="4" spans="1:13">
      <c r="A4" s="128" t="s">
        <v>2</v>
      </c>
      <c r="B4" s="128"/>
      <c r="C4" s="129" t="s">
        <v>3</v>
      </c>
      <c r="D4" s="129"/>
      <c r="E4" s="129"/>
      <c r="F4" s="129"/>
      <c r="G4" s="129"/>
    </row>
    <row r="5" spans="1:13">
      <c r="A5" s="128" t="s">
        <v>4</v>
      </c>
      <c r="B5" s="128"/>
      <c r="C5" s="129" t="s">
        <v>5</v>
      </c>
      <c r="D5" s="129"/>
      <c r="E5" s="129"/>
      <c r="F5" s="129"/>
      <c r="G5" s="129"/>
    </row>
    <row r="6" spans="1:13">
      <c r="A6" s="128" t="s">
        <v>6</v>
      </c>
      <c r="B6" s="128"/>
      <c r="C6" s="129" t="s">
        <v>7</v>
      </c>
      <c r="D6" s="129"/>
      <c r="E6" s="129"/>
      <c r="F6" s="129"/>
      <c r="G6" s="129"/>
    </row>
    <row r="7" spans="1:13">
      <c r="A7" s="128" t="s">
        <v>8</v>
      </c>
      <c r="B7" s="128"/>
      <c r="C7" s="133" t="s">
        <v>9</v>
      </c>
      <c r="D7" s="129"/>
      <c r="E7" s="129"/>
      <c r="F7" s="129"/>
      <c r="G7" s="129"/>
    </row>
    <row r="8" spans="1:13">
      <c r="A8" s="128" t="s">
        <v>10</v>
      </c>
      <c r="B8" s="128"/>
      <c r="C8" s="129" t="s">
        <v>11</v>
      </c>
      <c r="D8" s="129"/>
      <c r="E8" s="129"/>
      <c r="F8" s="129"/>
      <c r="G8" s="129"/>
    </row>
    <row r="9" spans="1:13" ht="30.75" customHeight="1">
      <c r="A9" s="128" t="s">
        <v>12</v>
      </c>
      <c r="B9" s="128"/>
      <c r="C9" s="129" t="s">
        <v>13</v>
      </c>
      <c r="D9" s="129"/>
      <c r="E9" s="129"/>
      <c r="F9" s="129"/>
      <c r="G9" s="129"/>
    </row>
    <row r="12" spans="1:13" s="81" customFormat="1" ht="30.75">
      <c r="A12" s="73" t="s">
        <v>14</v>
      </c>
      <c r="B12" s="74" t="s">
        <v>15</v>
      </c>
      <c r="C12" s="74" t="s">
        <v>16</v>
      </c>
      <c r="D12" s="74" t="s">
        <v>17</v>
      </c>
      <c r="E12" s="75" t="s">
        <v>18</v>
      </c>
      <c r="F12" s="75" t="s">
        <v>19</v>
      </c>
      <c r="G12" s="74" t="s">
        <v>20</v>
      </c>
      <c r="H12" s="76" t="s">
        <v>21</v>
      </c>
      <c r="I12" s="77" t="s">
        <v>22</v>
      </c>
      <c r="J12" s="78" t="s">
        <v>23</v>
      </c>
      <c r="K12" s="79" t="s">
        <v>24</v>
      </c>
      <c r="L12" s="80" t="s">
        <v>25</v>
      </c>
    </row>
    <row r="13" spans="1:13">
      <c r="A13" s="2">
        <v>1</v>
      </c>
      <c r="B13" s="3">
        <v>11162306</v>
      </c>
      <c r="C13" s="4" t="s">
        <v>26</v>
      </c>
      <c r="D13" s="5" t="s">
        <v>27</v>
      </c>
      <c r="E13" s="6" t="s">
        <v>28</v>
      </c>
      <c r="F13" s="7" t="s">
        <v>29</v>
      </c>
      <c r="G13" s="85">
        <v>569</v>
      </c>
      <c r="H13" s="9">
        <v>308.3596</v>
      </c>
      <c r="I13" s="10">
        <v>0.19</v>
      </c>
      <c r="J13" s="11">
        <f>H13*1.19</f>
        <v>366.947924</v>
      </c>
      <c r="K13" s="71">
        <f t="shared" ref="K13:K76" si="0">J13*G13</f>
        <v>208793.36875600001</v>
      </c>
      <c r="L13" s="106"/>
      <c r="M13" s="83" t="s">
        <v>30</v>
      </c>
    </row>
    <row r="14" spans="1:13">
      <c r="A14" s="12">
        <v>2</v>
      </c>
      <c r="B14" s="13">
        <v>11131508</v>
      </c>
      <c r="C14" s="14" t="s">
        <v>31</v>
      </c>
      <c r="D14" s="15" t="s">
        <v>32</v>
      </c>
      <c r="E14" s="6" t="s">
        <v>33</v>
      </c>
      <c r="F14" s="7" t="s">
        <v>29</v>
      </c>
      <c r="G14" s="85">
        <v>7945</v>
      </c>
      <c r="H14" s="9">
        <v>1960.0863999999999</v>
      </c>
      <c r="I14" s="10">
        <v>0.19</v>
      </c>
      <c r="J14" s="11">
        <f t="shared" ref="J14:J77" si="1">H14*1.19</f>
        <v>2332.5028159999997</v>
      </c>
      <c r="K14" s="71">
        <f t="shared" si="0"/>
        <v>18531734.873119999</v>
      </c>
      <c r="L14" s="105"/>
    </row>
    <row r="15" spans="1:13">
      <c r="A15" s="12">
        <v>3</v>
      </c>
      <c r="B15" s="13">
        <v>11162300</v>
      </c>
      <c r="C15" s="16" t="s">
        <v>34</v>
      </c>
      <c r="D15" s="13" t="s">
        <v>35</v>
      </c>
      <c r="E15" s="6" t="s">
        <v>28</v>
      </c>
      <c r="F15" s="7" t="s">
        <v>29</v>
      </c>
      <c r="G15" s="8">
        <v>400</v>
      </c>
      <c r="H15" s="9">
        <v>417.35680000000002</v>
      </c>
      <c r="I15" s="10">
        <v>0.19</v>
      </c>
      <c r="J15" s="11">
        <f t="shared" si="1"/>
        <v>496.65459199999998</v>
      </c>
      <c r="K15" s="71">
        <f t="shared" si="0"/>
        <v>198661.83679999999</v>
      </c>
      <c r="L15" s="105"/>
    </row>
    <row r="16" spans="1:13">
      <c r="A16" s="12">
        <v>4</v>
      </c>
      <c r="B16" s="13">
        <v>11162300</v>
      </c>
      <c r="C16" s="16" t="s">
        <v>36</v>
      </c>
      <c r="D16" s="13" t="s">
        <v>37</v>
      </c>
      <c r="E16" s="6" t="s">
        <v>28</v>
      </c>
      <c r="F16" s="7" t="s">
        <v>29</v>
      </c>
      <c r="G16" s="85">
        <v>11920</v>
      </c>
      <c r="H16" s="9">
        <v>667.95720000000006</v>
      </c>
      <c r="I16" s="10">
        <v>0.19</v>
      </c>
      <c r="J16" s="11">
        <f t="shared" si="1"/>
        <v>794.86906800000008</v>
      </c>
      <c r="K16" s="71">
        <f t="shared" si="0"/>
        <v>9474839.2905600015</v>
      </c>
      <c r="L16" s="105"/>
    </row>
    <row r="17" spans="1:12">
      <c r="A17" s="12">
        <v>5</v>
      </c>
      <c r="B17" s="13">
        <v>11131508</v>
      </c>
      <c r="C17" s="16" t="s">
        <v>38</v>
      </c>
      <c r="D17" s="13" t="s">
        <v>39</v>
      </c>
      <c r="E17" s="6" t="s">
        <v>28</v>
      </c>
      <c r="F17" s="7" t="s">
        <v>29</v>
      </c>
      <c r="G17" s="8">
        <v>1200</v>
      </c>
      <c r="H17" s="9">
        <v>980.04319999999996</v>
      </c>
      <c r="I17" s="10">
        <v>0.19</v>
      </c>
      <c r="J17" s="11">
        <f t="shared" si="1"/>
        <v>1166.2514079999999</v>
      </c>
      <c r="K17" s="71">
        <f t="shared" si="0"/>
        <v>1399501.6895999999</v>
      </c>
      <c r="L17" s="70"/>
    </row>
    <row r="18" spans="1:12">
      <c r="A18" s="12">
        <v>6</v>
      </c>
      <c r="B18" s="13">
        <v>11162305</v>
      </c>
      <c r="C18" s="16" t="s">
        <v>40</v>
      </c>
      <c r="D18" s="13" t="s">
        <v>41</v>
      </c>
      <c r="E18" s="6" t="s">
        <v>28</v>
      </c>
      <c r="F18" s="7" t="s">
        <v>29</v>
      </c>
      <c r="G18" s="85">
        <v>1517</v>
      </c>
      <c r="H18" s="9">
        <v>320.47039999999998</v>
      </c>
      <c r="I18" s="10">
        <v>0.19</v>
      </c>
      <c r="J18" s="11">
        <f t="shared" si="1"/>
        <v>381.35977599999995</v>
      </c>
      <c r="K18" s="71">
        <f t="shared" si="0"/>
        <v>578522.78019199998</v>
      </c>
      <c r="L18" s="105"/>
    </row>
    <row r="19" spans="1:12" ht="15" customHeight="1">
      <c r="A19" s="12">
        <v>7</v>
      </c>
      <c r="B19" s="13">
        <v>11162305</v>
      </c>
      <c r="C19" s="16" t="s">
        <v>42</v>
      </c>
      <c r="D19" s="13" t="s">
        <v>43</v>
      </c>
      <c r="E19" s="6" t="s">
        <v>28</v>
      </c>
      <c r="F19" s="7" t="s">
        <v>29</v>
      </c>
      <c r="G19" s="8">
        <v>800</v>
      </c>
      <c r="H19" s="9">
        <v>385.68239999999997</v>
      </c>
      <c r="I19" s="10">
        <v>0.19</v>
      </c>
      <c r="J19" s="11">
        <f t="shared" si="1"/>
        <v>458.96205599999996</v>
      </c>
      <c r="K19" s="71">
        <f t="shared" si="0"/>
        <v>367169.64479999995</v>
      </c>
      <c r="L19" s="106"/>
    </row>
    <row r="20" spans="1:12">
      <c r="A20" s="12">
        <v>8</v>
      </c>
      <c r="B20" s="13">
        <v>11162305</v>
      </c>
      <c r="C20" s="16" t="s">
        <v>44</v>
      </c>
      <c r="D20" s="13" t="s">
        <v>45</v>
      </c>
      <c r="E20" s="6" t="s">
        <v>28</v>
      </c>
      <c r="F20" s="7" t="s">
        <v>29</v>
      </c>
      <c r="G20" s="8">
        <v>800</v>
      </c>
      <c r="H20" s="9">
        <v>552.43880000000001</v>
      </c>
      <c r="I20" s="10">
        <v>0.19</v>
      </c>
      <c r="J20" s="11">
        <f t="shared" si="1"/>
        <v>657.40217199999995</v>
      </c>
      <c r="K20" s="71">
        <f t="shared" si="0"/>
        <v>525921.73759999999</v>
      </c>
      <c r="L20" s="106"/>
    </row>
    <row r="21" spans="1:12">
      <c r="A21" s="12">
        <v>9</v>
      </c>
      <c r="B21" s="13">
        <v>11162305</v>
      </c>
      <c r="C21" s="16" t="s">
        <v>46</v>
      </c>
      <c r="D21" s="13" t="s">
        <v>47</v>
      </c>
      <c r="E21" s="6" t="s">
        <v>28</v>
      </c>
      <c r="F21" s="7" t="s">
        <v>29</v>
      </c>
      <c r="G21" s="8">
        <v>12000</v>
      </c>
      <c r="H21" s="9">
        <v>610.19799999999998</v>
      </c>
      <c r="I21" s="10">
        <v>0.19</v>
      </c>
      <c r="J21" s="11">
        <f t="shared" si="1"/>
        <v>726.1356199999999</v>
      </c>
      <c r="K21" s="71">
        <f t="shared" si="0"/>
        <v>8713627.4399999995</v>
      </c>
      <c r="L21" s="106"/>
    </row>
    <row r="22" spans="1:12">
      <c r="A22" s="12">
        <v>10</v>
      </c>
      <c r="B22" s="13">
        <v>11162304</v>
      </c>
      <c r="C22" s="16" t="s">
        <v>48</v>
      </c>
      <c r="D22" s="15" t="s">
        <v>49</v>
      </c>
      <c r="E22" s="6" t="s">
        <v>28</v>
      </c>
      <c r="F22" s="7" t="s">
        <v>29</v>
      </c>
      <c r="G22" s="8">
        <v>300</v>
      </c>
      <c r="H22" s="9">
        <v>882.22519999999997</v>
      </c>
      <c r="I22" s="10">
        <v>0.19</v>
      </c>
      <c r="J22" s="11">
        <f t="shared" si="1"/>
        <v>1049.847988</v>
      </c>
      <c r="K22" s="71">
        <f t="shared" si="0"/>
        <v>314954.39639999997</v>
      </c>
      <c r="L22" s="106"/>
    </row>
    <row r="23" spans="1:12">
      <c r="A23" s="12">
        <v>11</v>
      </c>
      <c r="B23" s="13">
        <v>11131508</v>
      </c>
      <c r="C23" s="16" t="s">
        <v>50</v>
      </c>
      <c r="D23" s="15" t="s">
        <v>51</v>
      </c>
      <c r="E23" s="6" t="s">
        <v>28</v>
      </c>
      <c r="F23" s="7" t="s">
        <v>29</v>
      </c>
      <c r="G23" s="8">
        <v>10000</v>
      </c>
      <c r="H23" s="9">
        <v>965.13760000000002</v>
      </c>
      <c r="I23" s="10">
        <v>0.19</v>
      </c>
      <c r="J23" s="11">
        <f t="shared" si="1"/>
        <v>1148.5137439999999</v>
      </c>
      <c r="K23" s="71">
        <f t="shared" si="0"/>
        <v>11485137.439999999</v>
      </c>
      <c r="L23" s="106"/>
    </row>
    <row r="24" spans="1:12">
      <c r="A24" s="12">
        <v>12</v>
      </c>
      <c r="B24" s="13">
        <v>11161703</v>
      </c>
      <c r="C24" s="14" t="s">
        <v>52</v>
      </c>
      <c r="D24" s="15" t="s">
        <v>53</v>
      </c>
      <c r="E24" s="6" t="s">
        <v>54</v>
      </c>
      <c r="F24" s="7" t="s">
        <v>55</v>
      </c>
      <c r="G24" s="8">
        <v>200</v>
      </c>
      <c r="H24" s="9">
        <v>15460.8336</v>
      </c>
      <c r="I24" s="10">
        <v>0.19</v>
      </c>
      <c r="J24" s="11">
        <f t="shared" si="1"/>
        <v>18398.391983999998</v>
      </c>
      <c r="K24" s="71">
        <f t="shared" si="0"/>
        <v>3679678.3967999998</v>
      </c>
      <c r="L24" s="106"/>
    </row>
    <row r="25" spans="1:12">
      <c r="A25" s="12">
        <v>13</v>
      </c>
      <c r="B25" s="17">
        <v>11161802</v>
      </c>
      <c r="C25" s="14" t="s">
        <v>56</v>
      </c>
      <c r="D25" s="15" t="s">
        <v>57</v>
      </c>
      <c r="E25" s="6" t="s">
        <v>54</v>
      </c>
      <c r="F25" s="7" t="s">
        <v>55</v>
      </c>
      <c r="G25" s="8">
        <v>200</v>
      </c>
      <c r="H25" s="9">
        <v>6262.2151999999996</v>
      </c>
      <c r="I25" s="10">
        <v>0.19</v>
      </c>
      <c r="J25" s="11">
        <f t="shared" si="1"/>
        <v>7452.0360879999989</v>
      </c>
      <c r="K25" s="71">
        <f t="shared" si="0"/>
        <v>1490407.2175999999</v>
      </c>
      <c r="L25" s="106"/>
    </row>
    <row r="26" spans="1:12">
      <c r="A26" s="12">
        <v>14</v>
      </c>
      <c r="B26" s="13">
        <v>11162112</v>
      </c>
      <c r="C26" s="16" t="s">
        <v>58</v>
      </c>
      <c r="D26" s="15" t="s">
        <v>59</v>
      </c>
      <c r="E26" s="6" t="s">
        <v>54</v>
      </c>
      <c r="F26" s="7" t="s">
        <v>55</v>
      </c>
      <c r="G26" s="8">
        <v>150</v>
      </c>
      <c r="H26" s="9">
        <v>4565.7716</v>
      </c>
      <c r="I26" s="10">
        <v>0.19</v>
      </c>
      <c r="J26" s="11">
        <f t="shared" si="1"/>
        <v>5433.268204</v>
      </c>
      <c r="K26" s="71">
        <f t="shared" si="0"/>
        <v>814990.23060000001</v>
      </c>
      <c r="L26" s="106"/>
    </row>
    <row r="27" spans="1:12">
      <c r="A27" s="12">
        <v>15</v>
      </c>
      <c r="B27" s="13">
        <v>11162112</v>
      </c>
      <c r="C27" s="16" t="s">
        <v>60</v>
      </c>
      <c r="D27" s="15" t="s">
        <v>61</v>
      </c>
      <c r="E27" s="6" t="s">
        <v>54</v>
      </c>
      <c r="F27" s="7" t="s">
        <v>55</v>
      </c>
      <c r="G27" s="8">
        <v>150</v>
      </c>
      <c r="H27" s="9">
        <v>5165.7219999999998</v>
      </c>
      <c r="I27" s="10">
        <v>0.19</v>
      </c>
      <c r="J27" s="11">
        <f t="shared" si="1"/>
        <v>6147.2091799999998</v>
      </c>
      <c r="K27" s="71">
        <f t="shared" si="0"/>
        <v>922081.37699999998</v>
      </c>
      <c r="L27" s="106"/>
    </row>
    <row r="28" spans="1:12">
      <c r="A28" s="12">
        <v>16</v>
      </c>
      <c r="B28" s="13">
        <v>11161804</v>
      </c>
      <c r="C28" s="16" t="s">
        <v>62</v>
      </c>
      <c r="D28" s="15" t="s">
        <v>63</v>
      </c>
      <c r="E28" s="6" t="s">
        <v>54</v>
      </c>
      <c r="F28" s="7" t="s">
        <v>55</v>
      </c>
      <c r="G28" s="8">
        <v>200</v>
      </c>
      <c r="H28" s="9">
        <v>3561.5068000000001</v>
      </c>
      <c r="I28" s="10">
        <v>0.19</v>
      </c>
      <c r="J28" s="11">
        <f t="shared" si="1"/>
        <v>4238.1930919999995</v>
      </c>
      <c r="K28" s="71">
        <f t="shared" si="0"/>
        <v>847638.61839999992</v>
      </c>
      <c r="L28" s="106"/>
    </row>
    <row r="29" spans="1:12">
      <c r="A29" s="12">
        <v>17</v>
      </c>
      <c r="B29" s="13">
        <v>11161805</v>
      </c>
      <c r="C29" s="16" t="s">
        <v>64</v>
      </c>
      <c r="D29" s="15" t="s">
        <v>65</v>
      </c>
      <c r="E29" s="6" t="s">
        <v>54</v>
      </c>
      <c r="F29" s="7" t="s">
        <v>55</v>
      </c>
      <c r="G29" s="8">
        <v>30</v>
      </c>
      <c r="H29" s="9">
        <v>15539.088</v>
      </c>
      <c r="I29" s="10">
        <v>0.19</v>
      </c>
      <c r="J29" s="11">
        <f t="shared" si="1"/>
        <v>18491.514719999999</v>
      </c>
      <c r="K29" s="71">
        <f t="shared" si="0"/>
        <v>554745.44160000002</v>
      </c>
      <c r="L29" s="106"/>
    </row>
    <row r="30" spans="1:12">
      <c r="A30" s="12">
        <v>18</v>
      </c>
      <c r="B30" s="13">
        <v>11162307</v>
      </c>
      <c r="C30" s="14" t="s">
        <v>66</v>
      </c>
      <c r="D30" s="15" t="s">
        <v>67</v>
      </c>
      <c r="E30" s="6" t="s">
        <v>54</v>
      </c>
      <c r="F30" s="7" t="s">
        <v>55</v>
      </c>
      <c r="G30" s="8">
        <v>100</v>
      </c>
      <c r="H30" s="9">
        <v>13047.058000000001</v>
      </c>
      <c r="I30" s="10">
        <v>0.19</v>
      </c>
      <c r="J30" s="11">
        <f t="shared" si="1"/>
        <v>15525.999020000001</v>
      </c>
      <c r="K30" s="71">
        <f t="shared" si="0"/>
        <v>1552599.902</v>
      </c>
      <c r="L30" s="106"/>
    </row>
    <row r="31" spans="1:12">
      <c r="A31" s="12">
        <v>19</v>
      </c>
      <c r="B31" s="13">
        <v>11162307</v>
      </c>
      <c r="C31" s="14" t="s">
        <v>68</v>
      </c>
      <c r="D31" s="15" t="s">
        <v>69</v>
      </c>
      <c r="E31" s="6" t="s">
        <v>54</v>
      </c>
      <c r="F31" s="7" t="s">
        <v>55</v>
      </c>
      <c r="G31" s="8">
        <v>300</v>
      </c>
      <c r="H31" s="9">
        <v>19923.1976</v>
      </c>
      <c r="I31" s="10">
        <v>0.19</v>
      </c>
      <c r="J31" s="11">
        <f t="shared" si="1"/>
        <v>23708.605143999997</v>
      </c>
      <c r="K31" s="71">
        <f t="shared" si="0"/>
        <v>7112581.5431999993</v>
      </c>
      <c r="L31" s="106"/>
    </row>
    <row r="32" spans="1:12">
      <c r="A32" s="12">
        <v>20</v>
      </c>
      <c r="B32" s="13">
        <v>11162307</v>
      </c>
      <c r="C32" s="14" t="s">
        <v>70</v>
      </c>
      <c r="D32" s="15" t="s">
        <v>71</v>
      </c>
      <c r="E32" s="18" t="s">
        <v>54</v>
      </c>
      <c r="F32" s="7" t="s">
        <v>55</v>
      </c>
      <c r="G32" s="8">
        <v>300</v>
      </c>
      <c r="H32" s="9">
        <v>23615.128400000001</v>
      </c>
      <c r="I32" s="10">
        <v>0.19</v>
      </c>
      <c r="J32" s="11">
        <f t="shared" si="1"/>
        <v>28102.002796000001</v>
      </c>
      <c r="K32" s="71">
        <f t="shared" si="0"/>
        <v>8430600.8388</v>
      </c>
      <c r="L32" s="106"/>
    </row>
    <row r="33" spans="1:12" ht="41.25" customHeight="1">
      <c r="A33" s="12">
        <v>21</v>
      </c>
      <c r="B33" s="13">
        <v>11162307</v>
      </c>
      <c r="C33" s="14" t="s">
        <v>72</v>
      </c>
      <c r="D33" s="86" t="s">
        <v>73</v>
      </c>
      <c r="E33" s="18" t="s">
        <v>54</v>
      </c>
      <c r="F33" s="7" t="s">
        <v>55</v>
      </c>
      <c r="G33" s="8">
        <v>500</v>
      </c>
      <c r="H33" s="9">
        <v>19374.485199999999</v>
      </c>
      <c r="I33" s="10">
        <v>0.19</v>
      </c>
      <c r="J33" s="11">
        <f t="shared" si="1"/>
        <v>23055.637387999999</v>
      </c>
      <c r="K33" s="71">
        <f t="shared" si="0"/>
        <v>11527818.694</v>
      </c>
      <c r="L33" s="106"/>
    </row>
    <row r="34" spans="1:12">
      <c r="A34" s="12">
        <v>22</v>
      </c>
      <c r="B34" s="13">
        <v>11161801</v>
      </c>
      <c r="C34" s="14" t="s">
        <v>74</v>
      </c>
      <c r="D34" s="15" t="s">
        <v>75</v>
      </c>
      <c r="E34" s="6" t="s">
        <v>54</v>
      </c>
      <c r="F34" s="7" t="s">
        <v>55</v>
      </c>
      <c r="G34" s="8">
        <v>100</v>
      </c>
      <c r="H34" s="9">
        <v>9484.6196</v>
      </c>
      <c r="I34" s="10">
        <v>0.19</v>
      </c>
      <c r="J34" s="11">
        <f t="shared" si="1"/>
        <v>11286.697323999999</v>
      </c>
      <c r="K34" s="71">
        <f t="shared" si="0"/>
        <v>1128669.7323999999</v>
      </c>
      <c r="L34" s="106"/>
    </row>
    <row r="35" spans="1:12">
      <c r="A35" s="12">
        <v>23</v>
      </c>
      <c r="B35" s="13">
        <v>13102030</v>
      </c>
      <c r="C35" s="14" t="s">
        <v>76</v>
      </c>
      <c r="D35" s="15" t="s">
        <v>77</v>
      </c>
      <c r="E35" s="6" t="s">
        <v>54</v>
      </c>
      <c r="F35" s="7" t="s">
        <v>55</v>
      </c>
      <c r="G35" s="8">
        <v>30</v>
      </c>
      <c r="H35" s="9">
        <v>13386.160400000001</v>
      </c>
      <c r="I35" s="10">
        <v>0.19</v>
      </c>
      <c r="J35" s="11">
        <f t="shared" si="1"/>
        <v>15929.530876000001</v>
      </c>
      <c r="K35" s="71">
        <f t="shared" si="0"/>
        <v>477885.92628000001</v>
      </c>
      <c r="L35" s="106"/>
    </row>
    <row r="36" spans="1:12">
      <c r="A36" s="12">
        <v>24</v>
      </c>
      <c r="B36" s="19">
        <v>11162110</v>
      </c>
      <c r="C36" s="20" t="s">
        <v>78</v>
      </c>
      <c r="D36" s="21" t="s">
        <v>79</v>
      </c>
      <c r="E36" s="22" t="s">
        <v>54</v>
      </c>
      <c r="F36" s="7" t="s">
        <v>55</v>
      </c>
      <c r="G36" s="8">
        <v>100</v>
      </c>
      <c r="H36" s="9">
        <v>10489.816000000001</v>
      </c>
      <c r="I36" s="10">
        <v>0.19</v>
      </c>
      <c r="J36" s="11">
        <f t="shared" si="1"/>
        <v>12482.88104</v>
      </c>
      <c r="K36" s="71">
        <f t="shared" si="0"/>
        <v>1248288.1040000001</v>
      </c>
      <c r="L36" s="106"/>
    </row>
    <row r="37" spans="1:12">
      <c r="A37" s="12">
        <v>25</v>
      </c>
      <c r="B37" s="13">
        <v>11161801</v>
      </c>
      <c r="C37" s="4" t="s">
        <v>80</v>
      </c>
      <c r="D37" s="5" t="s">
        <v>81</v>
      </c>
      <c r="E37" s="23" t="s">
        <v>54</v>
      </c>
      <c r="F37" s="7" t="s">
        <v>55</v>
      </c>
      <c r="G37" s="8">
        <v>30</v>
      </c>
      <c r="H37" s="9">
        <v>13828.670399999999</v>
      </c>
      <c r="I37" s="10">
        <v>0.19</v>
      </c>
      <c r="J37" s="11">
        <f t="shared" si="1"/>
        <v>16456.117775999999</v>
      </c>
      <c r="K37" s="71">
        <f t="shared" si="0"/>
        <v>493683.53327999997</v>
      </c>
      <c r="L37" s="106"/>
    </row>
    <row r="38" spans="1:12">
      <c r="A38" s="12">
        <v>26</v>
      </c>
      <c r="B38" s="13">
        <v>11162201</v>
      </c>
      <c r="C38" s="14" t="s">
        <v>82</v>
      </c>
      <c r="D38" s="15" t="s">
        <v>83</v>
      </c>
      <c r="E38" s="6" t="s">
        <v>54</v>
      </c>
      <c r="F38" s="7" t="s">
        <v>55</v>
      </c>
      <c r="G38" s="8">
        <v>100</v>
      </c>
      <c r="H38" s="9">
        <v>2491.0983999999999</v>
      </c>
      <c r="I38" s="10">
        <v>0.19</v>
      </c>
      <c r="J38" s="11">
        <f t="shared" si="1"/>
        <v>2964.4070959999999</v>
      </c>
      <c r="K38" s="71">
        <f t="shared" si="0"/>
        <v>296440.7096</v>
      </c>
      <c r="L38" s="106"/>
    </row>
    <row r="39" spans="1:12">
      <c r="A39" s="12">
        <v>27</v>
      </c>
      <c r="B39" s="13">
        <v>11162201</v>
      </c>
      <c r="C39" s="16" t="s">
        <v>84</v>
      </c>
      <c r="D39" s="15" t="s">
        <v>85</v>
      </c>
      <c r="E39" s="6" t="s">
        <v>54</v>
      </c>
      <c r="F39" s="7" t="s">
        <v>55</v>
      </c>
      <c r="G39" s="8">
        <v>500</v>
      </c>
      <c r="H39" s="9">
        <v>3820.4915999999998</v>
      </c>
      <c r="I39" s="10">
        <v>0.19</v>
      </c>
      <c r="J39" s="11">
        <f t="shared" si="1"/>
        <v>4546.3850039999998</v>
      </c>
      <c r="K39" s="71">
        <f t="shared" si="0"/>
        <v>2273192.5019999999</v>
      </c>
      <c r="L39" s="106"/>
    </row>
    <row r="40" spans="1:12">
      <c r="A40" s="12">
        <v>28</v>
      </c>
      <c r="B40" s="16">
        <v>11161700</v>
      </c>
      <c r="C40" s="16" t="s">
        <v>86</v>
      </c>
      <c r="D40" s="16" t="s">
        <v>87</v>
      </c>
      <c r="E40" s="6" t="s">
        <v>54</v>
      </c>
      <c r="F40" s="7" t="s">
        <v>55</v>
      </c>
      <c r="G40" s="84">
        <v>1</v>
      </c>
      <c r="H40" s="9">
        <v>19797.4316</v>
      </c>
      <c r="I40" s="10">
        <v>0.19</v>
      </c>
      <c r="J40" s="11">
        <f t="shared" si="1"/>
        <v>23558.943604</v>
      </c>
      <c r="K40" s="71">
        <f t="shared" si="0"/>
        <v>23558.943604</v>
      </c>
      <c r="L40" s="106"/>
    </row>
    <row r="41" spans="1:12">
      <c r="A41" s="12">
        <v>29</v>
      </c>
      <c r="B41" s="16">
        <v>11162200</v>
      </c>
      <c r="C41" s="16" t="s">
        <v>88</v>
      </c>
      <c r="D41" s="16" t="s">
        <v>89</v>
      </c>
      <c r="E41" s="6" t="s">
        <v>54</v>
      </c>
      <c r="F41" s="7" t="s">
        <v>55</v>
      </c>
      <c r="G41" s="8">
        <v>50</v>
      </c>
      <c r="H41" s="9">
        <v>21119.371999999999</v>
      </c>
      <c r="I41" s="10">
        <v>0.19</v>
      </c>
      <c r="J41" s="11">
        <f t="shared" si="1"/>
        <v>25132.052679999997</v>
      </c>
      <c r="K41" s="71">
        <f t="shared" si="0"/>
        <v>1256602.6339999998</v>
      </c>
      <c r="L41" s="106"/>
    </row>
    <row r="42" spans="1:12">
      <c r="A42" s="12">
        <v>30</v>
      </c>
      <c r="B42" s="16">
        <v>11162200</v>
      </c>
      <c r="C42" s="16" t="s">
        <v>90</v>
      </c>
      <c r="D42" s="16" t="s">
        <v>91</v>
      </c>
      <c r="E42" s="6" t="s">
        <v>54</v>
      </c>
      <c r="F42" s="7" t="s">
        <v>55</v>
      </c>
      <c r="G42" s="8">
        <v>50</v>
      </c>
      <c r="H42" s="9">
        <v>42162.352800000001</v>
      </c>
      <c r="I42" s="10">
        <v>0.19</v>
      </c>
      <c r="J42" s="11">
        <f t="shared" si="1"/>
        <v>50173.199831999998</v>
      </c>
      <c r="K42" s="71">
        <f t="shared" si="0"/>
        <v>2508659.9915999998</v>
      </c>
      <c r="L42" s="106"/>
    </row>
    <row r="43" spans="1:12">
      <c r="A43" s="12">
        <v>31</v>
      </c>
      <c r="B43" s="13">
        <v>11162125</v>
      </c>
      <c r="C43" s="14" t="s">
        <v>92</v>
      </c>
      <c r="D43" s="15" t="s">
        <v>93</v>
      </c>
      <c r="E43" s="6" t="s">
        <v>54</v>
      </c>
      <c r="F43" s="7" t="s">
        <v>55</v>
      </c>
      <c r="G43" s="8">
        <v>150</v>
      </c>
      <c r="H43" s="9">
        <v>781.61239999999998</v>
      </c>
      <c r="I43" s="10">
        <v>0.19</v>
      </c>
      <c r="J43" s="11">
        <f t="shared" si="1"/>
        <v>930.11875599999996</v>
      </c>
      <c r="K43" s="71">
        <f t="shared" si="0"/>
        <v>139517.81339999998</v>
      </c>
      <c r="L43" s="106"/>
    </row>
    <row r="44" spans="1:12" ht="42" customHeight="1">
      <c r="A44" s="12">
        <v>32</v>
      </c>
      <c r="B44" s="13">
        <v>11162125</v>
      </c>
      <c r="C44" s="14" t="s">
        <v>94</v>
      </c>
      <c r="D44" s="86" t="s">
        <v>95</v>
      </c>
      <c r="E44" s="6" t="s">
        <v>54</v>
      </c>
      <c r="F44" s="7" t="s">
        <v>55</v>
      </c>
      <c r="G44" s="8">
        <v>50</v>
      </c>
      <c r="H44" s="9">
        <v>1139.3468</v>
      </c>
      <c r="I44" s="10">
        <v>0.19</v>
      </c>
      <c r="J44" s="11">
        <f t="shared" si="1"/>
        <v>1355.822692</v>
      </c>
      <c r="K44" s="71">
        <f t="shared" si="0"/>
        <v>67791.134600000005</v>
      </c>
      <c r="L44" s="106"/>
    </row>
    <row r="45" spans="1:12">
      <c r="A45" s="12">
        <v>33</v>
      </c>
      <c r="B45" s="13">
        <v>11162125</v>
      </c>
      <c r="C45" s="14" t="s">
        <v>96</v>
      </c>
      <c r="D45" s="15" t="s">
        <v>97</v>
      </c>
      <c r="E45" s="6" t="s">
        <v>54</v>
      </c>
      <c r="F45" s="7" t="s">
        <v>55</v>
      </c>
      <c r="G45" s="8">
        <v>500</v>
      </c>
      <c r="H45" s="9">
        <v>2137.0904</v>
      </c>
      <c r="I45" s="10">
        <v>0.19</v>
      </c>
      <c r="J45" s="11">
        <f t="shared" si="1"/>
        <v>2543.1375760000001</v>
      </c>
      <c r="K45" s="71">
        <f t="shared" si="0"/>
        <v>1271568.7879999999</v>
      </c>
      <c r="L45" s="106"/>
    </row>
    <row r="46" spans="1:12">
      <c r="A46" s="12">
        <v>34</v>
      </c>
      <c r="B46" s="13">
        <v>11162125</v>
      </c>
      <c r="C46" s="14" t="s">
        <v>98</v>
      </c>
      <c r="D46" s="15" t="s">
        <v>99</v>
      </c>
      <c r="E46" s="6" t="s">
        <v>54</v>
      </c>
      <c r="F46" s="7" t="s">
        <v>55</v>
      </c>
      <c r="G46" s="8">
        <v>500</v>
      </c>
      <c r="H46" s="9">
        <v>4476.3379999999997</v>
      </c>
      <c r="I46" s="10">
        <v>0.19</v>
      </c>
      <c r="J46" s="11">
        <f t="shared" si="1"/>
        <v>5326.8422199999995</v>
      </c>
      <c r="K46" s="71">
        <f t="shared" si="0"/>
        <v>2663421.11</v>
      </c>
      <c r="L46" s="106"/>
    </row>
    <row r="47" spans="1:12">
      <c r="A47" s="12">
        <v>35</v>
      </c>
      <c r="B47" s="13">
        <v>60123204</v>
      </c>
      <c r="C47" s="14" t="s">
        <v>100</v>
      </c>
      <c r="D47" s="15" t="s">
        <v>101</v>
      </c>
      <c r="E47" s="6" t="s">
        <v>54</v>
      </c>
      <c r="F47" s="7" t="s">
        <v>55</v>
      </c>
      <c r="G47" s="8">
        <v>600</v>
      </c>
      <c r="H47" s="9">
        <v>228.24199999999999</v>
      </c>
      <c r="I47" s="10">
        <v>0.19</v>
      </c>
      <c r="J47" s="11">
        <f t="shared" si="1"/>
        <v>271.60798</v>
      </c>
      <c r="K47" s="71">
        <f t="shared" si="0"/>
        <v>162964.788</v>
      </c>
      <c r="L47" s="106"/>
    </row>
    <row r="48" spans="1:12">
      <c r="A48" s="12">
        <v>36</v>
      </c>
      <c r="B48" s="16">
        <v>44121701</v>
      </c>
      <c r="C48" s="16" t="s">
        <v>102</v>
      </c>
      <c r="D48" s="16" t="s">
        <v>103</v>
      </c>
      <c r="E48" s="6" t="s">
        <v>104</v>
      </c>
      <c r="F48" s="7" t="s">
        <v>29</v>
      </c>
      <c r="G48" s="8">
        <v>200</v>
      </c>
      <c r="H48" s="9">
        <v>781.61239999999998</v>
      </c>
      <c r="I48" s="10">
        <v>0.19</v>
      </c>
      <c r="J48" s="11">
        <f t="shared" si="1"/>
        <v>930.11875599999996</v>
      </c>
      <c r="K48" s="71">
        <f t="shared" si="0"/>
        <v>186023.7512</v>
      </c>
      <c r="L48" s="106"/>
    </row>
    <row r="49" spans="1:13">
      <c r="A49" s="12">
        <v>37</v>
      </c>
      <c r="B49" s="16">
        <v>46111502</v>
      </c>
      <c r="C49" s="16" t="s">
        <v>105</v>
      </c>
      <c r="D49" s="16" t="s">
        <v>106</v>
      </c>
      <c r="E49" s="6" t="s">
        <v>104</v>
      </c>
      <c r="F49" s="7" t="s">
        <v>29</v>
      </c>
      <c r="G49" s="8">
        <v>50</v>
      </c>
      <c r="H49" s="9">
        <v>1078.7927999999999</v>
      </c>
      <c r="I49" s="10">
        <v>0.19</v>
      </c>
      <c r="J49" s="11">
        <f t="shared" si="1"/>
        <v>1283.763432</v>
      </c>
      <c r="K49" s="71">
        <f t="shared" si="0"/>
        <v>64188.171600000001</v>
      </c>
      <c r="L49" s="106"/>
    </row>
    <row r="50" spans="1:13">
      <c r="A50" s="12">
        <v>38</v>
      </c>
      <c r="B50" s="16">
        <v>12352104</v>
      </c>
      <c r="C50" s="16" t="s">
        <v>107</v>
      </c>
      <c r="D50" s="24" t="s">
        <v>108</v>
      </c>
      <c r="E50" s="18" t="s">
        <v>109</v>
      </c>
      <c r="F50" s="25" t="s">
        <v>110</v>
      </c>
      <c r="G50" s="8">
        <v>2</v>
      </c>
      <c r="H50" s="9">
        <v>36193.5916</v>
      </c>
      <c r="I50" s="10">
        <v>0.19</v>
      </c>
      <c r="J50" s="11">
        <f t="shared" si="1"/>
        <v>43070.374003999998</v>
      </c>
      <c r="K50" s="71">
        <f t="shared" si="0"/>
        <v>86140.748007999995</v>
      </c>
      <c r="L50" s="106"/>
    </row>
    <row r="51" spans="1:13">
      <c r="A51" s="12">
        <v>39</v>
      </c>
      <c r="B51" s="16">
        <v>15101506</v>
      </c>
      <c r="C51" s="16" t="s">
        <v>111</v>
      </c>
      <c r="D51" s="16" t="s">
        <v>112</v>
      </c>
      <c r="E51" s="23" t="s">
        <v>109</v>
      </c>
      <c r="F51" s="7" t="s">
        <v>113</v>
      </c>
      <c r="G51" s="8">
        <v>4</v>
      </c>
      <c r="H51" s="9">
        <v>6144.8335999999999</v>
      </c>
      <c r="I51" s="10">
        <v>0.19</v>
      </c>
      <c r="J51" s="11">
        <f t="shared" si="1"/>
        <v>7312.3519839999999</v>
      </c>
      <c r="K51" s="71">
        <f t="shared" si="0"/>
        <v>29249.407936</v>
      </c>
      <c r="L51" s="106"/>
    </row>
    <row r="52" spans="1:13">
      <c r="A52" s="12">
        <v>40</v>
      </c>
      <c r="B52" s="16">
        <v>47131820</v>
      </c>
      <c r="C52" s="16" t="s">
        <v>114</v>
      </c>
      <c r="D52" s="16" t="s">
        <v>115</v>
      </c>
      <c r="E52" s="6" t="s">
        <v>116</v>
      </c>
      <c r="F52" s="7" t="s">
        <v>117</v>
      </c>
      <c r="G52" s="8">
        <v>1</v>
      </c>
      <c r="H52" s="9">
        <v>28808.7984</v>
      </c>
      <c r="I52" s="10">
        <v>0.19</v>
      </c>
      <c r="J52" s="11">
        <f t="shared" si="1"/>
        <v>34282.470095999997</v>
      </c>
      <c r="K52" s="71">
        <f t="shared" si="0"/>
        <v>34282.470095999997</v>
      </c>
      <c r="L52" s="106"/>
    </row>
    <row r="53" spans="1:13">
      <c r="A53" s="12">
        <v>41</v>
      </c>
      <c r="B53" s="16">
        <v>41104210</v>
      </c>
      <c r="C53" s="16" t="s">
        <v>118</v>
      </c>
      <c r="D53" s="16" t="s">
        <v>119</v>
      </c>
      <c r="E53" s="6" t="s">
        <v>109</v>
      </c>
      <c r="F53" s="7" t="s">
        <v>110</v>
      </c>
      <c r="G53" s="8">
        <v>2</v>
      </c>
      <c r="H53" s="9">
        <v>63482.950400000002</v>
      </c>
      <c r="I53" s="10">
        <v>0.19</v>
      </c>
      <c r="J53" s="11">
        <f t="shared" si="1"/>
        <v>75544.710976000002</v>
      </c>
      <c r="K53" s="71">
        <f t="shared" si="0"/>
        <v>151089.421952</v>
      </c>
      <c r="L53" s="106"/>
    </row>
    <row r="54" spans="1:13">
      <c r="A54" s="12">
        <v>42</v>
      </c>
      <c r="B54" s="16">
        <v>41104210</v>
      </c>
      <c r="C54" s="16" t="s">
        <v>120</v>
      </c>
      <c r="D54" s="16" t="s">
        <v>121</v>
      </c>
      <c r="E54" s="6" t="s">
        <v>109</v>
      </c>
      <c r="F54" s="7" t="s">
        <v>110</v>
      </c>
      <c r="G54" s="8">
        <v>6</v>
      </c>
      <c r="H54" s="9">
        <v>31452.679199999999</v>
      </c>
      <c r="I54" s="10">
        <v>0.19</v>
      </c>
      <c r="J54" s="11">
        <f t="shared" si="1"/>
        <v>37428.688247999999</v>
      </c>
      <c r="K54" s="71">
        <f t="shared" si="0"/>
        <v>224572.12948800001</v>
      </c>
      <c r="L54" s="106"/>
    </row>
    <row r="55" spans="1:13">
      <c r="A55" s="12">
        <v>43</v>
      </c>
      <c r="B55" s="16">
        <v>15121520</v>
      </c>
      <c r="C55" s="16" t="s">
        <v>122</v>
      </c>
      <c r="D55" s="16" t="s">
        <v>123</v>
      </c>
      <c r="E55" s="6" t="s">
        <v>116</v>
      </c>
      <c r="F55" s="7" t="s">
        <v>124</v>
      </c>
      <c r="G55" s="8">
        <v>2</v>
      </c>
      <c r="H55" s="9">
        <v>14796.602800000001</v>
      </c>
      <c r="I55" s="10">
        <v>0.19</v>
      </c>
      <c r="J55" s="11">
        <f t="shared" si="1"/>
        <v>17607.957331999998</v>
      </c>
      <c r="K55" s="71">
        <f t="shared" si="0"/>
        <v>35215.914663999996</v>
      </c>
      <c r="L55" s="106"/>
    </row>
    <row r="56" spans="1:13" ht="67.5">
      <c r="A56" s="109">
        <v>44</v>
      </c>
      <c r="B56" s="32">
        <v>15121520</v>
      </c>
      <c r="C56" s="32" t="s">
        <v>125</v>
      </c>
      <c r="D56" s="110" t="s">
        <v>126</v>
      </c>
      <c r="E56" s="111" t="s">
        <v>127</v>
      </c>
      <c r="F56" s="112" t="s">
        <v>128</v>
      </c>
      <c r="G56" s="113">
        <v>2</v>
      </c>
      <c r="H56" s="114">
        <v>46970.340400000001</v>
      </c>
      <c r="I56" s="115">
        <v>0.19</v>
      </c>
      <c r="J56" s="116">
        <f t="shared" si="1"/>
        <v>55894.705075999998</v>
      </c>
      <c r="K56" s="117">
        <f t="shared" si="0"/>
        <v>111789.410152</v>
      </c>
      <c r="L56" s="106"/>
      <c r="M56" s="119">
        <v>45566</v>
      </c>
    </row>
    <row r="57" spans="1:13">
      <c r="A57" s="12">
        <v>45</v>
      </c>
      <c r="B57" s="16">
        <v>31201601</v>
      </c>
      <c r="C57" s="16" t="s">
        <v>129</v>
      </c>
      <c r="D57" s="14" t="s">
        <v>130</v>
      </c>
      <c r="E57" s="6" t="s">
        <v>127</v>
      </c>
      <c r="F57" s="7" t="s">
        <v>131</v>
      </c>
      <c r="G57" s="8">
        <v>10</v>
      </c>
      <c r="H57" s="9">
        <v>59539.4876</v>
      </c>
      <c r="I57" s="10">
        <v>0.19</v>
      </c>
      <c r="J57" s="11">
        <f t="shared" si="1"/>
        <v>70851.990244000001</v>
      </c>
      <c r="K57" s="71">
        <f t="shared" si="0"/>
        <v>708519.90243999998</v>
      </c>
      <c r="L57" s="106"/>
    </row>
    <row r="58" spans="1:13">
      <c r="A58" s="12">
        <v>46</v>
      </c>
      <c r="B58" s="16">
        <v>31200000</v>
      </c>
      <c r="C58" s="16" t="s">
        <v>132</v>
      </c>
      <c r="D58" s="14" t="s">
        <v>133</v>
      </c>
      <c r="E58" s="6" t="s">
        <v>134</v>
      </c>
      <c r="F58" s="7" t="s">
        <v>131</v>
      </c>
      <c r="G58" s="8">
        <v>10</v>
      </c>
      <c r="H58" s="9">
        <v>48178.625599999999</v>
      </c>
      <c r="I58" s="10">
        <v>0.19</v>
      </c>
      <c r="J58" s="11">
        <f t="shared" si="1"/>
        <v>57332.564463999995</v>
      </c>
      <c r="K58" s="71">
        <f t="shared" si="0"/>
        <v>573325.64463999995</v>
      </c>
      <c r="L58" s="106"/>
    </row>
    <row r="59" spans="1:13">
      <c r="A59" s="12">
        <v>47</v>
      </c>
      <c r="B59" s="88">
        <v>31200000</v>
      </c>
      <c r="C59" s="88" t="s">
        <v>135</v>
      </c>
      <c r="D59" s="89" t="s">
        <v>136</v>
      </c>
      <c r="E59" s="91" t="s">
        <v>116</v>
      </c>
      <c r="F59" s="92" t="s">
        <v>137</v>
      </c>
      <c r="G59" s="93">
        <v>250</v>
      </c>
      <c r="H59" s="94">
        <v>38946.469599999997</v>
      </c>
      <c r="I59" s="95">
        <v>0.19</v>
      </c>
      <c r="J59" s="96">
        <f t="shared" si="1"/>
        <v>46346.29882399999</v>
      </c>
      <c r="K59" s="97">
        <f t="shared" si="0"/>
        <v>11586574.705999998</v>
      </c>
      <c r="L59" s="98" t="s">
        <v>138</v>
      </c>
    </row>
    <row r="60" spans="1:13" ht="161.25">
      <c r="A60" s="109">
        <v>48</v>
      </c>
      <c r="B60" s="88">
        <v>31200000</v>
      </c>
      <c r="C60" s="89" t="s">
        <v>139</v>
      </c>
      <c r="D60" s="90" t="s">
        <v>140</v>
      </c>
      <c r="E60" s="91" t="s">
        <v>116</v>
      </c>
      <c r="F60" s="92" t="s">
        <v>141</v>
      </c>
      <c r="G60" s="93">
        <v>150</v>
      </c>
      <c r="H60" s="94">
        <v>26421.107599999999</v>
      </c>
      <c r="I60" s="95">
        <v>0.19</v>
      </c>
      <c r="J60" s="96">
        <f t="shared" si="1"/>
        <v>31441.118043999999</v>
      </c>
      <c r="K60" s="97">
        <f t="shared" si="0"/>
        <v>4716167.7066000002</v>
      </c>
      <c r="L60" s="98" t="s">
        <v>142</v>
      </c>
      <c r="M60" s="107" t="s">
        <v>143</v>
      </c>
    </row>
    <row r="61" spans="1:13">
      <c r="A61" s="12">
        <v>49</v>
      </c>
      <c r="B61" s="13">
        <v>13101502</v>
      </c>
      <c r="C61" s="14" t="s">
        <v>144</v>
      </c>
      <c r="D61" s="15" t="s">
        <v>145</v>
      </c>
      <c r="E61" s="6" t="s">
        <v>146</v>
      </c>
      <c r="F61" s="7" t="s">
        <v>146</v>
      </c>
      <c r="G61" s="8">
        <v>80</v>
      </c>
      <c r="H61" s="9">
        <v>12720.998</v>
      </c>
      <c r="I61" s="10">
        <v>0.19</v>
      </c>
      <c r="J61" s="11">
        <f t="shared" si="1"/>
        <v>15137.987619999998</v>
      </c>
      <c r="K61" s="71">
        <f t="shared" si="0"/>
        <v>1211039.0095999998</v>
      </c>
      <c r="L61" s="106"/>
    </row>
    <row r="62" spans="1:13">
      <c r="A62" s="12">
        <v>50</v>
      </c>
      <c r="B62" s="13">
        <v>13101502</v>
      </c>
      <c r="C62" s="14" t="s">
        <v>147</v>
      </c>
      <c r="D62" s="15" t="s">
        <v>148</v>
      </c>
      <c r="E62" s="18" t="s">
        <v>146</v>
      </c>
      <c r="F62" s="7" t="s">
        <v>146</v>
      </c>
      <c r="G62" s="8">
        <v>80</v>
      </c>
      <c r="H62" s="9">
        <v>15656.4696</v>
      </c>
      <c r="I62" s="10">
        <v>0.19</v>
      </c>
      <c r="J62" s="11">
        <f t="shared" si="1"/>
        <v>18631.198823999999</v>
      </c>
      <c r="K62" s="71">
        <f t="shared" si="0"/>
        <v>1490495.9059199998</v>
      </c>
      <c r="L62" s="106"/>
    </row>
    <row r="63" spans="1:13">
      <c r="A63" s="12">
        <v>51</v>
      </c>
      <c r="B63" s="13">
        <v>13101606</v>
      </c>
      <c r="C63" s="14" t="s">
        <v>149</v>
      </c>
      <c r="D63" s="15" t="s">
        <v>150</v>
      </c>
      <c r="E63" s="18" t="s">
        <v>146</v>
      </c>
      <c r="F63" s="7" t="s">
        <v>146</v>
      </c>
      <c r="G63" s="8">
        <v>80</v>
      </c>
      <c r="H63" s="9">
        <v>11976.649600000001</v>
      </c>
      <c r="I63" s="10">
        <v>0.19</v>
      </c>
      <c r="J63" s="11">
        <f t="shared" si="1"/>
        <v>14252.213024000001</v>
      </c>
      <c r="K63" s="71">
        <f t="shared" si="0"/>
        <v>1140177.04192</v>
      </c>
      <c r="L63" s="106"/>
    </row>
    <row r="64" spans="1:13">
      <c r="A64" s="12">
        <v>52</v>
      </c>
      <c r="B64" s="13">
        <v>13101601</v>
      </c>
      <c r="C64" s="14" t="s">
        <v>151</v>
      </c>
      <c r="D64" s="15" t="s">
        <v>152</v>
      </c>
      <c r="E64" s="18" t="s">
        <v>146</v>
      </c>
      <c r="F64" s="7" t="s">
        <v>146</v>
      </c>
      <c r="G64" s="8">
        <v>80</v>
      </c>
      <c r="H64" s="9">
        <v>15656.4696</v>
      </c>
      <c r="I64" s="10">
        <v>0.19</v>
      </c>
      <c r="J64" s="11">
        <f t="shared" si="1"/>
        <v>18631.198823999999</v>
      </c>
      <c r="K64" s="71">
        <f t="shared" si="0"/>
        <v>1490495.9059199998</v>
      </c>
      <c r="L64" s="106"/>
    </row>
    <row r="65" spans="1:12">
      <c r="A65" s="12">
        <v>53</v>
      </c>
      <c r="B65" s="13">
        <v>13101606</v>
      </c>
      <c r="C65" s="14" t="s">
        <v>153</v>
      </c>
      <c r="D65" s="15" t="s">
        <v>154</v>
      </c>
      <c r="E65" s="18" t="s">
        <v>146</v>
      </c>
      <c r="F65" s="7" t="s">
        <v>146</v>
      </c>
      <c r="G65" s="8">
        <v>48</v>
      </c>
      <c r="H65" s="9">
        <v>12525.361999999999</v>
      </c>
      <c r="I65" s="10">
        <v>0.19</v>
      </c>
      <c r="J65" s="11">
        <f t="shared" si="1"/>
        <v>14905.180779999999</v>
      </c>
      <c r="K65" s="71">
        <f t="shared" si="0"/>
        <v>715448.67744</v>
      </c>
      <c r="L65" s="106"/>
    </row>
    <row r="66" spans="1:12">
      <c r="A66" s="12">
        <v>54</v>
      </c>
      <c r="B66" s="13">
        <v>13101606</v>
      </c>
      <c r="C66" s="14" t="s">
        <v>155</v>
      </c>
      <c r="D66" s="15" t="s">
        <v>156</v>
      </c>
      <c r="E66" s="18" t="s">
        <v>146</v>
      </c>
      <c r="F66" s="7" t="s">
        <v>146</v>
      </c>
      <c r="G66" s="8">
        <v>48</v>
      </c>
      <c r="H66" s="9">
        <v>5766.6040000000003</v>
      </c>
      <c r="I66" s="10">
        <v>0.19</v>
      </c>
      <c r="J66" s="11">
        <f t="shared" si="1"/>
        <v>6862.2587599999997</v>
      </c>
      <c r="K66" s="71">
        <f t="shared" si="0"/>
        <v>329388.42047999997</v>
      </c>
      <c r="L66" s="106"/>
    </row>
    <row r="67" spans="1:12">
      <c r="A67" s="12">
        <v>55</v>
      </c>
      <c r="B67" s="13">
        <v>13101601</v>
      </c>
      <c r="C67" s="14" t="s">
        <v>157</v>
      </c>
      <c r="D67" s="15" t="s">
        <v>158</v>
      </c>
      <c r="E67" s="18" t="s">
        <v>146</v>
      </c>
      <c r="F67" s="7" t="s">
        <v>146</v>
      </c>
      <c r="G67" s="8">
        <v>48</v>
      </c>
      <c r="H67" s="9">
        <v>14612.146000000001</v>
      </c>
      <c r="I67" s="10">
        <v>0.19</v>
      </c>
      <c r="J67" s="11">
        <f t="shared" si="1"/>
        <v>17388.453740000001</v>
      </c>
      <c r="K67" s="71">
        <f t="shared" si="0"/>
        <v>834645.7795200001</v>
      </c>
      <c r="L67" s="106"/>
    </row>
    <row r="68" spans="1:12">
      <c r="A68" s="12">
        <v>56</v>
      </c>
      <c r="B68" s="13">
        <v>46182208</v>
      </c>
      <c r="C68" s="14" t="s">
        <v>159</v>
      </c>
      <c r="D68" s="15" t="s">
        <v>160</v>
      </c>
      <c r="E68" s="18" t="s">
        <v>146</v>
      </c>
      <c r="F68" s="7" t="s">
        <v>146</v>
      </c>
      <c r="G68" s="8">
        <v>300</v>
      </c>
      <c r="H68" s="9">
        <v>20898.5828</v>
      </c>
      <c r="I68" s="10">
        <v>0.19</v>
      </c>
      <c r="J68" s="11">
        <f t="shared" si="1"/>
        <v>24869.313532</v>
      </c>
      <c r="K68" s="71">
        <f t="shared" si="0"/>
        <v>7460794.0596000003</v>
      </c>
      <c r="L68" s="106"/>
    </row>
    <row r="69" spans="1:12">
      <c r="A69" s="12">
        <v>57</v>
      </c>
      <c r="B69" s="13">
        <v>11162116</v>
      </c>
      <c r="C69" s="14" t="s">
        <v>161</v>
      </c>
      <c r="D69" s="15" t="s">
        <v>162</v>
      </c>
      <c r="E69" s="6" t="s">
        <v>104</v>
      </c>
      <c r="F69" s="7" t="s">
        <v>163</v>
      </c>
      <c r="G69" s="8">
        <v>10</v>
      </c>
      <c r="H69" s="9">
        <v>12501.1404</v>
      </c>
      <c r="I69" s="10">
        <v>0.19</v>
      </c>
      <c r="J69" s="11">
        <f t="shared" si="1"/>
        <v>14876.357076</v>
      </c>
      <c r="K69" s="71">
        <f t="shared" si="0"/>
        <v>148763.57076</v>
      </c>
      <c r="L69" s="106"/>
    </row>
    <row r="70" spans="1:12">
      <c r="A70" s="12">
        <v>58</v>
      </c>
      <c r="B70" s="13">
        <v>72152604</v>
      </c>
      <c r="C70" s="89" t="s">
        <v>164</v>
      </c>
      <c r="D70" s="15" t="s">
        <v>165</v>
      </c>
      <c r="E70" s="6" t="s">
        <v>104</v>
      </c>
      <c r="F70" s="7" t="s">
        <v>29</v>
      </c>
      <c r="G70" s="8">
        <v>0</v>
      </c>
      <c r="H70" s="9">
        <v>28103.5772</v>
      </c>
      <c r="I70" s="10">
        <v>0.19</v>
      </c>
      <c r="J70" s="11">
        <f t="shared" si="1"/>
        <v>33443.256867999997</v>
      </c>
      <c r="K70" s="71">
        <f t="shared" si="0"/>
        <v>0</v>
      </c>
      <c r="L70" s="106"/>
    </row>
    <row r="71" spans="1:12">
      <c r="A71" s="12">
        <v>59</v>
      </c>
      <c r="B71" s="13">
        <v>14121703</v>
      </c>
      <c r="C71" s="14" t="s">
        <v>166</v>
      </c>
      <c r="D71" s="15" t="s">
        <v>167</v>
      </c>
      <c r="E71" s="6" t="s">
        <v>104</v>
      </c>
      <c r="F71" s="7" t="s">
        <v>168</v>
      </c>
      <c r="G71" s="8">
        <v>3</v>
      </c>
      <c r="H71" s="9">
        <v>109599.01360000001</v>
      </c>
      <c r="I71" s="10">
        <v>0.19</v>
      </c>
      <c r="J71" s="11">
        <f t="shared" si="1"/>
        <v>130422.82618400001</v>
      </c>
      <c r="K71" s="71">
        <f t="shared" si="0"/>
        <v>391268.47855200002</v>
      </c>
      <c r="L71" s="106"/>
    </row>
    <row r="72" spans="1:12">
      <c r="A72" s="12">
        <v>60</v>
      </c>
      <c r="B72" s="13">
        <v>31201509</v>
      </c>
      <c r="C72" s="14" t="s">
        <v>169</v>
      </c>
      <c r="D72" s="15" t="s">
        <v>170</v>
      </c>
      <c r="E72" s="6" t="s">
        <v>104</v>
      </c>
      <c r="F72" s="26" t="s">
        <v>171</v>
      </c>
      <c r="G72" s="8">
        <v>10</v>
      </c>
      <c r="H72" s="9">
        <v>10514.9692</v>
      </c>
      <c r="I72" s="10">
        <v>0.19</v>
      </c>
      <c r="J72" s="11">
        <f t="shared" si="1"/>
        <v>12512.813348</v>
      </c>
      <c r="K72" s="71">
        <f t="shared" si="0"/>
        <v>125128.13347999999</v>
      </c>
      <c r="L72" s="106"/>
    </row>
    <row r="73" spans="1:12">
      <c r="A73" s="12">
        <v>61</v>
      </c>
      <c r="B73" s="16">
        <v>31211904</v>
      </c>
      <c r="C73" s="16" t="s">
        <v>172</v>
      </c>
      <c r="D73" s="27" t="s">
        <v>173</v>
      </c>
      <c r="E73" s="28" t="s">
        <v>104</v>
      </c>
      <c r="F73" s="7" t="s">
        <v>29</v>
      </c>
      <c r="G73" s="8">
        <v>200</v>
      </c>
      <c r="H73" s="9">
        <v>1661.9744000000001</v>
      </c>
      <c r="I73" s="10">
        <v>0.19</v>
      </c>
      <c r="J73" s="11">
        <f t="shared" si="1"/>
        <v>1977.749536</v>
      </c>
      <c r="K73" s="71">
        <f t="shared" si="0"/>
        <v>395549.90720000002</v>
      </c>
      <c r="L73" s="106"/>
    </row>
    <row r="74" spans="1:12">
      <c r="A74" s="12">
        <v>62</v>
      </c>
      <c r="B74" s="16">
        <v>27111918</v>
      </c>
      <c r="C74" s="16" t="s">
        <v>174</v>
      </c>
      <c r="D74" s="29" t="s">
        <v>175</v>
      </c>
      <c r="E74" s="28" t="s">
        <v>104</v>
      </c>
      <c r="F74" s="7" t="s">
        <v>29</v>
      </c>
      <c r="G74" s="8">
        <v>10</v>
      </c>
      <c r="H74" s="9">
        <v>2118.4584</v>
      </c>
      <c r="I74" s="10">
        <v>0.19</v>
      </c>
      <c r="J74" s="11">
        <f t="shared" si="1"/>
        <v>2520.9654959999998</v>
      </c>
      <c r="K74" s="71">
        <f t="shared" si="0"/>
        <v>25209.65496</v>
      </c>
      <c r="L74" s="106"/>
    </row>
    <row r="75" spans="1:12">
      <c r="A75" s="12">
        <v>63</v>
      </c>
      <c r="B75" s="16">
        <v>27111918</v>
      </c>
      <c r="C75" s="16" t="s">
        <v>176</v>
      </c>
      <c r="D75" s="16" t="s">
        <v>177</v>
      </c>
      <c r="E75" s="6" t="s">
        <v>104</v>
      </c>
      <c r="F75" s="7" t="s">
        <v>29</v>
      </c>
      <c r="G75" s="8">
        <v>10</v>
      </c>
      <c r="H75" s="9">
        <v>1859.4736</v>
      </c>
      <c r="I75" s="10">
        <v>0.19</v>
      </c>
      <c r="J75" s="11">
        <f t="shared" si="1"/>
        <v>2212.773584</v>
      </c>
      <c r="K75" s="71">
        <f t="shared" si="0"/>
        <v>22127.735840000001</v>
      </c>
      <c r="L75" s="106"/>
    </row>
    <row r="76" spans="1:12">
      <c r="A76" s="12">
        <v>64</v>
      </c>
      <c r="B76" s="16">
        <v>27111918</v>
      </c>
      <c r="C76" s="16" t="s">
        <v>178</v>
      </c>
      <c r="D76" s="16" t="s">
        <v>179</v>
      </c>
      <c r="E76" s="6" t="s">
        <v>104</v>
      </c>
      <c r="F76" s="7" t="s">
        <v>29</v>
      </c>
      <c r="G76" s="8">
        <v>10</v>
      </c>
      <c r="H76" s="9">
        <v>1329.3932</v>
      </c>
      <c r="I76" s="10">
        <v>0.19</v>
      </c>
      <c r="J76" s="11">
        <f t="shared" si="1"/>
        <v>1581.9779079999998</v>
      </c>
      <c r="K76" s="71">
        <f t="shared" si="0"/>
        <v>15819.779079999998</v>
      </c>
      <c r="L76" s="106"/>
    </row>
    <row r="77" spans="1:12">
      <c r="A77" s="12">
        <v>65</v>
      </c>
      <c r="B77" s="16">
        <v>27111918</v>
      </c>
      <c r="C77" s="16" t="s">
        <v>180</v>
      </c>
      <c r="D77" s="16" t="s">
        <v>181</v>
      </c>
      <c r="E77" s="6" t="s">
        <v>104</v>
      </c>
      <c r="F77" s="7" t="s">
        <v>29</v>
      </c>
      <c r="G77" s="8">
        <v>10</v>
      </c>
      <c r="H77" s="9">
        <v>1307.0347999999999</v>
      </c>
      <c r="I77" s="10">
        <v>0.19</v>
      </c>
      <c r="J77" s="11">
        <f t="shared" si="1"/>
        <v>1555.3714119999997</v>
      </c>
      <c r="K77" s="71">
        <f t="shared" ref="K77:K140" si="2">J77*G77</f>
        <v>15553.714119999997</v>
      </c>
      <c r="L77" s="106"/>
    </row>
    <row r="78" spans="1:12">
      <c r="A78" s="12">
        <v>66</v>
      </c>
      <c r="B78" s="16">
        <v>27111918</v>
      </c>
      <c r="C78" s="16" t="s">
        <v>182</v>
      </c>
      <c r="D78" s="16" t="s">
        <v>183</v>
      </c>
      <c r="E78" s="6" t="s">
        <v>104</v>
      </c>
      <c r="F78" s="7" t="s">
        <v>29</v>
      </c>
      <c r="G78" s="8">
        <v>10</v>
      </c>
      <c r="H78" s="9">
        <v>1372.2467999999999</v>
      </c>
      <c r="I78" s="10">
        <v>0.19</v>
      </c>
      <c r="J78" s="11">
        <f t="shared" ref="J78:J141" si="3">H78*1.19</f>
        <v>1632.9736919999998</v>
      </c>
      <c r="K78" s="71">
        <f t="shared" si="2"/>
        <v>16329.736919999998</v>
      </c>
      <c r="L78" s="106"/>
    </row>
    <row r="79" spans="1:12">
      <c r="A79" s="12">
        <v>67</v>
      </c>
      <c r="B79" s="16">
        <v>27111918</v>
      </c>
      <c r="C79" s="16" t="s">
        <v>184</v>
      </c>
      <c r="D79" s="16" t="s">
        <v>185</v>
      </c>
      <c r="E79" s="6" t="s">
        <v>104</v>
      </c>
      <c r="F79" s="7" t="s">
        <v>29</v>
      </c>
      <c r="G79" s="8">
        <v>10</v>
      </c>
      <c r="H79" s="9">
        <v>1394.6052</v>
      </c>
      <c r="I79" s="10">
        <v>0.19</v>
      </c>
      <c r="J79" s="11">
        <f t="shared" si="3"/>
        <v>1659.5801879999999</v>
      </c>
      <c r="K79" s="71">
        <f t="shared" si="2"/>
        <v>16595.801879999999</v>
      </c>
      <c r="L79" s="106"/>
    </row>
    <row r="80" spans="1:12">
      <c r="A80" s="12">
        <v>68</v>
      </c>
      <c r="B80" s="16">
        <v>27111918</v>
      </c>
      <c r="C80" s="16" t="s">
        <v>186</v>
      </c>
      <c r="D80" s="16" t="s">
        <v>187</v>
      </c>
      <c r="E80" s="6" t="s">
        <v>104</v>
      </c>
      <c r="F80" s="7" t="s">
        <v>29</v>
      </c>
      <c r="G80" s="8">
        <v>10</v>
      </c>
      <c r="H80" s="9">
        <v>1807.3040000000001</v>
      </c>
      <c r="I80" s="10">
        <v>0.19</v>
      </c>
      <c r="J80" s="11">
        <f t="shared" si="3"/>
        <v>2150.6917600000002</v>
      </c>
      <c r="K80" s="71">
        <f t="shared" si="2"/>
        <v>21506.917600000001</v>
      </c>
      <c r="L80" s="106"/>
    </row>
    <row r="81" spans="1:13">
      <c r="A81" s="12">
        <v>69</v>
      </c>
      <c r="B81" s="16">
        <v>27111918</v>
      </c>
      <c r="C81" s="16" t="s">
        <v>188</v>
      </c>
      <c r="D81" s="16" t="s">
        <v>189</v>
      </c>
      <c r="E81" s="6" t="s">
        <v>104</v>
      </c>
      <c r="F81" s="7" t="s">
        <v>29</v>
      </c>
      <c r="G81" s="8">
        <v>10</v>
      </c>
      <c r="H81" s="9">
        <v>1721.5968</v>
      </c>
      <c r="I81" s="10">
        <v>0.19</v>
      </c>
      <c r="J81" s="11">
        <f t="shared" si="3"/>
        <v>2048.7001919999998</v>
      </c>
      <c r="K81" s="71">
        <f t="shared" si="2"/>
        <v>20487.001919999999</v>
      </c>
      <c r="L81" s="106"/>
    </row>
    <row r="82" spans="1:13">
      <c r="A82" s="12">
        <v>70</v>
      </c>
      <c r="B82" s="16">
        <v>27111918</v>
      </c>
      <c r="C82" s="16" t="s">
        <v>190</v>
      </c>
      <c r="D82" s="16" t="s">
        <v>191</v>
      </c>
      <c r="E82" s="6" t="s">
        <v>104</v>
      </c>
      <c r="F82" s="7" t="s">
        <v>29</v>
      </c>
      <c r="G82" s="8">
        <v>10</v>
      </c>
      <c r="H82" s="9">
        <v>2016.914</v>
      </c>
      <c r="I82" s="10">
        <v>0.19</v>
      </c>
      <c r="J82" s="11">
        <f t="shared" si="3"/>
        <v>2400.1276599999997</v>
      </c>
      <c r="K82" s="71">
        <f t="shared" si="2"/>
        <v>24001.276599999997</v>
      </c>
      <c r="L82" s="106"/>
    </row>
    <row r="83" spans="1:13">
      <c r="A83" s="12">
        <v>71</v>
      </c>
      <c r="B83" s="16">
        <v>27112739</v>
      </c>
      <c r="C83" s="16" t="s">
        <v>192</v>
      </c>
      <c r="D83" s="16" t="s">
        <v>193</v>
      </c>
      <c r="E83" s="6" t="s">
        <v>104</v>
      </c>
      <c r="F83" s="7" t="s">
        <v>29</v>
      </c>
      <c r="G83" s="8">
        <v>5</v>
      </c>
      <c r="H83" s="9">
        <v>6387.0496000000003</v>
      </c>
      <c r="I83" s="10">
        <v>0.19</v>
      </c>
      <c r="J83" s="11">
        <f t="shared" si="3"/>
        <v>7600.5890239999999</v>
      </c>
      <c r="K83" s="71">
        <f t="shared" si="2"/>
        <v>38002.945119999997</v>
      </c>
      <c r="L83" s="106"/>
    </row>
    <row r="84" spans="1:13">
      <c r="A84" s="12">
        <v>72</v>
      </c>
      <c r="B84" s="16">
        <v>27112739</v>
      </c>
      <c r="C84" s="16" t="s">
        <v>194</v>
      </c>
      <c r="D84" s="16" t="s">
        <v>193</v>
      </c>
      <c r="E84" s="6" t="s">
        <v>104</v>
      </c>
      <c r="F84" s="7" t="s">
        <v>29</v>
      </c>
      <c r="G84" s="8">
        <v>5</v>
      </c>
      <c r="H84" s="9">
        <v>7428.5784000000003</v>
      </c>
      <c r="I84" s="10">
        <v>0.19</v>
      </c>
      <c r="J84" s="11">
        <f t="shared" si="3"/>
        <v>8840.008296</v>
      </c>
      <c r="K84" s="71">
        <f t="shared" si="2"/>
        <v>44200.04148</v>
      </c>
      <c r="L84" s="106"/>
    </row>
    <row r="85" spans="1:13">
      <c r="A85" s="12">
        <v>73</v>
      </c>
      <c r="B85" s="88">
        <v>53141605</v>
      </c>
      <c r="C85" s="88" t="s">
        <v>195</v>
      </c>
      <c r="D85" s="88" t="s">
        <v>196</v>
      </c>
      <c r="E85" s="91" t="s">
        <v>104</v>
      </c>
      <c r="F85" s="92" t="s">
        <v>29</v>
      </c>
      <c r="G85" s="93">
        <v>500</v>
      </c>
      <c r="H85" s="94">
        <v>259.91640000000001</v>
      </c>
      <c r="I85" s="95">
        <v>0.19</v>
      </c>
      <c r="J85" s="96">
        <f t="shared" si="3"/>
        <v>309.30051600000002</v>
      </c>
      <c r="K85" s="97">
        <f t="shared" si="2"/>
        <v>154650.258</v>
      </c>
      <c r="L85" s="106" t="s">
        <v>197</v>
      </c>
    </row>
    <row r="86" spans="1:13">
      <c r="A86" s="12">
        <v>74</v>
      </c>
      <c r="B86" s="16">
        <v>23121612</v>
      </c>
      <c r="C86" s="16" t="s">
        <v>198</v>
      </c>
      <c r="D86" s="15" t="s">
        <v>199</v>
      </c>
      <c r="E86" s="6" t="s">
        <v>104</v>
      </c>
      <c r="F86" s="7" t="s">
        <v>200</v>
      </c>
      <c r="G86" s="8">
        <v>15</v>
      </c>
      <c r="H86" s="9">
        <v>6128.0648000000001</v>
      </c>
      <c r="I86" s="10">
        <v>0.19</v>
      </c>
      <c r="J86" s="11">
        <f t="shared" si="3"/>
        <v>7292.3971119999997</v>
      </c>
      <c r="K86" s="71">
        <f t="shared" si="2"/>
        <v>109385.95667999999</v>
      </c>
      <c r="L86" s="106"/>
    </row>
    <row r="87" spans="1:13">
      <c r="A87" s="12">
        <v>75</v>
      </c>
      <c r="B87" s="16">
        <v>23121612</v>
      </c>
      <c r="C87" s="16" t="s">
        <v>201</v>
      </c>
      <c r="D87" s="16" t="s">
        <v>202</v>
      </c>
      <c r="E87" s="6" t="s">
        <v>104</v>
      </c>
      <c r="F87" s="7" t="s">
        <v>200</v>
      </c>
      <c r="G87" s="8">
        <v>50</v>
      </c>
      <c r="H87" s="9">
        <v>6128.0648000000001</v>
      </c>
      <c r="I87" s="10">
        <v>0.19</v>
      </c>
      <c r="J87" s="11">
        <f t="shared" si="3"/>
        <v>7292.3971119999997</v>
      </c>
      <c r="K87" s="71">
        <f t="shared" si="2"/>
        <v>364619.85560000001</v>
      </c>
      <c r="L87" s="106"/>
    </row>
    <row r="88" spans="1:13">
      <c r="A88" s="12">
        <v>76</v>
      </c>
      <c r="B88" s="16">
        <v>23121612</v>
      </c>
      <c r="C88" s="16" t="s">
        <v>203</v>
      </c>
      <c r="D88" s="15" t="s">
        <v>204</v>
      </c>
      <c r="E88" s="6" t="s">
        <v>104</v>
      </c>
      <c r="F88" s="7" t="s">
        <v>200</v>
      </c>
      <c r="G88" s="8">
        <v>50</v>
      </c>
      <c r="H88" s="9">
        <v>6128.0648000000001</v>
      </c>
      <c r="I88" s="10">
        <v>0.19</v>
      </c>
      <c r="J88" s="11">
        <f t="shared" si="3"/>
        <v>7292.3971119999997</v>
      </c>
      <c r="K88" s="71">
        <f t="shared" si="2"/>
        <v>364619.85560000001</v>
      </c>
      <c r="L88" s="106"/>
    </row>
    <row r="89" spans="1:13">
      <c r="A89" s="12">
        <v>77</v>
      </c>
      <c r="B89" s="16">
        <v>23121612</v>
      </c>
      <c r="C89" s="16" t="s">
        <v>205</v>
      </c>
      <c r="D89" s="16" t="s">
        <v>206</v>
      </c>
      <c r="E89" s="6" t="s">
        <v>104</v>
      </c>
      <c r="F89" s="7" t="s">
        <v>200</v>
      </c>
      <c r="G89" s="8">
        <v>50</v>
      </c>
      <c r="H89" s="9">
        <v>6128.0648000000001</v>
      </c>
      <c r="I89" s="10">
        <v>0.19</v>
      </c>
      <c r="J89" s="11">
        <f t="shared" si="3"/>
        <v>7292.3971119999997</v>
      </c>
      <c r="K89" s="71">
        <f t="shared" si="2"/>
        <v>364619.85560000001</v>
      </c>
      <c r="L89" s="106"/>
    </row>
    <row r="90" spans="1:13" ht="174.75">
      <c r="A90" s="109">
        <v>78</v>
      </c>
      <c r="B90" s="32">
        <v>11151709</v>
      </c>
      <c r="C90" s="32" t="s">
        <v>207</v>
      </c>
      <c r="D90" s="110" t="s">
        <v>208</v>
      </c>
      <c r="E90" s="111" t="s">
        <v>104</v>
      </c>
      <c r="F90" s="112" t="s">
        <v>29</v>
      </c>
      <c r="G90" s="113">
        <v>50</v>
      </c>
      <c r="H90" s="114">
        <v>6549.1480000000001</v>
      </c>
      <c r="I90" s="115">
        <v>0.19</v>
      </c>
      <c r="J90" s="116">
        <f t="shared" si="3"/>
        <v>7793.4861199999996</v>
      </c>
      <c r="K90" s="117">
        <f t="shared" si="2"/>
        <v>389674.30599999998</v>
      </c>
      <c r="L90" s="106"/>
      <c r="M90" s="107"/>
    </row>
    <row r="91" spans="1:13" ht="148.5">
      <c r="A91" s="109">
        <v>79</v>
      </c>
      <c r="B91" s="118">
        <v>11151709</v>
      </c>
      <c r="C91" s="118" t="s">
        <v>209</v>
      </c>
      <c r="D91" s="110" t="s">
        <v>210</v>
      </c>
      <c r="E91" s="111" t="s">
        <v>104</v>
      </c>
      <c r="F91" s="112" t="s">
        <v>29</v>
      </c>
      <c r="G91" s="113">
        <v>30</v>
      </c>
      <c r="H91" s="114">
        <v>6888.2503999999999</v>
      </c>
      <c r="I91" s="115">
        <v>0.19</v>
      </c>
      <c r="J91" s="116">
        <f t="shared" si="3"/>
        <v>8197.0179759999992</v>
      </c>
      <c r="K91" s="117">
        <f t="shared" si="2"/>
        <v>245910.53927999997</v>
      </c>
      <c r="L91" s="106"/>
      <c r="M91" s="107"/>
    </row>
    <row r="92" spans="1:13">
      <c r="A92" s="12">
        <v>80</v>
      </c>
      <c r="B92" s="16">
        <v>11151703</v>
      </c>
      <c r="C92" s="16" t="s">
        <v>211</v>
      </c>
      <c r="D92" s="16" t="s">
        <v>212</v>
      </c>
      <c r="E92" s="6" t="s">
        <v>104</v>
      </c>
      <c r="F92" s="7" t="s">
        <v>29</v>
      </c>
      <c r="G92" s="8">
        <v>5</v>
      </c>
      <c r="H92" s="9">
        <v>50858.838799999998</v>
      </c>
      <c r="I92" s="10">
        <v>0.19</v>
      </c>
      <c r="J92" s="11">
        <f t="shared" si="3"/>
        <v>60522.018171999996</v>
      </c>
      <c r="K92" s="71">
        <f t="shared" si="2"/>
        <v>302610.09086</v>
      </c>
      <c r="L92" s="106"/>
    </row>
    <row r="93" spans="1:13" ht="174.75">
      <c r="A93" s="12">
        <v>81</v>
      </c>
      <c r="B93" s="124">
        <v>11151703</v>
      </c>
      <c r="C93" s="88" t="s">
        <v>213</v>
      </c>
      <c r="D93" s="90" t="s">
        <v>214</v>
      </c>
      <c r="E93" s="91" t="s">
        <v>104</v>
      </c>
      <c r="F93" s="92" t="s">
        <v>29</v>
      </c>
      <c r="G93" s="93">
        <v>20</v>
      </c>
      <c r="H93" s="94">
        <v>4148.4148000000005</v>
      </c>
      <c r="I93" s="95">
        <v>0.19</v>
      </c>
      <c r="J93" s="96">
        <f t="shared" si="3"/>
        <v>4936.6136120000001</v>
      </c>
      <c r="K93" s="97">
        <f t="shared" si="2"/>
        <v>98732.272240000006</v>
      </c>
      <c r="L93" s="125" t="s">
        <v>215</v>
      </c>
    </row>
    <row r="94" spans="1:13">
      <c r="A94" s="12">
        <v>82</v>
      </c>
      <c r="B94" s="17">
        <v>23140000</v>
      </c>
      <c r="C94" s="14" t="s">
        <v>216</v>
      </c>
      <c r="D94" s="15" t="s">
        <v>217</v>
      </c>
      <c r="E94" s="6" t="s">
        <v>104</v>
      </c>
      <c r="F94" s="7" t="s">
        <v>29</v>
      </c>
      <c r="G94" s="8">
        <v>10</v>
      </c>
      <c r="H94" s="9">
        <v>1369.452</v>
      </c>
      <c r="I94" s="10">
        <v>0.19</v>
      </c>
      <c r="J94" s="11">
        <f t="shared" si="3"/>
        <v>1629.64788</v>
      </c>
      <c r="K94" s="71">
        <f t="shared" si="2"/>
        <v>16296.478800000001</v>
      </c>
      <c r="L94" s="106"/>
    </row>
    <row r="95" spans="1:13">
      <c r="A95" s="12">
        <v>83</v>
      </c>
      <c r="B95" s="14">
        <v>23140000</v>
      </c>
      <c r="C95" s="14" t="s">
        <v>218</v>
      </c>
      <c r="D95" s="16" t="s">
        <v>219</v>
      </c>
      <c r="E95" s="6" t="s">
        <v>104</v>
      </c>
      <c r="F95" s="7" t="s">
        <v>29</v>
      </c>
      <c r="G95" s="8">
        <v>50</v>
      </c>
      <c r="H95" s="9">
        <v>939.05279999999993</v>
      </c>
      <c r="I95" s="10">
        <v>0.19</v>
      </c>
      <c r="J95" s="11">
        <f t="shared" si="3"/>
        <v>1117.4728319999999</v>
      </c>
      <c r="K95" s="71">
        <f t="shared" si="2"/>
        <v>55873.641599999995</v>
      </c>
      <c r="L95" s="106"/>
    </row>
    <row r="96" spans="1:13">
      <c r="A96" s="12">
        <v>84</v>
      </c>
      <c r="B96" s="14">
        <v>23140000</v>
      </c>
      <c r="C96" s="14" t="s">
        <v>220</v>
      </c>
      <c r="D96" s="16" t="s">
        <v>221</v>
      </c>
      <c r="E96" s="6" t="s">
        <v>104</v>
      </c>
      <c r="F96" s="7" t="s">
        <v>29</v>
      </c>
      <c r="G96" s="8">
        <v>50</v>
      </c>
      <c r="H96" s="9">
        <v>585.97640000000001</v>
      </c>
      <c r="I96" s="10">
        <v>0.19</v>
      </c>
      <c r="J96" s="11">
        <f t="shared" si="3"/>
        <v>697.311916</v>
      </c>
      <c r="K96" s="71">
        <f t="shared" si="2"/>
        <v>34865.595800000003</v>
      </c>
      <c r="L96" s="106"/>
    </row>
    <row r="97" spans="1:12">
      <c r="A97" s="12">
        <v>85</v>
      </c>
      <c r="B97" s="14">
        <v>23140000</v>
      </c>
      <c r="C97" s="14" t="s">
        <v>222</v>
      </c>
      <c r="D97" s="16" t="s">
        <v>223</v>
      </c>
      <c r="E97" s="6" t="s">
        <v>104</v>
      </c>
      <c r="F97" s="7" t="s">
        <v>29</v>
      </c>
      <c r="G97" s="8">
        <v>100</v>
      </c>
      <c r="H97" s="9">
        <v>585.97640000000001</v>
      </c>
      <c r="I97" s="10">
        <v>0.19</v>
      </c>
      <c r="J97" s="11">
        <f t="shared" si="3"/>
        <v>697.311916</v>
      </c>
      <c r="K97" s="71">
        <f t="shared" si="2"/>
        <v>69731.191600000006</v>
      </c>
      <c r="L97" s="106"/>
    </row>
    <row r="98" spans="1:12">
      <c r="A98" s="12">
        <v>86</v>
      </c>
      <c r="B98" s="14">
        <v>23140000</v>
      </c>
      <c r="C98" s="14" t="s">
        <v>224</v>
      </c>
      <c r="D98" s="16" t="s">
        <v>225</v>
      </c>
      <c r="E98" s="6" t="s">
        <v>104</v>
      </c>
      <c r="F98" s="7" t="s">
        <v>29</v>
      </c>
      <c r="G98" s="8">
        <v>100</v>
      </c>
      <c r="H98" s="9">
        <v>527.28560000000004</v>
      </c>
      <c r="I98" s="10">
        <v>0.19</v>
      </c>
      <c r="J98" s="11">
        <f t="shared" si="3"/>
        <v>627.46986400000003</v>
      </c>
      <c r="K98" s="71">
        <f t="shared" si="2"/>
        <v>62746.986400000002</v>
      </c>
      <c r="L98" s="106"/>
    </row>
    <row r="99" spans="1:12">
      <c r="A99" s="12">
        <v>87</v>
      </c>
      <c r="B99" s="14">
        <v>23140000</v>
      </c>
      <c r="C99" s="14" t="s">
        <v>226</v>
      </c>
      <c r="D99" s="16" t="s">
        <v>227</v>
      </c>
      <c r="E99" s="6" t="s">
        <v>104</v>
      </c>
      <c r="F99" s="7" t="s">
        <v>29</v>
      </c>
      <c r="G99" s="8">
        <v>100</v>
      </c>
      <c r="H99" s="9">
        <v>2243.2928000000002</v>
      </c>
      <c r="I99" s="10">
        <v>0.19</v>
      </c>
      <c r="J99" s="11">
        <f t="shared" si="3"/>
        <v>2669.5184320000003</v>
      </c>
      <c r="K99" s="71">
        <f t="shared" si="2"/>
        <v>266951.8432</v>
      </c>
      <c r="L99" s="106"/>
    </row>
    <row r="100" spans="1:12">
      <c r="A100" s="12">
        <v>88</v>
      </c>
      <c r="B100" s="30">
        <v>53141506</v>
      </c>
      <c r="C100" s="14" t="s">
        <v>228</v>
      </c>
      <c r="D100" s="16" t="s">
        <v>229</v>
      </c>
      <c r="E100" s="6" t="s">
        <v>104</v>
      </c>
      <c r="F100" s="7" t="s">
        <v>29</v>
      </c>
      <c r="G100" s="8">
        <v>20</v>
      </c>
      <c r="H100" s="9">
        <v>548.7124</v>
      </c>
      <c r="I100" s="10">
        <v>0.19</v>
      </c>
      <c r="J100" s="11">
        <f t="shared" si="3"/>
        <v>652.96775600000001</v>
      </c>
      <c r="K100" s="71">
        <f t="shared" si="2"/>
        <v>13059.35512</v>
      </c>
      <c r="L100" s="106"/>
    </row>
    <row r="101" spans="1:12" ht="81">
      <c r="A101" s="12">
        <v>89</v>
      </c>
      <c r="B101" s="16">
        <v>23140000</v>
      </c>
      <c r="C101" s="16" t="s">
        <v>230</v>
      </c>
      <c r="D101" s="87" t="s">
        <v>231</v>
      </c>
      <c r="E101" s="6" t="s">
        <v>104</v>
      </c>
      <c r="F101" s="7" t="s">
        <v>29</v>
      </c>
      <c r="G101" s="8">
        <v>150</v>
      </c>
      <c r="H101" s="9">
        <v>1695.5119999999999</v>
      </c>
      <c r="I101" s="10">
        <v>0.19</v>
      </c>
      <c r="J101" s="11">
        <f t="shared" si="3"/>
        <v>2017.6592799999999</v>
      </c>
      <c r="K101" s="71">
        <f t="shared" si="2"/>
        <v>302648.89199999999</v>
      </c>
      <c r="L101" s="106"/>
    </row>
    <row r="102" spans="1:12">
      <c r="A102" s="12">
        <v>90</v>
      </c>
      <c r="B102" s="16">
        <v>23140000</v>
      </c>
      <c r="C102" s="16" t="s">
        <v>232</v>
      </c>
      <c r="D102" s="16" t="s">
        <v>233</v>
      </c>
      <c r="E102" s="6" t="s">
        <v>104</v>
      </c>
      <c r="F102" s="7" t="s">
        <v>29</v>
      </c>
      <c r="G102" s="8">
        <v>150</v>
      </c>
      <c r="H102" s="9">
        <v>1278.1551999999999</v>
      </c>
      <c r="I102" s="10">
        <v>0.19</v>
      </c>
      <c r="J102" s="11">
        <f t="shared" si="3"/>
        <v>1521.0046879999998</v>
      </c>
      <c r="K102" s="71">
        <f t="shared" si="2"/>
        <v>228150.70319999996</v>
      </c>
      <c r="L102" s="106"/>
    </row>
    <row r="103" spans="1:12">
      <c r="A103" s="12">
        <v>91</v>
      </c>
      <c r="B103" s="16">
        <v>23140000</v>
      </c>
      <c r="C103" s="16" t="s">
        <v>234</v>
      </c>
      <c r="D103" s="16" t="s">
        <v>235</v>
      </c>
      <c r="E103" s="6" t="s">
        <v>104</v>
      </c>
      <c r="F103" s="7" t="s">
        <v>29</v>
      </c>
      <c r="G103" s="8">
        <v>150</v>
      </c>
      <c r="H103" s="9">
        <v>978.18</v>
      </c>
      <c r="I103" s="10">
        <v>0.19</v>
      </c>
      <c r="J103" s="11">
        <f t="shared" si="3"/>
        <v>1164.0341999999998</v>
      </c>
      <c r="K103" s="71">
        <f t="shared" si="2"/>
        <v>174605.12999999998</v>
      </c>
      <c r="L103" s="106"/>
    </row>
    <row r="104" spans="1:12">
      <c r="A104" s="12">
        <v>92</v>
      </c>
      <c r="B104" s="16">
        <v>23140000</v>
      </c>
      <c r="C104" s="16" t="s">
        <v>236</v>
      </c>
      <c r="D104" s="16" t="s">
        <v>237</v>
      </c>
      <c r="E104" s="6" t="s">
        <v>104</v>
      </c>
      <c r="F104" s="7" t="s">
        <v>29</v>
      </c>
      <c r="G104" s="8">
        <v>150</v>
      </c>
      <c r="H104" s="9">
        <v>1565.088</v>
      </c>
      <c r="I104" s="10">
        <v>0.19</v>
      </c>
      <c r="J104" s="11">
        <f t="shared" si="3"/>
        <v>1862.45472</v>
      </c>
      <c r="K104" s="71">
        <f t="shared" si="2"/>
        <v>279368.20799999998</v>
      </c>
      <c r="L104" s="106"/>
    </row>
    <row r="105" spans="1:12">
      <c r="A105" s="12">
        <v>93</v>
      </c>
      <c r="B105" s="16">
        <v>23140000</v>
      </c>
      <c r="C105" s="14" t="s">
        <v>238</v>
      </c>
      <c r="D105" s="16" t="s">
        <v>239</v>
      </c>
      <c r="E105" s="6" t="s">
        <v>104</v>
      </c>
      <c r="F105" s="7" t="s">
        <v>29</v>
      </c>
      <c r="G105" s="8">
        <v>100</v>
      </c>
      <c r="H105" s="9">
        <v>1199.9007999999999</v>
      </c>
      <c r="I105" s="10">
        <v>0.19</v>
      </c>
      <c r="J105" s="11">
        <f t="shared" si="3"/>
        <v>1427.8819519999997</v>
      </c>
      <c r="K105" s="71">
        <f t="shared" si="2"/>
        <v>142788.19519999996</v>
      </c>
      <c r="L105" s="106"/>
    </row>
    <row r="106" spans="1:12">
      <c r="A106" s="12">
        <v>94</v>
      </c>
      <c r="B106" s="14">
        <v>23140000</v>
      </c>
      <c r="C106" s="16" t="s">
        <v>240</v>
      </c>
      <c r="D106" s="16" t="s">
        <v>241</v>
      </c>
      <c r="E106" s="6" t="s">
        <v>104</v>
      </c>
      <c r="F106" s="7" t="s">
        <v>29</v>
      </c>
      <c r="G106" s="8">
        <v>100</v>
      </c>
      <c r="H106" s="9">
        <v>449.96280000000002</v>
      </c>
      <c r="I106" s="10">
        <v>0.19</v>
      </c>
      <c r="J106" s="11">
        <f t="shared" si="3"/>
        <v>535.45573200000001</v>
      </c>
      <c r="K106" s="71">
        <f t="shared" si="2"/>
        <v>53545.573199999999</v>
      </c>
      <c r="L106" s="106"/>
    </row>
    <row r="107" spans="1:12" ht="122.25" customHeight="1">
      <c r="A107" s="12">
        <v>95</v>
      </c>
      <c r="B107" s="31">
        <v>53141504</v>
      </c>
      <c r="C107" s="16" t="s">
        <v>242</v>
      </c>
      <c r="D107" s="16" t="s">
        <v>243</v>
      </c>
      <c r="E107" s="6" t="s">
        <v>104</v>
      </c>
      <c r="F107" s="7" t="s">
        <v>29</v>
      </c>
      <c r="G107" s="8">
        <v>50</v>
      </c>
      <c r="H107" s="9">
        <v>1956.36</v>
      </c>
      <c r="I107" s="10">
        <v>0.19</v>
      </c>
      <c r="J107" s="11">
        <f t="shared" si="3"/>
        <v>2328.0683999999997</v>
      </c>
      <c r="K107" s="71">
        <f t="shared" si="2"/>
        <v>116403.41999999998</v>
      </c>
      <c r="L107" s="106"/>
    </row>
    <row r="108" spans="1:12">
      <c r="A108" s="12">
        <v>96</v>
      </c>
      <c r="B108" s="31">
        <v>53141504</v>
      </c>
      <c r="C108" s="16" t="s">
        <v>244</v>
      </c>
      <c r="D108" s="16" t="s">
        <v>245</v>
      </c>
      <c r="E108" s="6" t="s">
        <v>104</v>
      </c>
      <c r="F108" s="7" t="s">
        <v>29</v>
      </c>
      <c r="G108" s="8">
        <v>50</v>
      </c>
      <c r="H108" s="9">
        <v>2112.8688000000002</v>
      </c>
      <c r="I108" s="10">
        <v>0.19</v>
      </c>
      <c r="J108" s="11">
        <f t="shared" si="3"/>
        <v>2514.3138720000002</v>
      </c>
      <c r="K108" s="71">
        <f t="shared" si="2"/>
        <v>125715.69360000001</v>
      </c>
      <c r="L108" s="106"/>
    </row>
    <row r="109" spans="1:12">
      <c r="A109" s="12">
        <v>97</v>
      </c>
      <c r="B109" s="16">
        <v>23140000</v>
      </c>
      <c r="C109" s="16" t="s">
        <v>246</v>
      </c>
      <c r="D109" s="16" t="s">
        <v>247</v>
      </c>
      <c r="E109" s="6" t="s">
        <v>104</v>
      </c>
      <c r="F109" s="7" t="s">
        <v>29</v>
      </c>
      <c r="G109" s="8">
        <v>100</v>
      </c>
      <c r="H109" s="9">
        <v>1584.6515999999999</v>
      </c>
      <c r="I109" s="10">
        <v>0.19</v>
      </c>
      <c r="J109" s="11">
        <f t="shared" si="3"/>
        <v>1885.7354039999998</v>
      </c>
      <c r="K109" s="71">
        <f t="shared" si="2"/>
        <v>188573.54039999997</v>
      </c>
      <c r="L109" s="106"/>
    </row>
    <row r="110" spans="1:12">
      <c r="A110" s="12">
        <v>98</v>
      </c>
      <c r="B110" s="30">
        <v>13111305</v>
      </c>
      <c r="C110" s="16" t="s">
        <v>248</v>
      </c>
      <c r="D110" s="16" t="s">
        <v>249</v>
      </c>
      <c r="E110" s="18" t="s">
        <v>104</v>
      </c>
      <c r="F110" s="7" t="s">
        <v>250</v>
      </c>
      <c r="G110" s="8">
        <v>10</v>
      </c>
      <c r="H110" s="9">
        <v>89949.706399999995</v>
      </c>
      <c r="I110" s="10">
        <v>0.19</v>
      </c>
      <c r="J110" s="11">
        <f t="shared" si="3"/>
        <v>107040.15061599998</v>
      </c>
      <c r="K110" s="71">
        <f t="shared" si="2"/>
        <v>1070401.5061599999</v>
      </c>
      <c r="L110" s="106"/>
    </row>
    <row r="111" spans="1:12">
      <c r="A111" s="12">
        <v>99</v>
      </c>
      <c r="B111" s="30">
        <v>13111305</v>
      </c>
      <c r="C111" s="16" t="s">
        <v>251</v>
      </c>
      <c r="D111" s="16" t="s">
        <v>252</v>
      </c>
      <c r="E111" s="18" t="s">
        <v>29</v>
      </c>
      <c r="F111" s="7" t="s">
        <v>250</v>
      </c>
      <c r="G111" s="8">
        <v>0</v>
      </c>
      <c r="H111" s="9">
        <v>81285.826400000005</v>
      </c>
      <c r="I111" s="10">
        <v>0.19</v>
      </c>
      <c r="J111" s="11">
        <f t="shared" si="3"/>
        <v>96730.133415999997</v>
      </c>
      <c r="K111" s="71">
        <f t="shared" si="2"/>
        <v>0</v>
      </c>
      <c r="L111" s="106"/>
    </row>
    <row r="112" spans="1:12">
      <c r="A112" s="12">
        <v>100</v>
      </c>
      <c r="B112" s="30">
        <v>13111305</v>
      </c>
      <c r="C112" s="16" t="s">
        <v>248</v>
      </c>
      <c r="D112" s="16" t="s">
        <v>253</v>
      </c>
      <c r="E112" s="18" t="s">
        <v>29</v>
      </c>
      <c r="F112" s="7" t="s">
        <v>250</v>
      </c>
      <c r="G112" s="8">
        <v>5</v>
      </c>
      <c r="H112" s="9">
        <v>48494.438000000002</v>
      </c>
      <c r="I112" s="10">
        <v>0.19</v>
      </c>
      <c r="J112" s="11">
        <f t="shared" si="3"/>
        <v>57708.381220000003</v>
      </c>
      <c r="K112" s="71">
        <f t="shared" si="2"/>
        <v>288541.90610000002</v>
      </c>
      <c r="L112" s="106"/>
    </row>
    <row r="113" spans="1:13">
      <c r="A113" s="12">
        <v>101</v>
      </c>
      <c r="B113" s="16">
        <v>11151709</v>
      </c>
      <c r="C113" s="16" t="s">
        <v>254</v>
      </c>
      <c r="D113" s="16" t="s">
        <v>255</v>
      </c>
      <c r="E113" s="6" t="s">
        <v>256</v>
      </c>
      <c r="F113" s="7" t="s">
        <v>257</v>
      </c>
      <c r="G113" s="8">
        <v>100</v>
      </c>
      <c r="H113" s="9">
        <v>2315.9576000000002</v>
      </c>
      <c r="I113" s="10">
        <v>0.19</v>
      </c>
      <c r="J113" s="11">
        <f t="shared" si="3"/>
        <v>2755.989544</v>
      </c>
      <c r="K113" s="71">
        <f t="shared" si="2"/>
        <v>275598.95439999999</v>
      </c>
      <c r="L113" s="106"/>
    </row>
    <row r="114" spans="1:13">
      <c r="A114" s="12">
        <v>102</v>
      </c>
      <c r="B114" s="30">
        <v>13101723</v>
      </c>
      <c r="C114" s="88" t="s">
        <v>258</v>
      </c>
      <c r="D114" s="16" t="s">
        <v>259</v>
      </c>
      <c r="E114" s="18" t="s">
        <v>260</v>
      </c>
      <c r="F114" s="7" t="s">
        <v>261</v>
      </c>
      <c r="G114" s="8">
        <v>0</v>
      </c>
      <c r="H114" s="9">
        <v>52190.095199999996</v>
      </c>
      <c r="I114" s="10">
        <v>0.19</v>
      </c>
      <c r="J114" s="11">
        <f t="shared" si="3"/>
        <v>62106.213287999992</v>
      </c>
      <c r="K114" s="71">
        <f t="shared" si="2"/>
        <v>0</v>
      </c>
      <c r="L114" s="106"/>
    </row>
    <row r="115" spans="1:13">
      <c r="A115" s="12">
        <v>103</v>
      </c>
      <c r="B115" s="30">
        <v>13101723</v>
      </c>
      <c r="C115" s="88" t="s">
        <v>262</v>
      </c>
      <c r="D115" s="29" t="s">
        <v>263</v>
      </c>
      <c r="E115" s="7" t="s">
        <v>260</v>
      </c>
      <c r="F115" s="7" t="s">
        <v>264</v>
      </c>
      <c r="G115" s="8">
        <v>0</v>
      </c>
      <c r="H115" s="9">
        <v>37445.661999999997</v>
      </c>
      <c r="I115" s="10">
        <v>0.19</v>
      </c>
      <c r="J115" s="11">
        <f t="shared" si="3"/>
        <v>44560.337779999994</v>
      </c>
      <c r="K115" s="71">
        <f t="shared" si="2"/>
        <v>0</v>
      </c>
      <c r="L115" s="106"/>
    </row>
    <row r="116" spans="1:13">
      <c r="A116" s="12">
        <v>104</v>
      </c>
      <c r="B116" s="16">
        <v>31211704</v>
      </c>
      <c r="C116" s="16" t="s">
        <v>265</v>
      </c>
      <c r="D116" s="16" t="s">
        <v>266</v>
      </c>
      <c r="E116" s="6" t="s">
        <v>116</v>
      </c>
      <c r="F116" s="7" t="s">
        <v>267</v>
      </c>
      <c r="G116" s="8">
        <v>20</v>
      </c>
      <c r="H116" s="9">
        <v>14220.874</v>
      </c>
      <c r="I116" s="10">
        <v>0.19</v>
      </c>
      <c r="J116" s="11">
        <f t="shared" si="3"/>
        <v>16922.840059999999</v>
      </c>
      <c r="K116" s="71">
        <f t="shared" si="2"/>
        <v>338456.80119999999</v>
      </c>
      <c r="L116" s="106"/>
    </row>
    <row r="117" spans="1:13" ht="75.75" customHeight="1">
      <c r="A117" s="120">
        <v>105</v>
      </c>
      <c r="B117" s="16">
        <v>31211709</v>
      </c>
      <c r="C117" s="16" t="s">
        <v>268</v>
      </c>
      <c r="D117" s="16" t="s">
        <v>269</v>
      </c>
      <c r="E117" s="121" t="s">
        <v>116</v>
      </c>
      <c r="F117" s="122" t="s">
        <v>267</v>
      </c>
      <c r="G117" s="8">
        <v>15</v>
      </c>
      <c r="H117" s="9">
        <v>14377.382799999999</v>
      </c>
      <c r="I117" s="10">
        <v>0.19</v>
      </c>
      <c r="J117" s="11">
        <f t="shared" si="3"/>
        <v>17109.085531999997</v>
      </c>
      <c r="K117" s="71">
        <f t="shared" si="2"/>
        <v>256636.28297999996</v>
      </c>
      <c r="L117" s="70"/>
      <c r="M117" t="s">
        <v>270</v>
      </c>
    </row>
    <row r="118" spans="1:13" ht="94.5">
      <c r="A118" s="12">
        <v>106</v>
      </c>
      <c r="B118" s="16">
        <v>31211709</v>
      </c>
      <c r="C118" s="16" t="s">
        <v>271</v>
      </c>
      <c r="D118" s="87" t="s">
        <v>272</v>
      </c>
      <c r="E118" s="6" t="s">
        <v>116</v>
      </c>
      <c r="F118" s="7" t="s">
        <v>273</v>
      </c>
      <c r="G118" s="8">
        <v>8</v>
      </c>
      <c r="H118" s="9">
        <v>2138.9535999999998</v>
      </c>
      <c r="I118" s="10">
        <v>0.19</v>
      </c>
      <c r="J118" s="11">
        <f t="shared" si="3"/>
        <v>2545.3547839999997</v>
      </c>
      <c r="K118" s="71">
        <f t="shared" si="2"/>
        <v>20362.838271999997</v>
      </c>
      <c r="L118" s="106"/>
    </row>
    <row r="119" spans="1:13" ht="161.25">
      <c r="A119" s="12">
        <v>107</v>
      </c>
      <c r="B119" s="16">
        <v>31211704</v>
      </c>
      <c r="C119" s="16" t="s">
        <v>274</v>
      </c>
      <c r="D119" s="87" t="s">
        <v>275</v>
      </c>
      <c r="E119" s="18" t="s">
        <v>127</v>
      </c>
      <c r="F119" s="26" t="s">
        <v>276</v>
      </c>
      <c r="G119" s="8">
        <v>20</v>
      </c>
      <c r="H119" s="9">
        <v>93657.474400000006</v>
      </c>
      <c r="I119" s="10">
        <v>0.19</v>
      </c>
      <c r="J119" s="11">
        <f t="shared" si="3"/>
        <v>111452.39453600001</v>
      </c>
      <c r="K119" s="71">
        <f t="shared" si="2"/>
        <v>2229047.89072</v>
      </c>
      <c r="L119" s="106"/>
    </row>
    <row r="120" spans="1:13" ht="116.25" customHeight="1">
      <c r="A120" s="12">
        <v>108</v>
      </c>
      <c r="B120" s="16">
        <v>31211709</v>
      </c>
      <c r="C120" s="16" t="s">
        <v>277</v>
      </c>
      <c r="D120" s="87" t="s">
        <v>278</v>
      </c>
      <c r="E120" s="6" t="s">
        <v>279</v>
      </c>
      <c r="F120" s="26" t="s">
        <v>113</v>
      </c>
      <c r="G120" s="8">
        <v>15</v>
      </c>
      <c r="H120" s="9">
        <v>6927.3775999999998</v>
      </c>
      <c r="I120" s="10">
        <v>0.19</v>
      </c>
      <c r="J120" s="11">
        <f t="shared" si="3"/>
        <v>8243.5793439999998</v>
      </c>
      <c r="K120" s="71">
        <f t="shared" si="2"/>
        <v>123653.69016</v>
      </c>
      <c r="L120" s="106"/>
    </row>
    <row r="121" spans="1:13" ht="173.25" customHeight="1">
      <c r="A121" s="12">
        <v>109</v>
      </c>
      <c r="B121" s="16">
        <v>12181501</v>
      </c>
      <c r="C121" s="16" t="s">
        <v>280</v>
      </c>
      <c r="D121" s="87" t="s">
        <v>281</v>
      </c>
      <c r="E121" s="6" t="s">
        <v>279</v>
      </c>
      <c r="F121" s="26" t="s">
        <v>282</v>
      </c>
      <c r="G121" s="8">
        <v>30</v>
      </c>
      <c r="H121" s="9">
        <v>4148.4148000000005</v>
      </c>
      <c r="I121" s="10">
        <v>0.19</v>
      </c>
      <c r="J121" s="11">
        <f t="shared" si="3"/>
        <v>4936.6136120000001</v>
      </c>
      <c r="K121" s="71">
        <f t="shared" si="2"/>
        <v>148098.40836</v>
      </c>
      <c r="L121" s="106"/>
    </row>
    <row r="122" spans="1:13">
      <c r="A122" s="12">
        <v>110</v>
      </c>
      <c r="B122" s="16">
        <v>12181502</v>
      </c>
      <c r="C122" s="16" t="s">
        <v>283</v>
      </c>
      <c r="D122" s="16" t="s">
        <v>284</v>
      </c>
      <c r="E122" s="6" t="s">
        <v>256</v>
      </c>
      <c r="F122" s="7" t="s">
        <v>285</v>
      </c>
      <c r="G122" s="8">
        <v>4</v>
      </c>
      <c r="H122" s="9">
        <v>11546.250400000001</v>
      </c>
      <c r="I122" s="10">
        <v>0.19</v>
      </c>
      <c r="J122" s="11">
        <f t="shared" si="3"/>
        <v>13740.037976</v>
      </c>
      <c r="K122" s="71">
        <f t="shared" si="2"/>
        <v>54960.151903999998</v>
      </c>
      <c r="L122" s="106"/>
    </row>
    <row r="123" spans="1:13">
      <c r="A123" s="12">
        <v>111</v>
      </c>
      <c r="B123" s="16">
        <v>13111064</v>
      </c>
      <c r="C123" s="16" t="s">
        <v>286</v>
      </c>
      <c r="D123" s="16" t="s">
        <v>287</v>
      </c>
      <c r="E123" s="6" t="s">
        <v>104</v>
      </c>
      <c r="F123" s="7" t="s">
        <v>288</v>
      </c>
      <c r="G123" s="8">
        <v>15</v>
      </c>
      <c r="H123" s="9">
        <v>68905.793999999994</v>
      </c>
      <c r="I123" s="10">
        <v>0.19</v>
      </c>
      <c r="J123" s="11">
        <f t="shared" si="3"/>
        <v>81997.894859999986</v>
      </c>
      <c r="K123" s="71">
        <f t="shared" si="2"/>
        <v>1229968.4228999999</v>
      </c>
      <c r="L123" s="106"/>
    </row>
    <row r="124" spans="1:13">
      <c r="A124" s="12">
        <v>112</v>
      </c>
      <c r="B124" s="16">
        <v>15121902</v>
      </c>
      <c r="C124" s="16" t="s">
        <v>289</v>
      </c>
      <c r="D124" s="16" t="s">
        <v>290</v>
      </c>
      <c r="E124" s="6" t="s">
        <v>104</v>
      </c>
      <c r="F124" s="7" t="s">
        <v>291</v>
      </c>
      <c r="G124" s="8">
        <v>15</v>
      </c>
      <c r="H124" s="9">
        <v>3678.8883999999998</v>
      </c>
      <c r="I124" s="10">
        <v>0.19</v>
      </c>
      <c r="J124" s="11">
        <f t="shared" si="3"/>
        <v>4377.8771959999995</v>
      </c>
      <c r="K124" s="71">
        <f t="shared" si="2"/>
        <v>65668.15793999999</v>
      </c>
      <c r="L124" s="106"/>
    </row>
    <row r="125" spans="1:13">
      <c r="A125" s="12">
        <v>113</v>
      </c>
      <c r="B125" s="16">
        <v>47131809</v>
      </c>
      <c r="C125" s="16" t="s">
        <v>292</v>
      </c>
      <c r="D125" s="16" t="s">
        <v>293</v>
      </c>
      <c r="E125" s="18" t="s">
        <v>104</v>
      </c>
      <c r="F125" s="7" t="s">
        <v>294</v>
      </c>
      <c r="G125" s="8">
        <v>10</v>
      </c>
      <c r="H125" s="9">
        <v>12211.4128</v>
      </c>
      <c r="I125" s="10">
        <v>0.19</v>
      </c>
      <c r="J125" s="11">
        <f t="shared" si="3"/>
        <v>14531.581231999999</v>
      </c>
      <c r="K125" s="71">
        <f t="shared" si="2"/>
        <v>145315.81232</v>
      </c>
      <c r="L125" s="106"/>
    </row>
    <row r="126" spans="1:13">
      <c r="A126" s="12">
        <v>114</v>
      </c>
      <c r="B126" s="16">
        <v>11162105</v>
      </c>
      <c r="C126" s="16" t="s">
        <v>295</v>
      </c>
      <c r="D126" s="16" t="s">
        <v>296</v>
      </c>
      <c r="E126" s="6" t="s">
        <v>104</v>
      </c>
      <c r="F126" s="7" t="s">
        <v>297</v>
      </c>
      <c r="G126" s="8">
        <v>5</v>
      </c>
      <c r="H126" s="9">
        <v>67324.868799999997</v>
      </c>
      <c r="I126" s="10">
        <v>0.19</v>
      </c>
      <c r="J126" s="11">
        <f t="shared" si="3"/>
        <v>80116.593871999998</v>
      </c>
      <c r="K126" s="71">
        <f t="shared" si="2"/>
        <v>400582.96935999999</v>
      </c>
      <c r="L126" s="106"/>
    </row>
    <row r="127" spans="1:13">
      <c r="A127" s="12">
        <v>115</v>
      </c>
      <c r="B127" s="16">
        <v>11162105</v>
      </c>
      <c r="C127" s="16" t="s">
        <v>298</v>
      </c>
      <c r="D127" s="16" t="s">
        <v>299</v>
      </c>
      <c r="E127" s="6" t="s">
        <v>54</v>
      </c>
      <c r="F127" s="7" t="s">
        <v>300</v>
      </c>
      <c r="G127" s="8">
        <v>10</v>
      </c>
      <c r="H127" s="9">
        <v>6986.0684000000001</v>
      </c>
      <c r="I127" s="10">
        <v>0.19</v>
      </c>
      <c r="J127" s="11">
        <f t="shared" si="3"/>
        <v>8313.4213959999997</v>
      </c>
      <c r="K127" s="71">
        <f t="shared" si="2"/>
        <v>83134.213959999994</v>
      </c>
      <c r="L127" s="106"/>
    </row>
    <row r="128" spans="1:13">
      <c r="A128" s="12">
        <v>116</v>
      </c>
      <c r="B128" s="16">
        <v>27112126</v>
      </c>
      <c r="C128" s="16" t="s">
        <v>301</v>
      </c>
      <c r="D128" s="16" t="s">
        <v>302</v>
      </c>
      <c r="E128" s="6" t="s">
        <v>104</v>
      </c>
      <c r="F128" s="7" t="s">
        <v>29</v>
      </c>
      <c r="G128" s="8">
        <v>2</v>
      </c>
      <c r="H128" s="9">
        <v>45888.752800000002</v>
      </c>
      <c r="I128" s="10">
        <v>0.19</v>
      </c>
      <c r="J128" s="11">
        <f t="shared" si="3"/>
        <v>54607.615832000003</v>
      </c>
      <c r="K128" s="71">
        <f t="shared" si="2"/>
        <v>109215.23166400001</v>
      </c>
      <c r="L128" s="106"/>
    </row>
    <row r="129" spans="1:12">
      <c r="A129" s="12">
        <v>117</v>
      </c>
      <c r="B129" s="16">
        <v>27111956</v>
      </c>
      <c r="C129" s="16" t="s">
        <v>303</v>
      </c>
      <c r="D129" s="16" t="s">
        <v>304</v>
      </c>
      <c r="E129" s="6" t="s">
        <v>104</v>
      </c>
      <c r="F129" s="7" t="s">
        <v>29</v>
      </c>
      <c r="G129" s="8">
        <v>5</v>
      </c>
      <c r="H129" s="9">
        <v>63097.267999999996</v>
      </c>
      <c r="I129" s="10">
        <v>0.19</v>
      </c>
      <c r="J129" s="11">
        <f t="shared" si="3"/>
        <v>75085.748919999998</v>
      </c>
      <c r="K129" s="71">
        <f t="shared" si="2"/>
        <v>375428.74459999998</v>
      </c>
      <c r="L129" s="106"/>
    </row>
    <row r="130" spans="1:12">
      <c r="A130" s="12">
        <v>118</v>
      </c>
      <c r="B130" s="16">
        <v>27111956</v>
      </c>
      <c r="C130" s="16" t="s">
        <v>305</v>
      </c>
      <c r="D130" s="16" t="s">
        <v>306</v>
      </c>
      <c r="E130" s="6" t="s">
        <v>104</v>
      </c>
      <c r="F130" s="7" t="s">
        <v>29</v>
      </c>
      <c r="G130" s="8">
        <v>5</v>
      </c>
      <c r="H130" s="9">
        <v>63224.897199999999</v>
      </c>
      <c r="I130" s="10">
        <v>0.19</v>
      </c>
      <c r="J130" s="11">
        <f t="shared" si="3"/>
        <v>75237.627668000001</v>
      </c>
      <c r="K130" s="71">
        <f t="shared" si="2"/>
        <v>376188.13834</v>
      </c>
      <c r="L130" s="106"/>
    </row>
    <row r="131" spans="1:12">
      <c r="A131" s="12">
        <v>119</v>
      </c>
      <c r="B131" s="16">
        <v>27111526</v>
      </c>
      <c r="C131" s="16" t="s">
        <v>307</v>
      </c>
      <c r="D131" s="16" t="s">
        <v>308</v>
      </c>
      <c r="E131" s="6" t="s">
        <v>104</v>
      </c>
      <c r="F131" s="7" t="s">
        <v>29</v>
      </c>
      <c r="G131" s="8">
        <v>0</v>
      </c>
      <c r="H131" s="9">
        <v>61473.489199999996</v>
      </c>
      <c r="I131" s="10">
        <v>0.19</v>
      </c>
      <c r="J131" s="11">
        <f t="shared" si="3"/>
        <v>73153.452147999997</v>
      </c>
      <c r="K131" s="71">
        <f t="shared" si="2"/>
        <v>0</v>
      </c>
      <c r="L131" s="106"/>
    </row>
    <row r="132" spans="1:12">
      <c r="A132" s="12">
        <v>120</v>
      </c>
      <c r="B132" s="16">
        <v>27111526</v>
      </c>
      <c r="C132" s="16" t="s">
        <v>309</v>
      </c>
      <c r="D132" s="16" t="s">
        <v>310</v>
      </c>
      <c r="E132" s="6" t="s">
        <v>311</v>
      </c>
      <c r="F132" s="7" t="s">
        <v>311</v>
      </c>
      <c r="G132" s="8">
        <v>5</v>
      </c>
      <c r="H132" s="9">
        <v>69326.877200000003</v>
      </c>
      <c r="I132" s="10">
        <v>0.19</v>
      </c>
      <c r="J132" s="11">
        <f t="shared" si="3"/>
        <v>82498.983867999996</v>
      </c>
      <c r="K132" s="71">
        <f t="shared" si="2"/>
        <v>412494.91933999996</v>
      </c>
      <c r="L132" s="106"/>
    </row>
    <row r="133" spans="1:12">
      <c r="A133" s="12">
        <v>121</v>
      </c>
      <c r="B133" s="16">
        <v>27111956</v>
      </c>
      <c r="C133" s="16" t="s">
        <v>312</v>
      </c>
      <c r="D133" s="16" t="s">
        <v>313</v>
      </c>
      <c r="E133" s="6" t="s">
        <v>311</v>
      </c>
      <c r="F133" s="7" t="s">
        <v>311</v>
      </c>
      <c r="G133" s="8">
        <v>0</v>
      </c>
      <c r="H133" s="9">
        <v>83956.723599999998</v>
      </c>
      <c r="I133" s="10">
        <v>0.19</v>
      </c>
      <c r="J133" s="11">
        <f t="shared" si="3"/>
        <v>99908.501083999989</v>
      </c>
      <c r="K133" s="71">
        <f t="shared" si="2"/>
        <v>0</v>
      </c>
      <c r="L133" s="106"/>
    </row>
    <row r="134" spans="1:12">
      <c r="A134" s="12">
        <v>122</v>
      </c>
      <c r="B134" s="16">
        <v>23241601</v>
      </c>
      <c r="C134" s="16" t="s">
        <v>314</v>
      </c>
      <c r="D134" s="16" t="s">
        <v>315</v>
      </c>
      <c r="E134" s="6" t="s">
        <v>104</v>
      </c>
      <c r="F134" s="7" t="s">
        <v>29</v>
      </c>
      <c r="G134" s="8">
        <v>5</v>
      </c>
      <c r="H134" s="9">
        <v>55777.686800000003</v>
      </c>
      <c r="I134" s="10">
        <v>0.19</v>
      </c>
      <c r="J134" s="11">
        <f t="shared" si="3"/>
        <v>66375.447291999997</v>
      </c>
      <c r="K134" s="71">
        <f t="shared" si="2"/>
        <v>331877.23645999999</v>
      </c>
      <c r="L134" s="106"/>
    </row>
    <row r="135" spans="1:12">
      <c r="A135" s="12">
        <v>123</v>
      </c>
      <c r="B135" s="16">
        <v>23271806</v>
      </c>
      <c r="C135" s="16" t="s">
        <v>316</v>
      </c>
      <c r="D135" s="16" t="s">
        <v>317</v>
      </c>
      <c r="E135" s="6" t="s">
        <v>104</v>
      </c>
      <c r="F135" s="7" t="s">
        <v>29</v>
      </c>
      <c r="G135" s="8">
        <v>5</v>
      </c>
      <c r="H135" s="9">
        <v>23536.874</v>
      </c>
      <c r="I135" s="10">
        <v>0.19</v>
      </c>
      <c r="J135" s="11">
        <f t="shared" si="3"/>
        <v>28008.88006</v>
      </c>
      <c r="K135" s="71">
        <f t="shared" si="2"/>
        <v>140044.40030000001</v>
      </c>
      <c r="L135" s="106"/>
    </row>
    <row r="136" spans="1:12">
      <c r="A136" s="12">
        <v>124</v>
      </c>
      <c r="B136" s="16">
        <v>40102003</v>
      </c>
      <c r="C136" s="16" t="s">
        <v>318</v>
      </c>
      <c r="D136" s="16" t="s">
        <v>319</v>
      </c>
      <c r="E136" s="6" t="s">
        <v>104</v>
      </c>
      <c r="F136" s="7" t="s">
        <v>29</v>
      </c>
      <c r="G136" s="8">
        <v>0</v>
      </c>
      <c r="H136" s="9">
        <v>57728.457199999997</v>
      </c>
      <c r="I136" s="10">
        <v>0.19</v>
      </c>
      <c r="J136" s="11">
        <f t="shared" si="3"/>
        <v>68696.864067999995</v>
      </c>
      <c r="K136" s="71">
        <f t="shared" si="2"/>
        <v>0</v>
      </c>
      <c r="L136" s="106"/>
    </row>
    <row r="137" spans="1:12">
      <c r="A137" s="12">
        <v>125</v>
      </c>
      <c r="B137" s="16">
        <v>31211900</v>
      </c>
      <c r="C137" s="88" t="s">
        <v>320</v>
      </c>
      <c r="D137" s="16" t="s">
        <v>321</v>
      </c>
      <c r="E137" s="6" t="s">
        <v>104</v>
      </c>
      <c r="F137" s="7" t="s">
        <v>29</v>
      </c>
      <c r="G137" s="8">
        <v>0</v>
      </c>
      <c r="H137" s="9">
        <v>209855.9424</v>
      </c>
      <c r="I137" s="10">
        <v>0.19</v>
      </c>
      <c r="J137" s="11">
        <f t="shared" si="3"/>
        <v>249728.57145599998</v>
      </c>
      <c r="K137" s="71">
        <f t="shared" si="2"/>
        <v>0</v>
      </c>
      <c r="L137" s="106"/>
    </row>
    <row r="138" spans="1:12">
      <c r="A138" s="12">
        <v>126</v>
      </c>
      <c r="B138" s="16">
        <v>41113327</v>
      </c>
      <c r="C138" s="88" t="s">
        <v>322</v>
      </c>
      <c r="D138" s="16" t="s">
        <v>323</v>
      </c>
      <c r="E138" s="6" t="s">
        <v>104</v>
      </c>
      <c r="F138" s="7" t="s">
        <v>29</v>
      </c>
      <c r="G138" s="8">
        <v>0</v>
      </c>
      <c r="H138" s="9">
        <v>405669.87800000003</v>
      </c>
      <c r="I138" s="10">
        <v>0.19</v>
      </c>
      <c r="J138" s="11">
        <f t="shared" si="3"/>
        <v>482747.15482</v>
      </c>
      <c r="K138" s="71">
        <f t="shared" si="2"/>
        <v>0</v>
      </c>
      <c r="L138" s="106"/>
    </row>
    <row r="139" spans="1:12" ht="162.75" customHeight="1">
      <c r="A139" s="12">
        <v>127</v>
      </c>
      <c r="B139" s="16">
        <v>23141700</v>
      </c>
      <c r="C139" s="87" t="s">
        <v>324</v>
      </c>
      <c r="D139" s="87" t="s">
        <v>325</v>
      </c>
      <c r="E139" s="6" t="s">
        <v>104</v>
      </c>
      <c r="F139" s="7" t="s">
        <v>326</v>
      </c>
      <c r="G139" s="8">
        <v>5</v>
      </c>
      <c r="H139" s="9">
        <v>45209.616399999999</v>
      </c>
      <c r="I139" s="10">
        <v>0.19</v>
      </c>
      <c r="J139" s="11">
        <f t="shared" si="3"/>
        <v>53799.443515999999</v>
      </c>
      <c r="K139" s="71">
        <f t="shared" si="2"/>
        <v>268997.21758</v>
      </c>
      <c r="L139" s="106"/>
    </row>
    <row r="140" spans="1:12">
      <c r="A140" s="12">
        <v>128</v>
      </c>
      <c r="B140" s="16">
        <v>23141700</v>
      </c>
      <c r="C140" s="16" t="s">
        <v>327</v>
      </c>
      <c r="D140" s="16" t="s">
        <v>328</v>
      </c>
      <c r="E140" s="6" t="s">
        <v>279</v>
      </c>
      <c r="F140" s="7" t="s">
        <v>329</v>
      </c>
      <c r="G140" s="8">
        <v>1</v>
      </c>
      <c r="H140" s="9">
        <v>236916.12760000001</v>
      </c>
      <c r="I140" s="10">
        <v>0.19</v>
      </c>
      <c r="J140" s="11">
        <f t="shared" si="3"/>
        <v>281930.19184400002</v>
      </c>
      <c r="K140" s="71">
        <f t="shared" si="2"/>
        <v>281930.19184400002</v>
      </c>
      <c r="L140" s="106"/>
    </row>
    <row r="141" spans="1:12">
      <c r="A141" s="12">
        <v>129</v>
      </c>
      <c r="B141" s="16">
        <v>23141700</v>
      </c>
      <c r="C141" s="16" t="s">
        <v>330</v>
      </c>
      <c r="D141" s="16" t="s">
        <v>331</v>
      </c>
      <c r="E141" s="6" t="s">
        <v>104</v>
      </c>
      <c r="F141" s="7" t="s">
        <v>332</v>
      </c>
      <c r="G141" s="8">
        <v>0</v>
      </c>
      <c r="H141" s="9">
        <v>295572.4584</v>
      </c>
      <c r="I141" s="10">
        <v>0.19</v>
      </c>
      <c r="J141" s="11">
        <f t="shared" si="3"/>
        <v>351731.22549599997</v>
      </c>
      <c r="K141" s="71">
        <f t="shared" ref="K141:K204" si="4">J141*G141</f>
        <v>0</v>
      </c>
      <c r="L141" s="106"/>
    </row>
    <row r="142" spans="1:12">
      <c r="A142" s="12">
        <v>130</v>
      </c>
      <c r="B142" s="16">
        <v>23271806</v>
      </c>
      <c r="C142" s="16" t="s">
        <v>333</v>
      </c>
      <c r="D142" s="16" t="s">
        <v>334</v>
      </c>
      <c r="E142" s="6" t="s">
        <v>104</v>
      </c>
      <c r="F142" s="7" t="s">
        <v>335</v>
      </c>
      <c r="G142" s="8">
        <v>1</v>
      </c>
      <c r="H142" s="9">
        <v>291898.228</v>
      </c>
      <c r="I142" s="10">
        <v>0.19</v>
      </c>
      <c r="J142" s="11">
        <f t="shared" ref="J142:J205" si="5">H142*1.19</f>
        <v>347358.89132</v>
      </c>
      <c r="K142" s="71">
        <f t="shared" si="4"/>
        <v>347358.89132</v>
      </c>
      <c r="L142" s="106"/>
    </row>
    <row r="143" spans="1:12">
      <c r="A143" s="12">
        <v>131</v>
      </c>
      <c r="B143" s="16">
        <v>60123502</v>
      </c>
      <c r="C143" s="16" t="s">
        <v>336</v>
      </c>
      <c r="D143" s="16" t="s">
        <v>337</v>
      </c>
      <c r="E143" s="6" t="s">
        <v>104</v>
      </c>
      <c r="F143" s="7" t="s">
        <v>338</v>
      </c>
      <c r="G143" s="8">
        <v>15</v>
      </c>
      <c r="H143" s="9">
        <v>173721.0416</v>
      </c>
      <c r="I143" s="10">
        <v>0.19</v>
      </c>
      <c r="J143" s="11">
        <f t="shared" si="5"/>
        <v>206728.03950399999</v>
      </c>
      <c r="K143" s="71">
        <f t="shared" si="4"/>
        <v>3100920.5925599998</v>
      </c>
      <c r="L143" s="106"/>
    </row>
    <row r="144" spans="1:12">
      <c r="A144" s="12">
        <v>132</v>
      </c>
      <c r="B144" s="16">
        <v>23141700</v>
      </c>
      <c r="C144" s="16" t="s">
        <v>339</v>
      </c>
      <c r="D144" s="16" t="s">
        <v>340</v>
      </c>
      <c r="E144" s="6" t="s">
        <v>104</v>
      </c>
      <c r="F144" s="7" t="s">
        <v>341</v>
      </c>
      <c r="G144" s="8">
        <v>5</v>
      </c>
      <c r="H144" s="9">
        <v>74701.277600000001</v>
      </c>
      <c r="I144" s="10">
        <v>0.19</v>
      </c>
      <c r="J144" s="11">
        <f t="shared" si="5"/>
        <v>88894.520344000004</v>
      </c>
      <c r="K144" s="71">
        <f t="shared" si="4"/>
        <v>444472.60172000004</v>
      </c>
      <c r="L144" s="106"/>
    </row>
    <row r="145" spans="1:13">
      <c r="A145" s="12">
        <v>133</v>
      </c>
      <c r="B145" s="16">
        <v>27111602</v>
      </c>
      <c r="C145" s="16" t="s">
        <v>342</v>
      </c>
      <c r="D145" s="16" t="s">
        <v>343</v>
      </c>
      <c r="E145" s="6" t="s">
        <v>104</v>
      </c>
      <c r="F145" s="7" t="s">
        <v>29</v>
      </c>
      <c r="G145" s="8">
        <v>5</v>
      </c>
      <c r="H145" s="9">
        <v>84851.991200000004</v>
      </c>
      <c r="I145" s="10">
        <v>0.19</v>
      </c>
      <c r="J145" s="11">
        <f t="shared" si="5"/>
        <v>100973.869528</v>
      </c>
      <c r="K145" s="71">
        <f t="shared" si="4"/>
        <v>504869.34763999999</v>
      </c>
      <c r="L145" s="106"/>
    </row>
    <row r="146" spans="1:13">
      <c r="A146" s="12">
        <v>134</v>
      </c>
      <c r="B146" s="16">
        <v>27111602</v>
      </c>
      <c r="C146" s="16" t="s">
        <v>344</v>
      </c>
      <c r="D146" s="16" t="s">
        <v>345</v>
      </c>
      <c r="E146" s="6" t="s">
        <v>104</v>
      </c>
      <c r="F146" s="7" t="s">
        <v>29</v>
      </c>
      <c r="G146" s="8">
        <v>5</v>
      </c>
      <c r="H146" s="9">
        <v>39702.928800000002</v>
      </c>
      <c r="I146" s="10">
        <v>0.19</v>
      </c>
      <c r="J146" s="11">
        <f t="shared" si="5"/>
        <v>47246.485271999998</v>
      </c>
      <c r="K146" s="71">
        <f t="shared" si="4"/>
        <v>236232.42635999998</v>
      </c>
      <c r="L146" s="106"/>
    </row>
    <row r="147" spans="1:13">
      <c r="A147" s="12">
        <v>135</v>
      </c>
      <c r="B147" s="16">
        <v>23101514</v>
      </c>
      <c r="C147" s="16" t="s">
        <v>346</v>
      </c>
      <c r="D147" s="16" t="s">
        <v>347</v>
      </c>
      <c r="E147" s="6" t="s">
        <v>104</v>
      </c>
      <c r="F147" s="7" t="s">
        <v>29</v>
      </c>
      <c r="G147" s="8">
        <v>0</v>
      </c>
      <c r="H147" s="9">
        <v>34719.8004</v>
      </c>
      <c r="I147" s="10">
        <v>0.19</v>
      </c>
      <c r="J147" s="11">
        <f t="shared" si="5"/>
        <v>41316.562475999999</v>
      </c>
      <c r="K147" s="71">
        <f t="shared" si="4"/>
        <v>0</v>
      </c>
      <c r="L147" s="106"/>
    </row>
    <row r="148" spans="1:13">
      <c r="A148" s="12">
        <v>136</v>
      </c>
      <c r="B148" s="16">
        <v>31162900</v>
      </c>
      <c r="C148" s="16" t="s">
        <v>348</v>
      </c>
      <c r="D148" s="16" t="s">
        <v>349</v>
      </c>
      <c r="E148" s="6" t="s">
        <v>104</v>
      </c>
      <c r="F148" s="7" t="s">
        <v>29</v>
      </c>
      <c r="G148" s="8">
        <v>0</v>
      </c>
      <c r="H148" s="9">
        <v>144207.022</v>
      </c>
      <c r="I148" s="10">
        <v>0.19</v>
      </c>
      <c r="J148" s="11">
        <f t="shared" si="5"/>
        <v>171606.35618</v>
      </c>
      <c r="K148" s="71">
        <f t="shared" si="4"/>
        <v>0</v>
      </c>
      <c r="L148" s="106"/>
    </row>
    <row r="149" spans="1:13">
      <c r="A149" s="12">
        <v>137</v>
      </c>
      <c r="B149" s="16">
        <v>60121253</v>
      </c>
      <c r="C149" s="16" t="s">
        <v>350</v>
      </c>
      <c r="D149" s="16" t="s">
        <v>351</v>
      </c>
      <c r="E149" s="6" t="s">
        <v>104</v>
      </c>
      <c r="F149" s="7" t="s">
        <v>29</v>
      </c>
      <c r="G149" s="8">
        <v>5</v>
      </c>
      <c r="H149" s="9">
        <v>217552.8216</v>
      </c>
      <c r="I149" s="10">
        <v>0.19</v>
      </c>
      <c r="J149" s="11">
        <f t="shared" si="5"/>
        <v>258887.85770399999</v>
      </c>
      <c r="K149" s="71">
        <f t="shared" si="4"/>
        <v>1294439.2885199999</v>
      </c>
      <c r="L149" s="106"/>
    </row>
    <row r="150" spans="1:13" ht="108">
      <c r="A150" s="12">
        <v>138</v>
      </c>
      <c r="B150" s="16">
        <v>11151709</v>
      </c>
      <c r="C150" s="16" t="s">
        <v>352</v>
      </c>
      <c r="D150" s="87" t="s">
        <v>353</v>
      </c>
      <c r="E150" s="6" t="s">
        <v>256</v>
      </c>
      <c r="F150" s="7" t="s">
        <v>257</v>
      </c>
      <c r="G150" s="8">
        <v>100</v>
      </c>
      <c r="H150" s="9">
        <v>2315.9576000000002</v>
      </c>
      <c r="I150" s="10">
        <v>0.19</v>
      </c>
      <c r="J150" s="11">
        <f t="shared" si="5"/>
        <v>2755.989544</v>
      </c>
      <c r="K150" s="71">
        <f t="shared" si="4"/>
        <v>275598.95439999999</v>
      </c>
      <c r="L150" s="106"/>
    </row>
    <row r="151" spans="1:13">
      <c r="A151" s="12">
        <v>139</v>
      </c>
      <c r="B151" s="16">
        <v>27111956</v>
      </c>
      <c r="C151" s="16" t="s">
        <v>354</v>
      </c>
      <c r="D151" s="16" t="s">
        <v>355</v>
      </c>
      <c r="E151" s="6" t="s">
        <v>104</v>
      </c>
      <c r="F151" s="7" t="s">
        <v>29</v>
      </c>
      <c r="G151" s="8">
        <v>5</v>
      </c>
      <c r="H151" s="9">
        <v>44636.682399999998</v>
      </c>
      <c r="I151" s="10">
        <v>0.19</v>
      </c>
      <c r="J151" s="11">
        <f t="shared" si="5"/>
        <v>53117.652055999992</v>
      </c>
      <c r="K151" s="71">
        <f t="shared" si="4"/>
        <v>265588.26027999993</v>
      </c>
      <c r="L151" s="106"/>
    </row>
    <row r="152" spans="1:13">
      <c r="A152" s="12">
        <v>140</v>
      </c>
      <c r="B152" s="16">
        <v>27111956</v>
      </c>
      <c r="C152" s="16" t="s">
        <v>356</v>
      </c>
      <c r="D152" s="16" t="s">
        <v>357</v>
      </c>
      <c r="E152" s="6" t="s">
        <v>104</v>
      </c>
      <c r="F152" s="7" t="s">
        <v>29</v>
      </c>
      <c r="G152" s="8">
        <v>0</v>
      </c>
      <c r="H152" s="9">
        <v>60186.9496</v>
      </c>
      <c r="I152" s="10">
        <v>0.19</v>
      </c>
      <c r="J152" s="11">
        <f t="shared" si="5"/>
        <v>71622.470023999995</v>
      </c>
      <c r="K152" s="71">
        <f t="shared" si="4"/>
        <v>0</v>
      </c>
      <c r="L152" s="106"/>
    </row>
    <row r="153" spans="1:13">
      <c r="A153" s="12">
        <v>141</v>
      </c>
      <c r="B153" s="30">
        <v>24101719</v>
      </c>
      <c r="C153" s="32" t="s">
        <v>358</v>
      </c>
      <c r="D153" s="16" t="s">
        <v>359</v>
      </c>
      <c r="E153" s="6" t="s">
        <v>104</v>
      </c>
      <c r="F153" s="7" t="s">
        <v>29</v>
      </c>
      <c r="G153" s="8">
        <v>0</v>
      </c>
      <c r="H153" s="9">
        <v>17473.089599999999</v>
      </c>
      <c r="I153" s="10">
        <v>0.19</v>
      </c>
      <c r="J153" s="11">
        <f t="shared" si="5"/>
        <v>20792.976623999999</v>
      </c>
      <c r="K153" s="71">
        <f t="shared" si="4"/>
        <v>0</v>
      </c>
      <c r="L153" s="106"/>
    </row>
    <row r="154" spans="1:13">
      <c r="A154" s="12">
        <v>142</v>
      </c>
      <c r="B154" s="16">
        <v>23141700</v>
      </c>
      <c r="C154" s="16" t="s">
        <v>360</v>
      </c>
      <c r="D154" s="16" t="s">
        <v>361</v>
      </c>
      <c r="E154" s="6" t="s">
        <v>104</v>
      </c>
      <c r="F154" s="7" t="s">
        <v>29</v>
      </c>
      <c r="G154" s="8">
        <v>0</v>
      </c>
      <c r="H154" s="9">
        <v>66853.479200000002</v>
      </c>
      <c r="I154" s="10">
        <v>0.19</v>
      </c>
      <c r="J154" s="11">
        <f t="shared" si="5"/>
        <v>79555.640247999996</v>
      </c>
      <c r="K154" s="71">
        <f t="shared" si="4"/>
        <v>0</v>
      </c>
      <c r="L154" s="106"/>
    </row>
    <row r="155" spans="1:13">
      <c r="A155" s="12">
        <v>143</v>
      </c>
      <c r="B155" s="16">
        <v>23231602</v>
      </c>
      <c r="C155" s="16" t="s">
        <v>362</v>
      </c>
      <c r="D155" s="16" t="s">
        <v>363</v>
      </c>
      <c r="E155" s="6" t="s">
        <v>104</v>
      </c>
      <c r="F155" s="7" t="s">
        <v>29</v>
      </c>
      <c r="G155" s="8">
        <v>5</v>
      </c>
      <c r="H155" s="9">
        <v>83391.242400000003</v>
      </c>
      <c r="I155" s="10">
        <v>0.19</v>
      </c>
      <c r="J155" s="11">
        <f t="shared" si="5"/>
        <v>99235.578456000003</v>
      </c>
      <c r="K155" s="71">
        <f t="shared" si="4"/>
        <v>496177.89228000003</v>
      </c>
      <c r="L155" s="106"/>
    </row>
    <row r="156" spans="1:13">
      <c r="A156" s="12">
        <v>144</v>
      </c>
      <c r="B156" s="16">
        <v>30152100</v>
      </c>
      <c r="C156" s="16" t="s">
        <v>364</v>
      </c>
      <c r="D156" s="16" t="s">
        <v>365</v>
      </c>
      <c r="E156" s="6" t="s">
        <v>104</v>
      </c>
      <c r="F156" s="7" t="s">
        <v>29</v>
      </c>
      <c r="G156" s="8">
        <v>12</v>
      </c>
      <c r="H156" s="9">
        <v>50562.59</v>
      </c>
      <c r="I156" s="10">
        <v>0.19</v>
      </c>
      <c r="J156" s="11">
        <f t="shared" si="5"/>
        <v>60169.482099999994</v>
      </c>
      <c r="K156" s="71">
        <f t="shared" si="4"/>
        <v>722033.78519999993</v>
      </c>
      <c r="L156" s="106"/>
    </row>
    <row r="157" spans="1:13" ht="159.75" customHeight="1">
      <c r="A157" s="12">
        <v>145</v>
      </c>
      <c r="B157" s="16">
        <v>30152100</v>
      </c>
      <c r="C157" s="16" t="s">
        <v>366</v>
      </c>
      <c r="D157" s="16" t="s">
        <v>367</v>
      </c>
      <c r="E157" s="6" t="s">
        <v>104</v>
      </c>
      <c r="F157" s="7" t="s">
        <v>29</v>
      </c>
      <c r="G157" s="8">
        <v>12</v>
      </c>
      <c r="H157" s="9">
        <v>8949.8811999999998</v>
      </c>
      <c r="I157" s="10">
        <v>0.19</v>
      </c>
      <c r="J157" s="11">
        <f t="shared" si="5"/>
        <v>10650.358628</v>
      </c>
      <c r="K157" s="71">
        <f t="shared" si="4"/>
        <v>127804.30353599999</v>
      </c>
      <c r="L157" s="106"/>
    </row>
    <row r="158" spans="1:13">
      <c r="A158" s="12">
        <v>146</v>
      </c>
      <c r="B158" s="16">
        <v>27111533</v>
      </c>
      <c r="C158" s="16" t="s">
        <v>368</v>
      </c>
      <c r="D158" s="16" t="s">
        <v>369</v>
      </c>
      <c r="E158" s="6" t="s">
        <v>104</v>
      </c>
      <c r="F158" s="7" t="s">
        <v>29</v>
      </c>
      <c r="G158" s="8">
        <v>24</v>
      </c>
      <c r="H158" s="9">
        <v>12525.361999999999</v>
      </c>
      <c r="I158" s="10">
        <v>0.19</v>
      </c>
      <c r="J158" s="11">
        <f t="shared" si="5"/>
        <v>14905.180779999999</v>
      </c>
      <c r="K158" s="71">
        <f t="shared" si="4"/>
        <v>357724.33872</v>
      </c>
      <c r="L158" s="106"/>
    </row>
    <row r="159" spans="1:13">
      <c r="A159" s="12">
        <v>147</v>
      </c>
      <c r="B159" s="16">
        <v>44121618</v>
      </c>
      <c r="C159" s="16" t="s">
        <v>370</v>
      </c>
      <c r="D159" s="16" t="s">
        <v>371</v>
      </c>
      <c r="E159" s="6" t="s">
        <v>104</v>
      </c>
      <c r="F159" s="7" t="s">
        <v>29</v>
      </c>
      <c r="G159" s="8">
        <v>5</v>
      </c>
      <c r="H159" s="9">
        <v>41725.432399999998</v>
      </c>
      <c r="I159" s="10">
        <v>0.19</v>
      </c>
      <c r="J159" s="11">
        <f t="shared" si="5"/>
        <v>49653.264555999995</v>
      </c>
      <c r="K159" s="71">
        <f t="shared" si="4"/>
        <v>248266.32277999999</v>
      </c>
      <c r="L159" s="106"/>
    </row>
    <row r="160" spans="1:13" ht="189">
      <c r="A160" s="12">
        <v>148</v>
      </c>
      <c r="B160" s="33">
        <v>44121618</v>
      </c>
      <c r="C160" s="16" t="s">
        <v>372</v>
      </c>
      <c r="D160" s="87" t="s">
        <v>373</v>
      </c>
      <c r="E160" s="6" t="s">
        <v>104</v>
      </c>
      <c r="F160" s="7" t="s">
        <v>29</v>
      </c>
      <c r="G160" s="8">
        <v>5</v>
      </c>
      <c r="H160" s="9">
        <v>54794.8488</v>
      </c>
      <c r="I160" s="10">
        <v>0.19</v>
      </c>
      <c r="J160" s="11">
        <f t="shared" si="5"/>
        <v>65205.870071999998</v>
      </c>
      <c r="K160" s="71">
        <f t="shared" si="4"/>
        <v>326029.35035999998</v>
      </c>
      <c r="L160" s="106"/>
      <c r="M160" t="s">
        <v>374</v>
      </c>
    </row>
    <row r="161" spans="1:13">
      <c r="A161" s="12">
        <v>149</v>
      </c>
      <c r="B161" s="16">
        <v>23141700</v>
      </c>
      <c r="C161" s="16" t="s">
        <v>375</v>
      </c>
      <c r="D161" s="16" t="s">
        <v>376</v>
      </c>
      <c r="E161" s="6" t="s">
        <v>104</v>
      </c>
      <c r="F161" s="7" t="s">
        <v>377</v>
      </c>
      <c r="G161" s="8">
        <v>3</v>
      </c>
      <c r="H161" s="9">
        <v>1950417.3236</v>
      </c>
      <c r="I161" s="10">
        <v>0.19</v>
      </c>
      <c r="J161" s="11">
        <f t="shared" si="5"/>
        <v>2320996.6150839999</v>
      </c>
      <c r="K161" s="71">
        <f t="shared" si="4"/>
        <v>6962989.8452519998</v>
      </c>
      <c r="L161" s="106"/>
    </row>
    <row r="162" spans="1:13">
      <c r="A162" s="12">
        <v>150</v>
      </c>
      <c r="B162" s="16">
        <v>23141700</v>
      </c>
      <c r="C162" s="16" t="s">
        <v>378</v>
      </c>
      <c r="D162" s="16" t="s">
        <v>379</v>
      </c>
      <c r="E162" s="6" t="s">
        <v>104</v>
      </c>
      <c r="F162" s="7" t="s">
        <v>380</v>
      </c>
      <c r="G162" s="8">
        <v>5</v>
      </c>
      <c r="H162" s="9">
        <v>33586.974799999996</v>
      </c>
      <c r="I162" s="10">
        <v>0.19</v>
      </c>
      <c r="J162" s="11">
        <f t="shared" si="5"/>
        <v>39968.500011999997</v>
      </c>
      <c r="K162" s="71">
        <f t="shared" si="4"/>
        <v>199842.50005999999</v>
      </c>
      <c r="L162" s="106"/>
    </row>
    <row r="163" spans="1:13">
      <c r="A163" s="12">
        <v>151</v>
      </c>
      <c r="B163" s="16">
        <v>23141700</v>
      </c>
      <c r="C163" s="16" t="s">
        <v>381</v>
      </c>
      <c r="D163" s="29" t="s">
        <v>382</v>
      </c>
      <c r="E163" s="28" t="s">
        <v>104</v>
      </c>
      <c r="F163" s="34" t="s">
        <v>383</v>
      </c>
      <c r="G163" s="8">
        <v>2</v>
      </c>
      <c r="H163" s="9">
        <v>34836.250399999997</v>
      </c>
      <c r="I163" s="10">
        <v>0.19</v>
      </c>
      <c r="J163" s="11">
        <f t="shared" si="5"/>
        <v>41455.137975999998</v>
      </c>
      <c r="K163" s="71">
        <f t="shared" si="4"/>
        <v>82910.275951999996</v>
      </c>
      <c r="L163" s="106"/>
    </row>
    <row r="164" spans="1:13">
      <c r="A164" s="12">
        <v>152</v>
      </c>
      <c r="B164" s="16">
        <v>23141700</v>
      </c>
      <c r="C164" s="16" t="s">
        <v>384</v>
      </c>
      <c r="D164" s="16" t="s">
        <v>385</v>
      </c>
      <c r="E164" s="23" t="s">
        <v>104</v>
      </c>
      <c r="F164" s="34" t="s">
        <v>383</v>
      </c>
      <c r="G164" s="8">
        <v>2</v>
      </c>
      <c r="H164" s="9">
        <v>34836.250399999997</v>
      </c>
      <c r="I164" s="10">
        <v>0.19</v>
      </c>
      <c r="J164" s="11">
        <f t="shared" si="5"/>
        <v>41455.137975999998</v>
      </c>
      <c r="K164" s="71">
        <f t="shared" si="4"/>
        <v>82910.275951999996</v>
      </c>
      <c r="L164" s="106"/>
    </row>
    <row r="165" spans="1:13">
      <c r="A165" s="12">
        <v>153</v>
      </c>
      <c r="B165" s="16">
        <v>23141700</v>
      </c>
      <c r="C165" s="16" t="s">
        <v>386</v>
      </c>
      <c r="D165" s="30" t="s">
        <v>387</v>
      </c>
      <c r="E165" s="6" t="s">
        <v>104</v>
      </c>
      <c r="F165" s="7" t="s">
        <v>388</v>
      </c>
      <c r="G165" s="8">
        <v>2</v>
      </c>
      <c r="H165" s="9">
        <v>34836.250399999997</v>
      </c>
      <c r="I165" s="10">
        <v>0.19</v>
      </c>
      <c r="J165" s="11">
        <f t="shared" si="5"/>
        <v>41455.137975999998</v>
      </c>
      <c r="K165" s="71">
        <f t="shared" si="4"/>
        <v>82910.275951999996</v>
      </c>
      <c r="L165" s="106"/>
    </row>
    <row r="166" spans="1:13">
      <c r="A166" s="120">
        <v>154</v>
      </c>
      <c r="B166" s="16">
        <v>23141700</v>
      </c>
      <c r="C166" s="16" t="s">
        <v>389</v>
      </c>
      <c r="D166" s="16" t="s">
        <v>387</v>
      </c>
      <c r="E166" s="121" t="s">
        <v>104</v>
      </c>
      <c r="F166" s="122" t="s">
        <v>388</v>
      </c>
      <c r="G166" s="8">
        <v>2</v>
      </c>
      <c r="H166" s="9">
        <v>34836.250399999997</v>
      </c>
      <c r="I166" s="10">
        <v>0.19</v>
      </c>
      <c r="J166" s="11">
        <f t="shared" si="5"/>
        <v>41455.137975999998</v>
      </c>
      <c r="K166" s="71">
        <f t="shared" si="4"/>
        <v>82910.275951999996</v>
      </c>
      <c r="L166" s="70"/>
      <c r="M166" s="123">
        <v>45566</v>
      </c>
    </row>
    <row r="167" spans="1:13">
      <c r="A167" s="12">
        <v>155</v>
      </c>
      <c r="B167" s="30">
        <v>27112144</v>
      </c>
      <c r="C167" s="16" t="s">
        <v>390</v>
      </c>
      <c r="D167" s="16" t="s">
        <v>391</v>
      </c>
      <c r="E167" s="6" t="s">
        <v>104</v>
      </c>
      <c r="F167" s="7" t="s">
        <v>29</v>
      </c>
      <c r="G167" s="8">
        <v>25</v>
      </c>
      <c r="H167" s="9">
        <v>64426.661200000002</v>
      </c>
      <c r="I167" s="10">
        <v>0.19</v>
      </c>
      <c r="J167" s="11">
        <f t="shared" si="5"/>
        <v>76667.726827999999</v>
      </c>
      <c r="K167" s="71">
        <f t="shared" si="4"/>
        <v>1916693.1706999999</v>
      </c>
      <c r="L167" s="106"/>
    </row>
    <row r="168" spans="1:13" ht="94.5">
      <c r="A168" s="12">
        <v>156</v>
      </c>
      <c r="B168" s="30">
        <v>27111602</v>
      </c>
      <c r="C168" s="16" t="s">
        <v>392</v>
      </c>
      <c r="D168" s="87" t="s">
        <v>393</v>
      </c>
      <c r="E168" s="6" t="s">
        <v>104</v>
      </c>
      <c r="F168" s="7" t="s">
        <v>29</v>
      </c>
      <c r="G168" s="8">
        <v>25</v>
      </c>
      <c r="H168" s="9">
        <v>49594.657599999999</v>
      </c>
      <c r="I168" s="10">
        <v>0.19</v>
      </c>
      <c r="J168" s="11">
        <f t="shared" si="5"/>
        <v>59017.642543999995</v>
      </c>
      <c r="K168" s="71">
        <f t="shared" si="4"/>
        <v>1475441.0635999998</v>
      </c>
      <c r="L168" s="106"/>
    </row>
    <row r="169" spans="1:13" ht="108">
      <c r="A169" s="12">
        <v>157</v>
      </c>
      <c r="B169" s="30">
        <v>60122204</v>
      </c>
      <c r="C169" s="32" t="s">
        <v>394</v>
      </c>
      <c r="D169" s="87" t="s">
        <v>395</v>
      </c>
      <c r="E169" s="6" t="s">
        <v>104</v>
      </c>
      <c r="F169" s="7" t="s">
        <v>29</v>
      </c>
      <c r="G169" s="8">
        <v>10</v>
      </c>
      <c r="H169" s="9">
        <v>20744.8688</v>
      </c>
      <c r="I169" s="10">
        <v>0.19</v>
      </c>
      <c r="J169" s="11">
        <f t="shared" si="5"/>
        <v>24686.393872000001</v>
      </c>
      <c r="K169" s="71">
        <f t="shared" si="4"/>
        <v>246863.93872000001</v>
      </c>
      <c r="L169" s="106"/>
    </row>
    <row r="170" spans="1:13">
      <c r="A170" s="12">
        <v>158</v>
      </c>
      <c r="B170" s="31">
        <v>27111801</v>
      </c>
      <c r="C170" s="16" t="s">
        <v>396</v>
      </c>
      <c r="D170" s="16" t="s">
        <v>397</v>
      </c>
      <c r="E170" s="6" t="s">
        <v>104</v>
      </c>
      <c r="F170" s="7" t="s">
        <v>29</v>
      </c>
      <c r="G170" s="85">
        <v>5</v>
      </c>
      <c r="H170" s="9">
        <v>2034.6143999999999</v>
      </c>
      <c r="I170" s="10">
        <v>0.19</v>
      </c>
      <c r="J170" s="11">
        <f t="shared" si="5"/>
        <v>2421.1911359999999</v>
      </c>
      <c r="K170" s="71">
        <f t="shared" si="4"/>
        <v>12105.955679999999</v>
      </c>
      <c r="L170" s="106"/>
    </row>
    <row r="171" spans="1:13">
      <c r="A171" s="12">
        <v>159</v>
      </c>
      <c r="B171" s="31">
        <v>44111803</v>
      </c>
      <c r="C171" s="16" t="s">
        <v>398</v>
      </c>
      <c r="D171" s="16" t="s">
        <v>399</v>
      </c>
      <c r="E171" s="6" t="s">
        <v>104</v>
      </c>
      <c r="F171" s="7" t="s">
        <v>29</v>
      </c>
      <c r="G171" s="8">
        <v>20</v>
      </c>
      <c r="H171" s="9">
        <v>24229.052800000001</v>
      </c>
      <c r="I171" s="10">
        <v>0.19</v>
      </c>
      <c r="J171" s="11">
        <f t="shared" si="5"/>
        <v>28832.572832000002</v>
      </c>
      <c r="K171" s="71">
        <f t="shared" si="4"/>
        <v>576651.45663999999</v>
      </c>
      <c r="L171" s="106"/>
    </row>
    <row r="172" spans="1:13" ht="135">
      <c r="A172" s="12">
        <v>160</v>
      </c>
      <c r="B172" s="30">
        <v>23241601</v>
      </c>
      <c r="C172" s="16" t="s">
        <v>400</v>
      </c>
      <c r="D172" s="87" t="s">
        <v>401</v>
      </c>
      <c r="E172" s="6" t="s">
        <v>104</v>
      </c>
      <c r="F172" s="7" t="s">
        <v>29</v>
      </c>
      <c r="G172" s="8">
        <v>3</v>
      </c>
      <c r="H172" s="9">
        <v>30481.020400000001</v>
      </c>
      <c r="I172" s="10">
        <v>0.19</v>
      </c>
      <c r="J172" s="11">
        <f t="shared" si="5"/>
        <v>36272.414276000003</v>
      </c>
      <c r="K172" s="71">
        <f t="shared" si="4"/>
        <v>108817.24282800002</v>
      </c>
      <c r="L172" s="106"/>
    </row>
    <row r="173" spans="1:13">
      <c r="A173" s="12">
        <v>161</v>
      </c>
      <c r="B173" s="30">
        <v>27112505</v>
      </c>
      <c r="C173" s="16" t="s">
        <v>402</v>
      </c>
      <c r="D173" s="16" t="s">
        <v>403</v>
      </c>
      <c r="E173" s="6" t="s">
        <v>104</v>
      </c>
      <c r="F173" s="7" t="s">
        <v>29</v>
      </c>
      <c r="G173" s="8">
        <v>2</v>
      </c>
      <c r="H173" s="9">
        <v>17926.7788</v>
      </c>
      <c r="I173" s="10">
        <v>0.19</v>
      </c>
      <c r="J173" s="11">
        <f t="shared" si="5"/>
        <v>21332.866771999998</v>
      </c>
      <c r="K173" s="71">
        <f t="shared" si="4"/>
        <v>42665.733543999995</v>
      </c>
      <c r="L173" s="106"/>
    </row>
    <row r="174" spans="1:13">
      <c r="A174" s="12">
        <v>162</v>
      </c>
      <c r="B174" s="30">
        <v>53112001</v>
      </c>
      <c r="C174" s="16" t="s">
        <v>404</v>
      </c>
      <c r="D174" s="16" t="s">
        <v>405</v>
      </c>
      <c r="E174" s="6" t="s">
        <v>104</v>
      </c>
      <c r="F174" s="7" t="s">
        <v>29</v>
      </c>
      <c r="G174" s="8">
        <v>15</v>
      </c>
      <c r="H174" s="9">
        <v>15286.624400000001</v>
      </c>
      <c r="I174" s="10">
        <v>0.19</v>
      </c>
      <c r="J174" s="11">
        <f t="shared" si="5"/>
        <v>18191.083036</v>
      </c>
      <c r="K174" s="71">
        <f t="shared" si="4"/>
        <v>272866.24553999997</v>
      </c>
      <c r="L174" s="106"/>
    </row>
    <row r="175" spans="1:13">
      <c r="A175" s="12">
        <v>163</v>
      </c>
      <c r="B175" s="30">
        <v>24101719</v>
      </c>
      <c r="C175" s="16" t="s">
        <v>406</v>
      </c>
      <c r="D175" s="16" t="s">
        <v>407</v>
      </c>
      <c r="E175" s="6" t="s">
        <v>104</v>
      </c>
      <c r="F175" s="7" t="s">
        <v>29</v>
      </c>
      <c r="G175" s="8">
        <v>20</v>
      </c>
      <c r="H175" s="9">
        <v>10181.456399999999</v>
      </c>
      <c r="I175" s="10">
        <v>0.19</v>
      </c>
      <c r="J175" s="11">
        <f t="shared" si="5"/>
        <v>12115.933115999998</v>
      </c>
      <c r="K175" s="71">
        <f t="shared" si="4"/>
        <v>242318.66231999997</v>
      </c>
      <c r="L175" s="106"/>
    </row>
    <row r="176" spans="1:13">
      <c r="A176" s="12">
        <v>164</v>
      </c>
      <c r="B176" s="35">
        <v>23153030</v>
      </c>
      <c r="C176" s="36" t="s">
        <v>408</v>
      </c>
      <c r="D176" s="16" t="s">
        <v>409</v>
      </c>
      <c r="E176" s="18" t="s">
        <v>104</v>
      </c>
      <c r="F176" s="26" t="s">
        <v>410</v>
      </c>
      <c r="G176" s="8">
        <v>3</v>
      </c>
      <c r="H176" s="9">
        <v>111452.8976</v>
      </c>
      <c r="I176" s="10">
        <v>0.19</v>
      </c>
      <c r="J176" s="11">
        <f t="shared" si="5"/>
        <v>132628.94814399999</v>
      </c>
      <c r="K176" s="71">
        <f t="shared" si="4"/>
        <v>397886.84443199995</v>
      </c>
      <c r="L176" s="106"/>
    </row>
    <row r="177" spans="1:12">
      <c r="A177" s="12">
        <v>165</v>
      </c>
      <c r="B177" s="37">
        <v>23153030</v>
      </c>
      <c r="C177" s="38" t="s">
        <v>411</v>
      </c>
      <c r="D177" s="16" t="s">
        <v>412</v>
      </c>
      <c r="E177" s="18" t="s">
        <v>104</v>
      </c>
      <c r="F177" s="26" t="s">
        <v>413</v>
      </c>
      <c r="G177" s="8">
        <v>1</v>
      </c>
      <c r="H177" s="9">
        <v>209545.71960000001</v>
      </c>
      <c r="I177" s="10">
        <v>0.19</v>
      </c>
      <c r="J177" s="11">
        <f t="shared" si="5"/>
        <v>249359.40632400001</v>
      </c>
      <c r="K177" s="71">
        <f t="shared" si="4"/>
        <v>249359.40632400001</v>
      </c>
      <c r="L177" s="106"/>
    </row>
    <row r="178" spans="1:12">
      <c r="A178" s="12">
        <v>166</v>
      </c>
      <c r="B178" s="13">
        <v>53141602</v>
      </c>
      <c r="C178" s="13" t="s">
        <v>414</v>
      </c>
      <c r="D178" s="38" t="s">
        <v>415</v>
      </c>
      <c r="E178" s="18" t="s">
        <v>104</v>
      </c>
      <c r="F178" s="26" t="s">
        <v>413</v>
      </c>
      <c r="G178" s="8">
        <v>1</v>
      </c>
      <c r="H178" s="9">
        <v>60942.477200000001</v>
      </c>
      <c r="I178" s="10">
        <v>0.19</v>
      </c>
      <c r="J178" s="11">
        <f t="shared" si="5"/>
        <v>72521.547867999994</v>
      </c>
      <c r="K178" s="71">
        <f t="shared" si="4"/>
        <v>72521.547867999994</v>
      </c>
      <c r="L178" s="106"/>
    </row>
    <row r="179" spans="1:12">
      <c r="A179" s="12">
        <v>167</v>
      </c>
      <c r="B179" s="13">
        <v>53141602</v>
      </c>
      <c r="C179" s="13" t="s">
        <v>416</v>
      </c>
      <c r="D179" s="38" t="s">
        <v>417</v>
      </c>
      <c r="E179" s="18" t="s">
        <v>104</v>
      </c>
      <c r="F179" s="26" t="s">
        <v>413</v>
      </c>
      <c r="G179" s="8">
        <v>0</v>
      </c>
      <c r="H179" s="9">
        <v>50559.7952</v>
      </c>
      <c r="I179" s="10">
        <v>0.19</v>
      </c>
      <c r="J179" s="11">
        <f t="shared" si="5"/>
        <v>60166.156287999998</v>
      </c>
      <c r="K179" s="71">
        <f t="shared" si="4"/>
        <v>0</v>
      </c>
      <c r="L179" s="106"/>
    </row>
    <row r="180" spans="1:12">
      <c r="A180" s="12">
        <v>168</v>
      </c>
      <c r="B180" s="13">
        <v>53141602</v>
      </c>
      <c r="C180" s="16" t="s">
        <v>418</v>
      </c>
      <c r="D180" s="16" t="s">
        <v>419</v>
      </c>
      <c r="E180" s="18" t="s">
        <v>104</v>
      </c>
      <c r="F180" s="26" t="s">
        <v>413</v>
      </c>
      <c r="G180" s="8">
        <v>0</v>
      </c>
      <c r="H180" s="9">
        <v>65852.940799999997</v>
      </c>
      <c r="I180" s="10">
        <v>0.19</v>
      </c>
      <c r="J180" s="11">
        <f t="shared" si="5"/>
        <v>78364.999551999994</v>
      </c>
      <c r="K180" s="71">
        <f t="shared" si="4"/>
        <v>0</v>
      </c>
      <c r="L180" s="106"/>
    </row>
    <row r="181" spans="1:12">
      <c r="A181" s="12">
        <v>169</v>
      </c>
      <c r="B181" s="13">
        <v>53141602</v>
      </c>
      <c r="C181" s="16" t="s">
        <v>420</v>
      </c>
      <c r="D181" s="16" t="s">
        <v>421</v>
      </c>
      <c r="E181" s="18" t="s">
        <v>104</v>
      </c>
      <c r="F181" s="26" t="s">
        <v>413</v>
      </c>
      <c r="G181" s="8">
        <v>0</v>
      </c>
      <c r="H181" s="9">
        <v>61057.063999999998</v>
      </c>
      <c r="I181" s="10">
        <v>0.19</v>
      </c>
      <c r="J181" s="11">
        <f t="shared" si="5"/>
        <v>72657.906159999999</v>
      </c>
      <c r="K181" s="71">
        <f t="shared" si="4"/>
        <v>0</v>
      </c>
      <c r="L181" s="106"/>
    </row>
    <row r="182" spans="1:12">
      <c r="A182" s="12">
        <v>170</v>
      </c>
      <c r="B182" s="13">
        <v>53141602</v>
      </c>
      <c r="C182" s="16" t="s">
        <v>422</v>
      </c>
      <c r="D182" s="16" t="s">
        <v>423</v>
      </c>
      <c r="E182" s="18" t="s">
        <v>104</v>
      </c>
      <c r="F182" s="26" t="s">
        <v>413</v>
      </c>
      <c r="G182" s="8">
        <v>0</v>
      </c>
      <c r="H182" s="9">
        <v>127115.8884</v>
      </c>
      <c r="I182" s="10">
        <v>0.19</v>
      </c>
      <c r="J182" s="11">
        <f t="shared" si="5"/>
        <v>151267.90719599999</v>
      </c>
      <c r="K182" s="71">
        <f t="shared" si="4"/>
        <v>0</v>
      </c>
      <c r="L182" s="106"/>
    </row>
    <row r="183" spans="1:12">
      <c r="A183" s="12">
        <v>171</v>
      </c>
      <c r="B183" s="13">
        <v>53141603</v>
      </c>
      <c r="C183" s="16" t="s">
        <v>424</v>
      </c>
      <c r="D183" s="16" t="s">
        <v>425</v>
      </c>
      <c r="E183" s="6" t="s">
        <v>104</v>
      </c>
      <c r="F183" s="26" t="s">
        <v>413</v>
      </c>
      <c r="G183" s="8">
        <v>0</v>
      </c>
      <c r="H183" s="9">
        <v>54968.126400000001</v>
      </c>
      <c r="I183" s="10">
        <v>0.19</v>
      </c>
      <c r="J183" s="11">
        <f t="shared" si="5"/>
        <v>65412.070415999995</v>
      </c>
      <c r="K183" s="71">
        <f t="shared" si="4"/>
        <v>0</v>
      </c>
      <c r="L183" s="106"/>
    </row>
    <row r="184" spans="1:12">
      <c r="A184" s="12">
        <v>172</v>
      </c>
      <c r="B184" s="13">
        <v>23150000</v>
      </c>
      <c r="C184" s="16" t="s">
        <v>426</v>
      </c>
      <c r="D184" s="13" t="s">
        <v>427</v>
      </c>
      <c r="E184" s="6" t="s">
        <v>311</v>
      </c>
      <c r="F184" s="7" t="s">
        <v>311</v>
      </c>
      <c r="G184" s="8">
        <v>1</v>
      </c>
      <c r="H184" s="9">
        <v>106590.8772</v>
      </c>
      <c r="I184" s="10">
        <v>0.19</v>
      </c>
      <c r="J184" s="11">
        <f t="shared" si="5"/>
        <v>126843.143868</v>
      </c>
      <c r="K184" s="71">
        <f t="shared" si="4"/>
        <v>126843.143868</v>
      </c>
      <c r="L184" s="106"/>
    </row>
    <row r="185" spans="1:12">
      <c r="A185" s="12">
        <v>173</v>
      </c>
      <c r="B185" s="13">
        <v>23150000</v>
      </c>
      <c r="C185" s="16" t="s">
        <v>428</v>
      </c>
      <c r="D185" s="13" t="s">
        <v>429</v>
      </c>
      <c r="E185" s="6"/>
      <c r="F185" s="7"/>
      <c r="G185" s="8">
        <v>0</v>
      </c>
      <c r="H185" s="9">
        <v>164242.94320000001</v>
      </c>
      <c r="I185" s="10">
        <v>0.19</v>
      </c>
      <c r="J185" s="11">
        <f t="shared" si="5"/>
        <v>195449.10240800001</v>
      </c>
      <c r="K185" s="71">
        <f t="shared" si="4"/>
        <v>0</v>
      </c>
      <c r="L185" s="106"/>
    </row>
    <row r="186" spans="1:12">
      <c r="A186" s="12">
        <v>174</v>
      </c>
      <c r="B186" s="13">
        <v>23150000</v>
      </c>
      <c r="C186" s="16" t="s">
        <v>430</v>
      </c>
      <c r="D186" s="13" t="s">
        <v>431</v>
      </c>
      <c r="E186" s="6" t="s">
        <v>279</v>
      </c>
      <c r="F186" s="7" t="s">
        <v>279</v>
      </c>
      <c r="G186" s="8">
        <v>0</v>
      </c>
      <c r="H186" s="9">
        <v>70731.73</v>
      </c>
      <c r="I186" s="10">
        <v>0.19</v>
      </c>
      <c r="J186" s="11">
        <f t="shared" si="5"/>
        <v>84170.758699999991</v>
      </c>
      <c r="K186" s="71">
        <f t="shared" si="4"/>
        <v>0</v>
      </c>
      <c r="L186" s="106"/>
    </row>
    <row r="187" spans="1:12">
      <c r="A187" s="12">
        <v>175</v>
      </c>
      <c r="B187" s="13">
        <v>23150000</v>
      </c>
      <c r="C187" s="13" t="s">
        <v>432</v>
      </c>
      <c r="D187" s="13" t="s">
        <v>433</v>
      </c>
      <c r="E187" s="6" t="s">
        <v>279</v>
      </c>
      <c r="F187" s="7" t="s">
        <v>279</v>
      </c>
      <c r="G187" s="8">
        <v>0</v>
      </c>
      <c r="H187" s="9">
        <v>59446.327599999997</v>
      </c>
      <c r="I187" s="10">
        <v>0.19</v>
      </c>
      <c r="J187" s="11">
        <f t="shared" si="5"/>
        <v>70741.129843999996</v>
      </c>
      <c r="K187" s="71">
        <f t="shared" si="4"/>
        <v>0</v>
      </c>
      <c r="L187" s="106"/>
    </row>
    <row r="188" spans="1:12">
      <c r="A188" s="12">
        <v>176</v>
      </c>
      <c r="B188" s="13">
        <v>23150000</v>
      </c>
      <c r="C188" s="13" t="s">
        <v>434</v>
      </c>
      <c r="D188" s="13" t="s">
        <v>435</v>
      </c>
      <c r="E188" s="6" t="s">
        <v>279</v>
      </c>
      <c r="F188" s="7" t="s">
        <v>279</v>
      </c>
      <c r="G188" s="8">
        <v>0</v>
      </c>
      <c r="H188" s="9">
        <v>45476.9856</v>
      </c>
      <c r="I188" s="10">
        <v>0.19</v>
      </c>
      <c r="J188" s="11">
        <f t="shared" si="5"/>
        <v>54117.612863999995</v>
      </c>
      <c r="K188" s="71">
        <f t="shared" si="4"/>
        <v>0</v>
      </c>
      <c r="L188" s="106"/>
    </row>
    <row r="189" spans="1:12">
      <c r="A189" s="12">
        <v>177</v>
      </c>
      <c r="B189" s="13">
        <v>23150000</v>
      </c>
      <c r="C189" s="13" t="s">
        <v>436</v>
      </c>
      <c r="D189" s="14" t="s">
        <v>437</v>
      </c>
      <c r="E189" s="6" t="s">
        <v>279</v>
      </c>
      <c r="F189" s="7" t="s">
        <v>29</v>
      </c>
      <c r="G189" s="8">
        <v>1</v>
      </c>
      <c r="H189" s="9">
        <v>35135.294000000002</v>
      </c>
      <c r="I189" s="10">
        <v>0.19</v>
      </c>
      <c r="J189" s="11">
        <f t="shared" si="5"/>
        <v>41810.999860000004</v>
      </c>
      <c r="K189" s="71">
        <f t="shared" si="4"/>
        <v>41810.999860000004</v>
      </c>
      <c r="L189" s="106"/>
    </row>
    <row r="190" spans="1:12">
      <c r="A190" s="12">
        <v>178</v>
      </c>
      <c r="B190" s="13">
        <v>23150000</v>
      </c>
      <c r="C190" s="16" t="s">
        <v>438</v>
      </c>
      <c r="D190" s="14" t="s">
        <v>439</v>
      </c>
      <c r="E190" s="6" t="s">
        <v>279</v>
      </c>
      <c r="F190" s="7" t="s">
        <v>29</v>
      </c>
      <c r="G190" s="8">
        <v>0</v>
      </c>
      <c r="H190" s="9">
        <v>72600.5196</v>
      </c>
      <c r="I190" s="10">
        <v>0.19</v>
      </c>
      <c r="J190" s="11">
        <f t="shared" si="5"/>
        <v>86394.618323999995</v>
      </c>
      <c r="K190" s="71">
        <f t="shared" si="4"/>
        <v>0</v>
      </c>
      <c r="L190" s="106"/>
    </row>
    <row r="191" spans="1:12">
      <c r="A191" s="12">
        <v>179</v>
      </c>
      <c r="B191" s="13">
        <v>23150000</v>
      </c>
      <c r="C191" s="14" t="s">
        <v>440</v>
      </c>
      <c r="D191" s="14" t="s">
        <v>441</v>
      </c>
      <c r="E191" s="6" t="s">
        <v>279</v>
      </c>
      <c r="F191" s="7" t="s">
        <v>29</v>
      </c>
      <c r="G191" s="8">
        <v>0</v>
      </c>
      <c r="H191" s="9">
        <v>78627.971600000004</v>
      </c>
      <c r="I191" s="10">
        <v>0.19</v>
      </c>
      <c r="J191" s="11">
        <f t="shared" si="5"/>
        <v>93567.286204000004</v>
      </c>
      <c r="K191" s="71">
        <f t="shared" si="4"/>
        <v>0</v>
      </c>
      <c r="L191" s="106"/>
    </row>
    <row r="192" spans="1:12">
      <c r="A192" s="12">
        <v>180</v>
      </c>
      <c r="B192" s="13">
        <v>23153022</v>
      </c>
      <c r="C192" s="13" t="s">
        <v>442</v>
      </c>
      <c r="D192" s="13" t="s">
        <v>443</v>
      </c>
      <c r="E192" s="6" t="s">
        <v>104</v>
      </c>
      <c r="F192" s="7" t="s">
        <v>29</v>
      </c>
      <c r="G192" s="8">
        <v>1</v>
      </c>
      <c r="H192" s="9">
        <v>65893.931200000006</v>
      </c>
      <c r="I192" s="10">
        <v>0.19</v>
      </c>
      <c r="J192" s="11">
        <f t="shared" si="5"/>
        <v>78413.778128000005</v>
      </c>
      <c r="K192" s="71">
        <f t="shared" si="4"/>
        <v>78413.778128000005</v>
      </c>
      <c r="L192" s="106"/>
    </row>
    <row r="193" spans="1:12">
      <c r="A193" s="12">
        <v>181</v>
      </c>
      <c r="B193" s="13">
        <v>23153022</v>
      </c>
      <c r="C193" s="13" t="s">
        <v>444</v>
      </c>
      <c r="D193" s="13" t="s">
        <v>445</v>
      </c>
      <c r="E193" s="6" t="s">
        <v>104</v>
      </c>
      <c r="F193" s="7" t="s">
        <v>29</v>
      </c>
      <c r="G193" s="8">
        <v>1</v>
      </c>
      <c r="H193" s="9">
        <v>55126.498399999997</v>
      </c>
      <c r="I193" s="10">
        <v>0.19</v>
      </c>
      <c r="J193" s="11">
        <f t="shared" si="5"/>
        <v>65600.533095999999</v>
      </c>
      <c r="K193" s="71">
        <f t="shared" si="4"/>
        <v>65600.533095999999</v>
      </c>
      <c r="L193" s="106"/>
    </row>
    <row r="194" spans="1:12">
      <c r="A194" s="12">
        <v>182</v>
      </c>
      <c r="B194" s="13">
        <v>23153022</v>
      </c>
      <c r="C194" s="13" t="s">
        <v>446</v>
      </c>
      <c r="D194" s="13" t="s">
        <v>447</v>
      </c>
      <c r="E194" s="6" t="s">
        <v>104</v>
      </c>
      <c r="F194" s="7" t="s">
        <v>29</v>
      </c>
      <c r="G194" s="8">
        <v>0</v>
      </c>
      <c r="H194" s="9">
        <v>69021.312399999995</v>
      </c>
      <c r="I194" s="10">
        <v>0.19</v>
      </c>
      <c r="J194" s="11">
        <f t="shared" si="5"/>
        <v>82135.361755999984</v>
      </c>
      <c r="K194" s="71">
        <f t="shared" si="4"/>
        <v>0</v>
      </c>
      <c r="L194" s="106"/>
    </row>
    <row r="195" spans="1:12">
      <c r="A195" s="12">
        <v>183</v>
      </c>
      <c r="B195" s="13">
        <v>44121700</v>
      </c>
      <c r="C195" s="16" t="s">
        <v>448</v>
      </c>
      <c r="D195" s="13" t="s">
        <v>449</v>
      </c>
      <c r="E195" s="6" t="s">
        <v>104</v>
      </c>
      <c r="F195" s="7" t="s">
        <v>29</v>
      </c>
      <c r="G195" s="84">
        <v>1</v>
      </c>
      <c r="H195" s="9">
        <v>1485.902</v>
      </c>
      <c r="I195" s="10">
        <v>0.19</v>
      </c>
      <c r="J195" s="11">
        <f t="shared" si="5"/>
        <v>1768.2233799999999</v>
      </c>
      <c r="K195" s="71">
        <f t="shared" si="4"/>
        <v>1768.2233799999999</v>
      </c>
      <c r="L195" s="106"/>
    </row>
    <row r="196" spans="1:12" ht="308.25" customHeight="1">
      <c r="A196" s="12">
        <v>184</v>
      </c>
      <c r="B196" s="16">
        <v>41110000</v>
      </c>
      <c r="C196" s="16" t="s">
        <v>450</v>
      </c>
      <c r="D196" s="87" t="s">
        <v>451</v>
      </c>
      <c r="E196" s="6" t="s">
        <v>104</v>
      </c>
      <c r="F196" s="7" t="s">
        <v>452</v>
      </c>
      <c r="G196" s="8">
        <v>1</v>
      </c>
      <c r="H196" s="9">
        <v>1291322.4343999999</v>
      </c>
      <c r="I196" s="10">
        <v>0.19</v>
      </c>
      <c r="J196" s="11">
        <f t="shared" si="5"/>
        <v>1536673.6969359999</v>
      </c>
      <c r="K196" s="71">
        <f t="shared" si="4"/>
        <v>1536673.6969359999</v>
      </c>
      <c r="L196" s="106"/>
    </row>
    <row r="197" spans="1:12">
      <c r="A197" s="12">
        <v>185</v>
      </c>
      <c r="B197" s="16">
        <v>60106211</v>
      </c>
      <c r="C197" s="16" t="s">
        <v>453</v>
      </c>
      <c r="D197" s="16" t="s">
        <v>454</v>
      </c>
      <c r="E197" s="6" t="s">
        <v>104</v>
      </c>
      <c r="F197" s="7" t="s">
        <v>29</v>
      </c>
      <c r="G197" s="8">
        <v>0</v>
      </c>
      <c r="H197" s="9">
        <v>471051.42920000001</v>
      </c>
      <c r="I197" s="10">
        <v>0.19</v>
      </c>
      <c r="J197" s="11">
        <f t="shared" si="5"/>
        <v>560551.20074799994</v>
      </c>
      <c r="K197" s="71">
        <f t="shared" si="4"/>
        <v>0</v>
      </c>
      <c r="L197" s="106"/>
    </row>
    <row r="198" spans="1:12" ht="220.5" customHeight="1">
      <c r="A198" s="12">
        <v>186</v>
      </c>
      <c r="B198" s="16">
        <v>23101501</v>
      </c>
      <c r="C198" s="87" t="s">
        <v>455</v>
      </c>
      <c r="D198" s="87" t="s">
        <v>456</v>
      </c>
      <c r="E198" s="6" t="s">
        <v>104</v>
      </c>
      <c r="F198" s="7" t="s">
        <v>29</v>
      </c>
      <c r="G198" s="8">
        <v>1</v>
      </c>
      <c r="H198" s="9">
        <v>714956.42</v>
      </c>
      <c r="I198" s="10">
        <v>0.19</v>
      </c>
      <c r="J198" s="11">
        <f t="shared" si="5"/>
        <v>850798.1398</v>
      </c>
      <c r="K198" s="71">
        <f t="shared" si="4"/>
        <v>850798.1398</v>
      </c>
      <c r="L198" s="106"/>
    </row>
    <row r="199" spans="1:12">
      <c r="A199" s="12">
        <v>187</v>
      </c>
      <c r="B199" s="16">
        <v>27110000</v>
      </c>
      <c r="C199" s="16" t="s">
        <v>457</v>
      </c>
      <c r="D199" s="39" t="s">
        <v>458</v>
      </c>
      <c r="E199" s="18" t="s">
        <v>104</v>
      </c>
      <c r="F199" s="7" t="s">
        <v>459</v>
      </c>
      <c r="G199" s="8">
        <v>3</v>
      </c>
      <c r="H199" s="9">
        <v>39063.851199999997</v>
      </c>
      <c r="I199" s="10">
        <v>0.19</v>
      </c>
      <c r="J199" s="11">
        <f t="shared" si="5"/>
        <v>46485.982927999998</v>
      </c>
      <c r="K199" s="71">
        <f t="shared" si="4"/>
        <v>139457.94878400001</v>
      </c>
      <c r="L199" s="106"/>
    </row>
    <row r="200" spans="1:12">
      <c r="A200" s="12">
        <v>188</v>
      </c>
      <c r="B200" s="16">
        <v>23101537</v>
      </c>
      <c r="C200" s="16" t="s">
        <v>460</v>
      </c>
      <c r="D200" s="40" t="s">
        <v>461</v>
      </c>
      <c r="E200" s="18" t="s">
        <v>104</v>
      </c>
      <c r="F200" s="7" t="s">
        <v>462</v>
      </c>
      <c r="G200" s="8">
        <v>5</v>
      </c>
      <c r="H200" s="9">
        <v>20040.5792</v>
      </c>
      <c r="I200" s="10">
        <v>0.19</v>
      </c>
      <c r="J200" s="11">
        <f t="shared" si="5"/>
        <v>23848.289247999997</v>
      </c>
      <c r="K200" s="71">
        <f t="shared" si="4"/>
        <v>119241.44623999999</v>
      </c>
      <c r="L200" s="106"/>
    </row>
    <row r="201" spans="1:12">
      <c r="A201" s="12">
        <v>189</v>
      </c>
      <c r="B201" s="41">
        <v>23101509</v>
      </c>
      <c r="C201" s="42" t="s">
        <v>463</v>
      </c>
      <c r="D201" s="42" t="s">
        <v>464</v>
      </c>
      <c r="E201" s="18" t="s">
        <v>104</v>
      </c>
      <c r="F201" s="7" t="s">
        <v>29</v>
      </c>
      <c r="G201" s="8">
        <v>1</v>
      </c>
      <c r="H201" s="9">
        <v>295553.82640000002</v>
      </c>
      <c r="I201" s="10">
        <v>0.19</v>
      </c>
      <c r="J201" s="11">
        <f t="shared" si="5"/>
        <v>351709.05341599998</v>
      </c>
      <c r="K201" s="71">
        <f t="shared" si="4"/>
        <v>351709.05341599998</v>
      </c>
      <c r="L201" s="106"/>
    </row>
    <row r="202" spans="1:12" ht="246" customHeight="1">
      <c r="A202" s="12">
        <v>190</v>
      </c>
      <c r="B202" s="41">
        <v>23101509</v>
      </c>
      <c r="C202" s="103" t="s">
        <v>465</v>
      </c>
      <c r="D202" s="103" t="s">
        <v>466</v>
      </c>
      <c r="E202" s="6" t="s">
        <v>104</v>
      </c>
      <c r="F202" s="7" t="s">
        <v>29</v>
      </c>
      <c r="G202" s="8">
        <v>1</v>
      </c>
      <c r="H202" s="9">
        <v>529550.31960000005</v>
      </c>
      <c r="I202" s="10">
        <v>0.19</v>
      </c>
      <c r="J202" s="11">
        <f t="shared" si="5"/>
        <v>630164.88032400003</v>
      </c>
      <c r="K202" s="71">
        <f t="shared" si="4"/>
        <v>630164.88032400003</v>
      </c>
      <c r="L202" s="106"/>
    </row>
    <row r="203" spans="1:12">
      <c r="A203" s="12">
        <v>191</v>
      </c>
      <c r="B203" s="38">
        <v>23101537</v>
      </c>
      <c r="C203" s="42" t="s">
        <v>467</v>
      </c>
      <c r="D203" s="42" t="s">
        <v>468</v>
      </c>
      <c r="E203" s="6" t="s">
        <v>104</v>
      </c>
      <c r="F203" s="7" t="s">
        <v>469</v>
      </c>
      <c r="G203" s="8">
        <v>3</v>
      </c>
      <c r="H203" s="9">
        <v>166629.70240000001</v>
      </c>
      <c r="I203" s="10">
        <v>0.19</v>
      </c>
      <c r="J203" s="11">
        <f t="shared" si="5"/>
        <v>198289.345856</v>
      </c>
      <c r="K203" s="71">
        <f t="shared" si="4"/>
        <v>594868.03756800003</v>
      </c>
      <c r="L203" s="106"/>
    </row>
    <row r="204" spans="1:12">
      <c r="A204" s="12">
        <v>192</v>
      </c>
      <c r="B204" s="38">
        <v>23101537</v>
      </c>
      <c r="C204" s="42" t="s">
        <v>470</v>
      </c>
      <c r="D204" s="42" t="s">
        <v>471</v>
      </c>
      <c r="E204" s="6" t="s">
        <v>104</v>
      </c>
      <c r="F204" s="7" t="s">
        <v>29</v>
      </c>
      <c r="G204" s="8">
        <v>3</v>
      </c>
      <c r="H204" s="9">
        <v>3497.2264</v>
      </c>
      <c r="I204" s="10">
        <v>0.19</v>
      </c>
      <c r="J204" s="11">
        <f t="shared" si="5"/>
        <v>4161.6994159999995</v>
      </c>
      <c r="K204" s="71">
        <f t="shared" si="4"/>
        <v>12485.098247999998</v>
      </c>
      <c r="L204" s="106"/>
    </row>
    <row r="205" spans="1:12" ht="273.75" customHeight="1">
      <c r="A205" s="12">
        <v>193</v>
      </c>
      <c r="B205" s="38">
        <v>22101619</v>
      </c>
      <c r="C205" s="103" t="s">
        <v>472</v>
      </c>
      <c r="D205" s="103" t="s">
        <v>473</v>
      </c>
      <c r="E205" s="6" t="s">
        <v>104</v>
      </c>
      <c r="F205" s="7" t="s">
        <v>29</v>
      </c>
      <c r="G205" s="8">
        <v>1</v>
      </c>
      <c r="H205" s="9">
        <v>1017635.1232</v>
      </c>
      <c r="I205" s="10">
        <v>0.19</v>
      </c>
      <c r="J205" s="11">
        <f t="shared" si="5"/>
        <v>1210985.7966080001</v>
      </c>
      <c r="K205" s="71">
        <f t="shared" ref="K205:K237" si="6">J205*G205</f>
        <v>1210985.7966080001</v>
      </c>
      <c r="L205" s="106"/>
    </row>
    <row r="206" spans="1:12">
      <c r="A206" s="12">
        <v>194</v>
      </c>
      <c r="B206" s="38">
        <v>23131601</v>
      </c>
      <c r="C206" s="42" t="s">
        <v>474</v>
      </c>
      <c r="D206" s="42" t="s">
        <v>475</v>
      </c>
      <c r="E206" s="6" t="s">
        <v>104</v>
      </c>
      <c r="F206" s="7" t="s">
        <v>29</v>
      </c>
      <c r="G206" s="8">
        <v>3</v>
      </c>
      <c r="H206" s="9">
        <v>103571.5616</v>
      </c>
      <c r="I206" s="10">
        <v>0.19</v>
      </c>
      <c r="J206" s="11">
        <f t="shared" ref="J206:J237" si="7">H206*1.19</f>
        <v>123250.158304</v>
      </c>
      <c r="K206" s="71">
        <f t="shared" si="6"/>
        <v>369750.47491200001</v>
      </c>
      <c r="L206" s="106"/>
    </row>
    <row r="207" spans="1:12" ht="408" customHeight="1">
      <c r="A207" s="12">
        <v>195</v>
      </c>
      <c r="B207" s="43">
        <v>23101502</v>
      </c>
      <c r="C207" s="42" t="s">
        <v>476</v>
      </c>
      <c r="D207" s="103" t="s">
        <v>477</v>
      </c>
      <c r="E207" s="6" t="s">
        <v>104</v>
      </c>
      <c r="F207" s="7" t="s">
        <v>29</v>
      </c>
      <c r="G207" s="8">
        <v>1</v>
      </c>
      <c r="H207" s="9">
        <v>542727.80160000001</v>
      </c>
      <c r="I207" s="10">
        <v>0.19</v>
      </c>
      <c r="J207" s="11">
        <f t="shared" si="7"/>
        <v>645846.083904</v>
      </c>
      <c r="K207" s="71">
        <f t="shared" si="6"/>
        <v>645846.083904</v>
      </c>
      <c r="L207" s="106"/>
    </row>
    <row r="208" spans="1:12">
      <c r="A208" s="12">
        <v>196</v>
      </c>
      <c r="B208" s="43">
        <v>23101502</v>
      </c>
      <c r="C208" s="42" t="s">
        <v>478</v>
      </c>
      <c r="D208" s="42" t="s">
        <v>479</v>
      </c>
      <c r="E208" s="6" t="s">
        <v>104</v>
      </c>
      <c r="F208" s="7" t="s">
        <v>29</v>
      </c>
      <c r="G208" s="8">
        <v>2</v>
      </c>
      <c r="H208" s="9">
        <v>562011.9216</v>
      </c>
      <c r="I208" s="10">
        <v>0.19</v>
      </c>
      <c r="J208" s="11">
        <f t="shared" si="7"/>
        <v>668794.18670399999</v>
      </c>
      <c r="K208" s="71">
        <f t="shared" si="6"/>
        <v>1337588.373408</v>
      </c>
      <c r="L208" s="106"/>
    </row>
    <row r="209" spans="1:13" ht="256.5">
      <c r="A209" s="12">
        <v>197</v>
      </c>
      <c r="B209" s="38">
        <v>27112748</v>
      </c>
      <c r="C209" s="42" t="s">
        <v>480</v>
      </c>
      <c r="D209" s="103" t="s">
        <v>481</v>
      </c>
      <c r="E209" s="6" t="s">
        <v>104</v>
      </c>
      <c r="F209" s="7" t="s">
        <v>29</v>
      </c>
      <c r="G209" s="8">
        <v>1</v>
      </c>
      <c r="H209" s="9">
        <v>820041.83160000003</v>
      </c>
      <c r="I209" s="10">
        <v>0.19</v>
      </c>
      <c r="J209" s="11">
        <f t="shared" si="7"/>
        <v>975849.77960400004</v>
      </c>
      <c r="K209" s="71">
        <f t="shared" si="6"/>
        <v>975849.77960400004</v>
      </c>
      <c r="L209" s="106"/>
    </row>
    <row r="210" spans="1:13" ht="266.25" customHeight="1">
      <c r="A210" s="12">
        <v>198</v>
      </c>
      <c r="B210" s="38">
        <v>47121602</v>
      </c>
      <c r="C210" s="103" t="s">
        <v>482</v>
      </c>
      <c r="D210" s="103" t="s">
        <v>483</v>
      </c>
      <c r="E210" s="6" t="s">
        <v>104</v>
      </c>
      <c r="F210" s="7" t="s">
        <v>29</v>
      </c>
      <c r="G210" s="8">
        <v>1</v>
      </c>
      <c r="H210" s="9">
        <v>379000.03320000001</v>
      </c>
      <c r="I210" s="10">
        <v>0.19</v>
      </c>
      <c r="J210" s="11">
        <f t="shared" si="7"/>
        <v>451010.03950799996</v>
      </c>
      <c r="K210" s="71">
        <f t="shared" si="6"/>
        <v>451010.03950799996</v>
      </c>
      <c r="L210" s="106"/>
    </row>
    <row r="211" spans="1:13" ht="121.5">
      <c r="A211" s="12">
        <v>199</v>
      </c>
      <c r="B211" s="38">
        <v>20102104</v>
      </c>
      <c r="C211" s="42" t="s">
        <v>484</v>
      </c>
      <c r="D211" s="103" t="s">
        <v>485</v>
      </c>
      <c r="E211" s="6" t="s">
        <v>104</v>
      </c>
      <c r="F211" s="7" t="s">
        <v>452</v>
      </c>
      <c r="G211" s="8">
        <v>1</v>
      </c>
      <c r="H211" s="9">
        <v>178504.8076</v>
      </c>
      <c r="I211" s="10">
        <v>0.19</v>
      </c>
      <c r="J211" s="11">
        <f t="shared" si="7"/>
        <v>212420.72104399998</v>
      </c>
      <c r="K211" s="71">
        <f t="shared" si="6"/>
        <v>212420.72104399998</v>
      </c>
      <c r="L211" s="106"/>
    </row>
    <row r="212" spans="1:13">
      <c r="A212" s="12">
        <v>200</v>
      </c>
      <c r="B212" s="38">
        <v>23151607</v>
      </c>
      <c r="C212" s="42" t="s">
        <v>486</v>
      </c>
      <c r="D212" s="42" t="s">
        <v>487</v>
      </c>
      <c r="E212" s="6" t="s">
        <v>104</v>
      </c>
      <c r="F212" s="7" t="s">
        <v>29</v>
      </c>
      <c r="G212" s="8">
        <v>4</v>
      </c>
      <c r="H212" s="9">
        <v>26845.9172</v>
      </c>
      <c r="I212" s="10">
        <v>0.19</v>
      </c>
      <c r="J212" s="11">
        <f t="shared" si="7"/>
        <v>31946.641467999998</v>
      </c>
      <c r="K212" s="71">
        <f t="shared" si="6"/>
        <v>127786.56587199999</v>
      </c>
      <c r="L212" s="106"/>
    </row>
    <row r="213" spans="1:13">
      <c r="A213" s="12">
        <v>201</v>
      </c>
      <c r="B213" s="38">
        <v>11122000</v>
      </c>
      <c r="C213" s="42" t="s">
        <v>488</v>
      </c>
      <c r="D213" s="42" t="s">
        <v>489</v>
      </c>
      <c r="E213" s="6" t="s">
        <v>104</v>
      </c>
      <c r="F213" s="7" t="s">
        <v>490</v>
      </c>
      <c r="G213" s="8">
        <v>4</v>
      </c>
      <c r="H213" s="9">
        <v>46892.086000000003</v>
      </c>
      <c r="I213" s="10">
        <v>0.19</v>
      </c>
      <c r="J213" s="11">
        <f t="shared" si="7"/>
        <v>55801.582340000001</v>
      </c>
      <c r="K213" s="71">
        <f t="shared" si="6"/>
        <v>223206.32936</v>
      </c>
      <c r="L213" s="106"/>
    </row>
    <row r="214" spans="1:13">
      <c r="A214" s="12">
        <v>202</v>
      </c>
      <c r="B214" s="38">
        <v>11122000</v>
      </c>
      <c r="C214" s="42" t="s">
        <v>491</v>
      </c>
      <c r="D214" s="42" t="s">
        <v>492</v>
      </c>
      <c r="E214" s="6" t="s">
        <v>104</v>
      </c>
      <c r="F214" s="7" t="s">
        <v>490</v>
      </c>
      <c r="G214" s="8">
        <v>5</v>
      </c>
      <c r="H214" s="9">
        <v>70377.721999999994</v>
      </c>
      <c r="I214" s="10">
        <v>0.19</v>
      </c>
      <c r="J214" s="11">
        <f t="shared" si="7"/>
        <v>83749.48917999999</v>
      </c>
      <c r="K214" s="71">
        <f t="shared" si="6"/>
        <v>418747.44589999993</v>
      </c>
      <c r="L214" s="106"/>
    </row>
    <row r="215" spans="1:13">
      <c r="A215" s="44">
        <v>203</v>
      </c>
      <c r="B215" s="43">
        <v>13101601</v>
      </c>
      <c r="C215" s="43" t="s">
        <v>493</v>
      </c>
      <c r="D215" s="43" t="s">
        <v>494</v>
      </c>
      <c r="E215" s="18" t="s">
        <v>146</v>
      </c>
      <c r="F215" s="7" t="s">
        <v>146</v>
      </c>
      <c r="G215" s="8">
        <v>36</v>
      </c>
      <c r="H215" s="9">
        <v>5087.4675999999999</v>
      </c>
      <c r="I215" s="10">
        <v>0.19</v>
      </c>
      <c r="J215" s="11">
        <f t="shared" si="7"/>
        <v>6054.0864439999996</v>
      </c>
      <c r="K215" s="71">
        <f t="shared" si="6"/>
        <v>217947.11198399999</v>
      </c>
      <c r="L215" s="106"/>
    </row>
    <row r="216" spans="1:13">
      <c r="A216" s="45">
        <v>204</v>
      </c>
      <c r="B216" s="43">
        <v>53112002</v>
      </c>
      <c r="C216" s="43" t="s">
        <v>495</v>
      </c>
      <c r="D216" s="43" t="s">
        <v>496</v>
      </c>
      <c r="E216" s="18" t="s">
        <v>146</v>
      </c>
      <c r="F216" s="7" t="s">
        <v>146</v>
      </c>
      <c r="G216" s="8">
        <v>36</v>
      </c>
      <c r="H216" s="9">
        <v>290.6592</v>
      </c>
      <c r="I216" s="10">
        <v>0.19</v>
      </c>
      <c r="J216" s="11">
        <f t="shared" si="7"/>
        <v>345.88444799999996</v>
      </c>
      <c r="K216" s="71">
        <f t="shared" si="6"/>
        <v>12451.840127999998</v>
      </c>
      <c r="L216" s="106"/>
    </row>
    <row r="217" spans="1:13" ht="153.75" customHeight="1">
      <c r="A217" s="45">
        <v>205</v>
      </c>
      <c r="B217" s="43">
        <v>31201610</v>
      </c>
      <c r="C217" s="43" t="s">
        <v>497</v>
      </c>
      <c r="D217" s="104" t="s">
        <v>498</v>
      </c>
      <c r="E217" s="18" t="s">
        <v>109</v>
      </c>
      <c r="F217" s="7" t="s">
        <v>499</v>
      </c>
      <c r="G217" s="8">
        <v>15</v>
      </c>
      <c r="H217" s="9">
        <v>40812.464399999997</v>
      </c>
      <c r="I217" s="10">
        <v>0.19</v>
      </c>
      <c r="J217" s="11">
        <f t="shared" si="7"/>
        <v>48566.832635999992</v>
      </c>
      <c r="K217" s="71">
        <f t="shared" si="6"/>
        <v>728502.48953999986</v>
      </c>
      <c r="L217" s="106"/>
    </row>
    <row r="218" spans="1:13">
      <c r="A218" s="99">
        <v>206</v>
      </c>
      <c r="B218" s="100">
        <v>12191602</v>
      </c>
      <c r="C218" s="100" t="s">
        <v>500</v>
      </c>
      <c r="D218" s="92" t="s">
        <v>501</v>
      </c>
      <c r="E218" s="101" t="s">
        <v>109</v>
      </c>
      <c r="F218" s="102" t="s">
        <v>502</v>
      </c>
      <c r="G218" s="93">
        <v>10</v>
      </c>
      <c r="H218" s="94">
        <v>42534.061199999996</v>
      </c>
      <c r="I218" s="95">
        <v>0.19</v>
      </c>
      <c r="J218" s="96">
        <f t="shared" si="7"/>
        <v>50615.532827999996</v>
      </c>
      <c r="K218" s="97">
        <f t="shared" si="6"/>
        <v>506155.32827999996</v>
      </c>
      <c r="L218" s="106"/>
      <c r="M218" t="s">
        <v>503</v>
      </c>
    </row>
    <row r="219" spans="1:13">
      <c r="A219" s="45">
        <v>207</v>
      </c>
      <c r="B219" s="43">
        <v>56101543</v>
      </c>
      <c r="C219" s="46" t="s">
        <v>504</v>
      </c>
      <c r="D219" s="30" t="s">
        <v>505</v>
      </c>
      <c r="E219" s="47" t="s">
        <v>104</v>
      </c>
      <c r="F219" s="48" t="s">
        <v>29</v>
      </c>
      <c r="G219" s="8">
        <v>2</v>
      </c>
      <c r="H219" s="9">
        <v>164973.31760000001</v>
      </c>
      <c r="I219" s="10">
        <v>0.19</v>
      </c>
      <c r="J219" s="11">
        <f t="shared" si="7"/>
        <v>196318.247944</v>
      </c>
      <c r="K219" s="71">
        <f t="shared" si="6"/>
        <v>392636.495888</v>
      </c>
      <c r="L219" s="106"/>
    </row>
    <row r="220" spans="1:13">
      <c r="A220" s="45">
        <v>208</v>
      </c>
      <c r="B220" s="43">
        <v>13111008</v>
      </c>
      <c r="C220" s="43" t="s">
        <v>506</v>
      </c>
      <c r="D220" s="49" t="s">
        <v>507</v>
      </c>
      <c r="E220" s="18" t="s">
        <v>146</v>
      </c>
      <c r="F220" s="7" t="s">
        <v>146</v>
      </c>
      <c r="G220" s="8">
        <v>50</v>
      </c>
      <c r="H220" s="9">
        <v>12263.582399999999</v>
      </c>
      <c r="I220" s="10">
        <v>0.19</v>
      </c>
      <c r="J220" s="11">
        <f t="shared" si="7"/>
        <v>14593.663055999999</v>
      </c>
      <c r="K220" s="71">
        <f t="shared" si="6"/>
        <v>729683.15279999992</v>
      </c>
      <c r="L220" s="106"/>
    </row>
    <row r="221" spans="1:13">
      <c r="A221" s="45">
        <v>209</v>
      </c>
      <c r="B221" s="50">
        <v>23241601</v>
      </c>
      <c r="C221" s="42" t="s">
        <v>508</v>
      </c>
      <c r="D221" s="38" t="s">
        <v>509</v>
      </c>
      <c r="E221" s="51" t="s">
        <v>104</v>
      </c>
      <c r="F221" s="52" t="s">
        <v>29</v>
      </c>
      <c r="G221" s="8">
        <v>3</v>
      </c>
      <c r="H221" s="9">
        <v>179496.03</v>
      </c>
      <c r="I221" s="10">
        <v>0.19</v>
      </c>
      <c r="J221" s="11">
        <f t="shared" si="7"/>
        <v>213600.2757</v>
      </c>
      <c r="K221" s="71">
        <f t="shared" si="6"/>
        <v>640800.82709999999</v>
      </c>
      <c r="L221" s="106"/>
    </row>
    <row r="222" spans="1:13">
      <c r="A222" s="45">
        <v>210</v>
      </c>
      <c r="B222" s="50">
        <v>23241601</v>
      </c>
      <c r="C222" s="42" t="s">
        <v>510</v>
      </c>
      <c r="D222" s="38" t="s">
        <v>511</v>
      </c>
      <c r="E222" s="6" t="s">
        <v>104</v>
      </c>
      <c r="F222" s="7" t="s">
        <v>29</v>
      </c>
      <c r="G222" s="8">
        <v>3</v>
      </c>
      <c r="H222" s="9">
        <v>182538.63560000001</v>
      </c>
      <c r="I222" s="10">
        <v>0.19</v>
      </c>
      <c r="J222" s="11">
        <f t="shared" si="7"/>
        <v>217220.976364</v>
      </c>
      <c r="K222" s="71">
        <f t="shared" si="6"/>
        <v>651662.92909200001</v>
      </c>
      <c r="L222" s="106"/>
    </row>
    <row r="223" spans="1:13">
      <c r="A223" s="45">
        <v>211</v>
      </c>
      <c r="B223" s="50">
        <v>23241601</v>
      </c>
      <c r="C223" s="42" t="s">
        <v>512</v>
      </c>
      <c r="D223" s="38" t="s">
        <v>513</v>
      </c>
      <c r="E223" s="6" t="s">
        <v>104</v>
      </c>
      <c r="F223" s="7" t="s">
        <v>29</v>
      </c>
      <c r="G223" s="8">
        <v>3</v>
      </c>
      <c r="H223" s="9">
        <v>180994.97440000001</v>
      </c>
      <c r="I223" s="10">
        <v>0.19</v>
      </c>
      <c r="J223" s="11">
        <f t="shared" si="7"/>
        <v>215384.01953600001</v>
      </c>
      <c r="K223" s="71">
        <f t="shared" si="6"/>
        <v>646152.05860800005</v>
      </c>
      <c r="L223" s="106"/>
    </row>
    <row r="224" spans="1:13">
      <c r="A224" s="45">
        <v>212</v>
      </c>
      <c r="B224" s="50">
        <v>23232001</v>
      </c>
      <c r="C224" s="42" t="s">
        <v>514</v>
      </c>
      <c r="D224" s="38" t="s">
        <v>515</v>
      </c>
      <c r="E224" s="6" t="s">
        <v>104</v>
      </c>
      <c r="F224" s="7" t="s">
        <v>29</v>
      </c>
      <c r="G224" s="8">
        <v>3</v>
      </c>
      <c r="H224" s="9">
        <v>67310.894799999995</v>
      </c>
      <c r="I224" s="10">
        <v>0.19</v>
      </c>
      <c r="J224" s="11">
        <f t="shared" si="7"/>
        <v>80099.964811999991</v>
      </c>
      <c r="K224" s="71">
        <f t="shared" si="6"/>
        <v>240299.89443599997</v>
      </c>
      <c r="L224" s="106"/>
    </row>
    <row r="225" spans="1:13">
      <c r="A225" s="45">
        <v>213</v>
      </c>
      <c r="B225" s="50">
        <v>31161510</v>
      </c>
      <c r="C225" s="42" t="s">
        <v>516</v>
      </c>
      <c r="D225" s="38" t="s">
        <v>517</v>
      </c>
      <c r="E225" s="6" t="s">
        <v>104</v>
      </c>
      <c r="F225" s="7" t="s">
        <v>29</v>
      </c>
      <c r="G225" s="8">
        <v>10</v>
      </c>
      <c r="H225" s="9">
        <v>2280.5567999999998</v>
      </c>
      <c r="I225" s="10">
        <v>0.19</v>
      </c>
      <c r="J225" s="11">
        <f t="shared" si="7"/>
        <v>2713.8625919999995</v>
      </c>
      <c r="K225" s="71">
        <f t="shared" si="6"/>
        <v>27138.625919999995</v>
      </c>
      <c r="L225" s="106"/>
    </row>
    <row r="226" spans="1:13">
      <c r="A226" s="45">
        <v>214</v>
      </c>
      <c r="B226" s="50">
        <v>23232001</v>
      </c>
      <c r="C226" s="42" t="s">
        <v>518</v>
      </c>
      <c r="D226" s="38" t="s">
        <v>519</v>
      </c>
      <c r="E226" s="6" t="s">
        <v>104</v>
      </c>
      <c r="F226" s="7" t="s">
        <v>29</v>
      </c>
      <c r="G226" s="8">
        <v>2</v>
      </c>
      <c r="H226" s="9">
        <v>676473.8872</v>
      </c>
      <c r="I226" s="10">
        <v>0.19</v>
      </c>
      <c r="J226" s="11">
        <f t="shared" si="7"/>
        <v>805003.92576799996</v>
      </c>
      <c r="K226" s="71">
        <f t="shared" si="6"/>
        <v>1610007.8515359999</v>
      </c>
      <c r="L226" s="106"/>
    </row>
    <row r="227" spans="1:13">
      <c r="A227" s="45">
        <v>215</v>
      </c>
      <c r="B227" s="50">
        <v>23232001</v>
      </c>
      <c r="C227" s="42" t="s">
        <v>520</v>
      </c>
      <c r="D227" s="38" t="s">
        <v>521</v>
      </c>
      <c r="E227" s="6" t="s">
        <v>104</v>
      </c>
      <c r="F227" s="7" t="s">
        <v>29</v>
      </c>
      <c r="G227" s="8">
        <v>1</v>
      </c>
      <c r="H227" s="9">
        <v>288315.29440000001</v>
      </c>
      <c r="I227" s="10">
        <v>0.19</v>
      </c>
      <c r="J227" s="11">
        <f t="shared" si="7"/>
        <v>343095.20033600001</v>
      </c>
      <c r="K227" s="71">
        <f t="shared" si="6"/>
        <v>343095.20033600001</v>
      </c>
      <c r="L227" s="106"/>
    </row>
    <row r="228" spans="1:13">
      <c r="A228" s="45">
        <v>216</v>
      </c>
      <c r="B228" s="50">
        <v>27141001</v>
      </c>
      <c r="C228" s="42" t="s">
        <v>522</v>
      </c>
      <c r="D228" s="38" t="s">
        <v>523</v>
      </c>
      <c r="E228" s="6" t="s">
        <v>104</v>
      </c>
      <c r="F228" s="7" t="s">
        <v>29</v>
      </c>
      <c r="G228" s="8">
        <v>1</v>
      </c>
      <c r="H228" s="9">
        <v>182538.63560000001</v>
      </c>
      <c r="I228" s="10">
        <v>0.19</v>
      </c>
      <c r="J228" s="11">
        <f t="shared" si="7"/>
        <v>217220.976364</v>
      </c>
      <c r="K228" s="71">
        <f t="shared" si="6"/>
        <v>217220.976364</v>
      </c>
      <c r="L228" s="106"/>
    </row>
    <row r="229" spans="1:13">
      <c r="A229" s="45">
        <v>217</v>
      </c>
      <c r="B229" s="50">
        <v>27141001</v>
      </c>
      <c r="C229" s="42" t="s">
        <v>524</v>
      </c>
      <c r="D229" s="38" t="s">
        <v>525</v>
      </c>
      <c r="E229" s="6" t="s">
        <v>104</v>
      </c>
      <c r="F229" s="7" t="s">
        <v>29</v>
      </c>
      <c r="G229" s="8">
        <v>1</v>
      </c>
      <c r="H229" s="9">
        <v>212669.3744</v>
      </c>
      <c r="I229" s="10">
        <v>0.19</v>
      </c>
      <c r="J229" s="11">
        <f t="shared" si="7"/>
        <v>253076.555536</v>
      </c>
      <c r="K229" s="71">
        <f t="shared" si="6"/>
        <v>253076.555536</v>
      </c>
      <c r="L229" s="106"/>
    </row>
    <row r="230" spans="1:13">
      <c r="A230" s="45">
        <v>218</v>
      </c>
      <c r="B230" s="50">
        <v>27141001</v>
      </c>
      <c r="C230" s="42" t="s">
        <v>526</v>
      </c>
      <c r="D230" s="38" t="s">
        <v>527</v>
      </c>
      <c r="E230" s="6" t="s">
        <v>104</v>
      </c>
      <c r="F230" s="7" t="s">
        <v>29</v>
      </c>
      <c r="G230" s="8">
        <v>1</v>
      </c>
      <c r="H230" s="9">
        <v>482397.38559999998</v>
      </c>
      <c r="I230" s="10">
        <v>0.19</v>
      </c>
      <c r="J230" s="11">
        <f t="shared" si="7"/>
        <v>574052.88886399998</v>
      </c>
      <c r="K230" s="71">
        <f t="shared" si="6"/>
        <v>574052.88886399998</v>
      </c>
      <c r="L230" s="106"/>
    </row>
    <row r="231" spans="1:13">
      <c r="A231" s="45">
        <v>219</v>
      </c>
      <c r="B231" s="50">
        <v>47121602</v>
      </c>
      <c r="C231" s="42" t="s">
        <v>528</v>
      </c>
      <c r="D231" s="38" t="s">
        <v>529</v>
      </c>
      <c r="E231" s="6" t="s">
        <v>104</v>
      </c>
      <c r="F231" s="7" t="s">
        <v>29</v>
      </c>
      <c r="G231" s="8">
        <v>1</v>
      </c>
      <c r="H231" s="9">
        <v>559026.14359999995</v>
      </c>
      <c r="I231" s="10">
        <v>0.19</v>
      </c>
      <c r="J231" s="11">
        <f t="shared" si="7"/>
        <v>665241.11088399997</v>
      </c>
      <c r="K231" s="71">
        <f t="shared" si="6"/>
        <v>665241.11088399997</v>
      </c>
      <c r="L231" s="106"/>
    </row>
    <row r="232" spans="1:13">
      <c r="A232" s="45">
        <v>220</v>
      </c>
      <c r="B232" s="50">
        <v>27141001</v>
      </c>
      <c r="C232" s="42" t="s">
        <v>530</v>
      </c>
      <c r="D232" s="38" t="s">
        <v>531</v>
      </c>
      <c r="E232" s="6" t="s">
        <v>104</v>
      </c>
      <c r="F232" s="7" t="s">
        <v>29</v>
      </c>
      <c r="G232" s="8">
        <v>1</v>
      </c>
      <c r="H232" s="9">
        <v>830320.17440000002</v>
      </c>
      <c r="I232" s="10">
        <v>0.19</v>
      </c>
      <c r="J232" s="11">
        <f t="shared" si="7"/>
        <v>988081.00753599999</v>
      </c>
      <c r="K232" s="71">
        <f t="shared" si="6"/>
        <v>988081.00753599999</v>
      </c>
      <c r="L232" s="106"/>
    </row>
    <row r="233" spans="1:13">
      <c r="A233" s="45">
        <v>221</v>
      </c>
      <c r="B233" s="50">
        <v>27141001</v>
      </c>
      <c r="C233" s="42" t="s">
        <v>532</v>
      </c>
      <c r="D233" s="38" t="s">
        <v>533</v>
      </c>
      <c r="E233" s="6" t="s">
        <v>104</v>
      </c>
      <c r="F233" s="7" t="s">
        <v>29</v>
      </c>
      <c r="G233" s="8">
        <v>40</v>
      </c>
      <c r="H233" s="9">
        <v>88987.363599999997</v>
      </c>
      <c r="I233" s="10">
        <v>0.19</v>
      </c>
      <c r="J233" s="11">
        <f t="shared" si="7"/>
        <v>105894.962684</v>
      </c>
      <c r="K233" s="71">
        <f t="shared" si="6"/>
        <v>4235798.5073600002</v>
      </c>
      <c r="L233" s="106"/>
    </row>
    <row r="234" spans="1:13">
      <c r="A234" s="45">
        <v>222</v>
      </c>
      <c r="B234" s="50">
        <v>26111504</v>
      </c>
      <c r="C234" s="42" t="s">
        <v>534</v>
      </c>
      <c r="D234" s="38" t="s">
        <v>535</v>
      </c>
      <c r="E234" s="6" t="s">
        <v>104</v>
      </c>
      <c r="F234" s="7" t="s">
        <v>29</v>
      </c>
      <c r="G234" s="8">
        <v>2</v>
      </c>
      <c r="H234" s="9">
        <v>426304.81799999997</v>
      </c>
      <c r="I234" s="10">
        <v>0.19</v>
      </c>
      <c r="J234" s="11">
        <f t="shared" si="7"/>
        <v>507302.73341999995</v>
      </c>
      <c r="K234" s="71">
        <f t="shared" si="6"/>
        <v>1014605.4668399999</v>
      </c>
      <c r="L234" s="106"/>
    </row>
    <row r="235" spans="1:13">
      <c r="A235" s="45">
        <v>223</v>
      </c>
      <c r="B235" s="50">
        <v>23241601</v>
      </c>
      <c r="C235" s="42" t="s">
        <v>536</v>
      </c>
      <c r="D235" s="53" t="s">
        <v>537</v>
      </c>
      <c r="E235" s="54" t="s">
        <v>104</v>
      </c>
      <c r="F235" s="52" t="s">
        <v>29</v>
      </c>
      <c r="G235" s="8">
        <v>2</v>
      </c>
      <c r="H235" s="9">
        <v>365078.20279999997</v>
      </c>
      <c r="I235" s="10">
        <v>0.19</v>
      </c>
      <c r="J235" s="11">
        <f t="shared" si="7"/>
        <v>434443.06133199995</v>
      </c>
      <c r="K235" s="71">
        <f t="shared" si="6"/>
        <v>868886.12266399991</v>
      </c>
      <c r="L235" s="106"/>
    </row>
    <row r="236" spans="1:13">
      <c r="A236" s="55">
        <v>224</v>
      </c>
      <c r="B236" s="50">
        <v>27141001</v>
      </c>
      <c r="C236" s="56" t="s">
        <v>538</v>
      </c>
      <c r="D236" s="53" t="s">
        <v>539</v>
      </c>
      <c r="E236" s="54" t="s">
        <v>104</v>
      </c>
      <c r="F236" s="52" t="s">
        <v>29</v>
      </c>
      <c r="G236" s="8">
        <v>25</v>
      </c>
      <c r="H236" s="9">
        <v>134621.78959999999</v>
      </c>
      <c r="I236" s="10">
        <v>0.19</v>
      </c>
      <c r="J236" s="11">
        <f t="shared" si="7"/>
        <v>160199.92962399998</v>
      </c>
      <c r="K236" s="71">
        <f t="shared" si="6"/>
        <v>4004998.2405999997</v>
      </c>
      <c r="L236" s="106"/>
    </row>
    <row r="237" spans="1:13">
      <c r="A237" s="45">
        <v>225</v>
      </c>
      <c r="B237" s="57">
        <v>27141001</v>
      </c>
      <c r="C237" s="58" t="s">
        <v>540</v>
      </c>
      <c r="D237" s="59" t="s">
        <v>541</v>
      </c>
      <c r="E237" s="54" t="s">
        <v>104</v>
      </c>
      <c r="F237" s="52" t="s">
        <v>29</v>
      </c>
      <c r="G237" s="8">
        <v>40</v>
      </c>
      <c r="H237" s="9">
        <v>88234.630799999999</v>
      </c>
      <c r="I237" s="10">
        <v>0.19</v>
      </c>
      <c r="J237" s="11">
        <f t="shared" si="7"/>
        <v>104999.21065199999</v>
      </c>
      <c r="K237" s="71">
        <f t="shared" si="6"/>
        <v>4199968.4260799997</v>
      </c>
      <c r="L237" s="106"/>
    </row>
    <row r="238" spans="1:13">
      <c r="A238" s="130" t="s">
        <v>542</v>
      </c>
      <c r="B238" s="131"/>
      <c r="C238" s="131"/>
      <c r="D238" s="131"/>
      <c r="E238" s="131"/>
      <c r="F238" s="132"/>
      <c r="G238" s="60"/>
      <c r="H238" s="61">
        <f>SUM(H13:H237)</f>
        <v>21353243.658799998</v>
      </c>
      <c r="I238" s="62"/>
      <c r="J238" s="62">
        <f>SUM(J13:J237)</f>
        <v>25410359.953972001</v>
      </c>
      <c r="K238" s="72">
        <f>SUM(K13:K237)</f>
        <v>206944843.64526024</v>
      </c>
      <c r="L238" s="106"/>
    </row>
    <row r="239" spans="1:13">
      <c r="L239" s="107"/>
      <c r="M239" s="82">
        <v>206475860</v>
      </c>
    </row>
    <row r="240" spans="1:13">
      <c r="A240" s="63" t="s">
        <v>543</v>
      </c>
      <c r="K240" s="64"/>
      <c r="L240" s="107"/>
    </row>
    <row r="241" spans="1:13">
      <c r="A241" s="65"/>
      <c r="K241" s="64"/>
      <c r="L241" s="107"/>
      <c r="M241" s="108">
        <f>M239-K238</f>
        <v>-468983.64526024461</v>
      </c>
    </row>
    <row r="242" spans="1:13">
      <c r="A242" s="65"/>
      <c r="L242" s="107"/>
    </row>
    <row r="243" spans="1:13">
      <c r="A243" s="65"/>
      <c r="K243" s="66"/>
      <c r="L243" s="107"/>
    </row>
    <row r="244" spans="1:13">
      <c r="A244" s="67" t="s">
        <v>544</v>
      </c>
      <c r="K244" s="64"/>
    </row>
    <row r="245" spans="1:13">
      <c r="A245" s="63" t="s">
        <v>545</v>
      </c>
    </row>
    <row r="248" spans="1:13">
      <c r="A248" s="63" t="s">
        <v>546</v>
      </c>
      <c r="B248" t="s">
        <v>7</v>
      </c>
    </row>
    <row r="249" spans="1:13">
      <c r="A249" s="63" t="s">
        <v>547</v>
      </c>
      <c r="B249">
        <v>43047767</v>
      </c>
    </row>
    <row r="250" spans="1:13">
      <c r="A250" s="68" t="s">
        <v>548</v>
      </c>
      <c r="C250" s="69" t="s">
        <v>549</v>
      </c>
    </row>
  </sheetData>
  <autoFilter ref="A12:L241" xr:uid="{00000000-0001-0000-0000-000000000000}"/>
  <mergeCells count="15">
    <mergeCell ref="A9:B9"/>
    <mergeCell ref="C9:G9"/>
    <mergeCell ref="A238:F238"/>
    <mergeCell ref="A6:B6"/>
    <mergeCell ref="C6:G6"/>
    <mergeCell ref="A7:B7"/>
    <mergeCell ref="C7:G7"/>
    <mergeCell ref="A8:B8"/>
    <mergeCell ref="C8:G8"/>
    <mergeCell ref="A2:G2"/>
    <mergeCell ref="A3:G3"/>
    <mergeCell ref="A4:B4"/>
    <mergeCell ref="C4:G4"/>
    <mergeCell ref="A5:B5"/>
    <mergeCell ref="C5:G5"/>
  </mergeCells>
  <conditionalFormatting sqref="B177:D177">
    <cfRule type="containsBlanks" dxfId="4" priority="3">
      <formula>LEN(TRIM(B177))=0</formula>
    </cfRule>
  </conditionalFormatting>
  <conditionalFormatting sqref="B201:D237">
    <cfRule type="containsBlanks" dxfId="3" priority="1">
      <formula>LEN(TRIM(B201))=0</formula>
    </cfRule>
  </conditionalFormatting>
  <conditionalFormatting sqref="C167:D175">
    <cfRule type="containsBlanks" dxfId="2" priority="5">
      <formula>LEN(TRIM(C167))=0</formula>
    </cfRule>
  </conditionalFormatting>
  <conditionalFormatting sqref="D176">
    <cfRule type="containsBlanks" dxfId="1" priority="4">
      <formula>LEN(TRIM(D176))=0</formula>
    </cfRule>
  </conditionalFormatting>
  <conditionalFormatting sqref="D178:D179">
    <cfRule type="containsBlanks" dxfId="0" priority="2">
      <formula>LEN(TRIM(D178))=0</formula>
    </cfRule>
  </conditionalFormatting>
  <dataValidations count="1">
    <dataValidation type="whole" allowBlank="1" showInputMessage="1" showErrorMessage="1" sqref="B201:B202" xr:uid="{00000000-0002-0000-0000-000000000000}">
      <formula1>0</formula1>
      <formula2>9999999999</formula2>
    </dataValidation>
  </dataValidations>
  <hyperlinks>
    <hyperlink ref="C250" r:id="rId1" xr:uid="{00000000-0004-0000-0000-000000000000}"/>
    <hyperlink ref="C7" r:id="rId2" xr:uid="{00000000-0004-0000-0000-000001000000}"/>
  </hyperlinks>
  <pageMargins left="0.7" right="0.7" top="0.75" bottom="0.75" header="0.3" footer="0.3"/>
  <drawing r:id="rId3"/>
  <legacy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cano mejia</dc:creator>
  <cp:keywords/>
  <dc:description/>
  <cp:lastModifiedBy>Ronald Hibaldo Quintero Aguilera</cp:lastModifiedBy>
  <cp:revision/>
  <dcterms:created xsi:type="dcterms:W3CDTF">2024-06-12T21:11:17Z</dcterms:created>
  <dcterms:modified xsi:type="dcterms:W3CDTF">2025-04-03T02:35:15Z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2024-08-02T16:18:48Z</vt:lpwstr>
  </property>
  <property fmtid="{D5CDD505-2E9C-101B-9397-08002B2CF9AE}" pid="4" name="MSIP_Label_1299739c-ad3d-4908-806e-4d91151a6e13_Method">
    <vt:lpwstr>Privileged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fe88a4b3-3ac8-4c64-8e27-dfaa189592a6</vt:lpwstr>
  </property>
  <property fmtid="{D5CDD505-2E9C-101B-9397-08002B2CF9AE}" pid="8" name="MSIP_Label_1299739c-ad3d-4908-806e-4d91151a6e13_ContentBits">
    <vt:lpwstr>0</vt:lpwstr>
  </property>
</Properties>
</file>