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rum\Documents\UdeA\2026-2\metas por centro\necesidades de materia prima para cada vigencia del cetro\2024\"/>
    </mc:Choice>
  </mc:AlternateContent>
  <xr:revisionPtr revIDLastSave="0" documentId="8_{FDCD5185-9E65-4779-99D6-1784320169B0}" xr6:coauthVersionLast="47" xr6:coauthVersionMax="47" xr10:uidLastSave="{00000000-0000-0000-0000-000000000000}"/>
  <bookViews>
    <workbookView xWindow="-108" yWindow="-108" windowWidth="23256" windowHeight="12456"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6" i="1" l="1"/>
  <c r="J116" i="1" s="1"/>
  <c r="K115" i="1"/>
  <c r="J115" i="1"/>
  <c r="J114" i="1"/>
  <c r="K114" i="1" s="1"/>
  <c r="J113" i="1"/>
  <c r="K113" i="1" s="1"/>
  <c r="J112" i="1"/>
  <c r="K112" i="1" s="1"/>
  <c r="J111" i="1"/>
  <c r="K111" i="1" s="1"/>
  <c r="J110" i="1"/>
  <c r="K110" i="1" s="1"/>
  <c r="J109" i="1"/>
  <c r="K109" i="1" s="1"/>
  <c r="J108" i="1"/>
  <c r="K108" i="1" s="1"/>
  <c r="J107" i="1"/>
  <c r="K107" i="1" s="1"/>
  <c r="J106" i="1"/>
  <c r="K106" i="1" s="1"/>
  <c r="J105" i="1"/>
  <c r="K105" i="1" s="1"/>
  <c r="J104" i="1"/>
  <c r="K104" i="1" s="1"/>
  <c r="J103" i="1"/>
  <c r="K103" i="1" s="1"/>
  <c r="J102" i="1"/>
  <c r="K102" i="1" s="1"/>
  <c r="J101" i="1"/>
  <c r="K101" i="1" s="1"/>
  <c r="J100" i="1"/>
  <c r="K100" i="1" s="1"/>
  <c r="J99" i="1"/>
  <c r="K99" i="1" s="1"/>
  <c r="J98" i="1"/>
  <c r="K98" i="1" s="1"/>
  <c r="J97" i="1"/>
  <c r="K97" i="1" s="1"/>
  <c r="J96" i="1"/>
  <c r="K96" i="1" s="1"/>
  <c r="J95" i="1"/>
  <c r="K95" i="1" s="1"/>
  <c r="J94" i="1"/>
  <c r="K94" i="1" s="1"/>
  <c r="J93" i="1"/>
  <c r="K93" i="1" s="1"/>
  <c r="J92" i="1"/>
  <c r="K92" i="1" s="1"/>
  <c r="J91" i="1"/>
  <c r="K91" i="1" s="1"/>
  <c r="J90" i="1"/>
  <c r="K90" i="1" s="1"/>
  <c r="J89" i="1"/>
  <c r="K89" i="1" s="1"/>
  <c r="J88" i="1"/>
  <c r="K88" i="1" s="1"/>
  <c r="J87" i="1"/>
  <c r="K87" i="1" s="1"/>
  <c r="J86" i="1"/>
  <c r="K86" i="1" s="1"/>
  <c r="J85" i="1"/>
  <c r="K85" i="1" s="1"/>
  <c r="K84" i="1"/>
  <c r="J84" i="1"/>
  <c r="J83" i="1"/>
  <c r="K83" i="1" s="1"/>
  <c r="J82" i="1"/>
  <c r="K82" i="1" s="1"/>
  <c r="J81" i="1"/>
  <c r="K81" i="1" s="1"/>
  <c r="J80" i="1"/>
  <c r="K80" i="1" s="1"/>
  <c r="J79" i="1"/>
  <c r="K79" i="1" s="1"/>
  <c r="J78" i="1"/>
  <c r="K78" i="1" s="1"/>
  <c r="J77" i="1"/>
  <c r="K77" i="1" s="1"/>
  <c r="J76" i="1"/>
  <c r="K76" i="1" s="1"/>
  <c r="J75" i="1"/>
  <c r="K75" i="1" s="1"/>
  <c r="J74" i="1"/>
  <c r="K74" i="1" s="1"/>
  <c r="J73" i="1"/>
  <c r="K73" i="1" s="1"/>
  <c r="J72" i="1"/>
  <c r="K72" i="1" s="1"/>
  <c r="J71" i="1"/>
  <c r="K71" i="1" s="1"/>
  <c r="J70" i="1"/>
  <c r="K70" i="1" s="1"/>
  <c r="J69" i="1"/>
  <c r="K69" i="1" s="1"/>
  <c r="J68" i="1"/>
  <c r="K68" i="1" s="1"/>
  <c r="J67" i="1"/>
  <c r="K67" i="1" s="1"/>
  <c r="J66" i="1"/>
  <c r="K66" i="1" s="1"/>
  <c r="J65" i="1"/>
  <c r="K65" i="1" s="1"/>
  <c r="J64" i="1"/>
  <c r="K64" i="1" s="1"/>
  <c r="J63" i="1"/>
  <c r="K63" i="1" s="1"/>
  <c r="J62" i="1"/>
  <c r="K62" i="1" s="1"/>
  <c r="J61" i="1"/>
  <c r="K61" i="1" s="1"/>
  <c r="J60" i="1"/>
  <c r="K60" i="1" s="1"/>
  <c r="J59" i="1"/>
  <c r="K59" i="1" s="1"/>
  <c r="J58" i="1"/>
  <c r="K58" i="1" s="1"/>
  <c r="J57" i="1"/>
  <c r="K57" i="1" s="1"/>
  <c r="J56" i="1"/>
  <c r="K56" i="1" s="1"/>
  <c r="J55" i="1"/>
  <c r="K55" i="1" s="1"/>
  <c r="J54" i="1"/>
  <c r="K54" i="1" s="1"/>
  <c r="J53" i="1"/>
  <c r="K53" i="1" s="1"/>
  <c r="J52" i="1"/>
  <c r="K52" i="1" s="1"/>
  <c r="J51" i="1"/>
  <c r="K51" i="1" s="1"/>
  <c r="J50" i="1"/>
  <c r="K50" i="1" s="1"/>
  <c r="J49" i="1"/>
  <c r="K49" i="1" s="1"/>
  <c r="J48" i="1"/>
  <c r="K48" i="1" s="1"/>
  <c r="J47" i="1"/>
  <c r="K47" i="1" s="1"/>
  <c r="J46" i="1"/>
  <c r="K46" i="1" s="1"/>
  <c r="J45" i="1"/>
  <c r="K45" i="1" s="1"/>
  <c r="K44" i="1"/>
  <c r="J44" i="1"/>
  <c r="J43" i="1"/>
  <c r="K43" i="1" s="1"/>
  <c r="J42" i="1"/>
  <c r="K42" i="1" s="1"/>
  <c r="J41" i="1"/>
  <c r="K41" i="1" s="1"/>
  <c r="J40" i="1"/>
  <c r="K40" i="1" s="1"/>
  <c r="J39" i="1"/>
  <c r="K39" i="1" s="1"/>
  <c r="J38" i="1"/>
  <c r="K38" i="1" s="1"/>
  <c r="J37" i="1"/>
  <c r="K37" i="1" s="1"/>
  <c r="K36" i="1"/>
  <c r="J36" i="1"/>
  <c r="J35" i="1"/>
  <c r="K35" i="1" s="1"/>
  <c r="J34" i="1"/>
  <c r="K34" i="1" s="1"/>
  <c r="J33" i="1"/>
  <c r="K33" i="1" s="1"/>
  <c r="J32" i="1"/>
  <c r="K32" i="1" s="1"/>
  <c r="J31" i="1"/>
  <c r="K31" i="1" s="1"/>
  <c r="J30" i="1"/>
  <c r="K30" i="1" s="1"/>
  <c r="J29" i="1"/>
  <c r="K29" i="1" s="1"/>
  <c r="J28" i="1"/>
  <c r="K28" i="1" s="1"/>
  <c r="J27" i="1"/>
  <c r="K27" i="1" s="1"/>
  <c r="J26" i="1"/>
  <c r="K26" i="1" s="1"/>
  <c r="J25" i="1"/>
  <c r="K25" i="1" s="1"/>
  <c r="J24" i="1"/>
  <c r="K24" i="1" s="1"/>
  <c r="J23" i="1"/>
  <c r="K23" i="1" s="1"/>
  <c r="J22" i="1"/>
  <c r="K22" i="1" s="1"/>
  <c r="J21" i="1"/>
  <c r="K21" i="1" s="1"/>
  <c r="K20" i="1"/>
  <c r="J20" i="1"/>
  <c r="J19" i="1"/>
  <c r="K19" i="1" s="1"/>
  <c r="J18" i="1"/>
  <c r="K18" i="1" s="1"/>
  <c r="J17" i="1"/>
  <c r="K17" i="1" s="1"/>
  <c r="J16" i="1"/>
  <c r="K16" i="1" s="1"/>
  <c r="J15" i="1"/>
  <c r="K15" i="1" s="1"/>
  <c r="K11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Nikkel</author>
  </authors>
  <commentList>
    <comment ref="I14" authorId="0" shapeId="0" xr:uid="{00000000-0006-0000-0000-000001000000}">
      <text>
        <r>
          <rPr>
            <b/>
            <sz val="9"/>
            <color indexed="81"/>
            <rFont val="Tahoma"/>
            <family val="2"/>
          </rPr>
          <t>Nikkel:</t>
        </r>
        <r>
          <rPr>
            <sz val="9"/>
            <color indexed="81"/>
            <rFont val="Tahoma"/>
            <family val="2"/>
          </rPr>
          <t xml:space="preserve">
Anotar el valor directo , sin el formato (%)
</t>
        </r>
      </text>
    </comment>
  </commentList>
</comments>
</file>

<file path=xl/sharedStrings.xml><?xml version="1.0" encoding="utf-8"?>
<sst xmlns="http://schemas.openxmlformats.org/spreadsheetml/2006/main" count="436" uniqueCount="267">
  <si>
    <t>OFERTA ECONOMICA</t>
  </si>
  <si>
    <t>LOTE 2 FABLAB</t>
  </si>
  <si>
    <t>Nombre de la empresa</t>
  </si>
  <si>
    <t>SUMINISTROS MAYBE S.A.S.</t>
  </si>
  <si>
    <t>NIT:</t>
  </si>
  <si>
    <t>800154801-6</t>
  </si>
  <si>
    <t>Nombre de contacto:</t>
  </si>
  <si>
    <t>LUZ MARINA MEJIA PEREZ</t>
  </si>
  <si>
    <t>Correo electrónico:</t>
  </si>
  <si>
    <t>MAYBE@UNE.NET.CO</t>
  </si>
  <si>
    <t xml:space="preserve">Referencia: </t>
  </si>
  <si>
    <t>Proceso No. SASI-ANT-CDMC-0042-2024</t>
  </si>
  <si>
    <t>Objeto:</t>
  </si>
  <si>
    <t>5_9201_191 suministro de materiales de formación e insumos que se requieren para la ejecución de los diferentes programas y proyectos impartidos por el centro del diseño y manufactura del cuero.</t>
  </si>
  <si>
    <t>Item</t>
  </si>
  <si>
    <t>Código</t>
  </si>
  <si>
    <t>Producto</t>
  </si>
  <si>
    <t>Descripción</t>
  </si>
  <si>
    <t xml:space="preserve">Unidad de medida </t>
  </si>
  <si>
    <t>Presentación</t>
  </si>
  <si>
    <t>Cantidad</t>
  </si>
  <si>
    <t xml:space="preserve">Valor Unitario sin IVA </t>
  </si>
  <si>
    <t>Valor del IVA (%)</t>
  </si>
  <si>
    <t xml:space="preserve">Valor Unitario con IVA </t>
  </si>
  <si>
    <t>Valor Total  con IVA</t>
  </si>
  <si>
    <t>WypAll X75 Plus con Power Pockets</t>
  </si>
  <si>
    <t>Paños de Limpieza WypAll X75 Plus con Power Pockets.
Ideal para limpieza industrial, alta absorción en líquidos, aceites y grasas.
--Con tecnología Power Pockets (textura) que mejora su poder de limpieza en superficies que no son lisas.
Tamaño paño: 42.3 x 27.6 cm.
Cantidad de paños por rollo: 60 paños.
Color: Azul.
Usos:
-Industrias.
-Talleres.</t>
  </si>
  <si>
    <t>Rollo de 60 paños</t>
  </si>
  <si>
    <t>Rollos</t>
  </si>
  <si>
    <t>Estopa Algodón</t>
  </si>
  <si>
    <t>Material 100% Algodon. Usos:  Ideal para la limpieza de grasas, aceites de maquinas, residuos de trabajos de construccion en general, y auxiliar para el aseo de manos de personal de industria</t>
  </si>
  <si>
    <t>kg</t>
  </si>
  <si>
    <t>Paquete por KG</t>
  </si>
  <si>
    <t>Limpiador de contactos QD Contact cleaner 235ML</t>
  </si>
  <si>
    <t>Presentacion en Aerosol. Limpiador de contactos eléctrico y electronico. Remueve mugre, polvo,pelusas y aceites ligeros. Previene fallas en los contactos. Evaporacion rapida que no genera residuos. No remueve las tintas. Seguro en la mayoria de plasticos. No daña la capa de ozono. Resistencia dielectrica de 22.600 Vol. Aplicacion: Cabeza magneticas, equipos electricos y electronicos, computadores, instrumentos de precision</t>
  </si>
  <si>
    <t>UNIDAD</t>
  </si>
  <si>
    <t>Unidad Lata de Aerosol contenido 235 ML</t>
  </si>
  <si>
    <t>Limpiador QD para contactos electronicos en aerosol 235 ML</t>
  </si>
  <si>
    <t xml:space="preserve">Limpiador QD para contactos electronicos en aerosol 235: Descripcion: Limpiador para contactos eléctricos y electronicos. - Remueve polvo, pelusas, mugre y grasas leves. - Evita las fallas en los equipos donde es aplicado. - Seca rápidamente. - No mancha ni deja residuos. </t>
  </si>
  <si>
    <t>Unidad</t>
  </si>
  <si>
    <t>UND Lata de Aerosol contenido 235 ML</t>
  </si>
  <si>
    <t>Traba Roscas o Fijador de roscas rojo de alta resistencia y alta viscocidad en base metacrilato, adecuado para la fijacion y el sellado de tornilleria.</t>
  </si>
  <si>
    <t>Traba Roscas o Fijador de roscas rojo de alta resistencia y alta viscocidad en base metacrilato, adecuado para la fijacion y el sellado de tornilleria. Fluorecencia: positivo bajo luz UV. fijador de roscas rojo de alta resiostencia y alta viscocidad, enbase metacrilato. Con un tiempo de fijacion de 30minutos en acero, 25 minutos en laton y 270 minutos en acero inoxidable, es ideal para aplicaciones donde hay que evitar la migracion de adhesivo. Puede tolerr ligeras contaminaciones de aceite industriales. Adecuado para tornillería. Alta resistencia, alta viscosidad, Evita movimientos indeseados, el aflojamiento, las fugas y la corrosión, Resiste las vibraciones</t>
  </si>
  <si>
    <t>unidad 50 ml</t>
  </si>
  <si>
    <t>Traba Roscas  tambien llamado adhesivo fijador de roscas azul de resistencia media que sella y fija tuercas y pernos para evitar su aflojamiento a causa de impactos y vibraciones.</t>
  </si>
  <si>
    <t>Traba Roscas  tambien llamado adhesivo fijador de roscas azul de resistencia media que sella y fija tuercas y pernos para evitar su aflojamiento a causa de impactos y vibraciones. Es un fijador de roscas multiuso que facilita una adhesion de resistencia media. es adecuado para todos los metales, incluidos aquellos con superficies pasivas, tales como acero inoxidable, aluminio y superficies galvanizadas.  - Para uso en todas las tornillerias metalicas incluidas sustratos pasivos como por ejemplo, acero inoxidable, aluminio, superficies galvanizadas. - Ideal para tornillos de volante motor, corona del diferencial, tornillos del cigueñal, tornillo de sujecion de tapas, tapones del drenaje, de aceite, o bombas de agua. - Se ha demostrado que tolera una pequeña contaminacion por aceites industriales: aceites para motores, aceites anticorrosivos y fluidos de corte. - Permite el desmontaje con herramientas manuales</t>
  </si>
  <si>
    <t>Unidad 50 ml</t>
  </si>
  <si>
    <t>Traba Roscas tambien llamado adhesivo fijador de roscas violeta de resistencia baja que sella y fija tuercas, pernos para evitar su aflojamiento a causa de impactos y vibraciones</t>
  </si>
  <si>
    <t xml:space="preserve">Traba roscas o tambien llamado bloqueador de roscas de baja resistencia que permite el ajuste de tornillos, incluidos tornillos de cabeza embutida y tornllos de fijación. Bueno en metales de baja resistencia que podrían fracturarse durante el desmontaje, por el. Aluminio o latón. El producto funciona en todos los metales, incluidos los sustratos pasivos como el acero inoxidable, el aluminio y las superficies chapadas. Se ha demostrado que es tolerante a una contaminación menor a los aceites industriales, por ej. Aceites de motor, aceites anticorrosivos y fluidos de corte. Especificaciones técnicas: -color violeta. - Viscosidad: 1000 Cp. - Diametro de tornillo: maximo 1/4". Temperatura: -54º C a 150ºC. - Curado: Anaerobico. - Tiempo de curado (fraguado) sin activador: 20minutos.-Tiempo de curado(fraguado) con activador: 10minutos. - Tiempo de curado (final) sin activador: 6 horas. - Tiempo curado (final) con activador: 3 horas.  </t>
  </si>
  <si>
    <t>lubricante penetrante Multiproposito 5-56 en aerosol 400ml</t>
  </si>
  <si>
    <t>Producto multiuso de mantenimiento en spray. Es un producto lubricante y penetrante que acaba con el oxido y l corrosion, desplaza el agua y elimina el oxido y la suciedad. Es un aceite de naturaleza parafinica y un sistema de inhibicion orgánica múltiple que previene del oxido y la corrosion mediante la formacion de una barrera protectora contra el agua y el oxígeno</t>
  </si>
  <si>
    <t>ml</t>
  </si>
  <si>
    <t>Unidades, lata 400 ml</t>
  </si>
  <si>
    <t>Masilla Epoxica x 50 gr</t>
  </si>
  <si>
    <t>La masilla Epoxica se presenta en forma de dos barras, Resina y Endurecedor las cuales deben ser mezcladas como plastilina, paa obtener un producto que endurece en dos horas y completa su reaccion en veintecuatro horas. Se puede moldear y al endurecer retiene su forma sin contraer ni dilatar. Resistencia Quimica Agua, Hidrocarburos alifaticos, acidos minerales diluidos y bases alcalinas. - Resistencia a la temperatura -50 °C a 150° C. - Cada uno de sus componentes es soluble en: Acido Acético, acetona, hidrocarburos aromaticos, acetato de butilo, acetato de etilo, cloroformo, metanol, etanol,MEK, MIBK y solventes clorados. Se usa para tapar huecos, rellenar grietas, sellar escapes, reparar y reconsturir partes metálicas (tanques de gasolina, radiadores y tuberias de desfogue de gases de automotores)</t>
  </si>
  <si>
    <t>g</t>
  </si>
  <si>
    <t>unidad de 50 gramos</t>
  </si>
  <si>
    <t>Engrasadora manual 14 onzas ( 400g) 78-031. Grasera tipo palanca anti-atascamiento Tiene una manguera de apolicacion rigida y flexible</t>
  </si>
  <si>
    <t>Engrasadora manual 14 onzas ( 400cc) 78-031. Tiene una manguera de apolicacion rigida y manqguera  flexible con acoplador profesional. Caracteristicas: - Con Mecanismo de palanca anti-atascamiento. -Embolo endurecido a precision previene derrame del lubricante. - Manija extra larga para mayor palanca y operacion fácil. - Cabeza rugosa para mayor durabilidad y construccion resistente a fuertes impactos. - Usar cartucho estandar de grasa, o cargue manual. Especificaciones: Volumen 14 oz (400 g). Largo: 6 pulg ( 152 mm). Tiene multiples aplicaciones automotrices, profesionales e industriales como: ( Direccion y uniones de transmision, juntas de suspension, juntas universales, etc)</t>
  </si>
  <si>
    <t>kit el cual lo compone grasera + manguera rigida + manguera flexible</t>
  </si>
  <si>
    <t>Amarre Transparente 3,6 X 250 mm x 100 unidades</t>
  </si>
  <si>
    <t>Amarre transparente Ancho 3,6mm largo 250mm x color transparante, Material ABS. Paquete por longitud 250mm</t>
  </si>
  <si>
    <t>Paquete</t>
  </si>
  <si>
    <t xml:space="preserve">Paquete por 100 unidades </t>
  </si>
  <si>
    <t>Desengrasante industrial Biodegradable</t>
  </si>
  <si>
    <t>El deengrasante industrial Biodegradable es un producto liquido base agua, ph alaclinio, altamente concentrado con capacidad de retirar todo tipo de aceites  y grasas adheridad o cualquier clase de superficie. Formula balanceada completamente soluble en agua, biodegradable, libre de fosfatos. Aplicaciones: El desengrasante industrial es útil para mantenimiento de equipos del sector industrial. Util para la remocion de aceite de corte o lubricantes de equipos y partes mecanizadas.</t>
  </si>
  <si>
    <t>Galon</t>
  </si>
  <si>
    <t>galon</t>
  </si>
  <si>
    <t>Desoximetal: Removedor de Oxido para metales</t>
  </si>
  <si>
    <t>Desoximetal: Removedor de Oxido para metales. Producto formulado para remover rápidamente el oxido sin modificar o afectar la estructura o propiedades fisicas del metal. El removedor de óxido Desoximetal genera una pelicula protectora que evita la re-oxidación y promueve la adherencia de las pinturs aplicadas posteriormente. Es un removedor de óxido que no afecta partes plásticas, electricas o superficies pintadas.</t>
  </si>
  <si>
    <t>Empaque por galon</t>
  </si>
  <si>
    <t>Vaselina Industrial</t>
  </si>
  <si>
    <t>Vaselina Industrial. Aplicaciones: Engrase de máquina y bujes - Facilita el montaje de piezas de goma y caucho, visagras de puerta, etc. Vaseline blanca Kilo UPS-K. Es un agente lubricante y anticorrosivo de alta viscosidad para conexiones roscadas, grapas para cables, conectores de enchufe. Grasa para contactos deslizantes grandes y en construcción</t>
  </si>
  <si>
    <t>KG</t>
  </si>
  <si>
    <t>Empoaque por kg</t>
  </si>
  <si>
    <t xml:space="preserve">Pintura Anticorrosivo </t>
  </si>
  <si>
    <t>Pintura Anticorrosivo ECO es una pintura anticorrosiva ecologica, 100% acrilica diluible con agua y de acabado mate. Bajo olor, rápido secado y bajo VOC. Diseñada para mejorar la resistencia y durabilidad de los esmaltes sobre superficeis metálica ferrosas en ambientes interiores y exteriores. Producto formulado sin plomo ni cromo. Color Gris. Tamaño 1 Gal. Tipo Anticorrosivo. Base Agua</t>
  </si>
  <si>
    <t>Pintura Anticorrosivo en aerosol aerocolor, pintura metal</t>
  </si>
  <si>
    <t>Pintura Anticorrosivo en aerosol aerocolor, pintura metal. Tipo Aerosol. Acabado pintura Mate. Aplicación Interior y exterior. Color Negro Mate. Contenido 300 ml. Pais de origen colombia. Rendimiento por capa 3m2. Superficie de Aplicación Metal. Termino Garantia 36 meses</t>
  </si>
  <si>
    <t>Unidad de aerosol contenido 300 ml</t>
  </si>
  <si>
    <t xml:space="preserve">Filamento color blanco PLA diametro 1,75mm para impresora 3D </t>
  </si>
  <si>
    <t>Filamento blanco PLA diametro 1,75mm para impresora 3D, carreta de 1 Kg. Caracteristicas: Material PLA - Diametro 1,75mm, -Tolerancia: +/- 0,2 mm. -Temperatura de impresón: 196º C - 210º C.- Temperatura de base 45-55 ºC. -Velocidad de impresión: de 40 a 100 mm/segundo. -Color Blanco, Peso 1KG. Alta resistencia, Gran flexibilidad, Buena Fluidez, Libre de burbujas, Precision de color.Empaque material sellado al vacio con Desecante. Que garantice una impresión suave y estable</t>
  </si>
  <si>
    <t>Kilogramo</t>
  </si>
  <si>
    <t>Caja con carreta x 1KG</t>
  </si>
  <si>
    <t xml:space="preserve">Filamento Color Verde PLA diametro 1,75mm para impresora 3D </t>
  </si>
  <si>
    <t>Filamento color verde PLA diametro 1,75mm para impresora 3D, carreta de 1 Kg. Caracteristicas: Material PLA - Diametro 1,75mm, -Tolerancia: +/- 0,2 mm. -Temperatura de impresón: 196º C - 210º C.- Temperatura de base 45-55 ºC. -Velocidad de impresión: de 40 a 100 mm/segundo. -Color Verde, Peso 1KG. Alta resistencia, Gran flexibilidad, Buena Fluidez, Libre de burbujas, Precision de color.Empaque material sellado al vacio con Desecante. Que garantice una impresión suave y estable</t>
  </si>
  <si>
    <t xml:space="preserve">Filamento Color Azul PLA diametro 1,75mm para impresora 3D </t>
  </si>
  <si>
    <t>Filamento color Azul PLA diametro 1,75mm para impresora 3D, carreta de 1 Kg. Caracteristicas: Material PLA - Diametro 1,75mm, -Tolerancia: +/- 0,2 mm. -Temperatura de impresón: 196º C - 210º C.- Temperatura de base 45-55 ºC. -Velocidad de impresión: de 40 a 100 mm/segundo. -Color Azul, Peso 1KG. Alta resistencia, Gran flexibilidad, Buena Fluidez, Libre de burbujas, Precision de color.Empaque material sellado al vacio con Desecante. Que garantice una impresión suave y estable</t>
  </si>
  <si>
    <t>Filamento TPU color Blanco diametro 1,75mm para impresora 3D</t>
  </si>
  <si>
    <t>Filamento TPU color Blanco diametro 1,75mm para impresora 3D. Carreta 800gr. Caracteristicas: Material TPU. - Diametro 1,75mm. - Color Blanco. - Peso 800 gr. - Temperatura recomendada de impresión: 190ºC-210ºC.Buena Fluidez, Libre de burbujas, Precision de color.Empaque material sellado al vacio con Desecante. Que garantice una impresión suave y estable</t>
  </si>
  <si>
    <t>Caja con carreta x 800 gr como minimo</t>
  </si>
  <si>
    <t>Filamento TPU color Negro diametro 1,75mm para impresora 3D</t>
  </si>
  <si>
    <t>Filamento TPU color Negro diametro 1,75mm para impresora 3D. Carreta 800gr. Caracteristicas: Material TPU. - Diametro 1,75mm. - Color Negro. - Peso 800 gr. - Temperatura recomendada de impresión: 190ºC-210ºC.Buena Fluidez, Libre de burbujas, Precision de color.Empaque material sellado al vacio con Desecante. Que garantice una impresión suave y estable</t>
  </si>
  <si>
    <t>Caja con carreta x 800 gr como mimino</t>
  </si>
  <si>
    <t>Filamento TPU color Rojo diametro 1,75mm para impresora 3D</t>
  </si>
  <si>
    <t>Filamento TPU color Rojo diametro 1,75mm para impresora 3D. Carreta 800gr. Caracteristicas: Material TPU. - Diametro 1,75mm. - Color Rojo. - Peso 800 gr. - Temperatura recomendada de impresión: 190ºC-210ºC. Buena Fluidez, Libre de burbujas, Precision de color.Empaque material sellado al vacio con Desecante. Que garantice una impresión suave y estable</t>
  </si>
  <si>
    <t>Filamento TPU color Azul diametro 1,75mm para impresora 3D</t>
  </si>
  <si>
    <t>Filamento TPU color Azul diametro 1,75mm para impresora 3D. Carreta 800gr. Caracteristicas: Material TPU. - Diametro 1,75mm. - Color Azul. - Peso 800 gr. - Temperatura recomendada de impresión: 190ºC-210ºC. Buena Fluidez, Libre de burbujas, Precision de color.Empaque material sellado al vacio con Desecante. Que garantice una impresión suave y estable</t>
  </si>
  <si>
    <t>Caja con carreta x 800 gr</t>
  </si>
  <si>
    <t>GAFAS DE PROTECCION PARA LASER</t>
  </si>
  <si>
    <t>GAFAS PARA PROCESO DE CORTE O MARCACION CON LASER, ATENUACION (10-6 MANOR N% MENOR 10-4 DENSIDAD OPTICA MAYOR 5,0,(OD + 5, OD+6  CARACTERISTICAS DE PROTECCION, ABSORCION INTEGRAL, LONGITUD DE ONDA PROTECTORA DE 190 NM A 540 NM MATERIAL PLASTICO, TAMAÑO APROXIMADO 15X5,5X5,5 CMS, LA LONGITUD DEL TEMPLO ES AJUSTABLE (3,6-4,5 PULGADAS /9-11,4 CMS</t>
  </si>
  <si>
    <t>UNIDAD EN BOLSA</t>
  </si>
  <si>
    <t>PINZA PELACABLES</t>
  </si>
  <si>
    <t>84223, PINZA PELA CABLES PLANOS Y REDONDOS DE CALIBRE 24 Y 10 EN LA ESCALA AWG(AMERICAN WIRE GAUGE, CORTA ALAMBRE DE COBRE Y DE ALUMINIO DE UB CALIBRE DENTE 24 Y 10 EN LA ESCALA AWG, PRENSA CABLE REDONDO DE UN CALIBRE DENTRE 10 Y 6</t>
  </si>
  <si>
    <t>UNIDAD POR EMPAQUE</t>
  </si>
  <si>
    <t>ALICATE CORTA FRIO</t>
  </si>
  <si>
    <t>ALICATE CORTA FRIO MINIATURA, CORTE DIAGONAL 4" (101NM), MANGO CUERPO FORJADO, DABRICADO EN ACERO CROMO NIQUEL PARA MAYOR DURABILIDAD Y MEJOR SUPERFICIE DE CORTE, CON RECUBRIMIENTO ANTI CORROSION, QUIJADAS MAQUINADAS ARA MEJOR AGARRE, MANGOS RECUBIERTOS CON DOBLE LASTISOL, ANTI DESLIZANTE DE USO ROFESIONAL HE INDUSTRIAL.</t>
  </si>
  <si>
    <t>ALICTATE PINZA</t>
  </si>
  <si>
    <t>ALICATE TIPO PINZA, CUERPO FORJADO, FABRICADA EN ACERO NIQUEL PARA MAYOR DURABILIDAD Y MEJOR SUPERFICIE DE CORTE Y AGARRE, CON RECUBRIMIENTO ANTI CORROSION, QUIJADAS MAQUINADAS PARA MEJOR AGARRE, MANGOS RECUBIERTOS CON DOBLE PLASTISOL ANTI DESLIZANTE. LARGO:203MM APROX (8¨)</t>
  </si>
  <si>
    <t>TUBO DE TEFLON</t>
  </si>
  <si>
    <t>TUBO DE 1 METRO DE TEFLON PARA FILAMENTO DE 1,75 MM, Ø EXTERNO DE 4 MM PARA EXTRUSOR REMOTO O LARGA DISTANCIA, MATERIAL TEFLON (PTFE) Ø 4 MM PARA FILAMENTO DE 1,75 MM PARA EXTRUSOR REMOTO O LARGA DISTANCIA</t>
  </si>
  <si>
    <t>m</t>
  </si>
  <si>
    <t>METRO</t>
  </si>
  <si>
    <t>CORREA DENTADA</t>
  </si>
  <si>
    <t>CORREA DENTADA DE REEMPLAZO PARA LOS EJES X y Y DE IMPRESORA 3D ENDER-3 / TIPO GT2 6 MM, CORREA ABIERTA, LONGITUD PARA EL EJE X 765 MM, LONGITUD PARA EL EJE Y 720 MM EN MATERIAL CAUCHO</t>
  </si>
  <si>
    <t>KIT DE 2 CORREAS DENTADAS PARA IMPRESORA 3D</t>
  </si>
  <si>
    <t>Kit de extrusion para impresora 3D Chiron</t>
  </si>
  <si>
    <t>Kit de partes para extrusor con boquilla, bloque calentador, termistor y cuerpo radiador. compatible con impresora 3D Anycub Chiron (24 V).
Catacteristicas:
- Bloque V5
- Calentador de 24V potencia 40W para Anycub Chiron.
-Termistor: NTC3950 - Material: Aluminio</t>
  </si>
  <si>
    <t>Bloque Calentador para impresora 3D Anycub Chiron. Kit: V5 Block + Silicone Sock</t>
  </si>
  <si>
    <t>Bloque calentador para impresora 3D Anycub Chiron, pieza de aluminio par extrusora Hotend, E3D V5, calcetin de silicona. Kit: V5 Block + Silicona Sock</t>
  </si>
  <si>
    <t>Kit Calentador dado Impresora Anycub Chiron: Calentador cartucho 24 V potencia 40 W + Termistor NTC3950</t>
  </si>
  <si>
    <t>Kit Calentador dado Impresora Anycub Chiron: Calentador cartucho 24 V potencia 40 W + Termistor NTC3950 para impresora 3D ANYCUBIC chiron. Para V5 Hotend</t>
  </si>
  <si>
    <t>Kit: Kit Calentador dado Impresora Anycub Chiron: Calentador cartucho 24 V potencia 40 W + Termistor NTC3950 para impresora 3D ANYCUBIC chiron. Para V5 Hotend</t>
  </si>
  <si>
    <t>Kit de extrusion para impresora 3D Anycub PREDATOR</t>
  </si>
  <si>
    <t>Kit de extrusion para impresora 3D Anycub PREDATOR. Cabezal de extrusión para Anycubic Predator Cabezal de extrusión Bowden (con motor remoto) para filamento de 1,75 mm de diámetro. Este cabezal de extrusión se utiliza en las impresoras 3D Predator delta Anycubic Contenido del cabezal de extrusión para Anycubic Predator: 
1 cuerpo de refrigeración de aluminio
1 tubo de rotura de calor de 4.1mm de diámetro 
1 elemento calefactor compatible con E3D V5 
1 boquilla de latón compatible con E3D V5 / V6 de 0,4 mm de diámetro
1 conector neumático PC4-M01
1 termistor NTC3950 con conector para Anycub
Predator (JST)
1 cartucho calefactor de 24V 40W con conector
para Anycub Predator (JST)
1 tubo de teflón
El cabezal de extrusión para Anycubic Predator se entrega premontado.</t>
  </si>
  <si>
    <t>kit: Contenido del cabezal de extrusión para Anycubic Predator:</t>
  </si>
  <si>
    <t>Base (Cama) magnetica Anycub Predator</t>
  </si>
  <si>
    <t xml:space="preserve">Base magnética para impresora 3D Anycubic Predator, forma redonda diametro de 380mm= 15 pulgadas. Sistema de construcción Flexible </t>
  </si>
  <si>
    <t>Empaque con contenido Base Magnetica para impresora 3D Anycub Predator</t>
  </si>
  <si>
    <t>Kit Calentador dado Impresora 3D Anycub Predator: Calentador cartucho 24 V potencia 40 W + Termistor NTC3950 para V5 Hotend Anycub Predator</t>
  </si>
  <si>
    <t>Sensor de Filamento de 1.75mm para impresora 3D, incluye cable</t>
  </si>
  <si>
    <t>Sensor de filamento de 1,75mm para impresora 3D, incluye cable
Caracteristicas:
-Para Filamento de 1.75mm
-Cuando el filamento se encuentra dentro del sensor el nivel de señal es alto.
-Cuando el filamento se encuentra afuera del sensor el nivel de señal es bajo</t>
  </si>
  <si>
    <t>KIT: Sensor de Filamento de 1.75mm para impresora 3D, incluye cable</t>
  </si>
  <si>
    <t>Conector JST macho y hembra 2 pines rojo-Negro</t>
  </si>
  <si>
    <t>Conector JST macho y hembra 2 pines rojo-Negro. Descripcion: Conectores JST multiproposito, pueden ser usados como conectores para bateria. Caracteristicas: Conectores hembra y macho numero de pines 2, color rojo y negro</t>
  </si>
  <si>
    <t>unidad</t>
  </si>
  <si>
    <t>Kit: Conectores 1 hembra + 1 macho numero de pines 2, color rojo y negro</t>
  </si>
  <si>
    <t>Calecfactor Extrusion para impresora  3D Anycub Predator 20x6mm, 12v, 40w, 1.5m conector JST para facil reemplazo</t>
  </si>
  <si>
    <t>Calecfactor Extrusion para impresora  3D Anycub Predator 20x6mm, 12v, 40w, 1.5m conector JST para facil reemplazo. Descripcion: Calefactor para bloque de extrusión, 20 mm de largo, 6mm de diametro, 12V, 40w. con cable 1.5m, con conector para fácil reemplazo. Caracteristicas: Cotaje: 12v. - Potencia: 40W. - Longitud del tubo 20mm.-Diametro del tubo: 6mm. - Longitud del cable:1.5m con conector JST</t>
  </si>
  <si>
    <t>Kit: Descripcion: Calefactor para bloque de extrusión, 20 mm de largo, 6mm de diametro, 12V, 40w. con cable 1.5m, con conector para fácil reemplazo. Caracteristicas: Cotaje: 12v. - Potencia: 40W. - Longitud del tubo 20mm.-Diametro del tubo: 6mm. - Longitud del cable:1.5m con conector JST</t>
  </si>
  <si>
    <t>Garganta Bimetálica V6. para filamento 1.75mm</t>
  </si>
  <si>
    <t>Garganta Bimetálica (Heatbreak) V6. para filamento de 1.75mm diametro. Para impresoras 3D. Fabricada con materiales con alta resistencia a la temperatura, a la corrosion y al uso. Comparada con las gargantas comunes, la resistencia de la impresión es reducida en un 90%, y la impresión de productos es mas precisa y delicada. Caracteristicas: Material: Bimetal Heatbreak (Aleacion de titanio TC4 + Chapado en cobre).- Filamento: 1.75mm. Resistencia a la temperatura de 450 a 500ºC</t>
  </si>
  <si>
    <t>UPS ON-LINE 3KVA. IN: 150-300V/2PH+T. Factor de potencia: 3KVA/2.7KW Tecnologia online de Doble Conversión Banco de baterías externo para autonomia de 5-7 minutos a 100% de carga.</t>
  </si>
  <si>
    <t>UPS ON-LINE 3KVA. IN: 150-300V/2PH+T. Factor de potencia: 3KVA/2.7KW Tecnologia online de Doble Conversión Banco de baterías externo para autonomia de 5-7 minutos a 100% de caga. - Tecnología IGBT de módulo integrado en el inversor. - Pantalla LCD con información detallada del sistema. - Acceso frontal para administración. Tipo de control Procesador digital de señales o DSP. Especificaciones de entrada: Topologia Monofasica. - Voltaje nominal 220VAC. - Cantidad de hilos 3(fase+Neutro+GND). - Conexión Borrera. - Rango de voltaje 100-300 VAC. Rango de frecuencia de entrada (sincronico con la red) = 45-66Hz. Distorsión armonica de corriente &lt;5% THDI (Tipico) al 100% carga lineal. Protecciones: Supresor de transitorios TVSS categoria Ay B compuesto por MWO (Metal Oxide Varistor)</t>
  </si>
  <si>
    <t>Cinta métrica láser digital</t>
  </si>
  <si>
    <t>Innovador: el diseño 2 en 1 combina una medida de distancia láser de 130 pies y cinta métrica AutoLock de 16 pies INSTRUMENTO: el
funcionamiento suave de un solo botón proporciona mediciones láser rápidas y fáciles de larga distancia y interruptor de pies a unidad métrica
Precisión: las mediciones fraccionales y continuas que se muestran en una gran pantalla LCD son precisas de ±1/16 pulgadas
- Hasta 130 pies/131.2 ft
Cómodo: funda antideslizante de ABS de goma de alto impacto, mecanismo de cinta AutoLock, escala de impresión de doble cara de 3/4 pulgadas con revestimiento de nailon y gancho magnético True Zero
Características: tecnología de apagado automático, clip para cinturón, marcas centrales de pernos, 2 pilas AAA y destornillador incluidos.</t>
  </si>
  <si>
    <t>Unidades</t>
  </si>
  <si>
    <t>Iman de Neodimio</t>
  </si>
  <si>
    <t>Imanes de neodimio Imán Neodimio 30 X 10 X 4 Mm Barra N50 Potente X 4 Und unidad set x 4</t>
  </si>
  <si>
    <t>Set de 4</t>
  </si>
  <si>
    <t xml:space="preserve">ACTIVADOR HIDROGRAFIA </t>
  </si>
  <si>
    <t>HIDROACTIVADO  Aspecto liquido claro, Densidad de 1 a 1.020g/cm3,principio activo de 10 a 30% con olor similar al eter, con viscosidad, incoloro, para aplicar por método de aspersión, presentacion 1 Galón</t>
  </si>
  <si>
    <t>gal</t>
  </si>
  <si>
    <t>Galón</t>
  </si>
  <si>
    <t>ALCOHOL POLIVINILO</t>
  </si>
  <si>
    <t>PELÍCULA DE ALCOHOL POLIVINILO IMPRESA PARA HIDROGRAFIA, PELÍCULA SÓLIDA DE ALCOHOL POLIVINÍLICO SOBRE MATERIAL ADHERENTE SOLUBLE EN AGUA PARA ELABORAR PROCESOS DE IMPRESIÓN POR INMERSIÓN CON ACTIVADOR QUÍMICO Y QUE PERMITA SU PROTECCIÓN CON RECUBRIMIENTOS ORGÁNICOS. Presentacion, rollos, diseños variados.</t>
  </si>
  <si>
    <t>Metro x Metro</t>
  </si>
  <si>
    <t>PROMOTOR DE ADHERENCIA</t>
  </si>
  <si>
    <t>WASH PRIMER: limpiador universal en base solvente para uso en el taller y en todo tipo de superficies, antes y después de realizar operaciones de pegado y sellado. Ideal para la preparación de superficies y  componentes (vidrio, plástico, metal).  se evapora rápidamente. Promotor de adherencia que se aplica sobre PP (Polipropileno) y ABS (Acrilonitrilo Butadieno Estireno) y promueve la adherencia de las capas de pinturas posteriores. Presentacion: Galón</t>
  </si>
  <si>
    <t>SELLADOR HIDROGRAFÍA</t>
  </si>
  <si>
    <t>SELLADOR HIDROGRAFÍA: LACAS TRANSPARENTES BRILLANTES O MATES Recubrimiento orgánico a base de resinas poliméricas de uno o dos componentes con a sin ajustador, con resistencia a ambientes externos y buen desempeño frente al rayado, cuarteamiento y adherencia sobre diversos sustratos.Presentacion: Galón</t>
  </si>
  <si>
    <t>Juego De Herramientas De Limpieza Para Impresoras 3d</t>
  </si>
  <si>
    <t>Especificaciones: Especificaciones: tipo de artículo: 3D Juego
de herramientas de
limpieza de impresoras Cepillo de limpieza de boquillas
: tamaño: aproximadamente 176 x 8
x 20 mm/6,9 x 0,3 x 0,8 pulgadas Material
: alambre de cobre y plástico Uso del producto
: limpieza de boquillas
, eliminación de óxido o limpieza de huecos. Especificaciones
: adecuado para tuercas M2, M2.5, M3, M4
. Llave multifunción: tamaño: aproximadamente 5,7
mm/0,2 pulgadas/7,2
mm/0,3 pulgadas 9,2 mm 0,4 pulgadas/20,2 mm/0,8 pulgadas Adecuado para E3D/MK8/MK10/M2000
Material: acero Lista del paquete: 1 llave
multifunción, 1 conector minicruzado,
1 cepillo</t>
  </si>
  <si>
    <t>Kit de Herramientas</t>
  </si>
  <si>
    <t>ORGANIZADOR PLASTICO</t>
  </si>
  <si>
    <t xml:space="preserve">ORGANIZADOR MODULAR GAVETAS 3X80 COLOR NEGRO CON MANIJA AMARIILA </t>
  </si>
  <si>
    <t>LAMINA DE POLEITILENO</t>
  </si>
  <si>
    <t>LAMINA DE POLEITILENO DE 100 CMS X 70 CMS CALIBRE 90 COLOR BLANCO</t>
  </si>
  <si>
    <t xml:space="preserve">GRAPA 1Omm x 16mm  </t>
  </si>
  <si>
    <t>Calibres: 20 y 22
Corona: 5 mm, 10 mm,
13 mm.
Largo de pata desde: 4 mm hasta 16 mm.
Capacidad: 110 a 185 grapas en tira.
Presión recomendada: Máximo 60 PSI.</t>
  </si>
  <si>
    <t xml:space="preserve">Paquete x 1000 </t>
  </si>
  <si>
    <t xml:space="preserve">Extension Electrica Industrial </t>
  </si>
  <si>
    <t>WATTS: 1875 W VOLTIOS: AC 110 V -125V MAX POWER: 1625 W AMPERAJE: 15 A
2 X 14 AWG
X 10 Metros Naranja</t>
  </si>
  <si>
    <t>UPS Online tipo torre 1KVa - 120 VAC</t>
  </si>
  <si>
    <t>UPS ON-LINE 1KVA. IN: 120Vac / F + N + T. - OUT: 110/115Vac +/-2% F+N+T. - Factor de potencia: 1KVA/900W. Tecnología Online de Doble Conversión. Banco de baterías externo para autonomía de 5-7 minutos a 100% de carga. - Tecnología del Inversor: Tecnologia PWM de alta frecuencia con IGBT. - Pantalla LCD con información detallada del sistema. - Acceso frontal para administración. Tipo de control: Micro-procesador por DSP. Especificaciones de entrada: Topologia de entrada: Monofasica. - Voltaje nominal de entrada: 120Vac. - Cantidad de hilos: 3(fase+Neutro+GND)</t>
  </si>
  <si>
    <t>Por Unidad</t>
  </si>
  <si>
    <t>Prensa De Liberación Rápida Horizontal</t>
  </si>
  <si>
    <t>Material: acero al carbono laminado en frío con revestimiento galvanizado para resistencia a la corrosión;
Mangos sólidos de vinilo rojo resistente al aceite y a las manchas, con puntas de presión de goma ajustables Diseño: diseño de baja altura.
La abrazadera retraída permitirá la extracción vertical del artículo sujeto, el mecanismo permite un espacio libre máximo
Aplicación: un agarre sólido como una roca para instalar en plantillas, accesorios de herramientas o bases móviles. Medidas
2.2 cm base ancho, x 2.7cm base largo, x 9.8 cm alto , base largo total 14.5cm</t>
  </si>
  <si>
    <t>Pin para Palets</t>
  </si>
  <si>
    <t>pines de 1.5, 2, 2.5 y 3mm MMaterial: latón
Elasticidad: 80 + 20gf
Corriente continua 1A, corriente instantánea 3A
Resistencia de contacto
&lt;30mΩ
Tamaño: Como muestran las imágenes
Paquete incluido: 10 piezas</t>
  </si>
  <si>
    <t>Bisagra</t>
  </si>
  <si>
    <t>Bisagra 444 omega 1.80 x 76 x 32 x 21 x 47 x 10.0 mm 12 tornillos suministro Acero inoxidable</t>
  </si>
  <si>
    <t>Par</t>
  </si>
  <si>
    <t>Empaque por Par</t>
  </si>
  <si>
    <t>Lamina polietileno espesor 3mm x 150cm x 300 cm</t>
  </si>
  <si>
    <t>Lamina polietileno espesor 3mm x 70cm x 100 cm</t>
  </si>
  <si>
    <t>Resina Anycubic para ser usada en impresora Annycub PHOTON M3 Premium</t>
  </si>
  <si>
    <t>Resina Anycubic para ser usada en impresora Annycub PHOTON M3 Premium debido a que se requiere que este diseñada para la fuente de luz de la maquina, tiempo de exposicion y parametro de impresion de la impresora Annycub PHOTON M3 PREMIUM</t>
  </si>
  <si>
    <t>Frasco por 1KG</t>
  </si>
  <si>
    <t>Bisagra comun 1 1/2 lamina de acero cold rolled  recubrimiento laton Rectangular largo 38mm X 27mm</t>
  </si>
  <si>
    <t>Tornillo Bristoll (llave hexagonal) cabeza avellanada zincado M3 x longitud 12mm</t>
  </si>
  <si>
    <t>Tuerca M3 zincada</t>
  </si>
  <si>
    <t>Tuerca rosca M3 zincada para tornillo M3</t>
  </si>
  <si>
    <t>Tornillo Bristoll (llave hexagonal) cabeza avellanada zincado M3 x longitud 20mm</t>
  </si>
  <si>
    <t>Tornillo Bristoll (llave hexagonal) cabeza avellanada zincado M3 x longitud  20mm</t>
  </si>
  <si>
    <t>Aluminio 1100 placa espesor 5MM X 30 cm x 30 cm</t>
  </si>
  <si>
    <t>Aluminio 1100 placa espesor 5MM X 30 cm x 30 cm. Aluminio comercialmente puro, no tratable térmicamente, con una fuerte resistencia a la corrosión y una alta conductividad electrica y termica</t>
  </si>
  <si>
    <t>Inserto para fresadora. Para ser usado con porta inserto</t>
  </si>
  <si>
    <t>Caja de insertos para material no ferroso para porta insertos:
- AMS 2020HS-2L20 marca
Korloy
-AMS 2020HS marca Korloy AMS 2010HS marca Korloy Referncia caja de insertos: APXT 11T3PDR-MA H01</t>
  </si>
  <si>
    <t>Caja por 10 unidades</t>
  </si>
  <si>
    <t>Fresa punta Esferica Ø 0,5 X 50mm X 2F</t>
  </si>
  <si>
    <t>Fresa punta Esferica Ø 0,5 X 50mm X 2F X Dureza 55HRC - Material Tungsteno con recubrimiento de Tizin</t>
  </si>
  <si>
    <t>Fresa punta Esferica Ø 1 X 50mm X 2F</t>
  </si>
  <si>
    <t>Fresa punta Esferica Ø 1 X 50mm X 2F X Dureza 55HRC - Material Tungsteno con recubrimiento de Tizin</t>
  </si>
  <si>
    <t>Fresa punta Esferica Ø 2 X 2F</t>
  </si>
  <si>
    <t>Fresa punta Esferica Ø 2 X 2F.  Especificaciones 2 X 3 X 7 X 39MM X 2F K-2</t>
  </si>
  <si>
    <t>Fresa punta Esferica Ø 2 X 4F</t>
  </si>
  <si>
    <t>Fresa esferica 2 x 50 mm x 4F dureza 55 HRC</t>
  </si>
  <si>
    <t>FRESA PLANA. 0.5 X 50 mm</t>
  </si>
  <si>
    <t>FRESA PLANA. 0.5 X 50 mm - 2F 55HRC</t>
  </si>
  <si>
    <t>FRESA PLANA. 1 X 50 mm</t>
  </si>
  <si>
    <t>FRESA PLANA. 1 X 50 mm - 4F 55HRC</t>
  </si>
  <si>
    <t>FRESA PLANA. 2 X 50 mm - 4F 55HRC</t>
  </si>
  <si>
    <t>FRESA PLANA. 3 X 50 mm - 4F 55HRC</t>
  </si>
  <si>
    <t>Fresa punta Esferica Ø 3 X 4F</t>
  </si>
  <si>
    <t>Fresa esferica 3 x 50 mm x 4F dureza 55 HRC</t>
  </si>
  <si>
    <t>Tintas para Marquillas (Marquilla Neutro Transparente) o tambien llamado Plastisol Marquilla</t>
  </si>
  <si>
    <t>Plastisol Marquillas, es un plastisol diseñado para usar en máquinas de moldeo, de dureza flexible, tiene excelente estabilidad al calor. Es usado para fabricar llaveros, marquillas, recubrimiento para calzado. figuras de moldeo entre otros. Propiedades: Liquido viscoso. - % solidos: 100%. - Densidad: Depende del color. -Poder cubriente: Alto. - Lustre: Semi- Brillante. - Termoplasticidad: Buena. Resistencia al roce: Buena. - Solidez a la luz: Depende del color. Durabilidad y Elasticidad: - Antimicótico. - Resistente a solventes y agua. - Se deja coser o pegar.</t>
  </si>
  <si>
    <t>Empaque por Kilogramo</t>
  </si>
  <si>
    <t>Aditivo Plastisol</t>
  </si>
  <si>
    <t>Aditivo Plastisol es un plastificante liquido especialmente usado para reducir la viscosidad de los plastisoles. Propiedades: Apariencia y color: Liquido incoloro. - Olor: inodoro. - Densidad: 0,983g/ml. - Punto de ebullicion: 400°C. - Punto de inflamacion: 238°C. Punto Auto ignición: 387°C. - Solubilidad en Agua: Insolubre</t>
  </si>
  <si>
    <t>ml o el equivalente en KG</t>
  </si>
  <si>
    <t>Frasco por 756 ml o empaque por KG</t>
  </si>
  <si>
    <t>Pigmento para tinta de marquilla neutro (Plastisol) Rojo</t>
  </si>
  <si>
    <t>empaque por kg</t>
  </si>
  <si>
    <t>Pigmento para tinta de marquilla neutro (Plastisol) Amarillo</t>
  </si>
  <si>
    <t>Empaque por KG</t>
  </si>
  <si>
    <t>Pigmento para tinta de marquilla neutro (Plastisol) Azul</t>
  </si>
  <si>
    <t>Pigmento para tinta de marquilla neutro (Plastisol) Negro</t>
  </si>
  <si>
    <t>Empaque por kg</t>
  </si>
  <si>
    <t>Pigmento para tinta de marquilla neutro (Plastisol) Verde</t>
  </si>
  <si>
    <t>Empaque por Kg</t>
  </si>
  <si>
    <t>Pigmento para tinta de marquilla neutro (Plastisol) Blanco</t>
  </si>
  <si>
    <t>Flusible 6A de losa, longitud 1 1/2pulg. 500V aproximadamente  I.=120KA. - 0.85W. -  CH10</t>
  </si>
  <si>
    <t>Flusible 6A de losa,longitud 1 1/2 pulg. 500V aproximadamente  I.=120KA. - 0.85W. -  CH10. - CE1421006</t>
  </si>
  <si>
    <t>Kit titan Extruder para impresora Anycub Chiron actualizacion extrusora</t>
  </si>
  <si>
    <t>Kit Titan Extruder para impresora Anycub Chiron. Partes del Kit: Alimentador de stock compatible con ANYCUBIC Mega S X Series, CR10, Ender 3 series DIY 3D, ED3 V6 Hotend J-Head Bowden soporte de montaje de filamento diametro 1.75 mm. Contenido del paquete: 1 Kit de extrusora de actualizacion. + 1 soporte de montaje. No incluye motor paso a paso</t>
  </si>
  <si>
    <t>Kit Titan Extruder para impresora Anycub Chiron. Contenido del paquete: 1 Kit de extrusora de actualizacion. + 1 soporte de montaje. No incluye motor paso a paso</t>
  </si>
  <si>
    <t>Kit cabezal Plotter HP T120 completo</t>
  </si>
  <si>
    <t xml:space="preserve">kit cabezal plotter HP T120 completo. El kit incluye: - KIT Cabezal nuevo HP 711 ( cabezal Hewlett Packard  711 con 4 colores 12 pl Negro, 5.5 pl (Cian,  Magenta, Amarillo) + Sistema de recarga continua: -Cartuchos originales, - Sistemas de tuberías. - 1,4 metros. - Cadenilla plástica.- ámper antirreflujo. - Tanques de abasto. - Anclaje. - 220ml de tinta de cada color para papel bond. Este Kit se requiere instalado y funcional en el Ploter T120 ubicado en el CDMC </t>
  </si>
  <si>
    <t>Gancho (Lanzadera) Maquina costura Automatica. Numero de parte 60117684 Tomado del Industrial Sewing Machine Parts Catalog Model PLK-62516R Mitsubishi</t>
  </si>
  <si>
    <t>Caja Bobina (Bobbin case) MAQ Costura Programable No Parte MG44E0125. Tomado del Industrial Sewing Machine Parts Catalog Model PLK-62516R Mitsubishi</t>
  </si>
  <si>
    <t>Carretel (Bobbin) en Aluminio. No parte MF25B0123. Tomado del Industrial Sewing Machine Parts Catalog Model PLK-62516R Mitsubishi</t>
  </si>
  <si>
    <t>Cuchilla Movil (Mobile Blade) Costura Automatica. Numero de parte MSF02A0838. Tomado del Industrial Sewing Machine Parts Catalog Model PLK-62516R Mitsubishi</t>
  </si>
  <si>
    <t>Cuchilla fija (Fixed blade) costura Automatica. numero de parte MS10A0838. Tomado del Industrial Sewing Machine Parts Catalog Model PLK-62516R Mitsubishi</t>
  </si>
  <si>
    <t>Separador de Hilo Fijo CEMAC 3020M/6040M tipo MITSUBISHI</t>
  </si>
  <si>
    <t xml:space="preserve">Separador de Hilo Movil CEMAC 3020M/6040M TIPO MITSUBISHI </t>
  </si>
  <si>
    <t>TORNILLO SUJETADOR DE CUCHILLA MOVIL COSTURA AUTOMATICA CEMAC 3020M/6040M TIPO MITSUBISHI. Numero de parte M911510015. Tomado del Industrial Sewing Machine Parts Catalog Model PLK-62516R Mitsubishi</t>
  </si>
  <si>
    <t>TORNILLO SUJETADOR DE CUCHILLA MOVIL COSTURA AUTOMATICA CEMAC 3020M/6040M TIPO MITSUBISH. Numero de parte M911510015. Tomado del Industrial Sewing Machine Parts Catalog Model PLK-62516R Mitsubishi</t>
  </si>
  <si>
    <t>Retenedor de corte para planas de costura Automatica</t>
  </si>
  <si>
    <t>Resorte Tira Hilo Costura Automatica</t>
  </si>
  <si>
    <t>Moneda Planchuela 2.6 (Tambien llamado Ojillo) costura automatica  CEMAC 3020M/6040M TIPO MITSUBISHI- MS02A1-101 (2.6). Numero de parte MS02A1101. Tomado del Industrial Sewing Machine Parts Catalog Model PLK-62516R Mitsubishi</t>
  </si>
  <si>
    <t>Moneda Planchuela2.6 costura automatica  CEMAC 3020M/6040M TIPO MITSUBISHI- MS02A1-101 (2.6). Numero de parte MS02A1101. Tomado del Industrial Sewing Machine Parts Catalog Model PLK-62516R Mitsubishi</t>
  </si>
  <si>
    <t>Barra de aguja costura Automatica (7mm) CEMAC 6040/3020 TIPO MITSUBISHI. Numero de parte MH27A0660. Tomado del Industrial Sewing Machine Parts Catalog Model PLK-62516R Mitsubishi</t>
  </si>
  <si>
    <t>Guia Hilo Barra De Aguja 7mm Costura Automatica CEMAC 3020/6040 TIPO MITSUBISHI. Numero de parte MG42A0181. Tomado del Industrial Sewing Machine Parts Catalog Model PLK-62516R Mitsubishi</t>
  </si>
  <si>
    <t>Aguja Maquina Costura Programable. CEMAC 6040/3020 TIPO MITSUBISHI. Aguja 134-35 L/R # 130</t>
  </si>
  <si>
    <t>Devanador Maquina de Costura Automatica CEMAC 6040/3020 TIPO MITSUBISHI</t>
  </si>
  <si>
    <t>Tensor de Hilo Completo Máquina de costura Automatica CEMAC 6040/3020 TIPO MITSUBISHI</t>
  </si>
  <si>
    <t>Pie Intermedio 2.4mm Costura Programable/PT1710  2.4mm</t>
  </si>
  <si>
    <t xml:space="preserve">Pie Intermedio 3mm Costura Programable/PT1710 </t>
  </si>
  <si>
    <t>Pie Intermedio 3mm Costura Programable/PT1710</t>
  </si>
  <si>
    <t>TOTAL</t>
  </si>
  <si>
    <t>Atentamente,</t>
  </si>
  <si>
    <t>Nombre:</t>
  </si>
  <si>
    <t xml:space="preserve">Cedula: </t>
  </si>
  <si>
    <t>Correo electrónico</t>
  </si>
  <si>
    <t>MAYBESUMINISTROS@GMAIL.COM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</si>
</sst>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 #,##0;[Red]\-&quot;$&quot;\ #,##0"/>
    <numFmt numFmtId="44" formatCode="_-&quot;$&quot;\ * #,##0.00_-;\-&quot;$&quot;\ * #,##0.00_-;_-&quot;$&quot;\ * &quot;-&quot;??_-;_-@_-"/>
    <numFmt numFmtId="164" formatCode="&quot;$&quot;#,##0.00"/>
    <numFmt numFmtId="165" formatCode="_-&quot;$&quot;\ * #,##0_-;\-&quot;$&quot;\ * #,##0_-;_-&quot;$&quot;\ * &quot;-&quot;??_-;_-@_-"/>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b/>
      <sz val="10"/>
      <color theme="1"/>
      <name val="Arial"/>
      <family val="2"/>
    </font>
    <font>
      <b/>
      <sz val="11"/>
      <color rgb="FF000000"/>
      <name val="Aptos Narrow"/>
      <family val="2"/>
      <scheme val="minor"/>
    </font>
    <font>
      <b/>
      <sz val="10"/>
      <color rgb="FF000000"/>
      <name val="Calibri Light"/>
      <family val="2"/>
    </font>
    <font>
      <b/>
      <sz val="11"/>
      <color rgb="FF000000"/>
      <name val="Calibri"/>
      <family val="2"/>
    </font>
    <font>
      <sz val="11"/>
      <color rgb="FF000000"/>
      <name val="Aptos Narrow"/>
      <family val="2"/>
      <scheme val="minor"/>
    </font>
    <font>
      <sz val="10"/>
      <color rgb="FF000000"/>
      <name val="Times New Roman"/>
      <family val="1"/>
    </font>
    <font>
      <sz val="10"/>
      <color rgb="FF000000"/>
      <name val="Arial"/>
      <family val="2"/>
    </font>
    <font>
      <b/>
      <sz val="9"/>
      <color indexed="81"/>
      <name val="Tahoma"/>
      <family val="2"/>
    </font>
    <font>
      <sz val="9"/>
      <color indexed="81"/>
      <name val="Tahoma"/>
      <family val="2"/>
    </font>
    <font>
      <b/>
      <sz val="11"/>
      <color rgb="FFFF0000"/>
      <name val="Aptos Narrow"/>
      <family val="2"/>
      <scheme val="minor"/>
    </font>
    <font>
      <sz val="11"/>
      <color rgb="FFFF0000"/>
      <name val="Aptos Narrow"/>
      <family val="2"/>
      <scheme val="minor"/>
    </font>
    <font>
      <sz val="10"/>
      <color rgb="FFFF0000"/>
      <name val="Times New Roman"/>
      <family val="1"/>
    </font>
  </fonts>
  <fills count="2">
    <fill>
      <patternFill patternType="none"/>
    </fill>
    <fill>
      <patternFill patternType="gray125"/>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cellStyleXfs>
  <cellXfs count="27">
    <xf numFmtId="0" fontId="0" fillId="0" borderId="0" xfId="0"/>
    <xf numFmtId="0" fontId="0" fillId="0" borderId="0" xfId="0" applyAlignment="1">
      <alignment wrapText="1"/>
    </xf>
    <xf numFmtId="0" fontId="0" fillId="0" borderId="0" xfId="0" applyFill="1" applyAlignment="1">
      <alignment wrapText="1"/>
    </xf>
    <xf numFmtId="0" fontId="2" fillId="0" borderId="0" xfId="0" applyFont="1" applyFill="1" applyAlignment="1">
      <alignment horizontal="center" vertical="center" wrapText="1"/>
    </xf>
    <xf numFmtId="0" fontId="2" fillId="0" borderId="1" xfId="0" applyFont="1" applyFill="1" applyBorder="1" applyAlignment="1">
      <alignment horizontal="center" vertical="center" wrapText="1"/>
    </xf>
    <xf numFmtId="0" fontId="4" fillId="0" borderId="2" xfId="0" applyFont="1" applyFill="1" applyBorder="1" applyAlignment="1">
      <alignment horizontal="left" vertical="top" wrapText="1"/>
    </xf>
    <xf numFmtId="0" fontId="2" fillId="0" borderId="2" xfId="0" applyFont="1" applyFill="1" applyBorder="1" applyAlignment="1">
      <alignment horizontal="left" vertical="top" wrapText="1"/>
    </xf>
    <xf numFmtId="0" fontId="3" fillId="0" borderId="2" xfId="3" applyFill="1" applyBorder="1" applyAlignment="1">
      <alignment horizontal="left" vertical="top" wrapText="1"/>
    </xf>
    <xf numFmtId="0" fontId="5" fillId="0" borderId="2"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7" fillId="0" borderId="2" xfId="0" applyFont="1" applyFill="1" applyBorder="1" applyAlignment="1">
      <alignment horizontal="center" vertical="center" wrapText="1"/>
    </xf>
    <xf numFmtId="164" fontId="7" fillId="0" borderId="2" xfId="0" applyNumberFormat="1" applyFont="1" applyFill="1" applyBorder="1" applyAlignment="1">
      <alignment horizontal="center" vertical="center" wrapText="1"/>
    </xf>
    <xf numFmtId="0" fontId="8" fillId="0" borderId="2" xfId="0" applyFont="1" applyFill="1" applyBorder="1" applyAlignment="1">
      <alignment horizontal="center" vertical="center" wrapText="1"/>
    </xf>
    <xf numFmtId="6" fontId="9" fillId="0" borderId="2" xfId="0" applyNumberFormat="1" applyFont="1" applyFill="1" applyBorder="1" applyAlignment="1">
      <alignment horizontal="center" vertical="center" wrapText="1"/>
    </xf>
    <xf numFmtId="9" fontId="0" fillId="0" borderId="2" xfId="2" applyFont="1" applyFill="1" applyBorder="1" applyAlignment="1">
      <alignment horizontal="center" vertical="center" wrapText="1"/>
    </xf>
    <xf numFmtId="6" fontId="0" fillId="0" borderId="2" xfId="0" applyNumberFormat="1" applyFill="1" applyBorder="1" applyAlignment="1">
      <alignment horizontal="center" vertical="center" wrapText="1"/>
    </xf>
    <xf numFmtId="0" fontId="13" fillId="0" borderId="2" xfId="0" applyFont="1" applyFill="1" applyBorder="1" applyAlignment="1">
      <alignment horizontal="center" vertical="center" wrapText="1"/>
    </xf>
    <xf numFmtId="0" fontId="14" fillId="0" borderId="2" xfId="0" applyFont="1" applyFill="1" applyBorder="1" applyAlignment="1">
      <alignment horizontal="center" vertical="center" wrapText="1"/>
    </xf>
    <xf numFmtId="6" fontId="15" fillId="0" borderId="2" xfId="0" applyNumberFormat="1" applyFont="1" applyFill="1" applyBorder="1" applyAlignment="1">
      <alignment horizontal="center" vertical="center" wrapText="1"/>
    </xf>
    <xf numFmtId="9" fontId="14" fillId="0" borderId="2" xfId="2" applyFont="1" applyFill="1" applyBorder="1" applyAlignment="1">
      <alignment horizontal="center" vertical="center" wrapText="1"/>
    </xf>
    <xf numFmtId="6" fontId="14" fillId="0" borderId="2" xfId="0" applyNumberFormat="1" applyFont="1" applyFill="1" applyBorder="1" applyAlignment="1">
      <alignment horizontal="center" vertical="center" wrapText="1"/>
    </xf>
    <xf numFmtId="0" fontId="0" fillId="0" borderId="2" xfId="0" applyFill="1" applyBorder="1" applyAlignment="1">
      <alignment horizontal="center" wrapText="1"/>
    </xf>
    <xf numFmtId="6" fontId="0" fillId="0" borderId="2" xfId="0" applyNumberFormat="1" applyFill="1" applyBorder="1" applyAlignment="1">
      <alignment wrapText="1"/>
    </xf>
    <xf numFmtId="165" fontId="0" fillId="0" borderId="2" xfId="1" applyNumberFormat="1" applyFont="1" applyFill="1" applyBorder="1" applyAlignment="1">
      <alignment wrapText="1"/>
    </xf>
    <xf numFmtId="0" fontId="10" fillId="0" borderId="0" xfId="0" applyFont="1" applyFill="1" applyAlignment="1">
      <alignment vertical="center" wrapText="1"/>
    </xf>
    <xf numFmtId="0" fontId="10" fillId="0" borderId="0" xfId="0" applyFont="1" applyFill="1" applyAlignment="1">
      <alignment wrapText="1"/>
    </xf>
    <xf numFmtId="0" fontId="3" fillId="0" borderId="0" xfId="3" applyFill="1" applyAlignment="1">
      <alignment wrapText="1"/>
    </xf>
  </cellXfs>
  <cellStyles count="4">
    <cellStyle name="Hipervínculo" xfId="3" builtinId="8"/>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2</xdr:col>
      <xdr:colOff>723900</xdr:colOff>
      <xdr:row>120</xdr:row>
      <xdr:rowOff>50165</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174745650"/>
          <a:ext cx="1485900" cy="621665"/>
        </a:xfrm>
        <a:prstGeom prst="rect">
          <a:avLst/>
        </a:prstGeom>
        <a:noFill/>
      </xdr:spPr>
    </xdr:pic>
    <xdr:clientData/>
  </xdr:twoCellAnchor>
  <xdr:twoCellAnchor editAs="oneCell">
    <xdr:from>
      <xdr:col>0</xdr:col>
      <xdr:colOff>0</xdr:colOff>
      <xdr:row>0</xdr:row>
      <xdr:rowOff>133350</xdr:rowOff>
    </xdr:from>
    <xdr:to>
      <xdr:col>2</xdr:col>
      <xdr:colOff>638175</xdr:colOff>
      <xdr:row>1</xdr:row>
      <xdr:rowOff>123825</xdr:rowOff>
    </xdr:to>
    <xdr:pic>
      <xdr:nvPicPr>
        <xdr:cNvPr id="3" name="Imagen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33350"/>
          <a:ext cx="2371725" cy="56197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MAYBESUMINISTROS@GMAIL.COM" TargetMode="External"/><Relationship Id="rId1" Type="http://schemas.openxmlformats.org/officeDocument/2006/relationships/hyperlink" Target="mailto:MAYBE@UNE.NET.CO"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abSelected="1" workbookViewId="0">
      <selection sqref="A1:K1048576"/>
    </sheetView>
  </sheetViews>
  <sheetFormatPr baseColWidth="10" defaultColWidth="11.44140625" defaultRowHeight="14.4" x14ac:dyDescent="0.3"/>
  <cols>
    <col min="1" max="1" width="11.44140625" style="2" customWidth="1"/>
    <col min="2" max="2" width="11.44140625" style="2"/>
    <col min="3" max="3" width="18.5546875" style="2" customWidth="1"/>
    <col min="4" max="4" width="42.109375" style="2" customWidth="1"/>
    <col min="5" max="7" width="11.44140625" style="2"/>
    <col min="8" max="8" width="22.88671875" style="2" customWidth="1"/>
    <col min="9" max="9" width="11.44140625" style="2"/>
    <col min="10" max="10" width="14.109375" style="2" customWidth="1"/>
    <col min="11" max="11" width="15.5546875" style="2" customWidth="1"/>
    <col min="12" max="16384" width="11.44140625" style="1"/>
  </cols>
  <sheetData>
    <row r="1" spans="1:11" ht="45" customHeight="1" x14ac:dyDescent="0.3"/>
    <row r="2" spans="1:11" ht="15" customHeight="1" x14ac:dyDescent="0.3">
      <c r="A2" s="3" t="s">
        <v>0</v>
      </c>
      <c r="B2" s="3"/>
      <c r="C2" s="3"/>
      <c r="D2" s="3"/>
      <c r="E2" s="3"/>
      <c r="F2" s="3"/>
      <c r="G2" s="3"/>
    </row>
    <row r="3" spans="1:11" ht="15" customHeight="1" x14ac:dyDescent="0.3">
      <c r="A3" s="4" t="s">
        <v>1</v>
      </c>
      <c r="B3" s="4"/>
      <c r="C3" s="4"/>
      <c r="D3" s="4"/>
      <c r="E3" s="4"/>
      <c r="F3" s="4"/>
      <c r="G3" s="4"/>
    </row>
    <row r="4" spans="1:11" x14ac:dyDescent="0.3">
      <c r="A4" s="5" t="s">
        <v>2</v>
      </c>
      <c r="B4" s="5"/>
      <c r="C4" s="6" t="s">
        <v>3</v>
      </c>
      <c r="D4" s="6"/>
      <c r="E4" s="6"/>
      <c r="F4" s="6"/>
      <c r="G4" s="6"/>
    </row>
    <row r="5" spans="1:11" x14ac:dyDescent="0.3">
      <c r="A5" s="5" t="s">
        <v>4</v>
      </c>
      <c r="B5" s="5"/>
      <c r="C5" s="6" t="s">
        <v>5</v>
      </c>
      <c r="D5" s="6"/>
      <c r="E5" s="6"/>
      <c r="F5" s="6"/>
      <c r="G5" s="6"/>
    </row>
    <row r="6" spans="1:11" x14ac:dyDescent="0.3">
      <c r="A6" s="5" t="s">
        <v>6</v>
      </c>
      <c r="B6" s="5"/>
      <c r="C6" s="6" t="s">
        <v>7</v>
      </c>
      <c r="D6" s="6"/>
      <c r="E6" s="6"/>
      <c r="F6" s="6"/>
      <c r="G6" s="6"/>
    </row>
    <row r="7" spans="1:11" x14ac:dyDescent="0.3">
      <c r="A7" s="5" t="s">
        <v>8</v>
      </c>
      <c r="B7" s="5"/>
      <c r="C7" s="7" t="s">
        <v>9</v>
      </c>
      <c r="D7" s="6"/>
      <c r="E7" s="6"/>
      <c r="F7" s="6"/>
      <c r="G7" s="6"/>
    </row>
    <row r="8" spans="1:11" x14ac:dyDescent="0.3">
      <c r="A8" s="5" t="s">
        <v>10</v>
      </c>
      <c r="B8" s="5"/>
      <c r="C8" s="6" t="s">
        <v>11</v>
      </c>
      <c r="D8" s="6"/>
      <c r="E8" s="6"/>
      <c r="F8" s="6"/>
      <c r="G8" s="6"/>
    </row>
    <row r="9" spans="1:11" x14ac:dyDescent="0.3">
      <c r="A9" s="5" t="s">
        <v>12</v>
      </c>
      <c r="B9" s="5"/>
      <c r="C9" s="6" t="s">
        <v>13</v>
      </c>
      <c r="D9" s="6"/>
      <c r="E9" s="6"/>
      <c r="F9" s="6"/>
      <c r="G9" s="6"/>
    </row>
    <row r="14" spans="1:11" ht="28.8" x14ac:dyDescent="0.3">
      <c r="A14" s="8" t="s">
        <v>14</v>
      </c>
      <c r="B14" s="8" t="s">
        <v>15</v>
      </c>
      <c r="C14" s="8" t="s">
        <v>16</v>
      </c>
      <c r="D14" s="8" t="s">
        <v>17</v>
      </c>
      <c r="E14" s="8" t="s">
        <v>18</v>
      </c>
      <c r="F14" s="8" t="s">
        <v>19</v>
      </c>
      <c r="G14" s="8" t="s">
        <v>20</v>
      </c>
      <c r="H14" s="9" t="s">
        <v>21</v>
      </c>
      <c r="I14" s="10" t="s">
        <v>22</v>
      </c>
      <c r="J14" s="10" t="s">
        <v>23</v>
      </c>
      <c r="K14" s="11" t="s">
        <v>24</v>
      </c>
    </row>
    <row r="15" spans="1:11" ht="187.2" x14ac:dyDescent="0.3">
      <c r="A15" s="8">
        <v>1</v>
      </c>
      <c r="B15" s="12">
        <v>41102428</v>
      </c>
      <c r="C15" s="12" t="s">
        <v>25</v>
      </c>
      <c r="D15" s="12" t="s">
        <v>26</v>
      </c>
      <c r="E15" s="12" t="s">
        <v>27</v>
      </c>
      <c r="F15" s="12" t="s">
        <v>28</v>
      </c>
      <c r="G15" s="12">
        <v>1</v>
      </c>
      <c r="H15" s="13">
        <v>28556.059399999998</v>
      </c>
      <c r="I15" s="14">
        <v>0.19</v>
      </c>
      <c r="J15" s="15">
        <f>H15*1.19</f>
        <v>33981.710685999999</v>
      </c>
      <c r="K15" s="15">
        <f>J15*G15</f>
        <v>33981.710685999999</v>
      </c>
    </row>
    <row r="16" spans="1:11" ht="57.6" x14ac:dyDescent="0.3">
      <c r="A16" s="8">
        <v>2</v>
      </c>
      <c r="B16" s="12">
        <v>11162116</v>
      </c>
      <c r="C16" s="12" t="s">
        <v>29</v>
      </c>
      <c r="D16" s="12" t="s">
        <v>30</v>
      </c>
      <c r="E16" s="12" t="s">
        <v>31</v>
      </c>
      <c r="F16" s="12" t="s">
        <v>32</v>
      </c>
      <c r="G16" s="12">
        <v>1</v>
      </c>
      <c r="H16" s="13">
        <v>13339.981599999999</v>
      </c>
      <c r="I16" s="14">
        <v>0.19</v>
      </c>
      <c r="J16" s="15">
        <f t="shared" ref="J16:J79" si="0">H16*1.19</f>
        <v>15874.578103999998</v>
      </c>
      <c r="K16" s="15">
        <f t="shared" ref="K16:K79" si="1">J16*G16</f>
        <v>15874.578103999998</v>
      </c>
    </row>
    <row r="17" spans="1:11" ht="144" x14ac:dyDescent="0.3">
      <c r="A17" s="8">
        <v>3</v>
      </c>
      <c r="B17" s="12">
        <v>47131825</v>
      </c>
      <c r="C17" s="12" t="s">
        <v>33</v>
      </c>
      <c r="D17" s="12" t="s">
        <v>34</v>
      </c>
      <c r="E17" s="12" t="s">
        <v>35</v>
      </c>
      <c r="F17" s="12" t="s">
        <v>36</v>
      </c>
      <c r="G17" s="12">
        <v>1</v>
      </c>
      <c r="H17" s="13">
        <v>22129.5052</v>
      </c>
      <c r="I17" s="14">
        <v>0.19</v>
      </c>
      <c r="J17" s="15">
        <f t="shared" si="0"/>
        <v>26334.111187999999</v>
      </c>
      <c r="K17" s="15">
        <f t="shared" si="1"/>
        <v>26334.111187999999</v>
      </c>
    </row>
    <row r="18" spans="1:11" ht="86.4" x14ac:dyDescent="0.3">
      <c r="A18" s="8">
        <v>4</v>
      </c>
      <c r="B18" s="12">
        <v>47131805</v>
      </c>
      <c r="C18" s="12" t="s">
        <v>37</v>
      </c>
      <c r="D18" s="12" t="s">
        <v>38</v>
      </c>
      <c r="E18" s="12" t="s">
        <v>39</v>
      </c>
      <c r="F18" s="12" t="s">
        <v>40</v>
      </c>
      <c r="G18" s="12">
        <v>1</v>
      </c>
      <c r="H18" s="13">
        <v>17313.2454</v>
      </c>
      <c r="I18" s="14">
        <v>0.19</v>
      </c>
      <c r="J18" s="15">
        <f t="shared" si="0"/>
        <v>20602.762026</v>
      </c>
      <c r="K18" s="15">
        <f t="shared" si="1"/>
        <v>20602.762026</v>
      </c>
    </row>
    <row r="19" spans="1:11" ht="201.6" x14ac:dyDescent="0.3">
      <c r="A19" s="8">
        <v>5</v>
      </c>
      <c r="B19" s="12">
        <v>20121506</v>
      </c>
      <c r="C19" s="12" t="s">
        <v>41</v>
      </c>
      <c r="D19" s="12" t="s">
        <v>42</v>
      </c>
      <c r="E19" s="12" t="s">
        <v>39</v>
      </c>
      <c r="F19" s="12" t="s">
        <v>43</v>
      </c>
      <c r="G19" s="12">
        <v>1</v>
      </c>
      <c r="H19" s="13">
        <v>113189.417</v>
      </c>
      <c r="I19" s="14">
        <v>0.19</v>
      </c>
      <c r="J19" s="15">
        <f t="shared" si="0"/>
        <v>134695.40622999999</v>
      </c>
      <c r="K19" s="15">
        <f t="shared" si="1"/>
        <v>134695.40622999999</v>
      </c>
    </row>
    <row r="20" spans="1:11" ht="288" x14ac:dyDescent="0.3">
      <c r="A20" s="8">
        <v>6</v>
      </c>
      <c r="B20" s="12">
        <v>20121506</v>
      </c>
      <c r="C20" s="12" t="s">
        <v>44</v>
      </c>
      <c r="D20" s="12" t="s">
        <v>45</v>
      </c>
      <c r="E20" s="12" t="s">
        <v>39</v>
      </c>
      <c r="F20" s="12" t="s">
        <v>46</v>
      </c>
      <c r="G20" s="12">
        <v>1</v>
      </c>
      <c r="H20" s="13">
        <v>114639.7142</v>
      </c>
      <c r="I20" s="14">
        <v>0.19</v>
      </c>
      <c r="J20" s="15">
        <f t="shared" si="0"/>
        <v>136421.25989799999</v>
      </c>
      <c r="K20" s="15">
        <f t="shared" si="1"/>
        <v>136421.25989799999</v>
      </c>
    </row>
    <row r="21" spans="1:11" ht="288" x14ac:dyDescent="0.3">
      <c r="A21" s="8">
        <v>7</v>
      </c>
      <c r="B21" s="12">
        <v>20121506</v>
      </c>
      <c r="C21" s="12" t="s">
        <v>47</v>
      </c>
      <c r="D21" s="12" t="s">
        <v>48</v>
      </c>
      <c r="E21" s="12" t="s">
        <v>39</v>
      </c>
      <c r="F21" s="12" t="s">
        <v>46</v>
      </c>
      <c r="G21" s="12">
        <v>1</v>
      </c>
      <c r="H21" s="13">
        <v>109999.7954</v>
      </c>
      <c r="I21" s="14">
        <v>0.19</v>
      </c>
      <c r="J21" s="15">
        <f t="shared" si="0"/>
        <v>130899.756526</v>
      </c>
      <c r="K21" s="15">
        <f t="shared" si="1"/>
        <v>130899.756526</v>
      </c>
    </row>
    <row r="22" spans="1:11" ht="115.2" x14ac:dyDescent="0.3">
      <c r="A22" s="8">
        <v>8</v>
      </c>
      <c r="B22" s="12">
        <v>15121501</v>
      </c>
      <c r="C22" s="12" t="s">
        <v>49</v>
      </c>
      <c r="D22" s="12" t="s">
        <v>50</v>
      </c>
      <c r="E22" s="12" t="s">
        <v>51</v>
      </c>
      <c r="F22" s="12" t="s">
        <v>52</v>
      </c>
      <c r="G22" s="12">
        <v>1</v>
      </c>
      <c r="H22" s="13">
        <v>17293.460800000001</v>
      </c>
      <c r="I22" s="14">
        <v>0.19</v>
      </c>
      <c r="J22" s="15">
        <f t="shared" si="0"/>
        <v>20579.218352</v>
      </c>
      <c r="K22" s="15">
        <f t="shared" si="1"/>
        <v>20579.218352</v>
      </c>
    </row>
    <row r="23" spans="1:11" ht="244.8" x14ac:dyDescent="0.3">
      <c r="A23" s="8">
        <v>9</v>
      </c>
      <c r="B23" s="12">
        <v>31201605</v>
      </c>
      <c r="C23" s="12" t="s">
        <v>53</v>
      </c>
      <c r="D23" s="12" t="s">
        <v>54</v>
      </c>
      <c r="E23" s="12" t="s">
        <v>55</v>
      </c>
      <c r="F23" s="12" t="s">
        <v>56</v>
      </c>
      <c r="G23" s="12">
        <v>1</v>
      </c>
      <c r="H23" s="13">
        <v>3992.1882000000001</v>
      </c>
      <c r="I23" s="14">
        <v>0.19</v>
      </c>
      <c r="J23" s="15">
        <f t="shared" si="0"/>
        <v>4750.7039580000001</v>
      </c>
      <c r="K23" s="15">
        <f t="shared" si="1"/>
        <v>4750.7039580000001</v>
      </c>
    </row>
    <row r="24" spans="1:11" ht="216" x14ac:dyDescent="0.3">
      <c r="A24" s="8">
        <v>10</v>
      </c>
      <c r="B24" s="12">
        <v>40141736</v>
      </c>
      <c r="C24" s="12" t="s">
        <v>57</v>
      </c>
      <c r="D24" s="12" t="s">
        <v>58</v>
      </c>
      <c r="E24" s="12" t="s">
        <v>39</v>
      </c>
      <c r="F24" s="12" t="s">
        <v>59</v>
      </c>
      <c r="G24" s="12">
        <v>1</v>
      </c>
      <c r="H24" s="13">
        <v>106801.57180000001</v>
      </c>
      <c r="I24" s="14">
        <v>0.19</v>
      </c>
      <c r="J24" s="15">
        <f t="shared" si="0"/>
        <v>127093.870442</v>
      </c>
      <c r="K24" s="15">
        <f t="shared" si="1"/>
        <v>127093.870442</v>
      </c>
    </row>
    <row r="25" spans="1:11" ht="43.2" x14ac:dyDescent="0.3">
      <c r="A25" s="8">
        <v>11</v>
      </c>
      <c r="B25" s="12">
        <v>46151607</v>
      </c>
      <c r="C25" s="12" t="s">
        <v>60</v>
      </c>
      <c r="D25" s="12" t="s">
        <v>61</v>
      </c>
      <c r="E25" s="12" t="s">
        <v>62</v>
      </c>
      <c r="F25" s="12" t="s">
        <v>63</v>
      </c>
      <c r="G25" s="12">
        <v>1</v>
      </c>
      <c r="H25" s="13">
        <v>15612.63</v>
      </c>
      <c r="I25" s="14">
        <v>0.19</v>
      </c>
      <c r="J25" s="15">
        <f t="shared" si="0"/>
        <v>18579.029699999999</v>
      </c>
      <c r="K25" s="15">
        <f t="shared" si="1"/>
        <v>18579.029699999999</v>
      </c>
    </row>
    <row r="26" spans="1:11" ht="144" x14ac:dyDescent="0.3">
      <c r="A26" s="8">
        <v>12</v>
      </c>
      <c r="B26" s="12">
        <v>47131821</v>
      </c>
      <c r="C26" s="12" t="s">
        <v>64</v>
      </c>
      <c r="D26" s="12" t="s">
        <v>65</v>
      </c>
      <c r="E26" s="12" t="s">
        <v>66</v>
      </c>
      <c r="F26" s="12" t="s">
        <v>67</v>
      </c>
      <c r="G26" s="12">
        <v>1</v>
      </c>
      <c r="H26" s="13">
        <v>34623.910199999998</v>
      </c>
      <c r="I26" s="14">
        <v>0.19</v>
      </c>
      <c r="J26" s="15">
        <f t="shared" si="0"/>
        <v>41202.453137999997</v>
      </c>
      <c r="K26" s="15">
        <f t="shared" si="1"/>
        <v>41202.453137999997</v>
      </c>
    </row>
    <row r="27" spans="1:11" ht="129.6" x14ac:dyDescent="0.3">
      <c r="A27" s="8">
        <v>13</v>
      </c>
      <c r="B27" s="12">
        <v>47131805</v>
      </c>
      <c r="C27" s="12" t="s">
        <v>68</v>
      </c>
      <c r="D27" s="12" t="s">
        <v>69</v>
      </c>
      <c r="E27" s="12" t="s">
        <v>66</v>
      </c>
      <c r="F27" s="12" t="s">
        <v>70</v>
      </c>
      <c r="G27" s="12">
        <v>1</v>
      </c>
      <c r="H27" s="13">
        <v>47707.552199999998</v>
      </c>
      <c r="I27" s="14">
        <v>0.19</v>
      </c>
      <c r="J27" s="15">
        <f t="shared" si="0"/>
        <v>56771.987117999997</v>
      </c>
      <c r="K27" s="15">
        <f t="shared" si="1"/>
        <v>56771.987117999997</v>
      </c>
    </row>
    <row r="28" spans="1:11" ht="115.2" x14ac:dyDescent="0.3">
      <c r="A28" s="8">
        <v>14</v>
      </c>
      <c r="B28" s="12">
        <v>15121802</v>
      </c>
      <c r="C28" s="12" t="s">
        <v>71</v>
      </c>
      <c r="D28" s="12" t="s">
        <v>72</v>
      </c>
      <c r="E28" s="12" t="s">
        <v>73</v>
      </c>
      <c r="F28" s="12" t="s">
        <v>74</v>
      </c>
      <c r="G28" s="12">
        <v>1</v>
      </c>
      <c r="H28" s="13">
        <v>30102.699000000001</v>
      </c>
      <c r="I28" s="14">
        <v>0.19</v>
      </c>
      <c r="J28" s="15">
        <f t="shared" si="0"/>
        <v>35822.211810000001</v>
      </c>
      <c r="K28" s="15">
        <f t="shared" si="1"/>
        <v>35822.211810000001</v>
      </c>
    </row>
    <row r="29" spans="1:11" ht="129.6" x14ac:dyDescent="0.3">
      <c r="A29" s="8">
        <v>15</v>
      </c>
      <c r="B29" s="12">
        <v>31211518</v>
      </c>
      <c r="C29" s="12" t="s">
        <v>75</v>
      </c>
      <c r="D29" s="12" t="s">
        <v>76</v>
      </c>
      <c r="E29" s="12" t="s">
        <v>66</v>
      </c>
      <c r="F29" s="12" t="s">
        <v>66</v>
      </c>
      <c r="G29" s="12">
        <v>1</v>
      </c>
      <c r="H29" s="13">
        <v>51612</v>
      </c>
      <c r="I29" s="14">
        <v>0.19</v>
      </c>
      <c r="J29" s="15">
        <f t="shared" si="0"/>
        <v>61418.28</v>
      </c>
      <c r="K29" s="15">
        <f t="shared" si="1"/>
        <v>61418.28</v>
      </c>
    </row>
    <row r="30" spans="1:11" ht="86.4" x14ac:dyDescent="0.3">
      <c r="A30" s="8">
        <v>16</v>
      </c>
      <c r="B30" s="12">
        <v>31211518</v>
      </c>
      <c r="C30" s="12" t="s">
        <v>77</v>
      </c>
      <c r="D30" s="12" t="s">
        <v>78</v>
      </c>
      <c r="E30" s="12" t="s">
        <v>39</v>
      </c>
      <c r="F30" s="12" t="s">
        <v>79</v>
      </c>
      <c r="G30" s="12">
        <v>1</v>
      </c>
      <c r="H30" s="13">
        <v>11854.4162</v>
      </c>
      <c r="I30" s="14">
        <v>0.19</v>
      </c>
      <c r="J30" s="15">
        <f t="shared" si="0"/>
        <v>14106.755277999999</v>
      </c>
      <c r="K30" s="15">
        <f t="shared" si="1"/>
        <v>14106.755277999999</v>
      </c>
    </row>
    <row r="31" spans="1:11" ht="158.4" x14ac:dyDescent="0.3">
      <c r="A31" s="8">
        <v>17</v>
      </c>
      <c r="B31" s="12">
        <v>23260000</v>
      </c>
      <c r="C31" s="12" t="s">
        <v>80</v>
      </c>
      <c r="D31" s="12" t="s">
        <v>81</v>
      </c>
      <c r="E31" s="12" t="s">
        <v>82</v>
      </c>
      <c r="F31" s="12" t="s">
        <v>83</v>
      </c>
      <c r="G31" s="12">
        <v>1</v>
      </c>
      <c r="H31" s="13">
        <v>71164.346000000005</v>
      </c>
      <c r="I31" s="14">
        <v>0.19</v>
      </c>
      <c r="J31" s="15">
        <f t="shared" si="0"/>
        <v>84685.571739999999</v>
      </c>
      <c r="K31" s="15">
        <f t="shared" si="1"/>
        <v>84685.571739999999</v>
      </c>
    </row>
    <row r="32" spans="1:11" ht="158.4" x14ac:dyDescent="0.3">
      <c r="A32" s="8">
        <v>18</v>
      </c>
      <c r="B32" s="12">
        <v>23260000</v>
      </c>
      <c r="C32" s="12" t="s">
        <v>84</v>
      </c>
      <c r="D32" s="12" t="s">
        <v>85</v>
      </c>
      <c r="E32" s="12" t="s">
        <v>31</v>
      </c>
      <c r="F32" s="12" t="s">
        <v>83</v>
      </c>
      <c r="G32" s="12">
        <v>1</v>
      </c>
      <c r="H32" s="13">
        <v>72181.962599999999</v>
      </c>
      <c r="I32" s="14">
        <v>0.19</v>
      </c>
      <c r="J32" s="15">
        <f t="shared" si="0"/>
        <v>85896.535493999996</v>
      </c>
      <c r="K32" s="15">
        <f t="shared" si="1"/>
        <v>85896.535493999996</v>
      </c>
    </row>
    <row r="33" spans="1:11" ht="158.4" x14ac:dyDescent="0.3">
      <c r="A33" s="8">
        <v>19</v>
      </c>
      <c r="B33" s="12">
        <v>23260000</v>
      </c>
      <c r="C33" s="12" t="s">
        <v>86</v>
      </c>
      <c r="D33" s="12" t="s">
        <v>87</v>
      </c>
      <c r="E33" s="12" t="s">
        <v>31</v>
      </c>
      <c r="F33" s="12" t="s">
        <v>83</v>
      </c>
      <c r="G33" s="12">
        <v>1</v>
      </c>
      <c r="H33" s="13">
        <v>74814.174599999998</v>
      </c>
      <c r="I33" s="14">
        <v>0.19</v>
      </c>
      <c r="J33" s="15">
        <f t="shared" si="0"/>
        <v>89028.867773999998</v>
      </c>
      <c r="K33" s="15">
        <f t="shared" si="1"/>
        <v>89028.867773999998</v>
      </c>
    </row>
    <row r="34" spans="1:11" ht="115.2" x14ac:dyDescent="0.3">
      <c r="A34" s="8">
        <v>20</v>
      </c>
      <c r="B34" s="12">
        <v>23260000</v>
      </c>
      <c r="C34" s="12" t="s">
        <v>88</v>
      </c>
      <c r="D34" s="12" t="s">
        <v>89</v>
      </c>
      <c r="E34" s="12" t="s">
        <v>31</v>
      </c>
      <c r="F34" s="12" t="s">
        <v>90</v>
      </c>
      <c r="G34" s="12">
        <v>1</v>
      </c>
      <c r="H34" s="13">
        <v>85386.892800000001</v>
      </c>
      <c r="I34" s="14">
        <v>0.19</v>
      </c>
      <c r="J34" s="15">
        <f t="shared" si="0"/>
        <v>101610.402432</v>
      </c>
      <c r="K34" s="15">
        <f t="shared" si="1"/>
        <v>101610.402432</v>
      </c>
    </row>
    <row r="35" spans="1:11" ht="115.2" x14ac:dyDescent="0.3">
      <c r="A35" s="8">
        <v>21</v>
      </c>
      <c r="B35" s="12">
        <v>23260000</v>
      </c>
      <c r="C35" s="12" t="s">
        <v>91</v>
      </c>
      <c r="D35" s="12" t="s">
        <v>92</v>
      </c>
      <c r="E35" s="12" t="s">
        <v>31</v>
      </c>
      <c r="F35" s="12" t="s">
        <v>93</v>
      </c>
      <c r="G35" s="12">
        <v>1</v>
      </c>
      <c r="H35" s="13">
        <v>89235.427599999995</v>
      </c>
      <c r="I35" s="14">
        <v>0.19</v>
      </c>
      <c r="J35" s="15">
        <f t="shared" si="0"/>
        <v>106190.15884399999</v>
      </c>
      <c r="K35" s="15">
        <f t="shared" si="1"/>
        <v>106190.15884399999</v>
      </c>
    </row>
    <row r="36" spans="1:11" ht="115.2" x14ac:dyDescent="0.3">
      <c r="A36" s="8">
        <v>22</v>
      </c>
      <c r="B36" s="12">
        <v>23260000</v>
      </c>
      <c r="C36" s="12" t="s">
        <v>94</v>
      </c>
      <c r="D36" s="12" t="s">
        <v>95</v>
      </c>
      <c r="E36" s="12" t="s">
        <v>31</v>
      </c>
      <c r="F36" s="12" t="s">
        <v>90</v>
      </c>
      <c r="G36" s="12">
        <v>1</v>
      </c>
      <c r="H36" s="13">
        <v>74778.906400000007</v>
      </c>
      <c r="I36" s="14">
        <v>0.19</v>
      </c>
      <c r="J36" s="15">
        <f t="shared" si="0"/>
        <v>88986.898616000006</v>
      </c>
      <c r="K36" s="15">
        <f t="shared" si="1"/>
        <v>88986.898616000006</v>
      </c>
    </row>
    <row r="37" spans="1:11" ht="115.2" x14ac:dyDescent="0.3">
      <c r="A37" s="8">
        <v>23</v>
      </c>
      <c r="B37" s="12">
        <v>23260000</v>
      </c>
      <c r="C37" s="12" t="s">
        <v>96</v>
      </c>
      <c r="D37" s="12" t="s">
        <v>97</v>
      </c>
      <c r="E37" s="12" t="s">
        <v>31</v>
      </c>
      <c r="F37" s="12" t="s">
        <v>98</v>
      </c>
      <c r="G37" s="12">
        <v>1</v>
      </c>
      <c r="H37" s="13">
        <v>74778.906400000007</v>
      </c>
      <c r="I37" s="14">
        <v>0.19</v>
      </c>
      <c r="J37" s="15">
        <f t="shared" si="0"/>
        <v>88986.898616000006</v>
      </c>
      <c r="K37" s="15">
        <f t="shared" si="1"/>
        <v>88986.898616000006</v>
      </c>
    </row>
    <row r="38" spans="1:11" ht="129.6" x14ac:dyDescent="0.3">
      <c r="A38" s="8">
        <v>24</v>
      </c>
      <c r="B38" s="12">
        <v>46181804</v>
      </c>
      <c r="C38" s="12" t="s">
        <v>99</v>
      </c>
      <c r="D38" s="12" t="s">
        <v>100</v>
      </c>
      <c r="E38" s="12" t="s">
        <v>35</v>
      </c>
      <c r="F38" s="12" t="s">
        <v>101</v>
      </c>
      <c r="G38" s="12">
        <v>1</v>
      </c>
      <c r="H38" s="13">
        <v>25913.525000000001</v>
      </c>
      <c r="I38" s="14">
        <v>0.19</v>
      </c>
      <c r="J38" s="15">
        <f t="shared" si="0"/>
        <v>30837.09475</v>
      </c>
      <c r="K38" s="15">
        <f t="shared" si="1"/>
        <v>30837.09475</v>
      </c>
    </row>
    <row r="39" spans="1:11" ht="86.4" x14ac:dyDescent="0.3">
      <c r="A39" s="8">
        <v>25</v>
      </c>
      <c r="B39" s="12">
        <v>27112151</v>
      </c>
      <c r="C39" s="12" t="s">
        <v>102</v>
      </c>
      <c r="D39" s="12" t="s">
        <v>103</v>
      </c>
      <c r="E39" s="12" t="s">
        <v>35</v>
      </c>
      <c r="F39" s="12" t="s">
        <v>104</v>
      </c>
      <c r="G39" s="12">
        <v>1</v>
      </c>
      <c r="H39" s="13">
        <v>45141.575599999996</v>
      </c>
      <c r="I39" s="14">
        <v>0.19</v>
      </c>
      <c r="J39" s="15">
        <f t="shared" si="0"/>
        <v>53718.474963999994</v>
      </c>
      <c r="K39" s="15">
        <f t="shared" si="1"/>
        <v>53718.474963999994</v>
      </c>
    </row>
    <row r="40" spans="1:11" ht="129.6" x14ac:dyDescent="0.3">
      <c r="A40" s="8">
        <v>26</v>
      </c>
      <c r="B40" s="12">
        <v>46181804</v>
      </c>
      <c r="C40" s="12" t="s">
        <v>105</v>
      </c>
      <c r="D40" s="12" t="s">
        <v>106</v>
      </c>
      <c r="E40" s="12" t="s">
        <v>35</v>
      </c>
      <c r="F40" s="12" t="s">
        <v>104</v>
      </c>
      <c r="G40" s="12">
        <v>1</v>
      </c>
      <c r="H40" s="13">
        <v>15684.8868</v>
      </c>
      <c r="I40" s="14">
        <v>0.19</v>
      </c>
      <c r="J40" s="15">
        <f t="shared" si="0"/>
        <v>18665.015292</v>
      </c>
      <c r="K40" s="15">
        <f t="shared" si="1"/>
        <v>18665.015292</v>
      </c>
    </row>
    <row r="41" spans="1:11" ht="115.2" x14ac:dyDescent="0.3">
      <c r="A41" s="8">
        <v>27</v>
      </c>
      <c r="B41" s="12">
        <v>27112134</v>
      </c>
      <c r="C41" s="12" t="s">
        <v>107</v>
      </c>
      <c r="D41" s="12" t="s">
        <v>108</v>
      </c>
      <c r="E41" s="12" t="s">
        <v>35</v>
      </c>
      <c r="F41" s="12" t="s">
        <v>104</v>
      </c>
      <c r="G41" s="12">
        <v>1</v>
      </c>
      <c r="H41" s="13">
        <v>21991.873200000002</v>
      </c>
      <c r="I41" s="14">
        <v>0.19</v>
      </c>
      <c r="J41" s="15">
        <f t="shared" si="0"/>
        <v>26170.329108000002</v>
      </c>
      <c r="K41" s="15">
        <f t="shared" si="1"/>
        <v>26170.329108000002</v>
      </c>
    </row>
    <row r="42" spans="1:11" ht="72" x14ac:dyDescent="0.3">
      <c r="A42" s="8">
        <v>28</v>
      </c>
      <c r="B42" s="12">
        <v>24141705</v>
      </c>
      <c r="C42" s="12" t="s">
        <v>109</v>
      </c>
      <c r="D42" s="12" t="s">
        <v>110</v>
      </c>
      <c r="E42" s="12" t="s">
        <v>111</v>
      </c>
      <c r="F42" s="12" t="s">
        <v>112</v>
      </c>
      <c r="G42" s="12">
        <v>1</v>
      </c>
      <c r="H42" s="13">
        <v>7491.4817999999996</v>
      </c>
      <c r="I42" s="14">
        <v>0.19</v>
      </c>
      <c r="J42" s="15">
        <f t="shared" si="0"/>
        <v>8914.8633419999987</v>
      </c>
      <c r="K42" s="15">
        <f t="shared" si="1"/>
        <v>8914.8633419999987</v>
      </c>
    </row>
    <row r="43" spans="1:11" ht="86.4" x14ac:dyDescent="0.3">
      <c r="A43" s="8">
        <v>29</v>
      </c>
      <c r="B43" s="12">
        <v>26111802</v>
      </c>
      <c r="C43" s="12" t="s">
        <v>113</v>
      </c>
      <c r="D43" s="12" t="s">
        <v>114</v>
      </c>
      <c r="E43" s="12" t="s">
        <v>112</v>
      </c>
      <c r="F43" s="12" t="s">
        <v>115</v>
      </c>
      <c r="G43" s="12">
        <v>1</v>
      </c>
      <c r="H43" s="13">
        <v>18432.365600000001</v>
      </c>
      <c r="I43" s="14">
        <v>0.19</v>
      </c>
      <c r="J43" s="15">
        <f t="shared" si="0"/>
        <v>21934.515063999999</v>
      </c>
      <c r="K43" s="15">
        <f t="shared" si="1"/>
        <v>21934.515063999999</v>
      </c>
    </row>
    <row r="44" spans="1:11" ht="409.6" x14ac:dyDescent="0.3">
      <c r="A44" s="8">
        <v>30</v>
      </c>
      <c r="B44" s="12">
        <v>32121610</v>
      </c>
      <c r="C44" s="12" t="s">
        <v>116</v>
      </c>
      <c r="D44" s="12" t="s">
        <v>117</v>
      </c>
      <c r="E44" s="12" t="s">
        <v>35</v>
      </c>
      <c r="F44" s="12" t="s">
        <v>117</v>
      </c>
      <c r="G44" s="12">
        <v>1</v>
      </c>
      <c r="H44" s="13">
        <v>75682.116399999999</v>
      </c>
      <c r="I44" s="14">
        <v>0.19</v>
      </c>
      <c r="J44" s="15">
        <f t="shared" si="0"/>
        <v>90061.718515999994</v>
      </c>
      <c r="K44" s="15">
        <f t="shared" si="1"/>
        <v>90061.718515999994</v>
      </c>
    </row>
    <row r="45" spans="1:11" ht="57.6" x14ac:dyDescent="0.3">
      <c r="A45" s="8">
        <v>31</v>
      </c>
      <c r="B45" s="12">
        <v>40101809</v>
      </c>
      <c r="C45" s="12" t="s">
        <v>118</v>
      </c>
      <c r="D45" s="12" t="s">
        <v>119</v>
      </c>
      <c r="E45" s="12" t="s">
        <v>35</v>
      </c>
      <c r="F45" s="12" t="s">
        <v>35</v>
      </c>
      <c r="G45" s="12">
        <v>1</v>
      </c>
      <c r="H45" s="13">
        <v>11626.4632</v>
      </c>
      <c r="I45" s="14">
        <v>0.19</v>
      </c>
      <c r="J45" s="15">
        <f t="shared" si="0"/>
        <v>13835.491207999999</v>
      </c>
      <c r="K45" s="15">
        <f t="shared" si="1"/>
        <v>13835.491207999999</v>
      </c>
    </row>
    <row r="46" spans="1:11" ht="259.2" x14ac:dyDescent="0.3">
      <c r="A46" s="8">
        <v>32</v>
      </c>
      <c r="B46" s="12">
        <v>32121610</v>
      </c>
      <c r="C46" s="12" t="s">
        <v>120</v>
      </c>
      <c r="D46" s="12" t="s">
        <v>121</v>
      </c>
      <c r="E46" s="12" t="s">
        <v>35</v>
      </c>
      <c r="F46" s="12" t="s">
        <v>122</v>
      </c>
      <c r="G46" s="12">
        <v>1</v>
      </c>
      <c r="H46" s="13">
        <v>17190.236799999999</v>
      </c>
      <c r="I46" s="14">
        <v>0.19</v>
      </c>
      <c r="J46" s="15">
        <f t="shared" si="0"/>
        <v>20456.381791999996</v>
      </c>
      <c r="K46" s="15">
        <f t="shared" si="1"/>
        <v>20456.381791999996</v>
      </c>
    </row>
    <row r="47" spans="1:11" ht="288" x14ac:dyDescent="0.3">
      <c r="A47" s="8">
        <v>33</v>
      </c>
      <c r="B47" s="12">
        <v>32121610</v>
      </c>
      <c r="C47" s="12" t="s">
        <v>123</v>
      </c>
      <c r="D47" s="12" t="s">
        <v>124</v>
      </c>
      <c r="E47" s="12" t="s">
        <v>35</v>
      </c>
      <c r="F47" s="12" t="s">
        <v>125</v>
      </c>
      <c r="G47" s="12">
        <v>1</v>
      </c>
      <c r="H47" s="13">
        <v>51870.9202</v>
      </c>
      <c r="I47" s="14">
        <v>0.19</v>
      </c>
      <c r="J47" s="15">
        <f t="shared" si="0"/>
        <v>61726.395037999995</v>
      </c>
      <c r="K47" s="15">
        <f t="shared" si="1"/>
        <v>61726.395037999995</v>
      </c>
    </row>
    <row r="48" spans="1:11" ht="129.6" x14ac:dyDescent="0.3">
      <c r="A48" s="8">
        <v>34</v>
      </c>
      <c r="B48" s="12">
        <v>23153139</v>
      </c>
      <c r="C48" s="12" t="s">
        <v>126</v>
      </c>
      <c r="D48" s="12" t="s">
        <v>127</v>
      </c>
      <c r="E48" s="12" t="s">
        <v>39</v>
      </c>
      <c r="F48" s="12" t="s">
        <v>128</v>
      </c>
      <c r="G48" s="12">
        <v>1</v>
      </c>
      <c r="H48" s="13">
        <v>389261.14480000001</v>
      </c>
      <c r="I48" s="14">
        <v>0.19</v>
      </c>
      <c r="J48" s="15">
        <f t="shared" si="0"/>
        <v>463220.76231199998</v>
      </c>
      <c r="K48" s="15">
        <f t="shared" si="1"/>
        <v>463220.76231199998</v>
      </c>
    </row>
    <row r="49" spans="1:11" ht="230.4" x14ac:dyDescent="0.3">
      <c r="A49" s="8">
        <v>35</v>
      </c>
      <c r="B49" s="12">
        <v>32121610</v>
      </c>
      <c r="C49" s="12" t="s">
        <v>129</v>
      </c>
      <c r="D49" s="12" t="s">
        <v>129</v>
      </c>
      <c r="E49" s="12" t="s">
        <v>39</v>
      </c>
      <c r="F49" s="12" t="s">
        <v>129</v>
      </c>
      <c r="G49" s="12">
        <v>1</v>
      </c>
      <c r="H49" s="13">
        <v>20046.960999999999</v>
      </c>
      <c r="I49" s="14">
        <v>0.19</v>
      </c>
      <c r="J49" s="15">
        <f t="shared" si="0"/>
        <v>23855.883589999998</v>
      </c>
      <c r="K49" s="15">
        <f t="shared" si="1"/>
        <v>23855.883589999998</v>
      </c>
    </row>
    <row r="50" spans="1:11" ht="115.2" x14ac:dyDescent="0.3">
      <c r="A50" s="8">
        <v>36</v>
      </c>
      <c r="B50" s="12">
        <v>41111629</v>
      </c>
      <c r="C50" s="12" t="s">
        <v>130</v>
      </c>
      <c r="D50" s="12" t="s">
        <v>131</v>
      </c>
      <c r="E50" s="12" t="s">
        <v>35</v>
      </c>
      <c r="F50" s="12" t="s">
        <v>132</v>
      </c>
      <c r="G50" s="12">
        <v>1</v>
      </c>
      <c r="H50" s="13">
        <v>20439.212200000002</v>
      </c>
      <c r="I50" s="14">
        <v>0.19</v>
      </c>
      <c r="J50" s="15">
        <f t="shared" si="0"/>
        <v>24322.662518000001</v>
      </c>
      <c r="K50" s="15">
        <f t="shared" si="1"/>
        <v>24322.662518000001</v>
      </c>
    </row>
    <row r="51" spans="1:11" ht="115.2" x14ac:dyDescent="0.3">
      <c r="A51" s="8">
        <v>37</v>
      </c>
      <c r="B51" s="12">
        <v>32121610</v>
      </c>
      <c r="C51" s="12" t="s">
        <v>133</v>
      </c>
      <c r="D51" s="12" t="s">
        <v>134</v>
      </c>
      <c r="E51" s="12" t="s">
        <v>135</v>
      </c>
      <c r="F51" s="12" t="s">
        <v>136</v>
      </c>
      <c r="G51" s="12">
        <v>1</v>
      </c>
      <c r="H51" s="13">
        <v>1759.9692</v>
      </c>
      <c r="I51" s="14">
        <v>0.19</v>
      </c>
      <c r="J51" s="15">
        <f t="shared" si="0"/>
        <v>2094.3633479999999</v>
      </c>
      <c r="K51" s="15">
        <f t="shared" si="1"/>
        <v>2094.3633479999999</v>
      </c>
    </row>
    <row r="52" spans="1:11" ht="388.8" x14ac:dyDescent="0.3">
      <c r="A52" s="8">
        <v>38</v>
      </c>
      <c r="B52" s="12">
        <v>32121610</v>
      </c>
      <c r="C52" s="12" t="s">
        <v>137</v>
      </c>
      <c r="D52" s="12" t="s">
        <v>138</v>
      </c>
      <c r="E52" s="12" t="s">
        <v>39</v>
      </c>
      <c r="F52" s="12" t="s">
        <v>139</v>
      </c>
      <c r="G52" s="12">
        <v>1</v>
      </c>
      <c r="H52" s="13">
        <v>21687.362399999998</v>
      </c>
      <c r="I52" s="14">
        <v>0.19</v>
      </c>
      <c r="J52" s="15">
        <f t="shared" si="0"/>
        <v>25807.961255999995</v>
      </c>
      <c r="K52" s="15">
        <f t="shared" si="1"/>
        <v>25807.961255999995</v>
      </c>
    </row>
    <row r="53" spans="1:11" ht="158.4" x14ac:dyDescent="0.3">
      <c r="A53" s="8">
        <v>39</v>
      </c>
      <c r="B53" s="12">
        <v>40101818</v>
      </c>
      <c r="C53" s="12" t="s">
        <v>140</v>
      </c>
      <c r="D53" s="12" t="s">
        <v>141</v>
      </c>
      <c r="E53" s="12" t="s">
        <v>39</v>
      </c>
      <c r="F53" s="12" t="s">
        <v>135</v>
      </c>
      <c r="G53" s="12">
        <v>1</v>
      </c>
      <c r="H53" s="13">
        <v>18287.851999999999</v>
      </c>
      <c r="I53" s="14">
        <v>0.19</v>
      </c>
      <c r="J53" s="15">
        <f t="shared" si="0"/>
        <v>21762.543879999997</v>
      </c>
      <c r="K53" s="15">
        <f t="shared" si="1"/>
        <v>21762.543879999997</v>
      </c>
    </row>
    <row r="54" spans="1:11" ht="314.25" customHeight="1" x14ac:dyDescent="0.3">
      <c r="A54" s="8">
        <v>40</v>
      </c>
      <c r="B54" s="12">
        <v>39121009</v>
      </c>
      <c r="C54" s="12" t="s">
        <v>142</v>
      </c>
      <c r="D54" s="12" t="s">
        <v>143</v>
      </c>
      <c r="E54" s="12" t="s">
        <v>135</v>
      </c>
      <c r="F54" s="12" t="s">
        <v>135</v>
      </c>
      <c r="G54" s="12">
        <v>1</v>
      </c>
      <c r="H54" s="13">
        <v>1763409.1398</v>
      </c>
      <c r="I54" s="14">
        <v>0.19</v>
      </c>
      <c r="J54" s="15">
        <f t="shared" si="0"/>
        <v>2098456.8763620001</v>
      </c>
      <c r="K54" s="15">
        <f t="shared" si="1"/>
        <v>2098456.8763620001</v>
      </c>
    </row>
    <row r="55" spans="1:11" ht="288" x14ac:dyDescent="0.3">
      <c r="A55" s="8">
        <v>41</v>
      </c>
      <c r="B55" s="12">
        <v>95121632</v>
      </c>
      <c r="C55" s="12" t="s">
        <v>144</v>
      </c>
      <c r="D55" s="12" t="s">
        <v>145</v>
      </c>
      <c r="E55" s="12" t="s">
        <v>39</v>
      </c>
      <c r="F55" s="12" t="s">
        <v>146</v>
      </c>
      <c r="G55" s="12">
        <v>1</v>
      </c>
      <c r="H55" s="13">
        <v>106250.1836</v>
      </c>
      <c r="I55" s="14">
        <v>0.19</v>
      </c>
      <c r="J55" s="15">
        <f t="shared" si="0"/>
        <v>126437.718484</v>
      </c>
      <c r="K55" s="15">
        <f t="shared" si="1"/>
        <v>126437.718484</v>
      </c>
    </row>
    <row r="56" spans="1:11" ht="28.8" x14ac:dyDescent="0.3">
      <c r="A56" s="8">
        <v>42</v>
      </c>
      <c r="B56" s="12">
        <v>31381126</v>
      </c>
      <c r="C56" s="12" t="s">
        <v>147</v>
      </c>
      <c r="D56" s="12" t="s">
        <v>148</v>
      </c>
      <c r="E56" s="12" t="s">
        <v>39</v>
      </c>
      <c r="F56" s="12" t="s">
        <v>149</v>
      </c>
      <c r="G56" s="12">
        <v>1</v>
      </c>
      <c r="H56" s="13">
        <v>28326.385999999999</v>
      </c>
      <c r="I56" s="14">
        <v>0.19</v>
      </c>
      <c r="J56" s="15">
        <f t="shared" si="0"/>
        <v>33708.399339999996</v>
      </c>
      <c r="K56" s="15">
        <f t="shared" si="1"/>
        <v>33708.399339999996</v>
      </c>
    </row>
    <row r="57" spans="1:11" ht="72" x14ac:dyDescent="0.3">
      <c r="A57" s="8">
        <v>43</v>
      </c>
      <c r="B57" s="12">
        <v>60121811</v>
      </c>
      <c r="C57" s="12" t="s">
        <v>150</v>
      </c>
      <c r="D57" s="12" t="s">
        <v>151</v>
      </c>
      <c r="E57" s="12" t="s">
        <v>152</v>
      </c>
      <c r="F57" s="12" t="s">
        <v>153</v>
      </c>
      <c r="G57" s="12">
        <v>1</v>
      </c>
      <c r="H57" s="13">
        <v>129684.6122</v>
      </c>
      <c r="I57" s="14">
        <v>0.19</v>
      </c>
      <c r="J57" s="15">
        <f t="shared" si="0"/>
        <v>154324.68851800001</v>
      </c>
      <c r="K57" s="15">
        <f t="shared" si="1"/>
        <v>154324.68851800001</v>
      </c>
    </row>
    <row r="58" spans="1:11" ht="129.6" x14ac:dyDescent="0.3">
      <c r="A58" s="8">
        <v>44</v>
      </c>
      <c r="B58" s="12">
        <v>13111042</v>
      </c>
      <c r="C58" s="12" t="s">
        <v>154</v>
      </c>
      <c r="D58" s="12" t="s">
        <v>155</v>
      </c>
      <c r="E58" s="12" t="s">
        <v>39</v>
      </c>
      <c r="F58" s="12" t="s">
        <v>156</v>
      </c>
      <c r="G58" s="12">
        <v>1</v>
      </c>
      <c r="H58" s="13">
        <v>23347.5484</v>
      </c>
      <c r="I58" s="14">
        <v>0.19</v>
      </c>
      <c r="J58" s="15">
        <f t="shared" si="0"/>
        <v>27783.582595999997</v>
      </c>
      <c r="K58" s="15">
        <f t="shared" si="1"/>
        <v>27783.582595999997</v>
      </c>
    </row>
    <row r="59" spans="1:11" ht="144" x14ac:dyDescent="0.3">
      <c r="A59" s="8">
        <v>45</v>
      </c>
      <c r="B59" s="12">
        <v>47131805</v>
      </c>
      <c r="C59" s="12" t="s">
        <v>157</v>
      </c>
      <c r="D59" s="12" t="s">
        <v>158</v>
      </c>
      <c r="E59" s="12" t="s">
        <v>152</v>
      </c>
      <c r="F59" s="12" t="s">
        <v>153</v>
      </c>
      <c r="G59" s="12">
        <v>1</v>
      </c>
      <c r="H59" s="13">
        <v>113235.0076</v>
      </c>
      <c r="I59" s="14">
        <v>0.19</v>
      </c>
      <c r="J59" s="15">
        <f t="shared" si="0"/>
        <v>134749.659044</v>
      </c>
      <c r="K59" s="15">
        <f t="shared" si="1"/>
        <v>134749.659044</v>
      </c>
    </row>
    <row r="60" spans="1:11" ht="115.2" x14ac:dyDescent="0.3">
      <c r="A60" s="8">
        <v>46</v>
      </c>
      <c r="B60" s="12">
        <v>11121503</v>
      </c>
      <c r="C60" s="12" t="s">
        <v>159</v>
      </c>
      <c r="D60" s="12" t="s">
        <v>160</v>
      </c>
      <c r="E60" s="12" t="s">
        <v>152</v>
      </c>
      <c r="F60" s="12" t="s">
        <v>153</v>
      </c>
      <c r="G60" s="12">
        <v>1</v>
      </c>
      <c r="H60" s="13">
        <v>92500.746799999994</v>
      </c>
      <c r="I60" s="14">
        <v>0.19</v>
      </c>
      <c r="J60" s="15">
        <f t="shared" si="0"/>
        <v>110075.88869199999</v>
      </c>
      <c r="K60" s="15">
        <f t="shared" si="1"/>
        <v>110075.88869199999</v>
      </c>
    </row>
    <row r="61" spans="1:11" ht="302.39999999999998" x14ac:dyDescent="0.3">
      <c r="A61" s="8">
        <v>47</v>
      </c>
      <c r="B61" s="12">
        <v>44103125</v>
      </c>
      <c r="C61" s="12" t="s">
        <v>161</v>
      </c>
      <c r="D61" s="12" t="s">
        <v>162</v>
      </c>
      <c r="E61" s="12" t="s">
        <v>39</v>
      </c>
      <c r="F61" s="12" t="s">
        <v>163</v>
      </c>
      <c r="G61" s="12">
        <v>1</v>
      </c>
      <c r="H61" s="13">
        <v>99608.579400000002</v>
      </c>
      <c r="I61" s="14">
        <v>0.19</v>
      </c>
      <c r="J61" s="15">
        <f t="shared" si="0"/>
        <v>118534.20948599999</v>
      </c>
      <c r="K61" s="15">
        <f t="shared" si="1"/>
        <v>118534.20948599999</v>
      </c>
    </row>
    <row r="62" spans="1:11" ht="28.8" x14ac:dyDescent="0.3">
      <c r="A62" s="8">
        <v>48</v>
      </c>
      <c r="B62" s="12">
        <v>56111704</v>
      </c>
      <c r="C62" s="12" t="s">
        <v>164</v>
      </c>
      <c r="D62" s="12" t="s">
        <v>165</v>
      </c>
      <c r="E62" s="12" t="s">
        <v>39</v>
      </c>
      <c r="F62" s="12" t="s">
        <v>146</v>
      </c>
      <c r="G62" s="12">
        <v>1</v>
      </c>
      <c r="H62" s="13">
        <v>50545.351999999999</v>
      </c>
      <c r="I62" s="14">
        <v>0.19</v>
      </c>
      <c r="J62" s="15">
        <f t="shared" si="0"/>
        <v>60148.968879999993</v>
      </c>
      <c r="K62" s="15">
        <f t="shared" si="1"/>
        <v>60148.968879999993</v>
      </c>
    </row>
    <row r="63" spans="1:11" ht="28.8" x14ac:dyDescent="0.3">
      <c r="A63" s="8">
        <v>49</v>
      </c>
      <c r="B63" s="12">
        <v>13111016</v>
      </c>
      <c r="C63" s="12" t="s">
        <v>166</v>
      </c>
      <c r="D63" s="12" t="s">
        <v>167</v>
      </c>
      <c r="E63" s="12" t="s">
        <v>39</v>
      </c>
      <c r="F63" s="12" t="s">
        <v>146</v>
      </c>
      <c r="G63" s="12">
        <v>1</v>
      </c>
      <c r="H63" s="13">
        <v>8384.3693999999996</v>
      </c>
      <c r="I63" s="14">
        <v>0.19</v>
      </c>
      <c r="J63" s="15">
        <f t="shared" si="0"/>
        <v>9977.3995859999995</v>
      </c>
      <c r="K63" s="15">
        <f t="shared" si="1"/>
        <v>9977.3995859999995</v>
      </c>
    </row>
    <row r="64" spans="1:11" ht="86.4" x14ac:dyDescent="0.3">
      <c r="A64" s="8">
        <v>50</v>
      </c>
      <c r="B64" s="12">
        <v>27112120</v>
      </c>
      <c r="C64" s="12" t="s">
        <v>168</v>
      </c>
      <c r="D64" s="12" t="s">
        <v>169</v>
      </c>
      <c r="E64" s="12" t="s">
        <v>62</v>
      </c>
      <c r="F64" s="12" t="s">
        <v>170</v>
      </c>
      <c r="G64" s="12">
        <v>1</v>
      </c>
      <c r="H64" s="13">
        <v>17130.883000000002</v>
      </c>
      <c r="I64" s="14">
        <v>0.19</v>
      </c>
      <c r="J64" s="15">
        <f t="shared" si="0"/>
        <v>20385.750770000002</v>
      </c>
      <c r="K64" s="15">
        <f t="shared" si="1"/>
        <v>20385.750770000002</v>
      </c>
    </row>
    <row r="65" spans="1:11" ht="57.6" x14ac:dyDescent="0.3">
      <c r="A65" s="8">
        <v>51</v>
      </c>
      <c r="B65" s="12">
        <v>42231505</v>
      </c>
      <c r="C65" s="12" t="s">
        <v>171</v>
      </c>
      <c r="D65" s="12" t="s">
        <v>172</v>
      </c>
      <c r="E65" s="12" t="s">
        <v>39</v>
      </c>
      <c r="F65" s="12" t="s">
        <v>146</v>
      </c>
      <c r="G65" s="12">
        <v>1</v>
      </c>
      <c r="H65" s="13">
        <v>96067.135999999999</v>
      </c>
      <c r="I65" s="14">
        <v>0.19</v>
      </c>
      <c r="J65" s="15">
        <f t="shared" si="0"/>
        <v>114319.89184</v>
      </c>
      <c r="K65" s="15">
        <f t="shared" si="1"/>
        <v>114319.89184</v>
      </c>
    </row>
    <row r="66" spans="1:11" ht="221.25" customHeight="1" x14ac:dyDescent="0.3">
      <c r="A66" s="16">
        <v>52</v>
      </c>
      <c r="B66" s="17">
        <v>39121635</v>
      </c>
      <c r="C66" s="17" t="s">
        <v>173</v>
      </c>
      <c r="D66" s="17" t="s">
        <v>174</v>
      </c>
      <c r="E66" s="17" t="s">
        <v>39</v>
      </c>
      <c r="F66" s="17" t="s">
        <v>175</v>
      </c>
      <c r="G66" s="17">
        <v>1</v>
      </c>
      <c r="H66" s="18">
        <v>1224253.844</v>
      </c>
      <c r="I66" s="19">
        <v>0.19</v>
      </c>
      <c r="J66" s="20">
        <f t="shared" si="0"/>
        <v>1456862.07436</v>
      </c>
      <c r="K66" s="20">
        <f t="shared" si="1"/>
        <v>1456862.07436</v>
      </c>
    </row>
    <row r="67" spans="1:11" ht="216" x14ac:dyDescent="0.3">
      <c r="A67" s="8">
        <v>53</v>
      </c>
      <c r="B67" s="12">
        <v>23151607</v>
      </c>
      <c r="C67" s="12" t="s">
        <v>176</v>
      </c>
      <c r="D67" s="12" t="s">
        <v>177</v>
      </c>
      <c r="E67" s="12" t="s">
        <v>39</v>
      </c>
      <c r="F67" s="12" t="s">
        <v>175</v>
      </c>
      <c r="G67" s="12">
        <v>1</v>
      </c>
      <c r="H67" s="13">
        <v>53021.007599999997</v>
      </c>
      <c r="I67" s="14">
        <v>0.19</v>
      </c>
      <c r="J67" s="15">
        <f t="shared" si="0"/>
        <v>63094.999043999997</v>
      </c>
      <c r="K67" s="15">
        <f t="shared" si="1"/>
        <v>63094.999043999997</v>
      </c>
    </row>
    <row r="68" spans="1:11" ht="100.8" x14ac:dyDescent="0.3">
      <c r="A68" s="8">
        <v>54</v>
      </c>
      <c r="B68" s="12">
        <v>311622</v>
      </c>
      <c r="C68" s="12" t="s">
        <v>178</v>
      </c>
      <c r="D68" s="12" t="s">
        <v>179</v>
      </c>
      <c r="E68" s="12" t="s">
        <v>39</v>
      </c>
      <c r="F68" s="12" t="s">
        <v>175</v>
      </c>
      <c r="G68" s="12">
        <v>1</v>
      </c>
      <c r="H68" s="13">
        <v>1300.6224</v>
      </c>
      <c r="I68" s="14">
        <v>0.19</v>
      </c>
      <c r="J68" s="15">
        <f t="shared" si="0"/>
        <v>1547.7406559999999</v>
      </c>
      <c r="K68" s="15">
        <f t="shared" si="1"/>
        <v>1547.7406559999999</v>
      </c>
    </row>
    <row r="69" spans="1:11" ht="28.8" x14ac:dyDescent="0.3">
      <c r="A69" s="8">
        <v>55</v>
      </c>
      <c r="B69" s="12">
        <v>31162403</v>
      </c>
      <c r="C69" s="12" t="s">
        <v>180</v>
      </c>
      <c r="D69" s="12" t="s">
        <v>181</v>
      </c>
      <c r="E69" s="12" t="s">
        <v>182</v>
      </c>
      <c r="F69" s="12" t="s">
        <v>183</v>
      </c>
      <c r="G69" s="12">
        <v>1</v>
      </c>
      <c r="H69" s="13">
        <v>6251.9336000000003</v>
      </c>
      <c r="I69" s="14">
        <v>0.19</v>
      </c>
      <c r="J69" s="15">
        <f t="shared" si="0"/>
        <v>7439.8009840000004</v>
      </c>
      <c r="K69" s="15">
        <f t="shared" si="1"/>
        <v>7439.8009840000004</v>
      </c>
    </row>
    <row r="70" spans="1:11" ht="43.2" x14ac:dyDescent="0.3">
      <c r="A70" s="8">
        <v>56</v>
      </c>
      <c r="B70" s="12">
        <v>13111016</v>
      </c>
      <c r="C70" s="12" t="s">
        <v>184</v>
      </c>
      <c r="D70" s="12" t="s">
        <v>185</v>
      </c>
      <c r="E70" s="12" t="s">
        <v>39</v>
      </c>
      <c r="F70" s="12" t="s">
        <v>146</v>
      </c>
      <c r="G70" s="12">
        <v>1</v>
      </c>
      <c r="H70" s="13">
        <v>74750.519799999995</v>
      </c>
      <c r="I70" s="14">
        <v>0.19</v>
      </c>
      <c r="J70" s="15">
        <f t="shared" si="0"/>
        <v>88953.118561999989</v>
      </c>
      <c r="K70" s="15">
        <f t="shared" si="1"/>
        <v>88953.118561999989</v>
      </c>
    </row>
    <row r="71" spans="1:11" ht="86.4" x14ac:dyDescent="0.3">
      <c r="A71" s="8">
        <v>57</v>
      </c>
      <c r="B71" s="12">
        <v>11121502</v>
      </c>
      <c r="C71" s="12" t="s">
        <v>186</v>
      </c>
      <c r="D71" s="12" t="s">
        <v>187</v>
      </c>
      <c r="E71" s="12" t="s">
        <v>31</v>
      </c>
      <c r="F71" s="12" t="s">
        <v>188</v>
      </c>
      <c r="G71" s="12">
        <v>1</v>
      </c>
      <c r="H71" s="13">
        <v>122884.73119999999</v>
      </c>
      <c r="I71" s="14">
        <v>0.19</v>
      </c>
      <c r="J71" s="15">
        <f t="shared" si="0"/>
        <v>146232.830128</v>
      </c>
      <c r="K71" s="15">
        <f t="shared" si="1"/>
        <v>146232.830128</v>
      </c>
    </row>
    <row r="72" spans="1:11" ht="72" x14ac:dyDescent="0.3">
      <c r="A72" s="8">
        <v>58</v>
      </c>
      <c r="B72" s="12">
        <v>31162403</v>
      </c>
      <c r="C72" s="12" t="s">
        <v>189</v>
      </c>
      <c r="D72" s="12" t="s">
        <v>189</v>
      </c>
      <c r="E72" s="12" t="s">
        <v>39</v>
      </c>
      <c r="F72" s="12" t="s">
        <v>175</v>
      </c>
      <c r="G72" s="12">
        <v>1</v>
      </c>
      <c r="H72" s="13">
        <v>5890.6495999999997</v>
      </c>
      <c r="I72" s="14">
        <v>0.19</v>
      </c>
      <c r="J72" s="15">
        <f t="shared" si="0"/>
        <v>7009.8730239999995</v>
      </c>
      <c r="K72" s="15">
        <f t="shared" si="1"/>
        <v>7009.8730239999995</v>
      </c>
    </row>
    <row r="73" spans="1:11" ht="57.6" x14ac:dyDescent="0.3">
      <c r="A73" s="8">
        <v>59</v>
      </c>
      <c r="B73" s="12">
        <v>31161532</v>
      </c>
      <c r="C73" s="12" t="s">
        <v>190</v>
      </c>
      <c r="D73" s="12" t="s">
        <v>190</v>
      </c>
      <c r="E73" s="12" t="s">
        <v>39</v>
      </c>
      <c r="F73" s="12" t="s">
        <v>175</v>
      </c>
      <c r="G73" s="12">
        <v>1</v>
      </c>
      <c r="H73" s="13">
        <v>5529.3656000000001</v>
      </c>
      <c r="I73" s="14">
        <v>0.19</v>
      </c>
      <c r="J73" s="15">
        <f t="shared" si="0"/>
        <v>6579.9450639999995</v>
      </c>
      <c r="K73" s="15">
        <f t="shared" si="1"/>
        <v>6579.9450639999995</v>
      </c>
    </row>
    <row r="74" spans="1:11" x14ac:dyDescent="0.3">
      <c r="A74" s="8">
        <v>60</v>
      </c>
      <c r="B74" s="12">
        <v>31161722</v>
      </c>
      <c r="C74" s="12" t="s">
        <v>191</v>
      </c>
      <c r="D74" s="12" t="s">
        <v>192</v>
      </c>
      <c r="E74" s="12" t="s">
        <v>39</v>
      </c>
      <c r="F74" s="12" t="s">
        <v>175</v>
      </c>
      <c r="G74" s="12">
        <v>1</v>
      </c>
      <c r="H74" s="13">
        <v>1079.5509999999999</v>
      </c>
      <c r="I74" s="14">
        <v>0.19</v>
      </c>
      <c r="J74" s="15">
        <f t="shared" si="0"/>
        <v>1284.6656899999998</v>
      </c>
      <c r="K74" s="15">
        <f t="shared" si="1"/>
        <v>1284.6656899999998</v>
      </c>
    </row>
    <row r="75" spans="1:11" ht="57.6" x14ac:dyDescent="0.3">
      <c r="A75" s="8">
        <v>61</v>
      </c>
      <c r="B75" s="12">
        <v>31161532</v>
      </c>
      <c r="C75" s="12" t="s">
        <v>193</v>
      </c>
      <c r="D75" s="12" t="s">
        <v>194</v>
      </c>
      <c r="E75" s="12" t="s">
        <v>39</v>
      </c>
      <c r="F75" s="12" t="s">
        <v>175</v>
      </c>
      <c r="G75" s="12">
        <v>1</v>
      </c>
      <c r="H75" s="13">
        <v>414.6164</v>
      </c>
      <c r="I75" s="14">
        <v>0.19</v>
      </c>
      <c r="J75" s="15">
        <f t="shared" si="0"/>
        <v>493.39351599999998</v>
      </c>
      <c r="K75" s="15">
        <f t="shared" si="1"/>
        <v>493.39351599999998</v>
      </c>
    </row>
    <row r="76" spans="1:11" ht="72" x14ac:dyDescent="0.3">
      <c r="A76" s="8">
        <v>62</v>
      </c>
      <c r="B76" s="12">
        <v>11101705</v>
      </c>
      <c r="C76" s="12" t="s">
        <v>195</v>
      </c>
      <c r="D76" s="12" t="s">
        <v>196</v>
      </c>
      <c r="E76" s="12" t="s">
        <v>39</v>
      </c>
      <c r="F76" s="12" t="s">
        <v>175</v>
      </c>
      <c r="G76" s="12">
        <v>1</v>
      </c>
      <c r="H76" s="13">
        <v>33726.721599999997</v>
      </c>
      <c r="I76" s="14">
        <v>0.19</v>
      </c>
      <c r="J76" s="15">
        <f t="shared" si="0"/>
        <v>40134.798703999993</v>
      </c>
      <c r="K76" s="15">
        <f t="shared" si="1"/>
        <v>40134.798703999993</v>
      </c>
    </row>
    <row r="77" spans="1:11" ht="100.8" x14ac:dyDescent="0.3">
      <c r="A77" s="8">
        <v>63</v>
      </c>
      <c r="B77" s="12">
        <v>31162802</v>
      </c>
      <c r="C77" s="12" t="s">
        <v>197</v>
      </c>
      <c r="D77" s="12" t="s">
        <v>198</v>
      </c>
      <c r="E77" s="12" t="s">
        <v>39</v>
      </c>
      <c r="F77" s="12" t="s">
        <v>199</v>
      </c>
      <c r="G77" s="12">
        <v>1</v>
      </c>
      <c r="H77" s="13">
        <v>158706.0398</v>
      </c>
      <c r="I77" s="14">
        <v>0.19</v>
      </c>
      <c r="J77" s="15">
        <f t="shared" si="0"/>
        <v>188860.187362</v>
      </c>
      <c r="K77" s="15">
        <f t="shared" si="1"/>
        <v>188860.187362</v>
      </c>
    </row>
    <row r="78" spans="1:11" ht="43.2" x14ac:dyDescent="0.3">
      <c r="A78" s="8">
        <v>64</v>
      </c>
      <c r="B78" s="12">
        <v>503067</v>
      </c>
      <c r="C78" s="12" t="s">
        <v>200</v>
      </c>
      <c r="D78" s="12" t="s">
        <v>201</v>
      </c>
      <c r="E78" s="12" t="s">
        <v>39</v>
      </c>
      <c r="F78" s="12" t="s">
        <v>175</v>
      </c>
      <c r="G78" s="12">
        <v>1</v>
      </c>
      <c r="H78" s="13">
        <v>81909.964399999997</v>
      </c>
      <c r="I78" s="14">
        <v>0.19</v>
      </c>
      <c r="J78" s="15">
        <f t="shared" si="0"/>
        <v>97472.857635999986</v>
      </c>
      <c r="K78" s="15">
        <f t="shared" si="1"/>
        <v>97472.857635999986</v>
      </c>
    </row>
    <row r="79" spans="1:11" ht="43.2" x14ac:dyDescent="0.3">
      <c r="A79" s="8">
        <v>65</v>
      </c>
      <c r="B79" s="12">
        <v>503067</v>
      </c>
      <c r="C79" s="12" t="s">
        <v>202</v>
      </c>
      <c r="D79" s="12" t="s">
        <v>203</v>
      </c>
      <c r="E79" s="12" t="s">
        <v>39</v>
      </c>
      <c r="F79" s="12" t="s">
        <v>175</v>
      </c>
      <c r="G79" s="12">
        <v>1</v>
      </c>
      <c r="H79" s="13">
        <v>63204.915399999998</v>
      </c>
      <c r="I79" s="14">
        <v>0.19</v>
      </c>
      <c r="J79" s="15">
        <f t="shared" si="0"/>
        <v>75213.849325999996</v>
      </c>
      <c r="K79" s="15">
        <f t="shared" si="1"/>
        <v>75213.849325999996</v>
      </c>
    </row>
    <row r="80" spans="1:11" ht="28.8" x14ac:dyDescent="0.3">
      <c r="A80" s="8">
        <v>66</v>
      </c>
      <c r="B80" s="12">
        <v>503067</v>
      </c>
      <c r="C80" s="12" t="s">
        <v>204</v>
      </c>
      <c r="D80" s="12" t="s">
        <v>205</v>
      </c>
      <c r="E80" s="12" t="s">
        <v>39</v>
      </c>
      <c r="F80" s="12" t="s">
        <v>175</v>
      </c>
      <c r="G80" s="12">
        <v>1</v>
      </c>
      <c r="H80" s="13">
        <v>28471.7598</v>
      </c>
      <c r="I80" s="14">
        <v>0.19</v>
      </c>
      <c r="J80" s="15">
        <f t="shared" ref="J80:J116" si="2">H80*1.19</f>
        <v>33881.394161999997</v>
      </c>
      <c r="K80" s="15">
        <f t="shared" ref="K80:K115" si="3">J80*G80</f>
        <v>33881.394161999997</v>
      </c>
    </row>
    <row r="81" spans="1:11" ht="28.8" x14ac:dyDescent="0.3">
      <c r="A81" s="8">
        <v>67</v>
      </c>
      <c r="B81" s="12">
        <v>503067</v>
      </c>
      <c r="C81" s="12" t="s">
        <v>206</v>
      </c>
      <c r="D81" s="12" t="s">
        <v>207</v>
      </c>
      <c r="E81" s="12" t="s">
        <v>39</v>
      </c>
      <c r="F81" s="12" t="s">
        <v>175</v>
      </c>
      <c r="G81" s="12">
        <v>1</v>
      </c>
      <c r="H81" s="13">
        <v>30837.309799999999</v>
      </c>
      <c r="I81" s="14">
        <v>0.19</v>
      </c>
      <c r="J81" s="15">
        <f t="shared" si="2"/>
        <v>36696.398662</v>
      </c>
      <c r="K81" s="15">
        <f t="shared" si="3"/>
        <v>36696.398662</v>
      </c>
    </row>
    <row r="82" spans="1:11" ht="28.8" x14ac:dyDescent="0.3">
      <c r="A82" s="8">
        <v>68</v>
      </c>
      <c r="B82" s="12">
        <v>503067</v>
      </c>
      <c r="C82" s="12" t="s">
        <v>208</v>
      </c>
      <c r="D82" s="12" t="s">
        <v>209</v>
      </c>
      <c r="E82" s="12" t="s">
        <v>39</v>
      </c>
      <c r="F82" s="12" t="s">
        <v>175</v>
      </c>
      <c r="G82" s="12">
        <v>1</v>
      </c>
      <c r="H82" s="13">
        <v>46449.9398</v>
      </c>
      <c r="I82" s="14">
        <v>0.19</v>
      </c>
      <c r="J82" s="15">
        <f t="shared" si="2"/>
        <v>55275.428361999999</v>
      </c>
      <c r="K82" s="15">
        <f t="shared" si="3"/>
        <v>55275.428361999999</v>
      </c>
    </row>
    <row r="83" spans="1:11" ht="28.8" x14ac:dyDescent="0.3">
      <c r="A83" s="8">
        <v>69</v>
      </c>
      <c r="B83" s="12">
        <v>503067</v>
      </c>
      <c r="C83" s="12" t="s">
        <v>210</v>
      </c>
      <c r="D83" s="12" t="s">
        <v>211</v>
      </c>
      <c r="E83" s="12" t="s">
        <v>39</v>
      </c>
      <c r="F83" s="12" t="s">
        <v>175</v>
      </c>
      <c r="G83" s="12">
        <v>1</v>
      </c>
      <c r="H83" s="13">
        <v>27525.539799999999</v>
      </c>
      <c r="I83" s="14">
        <v>0.19</v>
      </c>
      <c r="J83" s="15">
        <f t="shared" si="2"/>
        <v>32755.392361999999</v>
      </c>
      <c r="K83" s="15">
        <f t="shared" si="3"/>
        <v>32755.392361999999</v>
      </c>
    </row>
    <row r="84" spans="1:11" ht="28.8" x14ac:dyDescent="0.3">
      <c r="A84" s="8">
        <v>70</v>
      </c>
      <c r="B84" s="12">
        <v>503067</v>
      </c>
      <c r="C84" s="12" t="s">
        <v>212</v>
      </c>
      <c r="D84" s="12" t="s">
        <v>212</v>
      </c>
      <c r="E84" s="12" t="s">
        <v>39</v>
      </c>
      <c r="F84" s="12" t="s">
        <v>175</v>
      </c>
      <c r="G84" s="12">
        <v>1</v>
      </c>
      <c r="H84" s="13">
        <v>55224.84</v>
      </c>
      <c r="I84" s="14">
        <v>0.19</v>
      </c>
      <c r="J84" s="15">
        <f t="shared" si="2"/>
        <v>65717.559599999993</v>
      </c>
      <c r="K84" s="15">
        <f t="shared" si="3"/>
        <v>65717.559599999993</v>
      </c>
    </row>
    <row r="85" spans="1:11" ht="28.8" x14ac:dyDescent="0.3">
      <c r="A85" s="8">
        <v>71</v>
      </c>
      <c r="B85" s="12">
        <v>503067</v>
      </c>
      <c r="C85" s="12" t="s">
        <v>213</v>
      </c>
      <c r="D85" s="12" t="s">
        <v>213</v>
      </c>
      <c r="E85" s="12" t="s">
        <v>39</v>
      </c>
      <c r="F85" s="12" t="s">
        <v>175</v>
      </c>
      <c r="G85" s="12">
        <v>1</v>
      </c>
      <c r="H85" s="13">
        <v>33774.892800000001</v>
      </c>
      <c r="I85" s="14">
        <v>0.19</v>
      </c>
      <c r="J85" s="15">
        <f t="shared" si="2"/>
        <v>40192.122431999996</v>
      </c>
      <c r="K85" s="15">
        <f t="shared" si="3"/>
        <v>40192.122431999996</v>
      </c>
    </row>
    <row r="86" spans="1:11" ht="28.8" x14ac:dyDescent="0.3">
      <c r="A86" s="8">
        <v>72</v>
      </c>
      <c r="B86" s="12">
        <v>503068</v>
      </c>
      <c r="C86" s="12" t="s">
        <v>214</v>
      </c>
      <c r="D86" s="12" t="s">
        <v>215</v>
      </c>
      <c r="E86" s="12" t="s">
        <v>39</v>
      </c>
      <c r="F86" s="12" t="s">
        <v>175</v>
      </c>
      <c r="G86" s="12">
        <v>1</v>
      </c>
      <c r="H86" s="13">
        <v>30837.309799999999</v>
      </c>
      <c r="I86" s="14">
        <v>0.19</v>
      </c>
      <c r="J86" s="15">
        <f t="shared" si="2"/>
        <v>36696.398662</v>
      </c>
      <c r="K86" s="15">
        <f t="shared" si="3"/>
        <v>36696.398662</v>
      </c>
    </row>
    <row r="87" spans="1:11" ht="172.8" x14ac:dyDescent="0.3">
      <c r="A87" s="8">
        <v>73</v>
      </c>
      <c r="B87" s="12">
        <v>13875</v>
      </c>
      <c r="C87" s="12" t="s">
        <v>216</v>
      </c>
      <c r="D87" s="12" t="s">
        <v>217</v>
      </c>
      <c r="E87" s="12" t="s">
        <v>31</v>
      </c>
      <c r="F87" s="12" t="s">
        <v>218</v>
      </c>
      <c r="G87" s="12">
        <v>1</v>
      </c>
      <c r="H87" s="13">
        <v>21055.115399999999</v>
      </c>
      <c r="I87" s="14">
        <v>0.19</v>
      </c>
      <c r="J87" s="15">
        <f t="shared" si="2"/>
        <v>25055.587325999997</v>
      </c>
      <c r="K87" s="15">
        <f t="shared" si="3"/>
        <v>25055.587325999997</v>
      </c>
    </row>
    <row r="88" spans="1:11" ht="100.8" x14ac:dyDescent="0.3">
      <c r="A88" s="8">
        <v>74</v>
      </c>
      <c r="B88" s="12">
        <v>13875</v>
      </c>
      <c r="C88" s="12" t="s">
        <v>219</v>
      </c>
      <c r="D88" s="12" t="s">
        <v>220</v>
      </c>
      <c r="E88" s="12" t="s">
        <v>221</v>
      </c>
      <c r="F88" s="12" t="s">
        <v>222</v>
      </c>
      <c r="G88" s="12">
        <v>1</v>
      </c>
      <c r="H88" s="13">
        <v>21251.241000000002</v>
      </c>
      <c r="I88" s="14">
        <v>0.19</v>
      </c>
      <c r="J88" s="15">
        <f t="shared" si="2"/>
        <v>25288.976790000001</v>
      </c>
      <c r="K88" s="15">
        <f t="shared" si="3"/>
        <v>25288.976790000001</v>
      </c>
    </row>
    <row r="89" spans="1:11" ht="43.2" x14ac:dyDescent="0.3">
      <c r="A89" s="8">
        <v>75</v>
      </c>
      <c r="B89" s="12">
        <v>13875</v>
      </c>
      <c r="C89" s="12" t="s">
        <v>223</v>
      </c>
      <c r="D89" s="12" t="s">
        <v>223</v>
      </c>
      <c r="E89" s="12" t="s">
        <v>31</v>
      </c>
      <c r="F89" s="12" t="s">
        <v>224</v>
      </c>
      <c r="G89" s="12">
        <v>1</v>
      </c>
      <c r="H89" s="13">
        <v>60497.866000000002</v>
      </c>
      <c r="I89" s="14">
        <v>0.19</v>
      </c>
      <c r="J89" s="15">
        <f t="shared" si="2"/>
        <v>71992.46054</v>
      </c>
      <c r="K89" s="15">
        <f t="shared" si="3"/>
        <v>71992.46054</v>
      </c>
    </row>
    <row r="90" spans="1:11" ht="43.2" x14ac:dyDescent="0.3">
      <c r="A90" s="8">
        <v>76</v>
      </c>
      <c r="B90" s="12">
        <v>13875</v>
      </c>
      <c r="C90" s="12" t="s">
        <v>225</v>
      </c>
      <c r="D90" s="12" t="s">
        <v>225</v>
      </c>
      <c r="E90" s="12" t="s">
        <v>31</v>
      </c>
      <c r="F90" s="12" t="s">
        <v>226</v>
      </c>
      <c r="G90" s="12">
        <v>1</v>
      </c>
      <c r="H90" s="13">
        <v>61629.889199999998</v>
      </c>
      <c r="I90" s="14">
        <v>0.19</v>
      </c>
      <c r="J90" s="15">
        <f t="shared" si="2"/>
        <v>73339.568147999991</v>
      </c>
      <c r="K90" s="15">
        <f t="shared" si="3"/>
        <v>73339.568147999991</v>
      </c>
    </row>
    <row r="91" spans="1:11" ht="43.2" x14ac:dyDescent="0.3">
      <c r="A91" s="8">
        <v>77</v>
      </c>
      <c r="B91" s="12">
        <v>13875</v>
      </c>
      <c r="C91" s="12" t="s">
        <v>227</v>
      </c>
      <c r="D91" s="12" t="s">
        <v>227</v>
      </c>
      <c r="E91" s="12" t="s">
        <v>31</v>
      </c>
      <c r="F91" s="12" t="s">
        <v>226</v>
      </c>
      <c r="G91" s="12">
        <v>1</v>
      </c>
      <c r="H91" s="13">
        <v>78085.515199999994</v>
      </c>
      <c r="I91" s="14">
        <v>0.19</v>
      </c>
      <c r="J91" s="15">
        <f t="shared" si="2"/>
        <v>92921.763087999992</v>
      </c>
      <c r="K91" s="15">
        <f t="shared" si="3"/>
        <v>92921.763087999992</v>
      </c>
    </row>
    <row r="92" spans="1:11" ht="43.2" x14ac:dyDescent="0.3">
      <c r="A92" s="8">
        <v>78</v>
      </c>
      <c r="B92" s="12">
        <v>13875</v>
      </c>
      <c r="C92" s="12" t="s">
        <v>228</v>
      </c>
      <c r="D92" s="12" t="s">
        <v>228</v>
      </c>
      <c r="E92" s="12" t="s">
        <v>31</v>
      </c>
      <c r="F92" s="12" t="s">
        <v>229</v>
      </c>
      <c r="G92" s="12">
        <v>1</v>
      </c>
      <c r="H92" s="13">
        <v>41446.1564</v>
      </c>
      <c r="I92" s="14">
        <v>0.19</v>
      </c>
      <c r="J92" s="15">
        <f t="shared" si="2"/>
        <v>49320.926115999995</v>
      </c>
      <c r="K92" s="15">
        <f t="shared" si="3"/>
        <v>49320.926115999995</v>
      </c>
    </row>
    <row r="93" spans="1:11" ht="43.2" x14ac:dyDescent="0.3">
      <c r="A93" s="8">
        <v>79</v>
      </c>
      <c r="B93" s="12">
        <v>13875</v>
      </c>
      <c r="C93" s="12" t="s">
        <v>230</v>
      </c>
      <c r="D93" s="12" t="s">
        <v>230</v>
      </c>
      <c r="E93" s="12" t="s">
        <v>31</v>
      </c>
      <c r="F93" s="12" t="s">
        <v>231</v>
      </c>
      <c r="G93" s="12">
        <v>1</v>
      </c>
      <c r="H93" s="13">
        <v>50212.454599999997</v>
      </c>
      <c r="I93" s="14">
        <v>0.19</v>
      </c>
      <c r="J93" s="15">
        <f t="shared" si="2"/>
        <v>59752.820973999995</v>
      </c>
      <c r="K93" s="15">
        <f t="shared" si="3"/>
        <v>59752.820973999995</v>
      </c>
    </row>
    <row r="94" spans="1:11" ht="43.2" x14ac:dyDescent="0.3">
      <c r="A94" s="8">
        <v>80</v>
      </c>
      <c r="B94" s="12">
        <v>13875</v>
      </c>
      <c r="C94" s="12" t="s">
        <v>232</v>
      </c>
      <c r="D94" s="12" t="s">
        <v>232</v>
      </c>
      <c r="E94" s="12" t="s">
        <v>31</v>
      </c>
      <c r="F94" s="12" t="s">
        <v>226</v>
      </c>
      <c r="G94" s="12">
        <v>1</v>
      </c>
      <c r="H94" s="13">
        <v>38376.962800000001</v>
      </c>
      <c r="I94" s="14">
        <v>0.19</v>
      </c>
      <c r="J94" s="15">
        <f t="shared" si="2"/>
        <v>45668.585732</v>
      </c>
      <c r="K94" s="15">
        <f t="shared" si="3"/>
        <v>45668.585732</v>
      </c>
    </row>
    <row r="95" spans="1:11" ht="86.4" x14ac:dyDescent="0.3">
      <c r="A95" s="8">
        <v>81</v>
      </c>
      <c r="B95" s="12">
        <v>39121606</v>
      </c>
      <c r="C95" s="12" t="s">
        <v>233</v>
      </c>
      <c r="D95" s="12" t="s">
        <v>234</v>
      </c>
      <c r="E95" s="12" t="s">
        <v>39</v>
      </c>
      <c r="F95" s="12" t="s">
        <v>146</v>
      </c>
      <c r="G95" s="12">
        <v>1</v>
      </c>
      <c r="H95" s="13">
        <v>5585.2785999999996</v>
      </c>
      <c r="I95" s="14">
        <v>0.19</v>
      </c>
      <c r="J95" s="15">
        <f t="shared" si="2"/>
        <v>6646.4815339999996</v>
      </c>
      <c r="K95" s="15">
        <f t="shared" si="3"/>
        <v>6646.4815339999996</v>
      </c>
    </row>
    <row r="96" spans="1:11" ht="244.8" x14ac:dyDescent="0.3">
      <c r="A96" s="8">
        <v>82</v>
      </c>
      <c r="B96" s="12">
        <v>232615</v>
      </c>
      <c r="C96" s="12" t="s">
        <v>235</v>
      </c>
      <c r="D96" s="12" t="s">
        <v>236</v>
      </c>
      <c r="E96" s="12" t="s">
        <v>39</v>
      </c>
      <c r="F96" s="12" t="s">
        <v>237</v>
      </c>
      <c r="G96" s="12">
        <v>1</v>
      </c>
      <c r="H96" s="13">
        <v>100254.58960000001</v>
      </c>
      <c r="I96" s="14">
        <v>0.19</v>
      </c>
      <c r="J96" s="15">
        <f t="shared" si="2"/>
        <v>119302.961624</v>
      </c>
      <c r="K96" s="15">
        <f t="shared" si="3"/>
        <v>119302.961624</v>
      </c>
    </row>
    <row r="97" spans="1:11" ht="144" x14ac:dyDescent="0.3">
      <c r="A97" s="8">
        <v>83</v>
      </c>
      <c r="B97" s="12">
        <v>43212107</v>
      </c>
      <c r="C97" s="12" t="s">
        <v>238</v>
      </c>
      <c r="D97" s="12" t="s">
        <v>239</v>
      </c>
      <c r="E97" s="12" t="s">
        <v>39</v>
      </c>
      <c r="F97" s="12" t="s">
        <v>146</v>
      </c>
      <c r="G97" s="12">
        <v>1</v>
      </c>
      <c r="H97" s="13">
        <v>2345551.2102000001</v>
      </c>
      <c r="I97" s="14">
        <v>0.19</v>
      </c>
      <c r="J97" s="15">
        <f t="shared" si="2"/>
        <v>2791205.9401380001</v>
      </c>
      <c r="K97" s="15">
        <f t="shared" si="3"/>
        <v>2791205.9401380001</v>
      </c>
    </row>
    <row r="98" spans="1:11" ht="115.2" x14ac:dyDescent="0.3">
      <c r="A98" s="8">
        <v>84</v>
      </c>
      <c r="B98" s="12">
        <v>53141600</v>
      </c>
      <c r="C98" s="12" t="s">
        <v>240</v>
      </c>
      <c r="D98" s="12" t="s">
        <v>240</v>
      </c>
      <c r="E98" s="12" t="s">
        <v>39</v>
      </c>
      <c r="F98" s="12" t="s">
        <v>146</v>
      </c>
      <c r="G98" s="12">
        <v>1</v>
      </c>
      <c r="H98" s="13">
        <v>142257.2954</v>
      </c>
      <c r="I98" s="14">
        <v>0.19</v>
      </c>
      <c r="J98" s="15">
        <f t="shared" si="2"/>
        <v>169286.181526</v>
      </c>
      <c r="K98" s="15">
        <f t="shared" si="3"/>
        <v>169286.181526</v>
      </c>
    </row>
    <row r="99" spans="1:11" ht="115.2" x14ac:dyDescent="0.3">
      <c r="A99" s="8">
        <v>85</v>
      </c>
      <c r="B99" s="12">
        <v>53141606</v>
      </c>
      <c r="C99" s="12" t="s">
        <v>241</v>
      </c>
      <c r="D99" s="12" t="s">
        <v>241</v>
      </c>
      <c r="E99" s="12" t="s">
        <v>39</v>
      </c>
      <c r="F99" s="12" t="s">
        <v>146</v>
      </c>
      <c r="G99" s="12">
        <v>1</v>
      </c>
      <c r="H99" s="13">
        <v>76224.902600000001</v>
      </c>
      <c r="I99" s="14">
        <v>0.19</v>
      </c>
      <c r="J99" s="15">
        <f t="shared" si="2"/>
        <v>90707.634093999994</v>
      </c>
      <c r="K99" s="15">
        <f t="shared" si="3"/>
        <v>90707.634093999994</v>
      </c>
    </row>
    <row r="100" spans="1:11" ht="100.8" x14ac:dyDescent="0.3">
      <c r="A100" s="8">
        <v>86</v>
      </c>
      <c r="B100" s="12">
        <v>53141606</v>
      </c>
      <c r="C100" s="12" t="s">
        <v>242</v>
      </c>
      <c r="D100" s="12" t="s">
        <v>242</v>
      </c>
      <c r="E100" s="12" t="s">
        <v>39</v>
      </c>
      <c r="F100" s="12" t="s">
        <v>146</v>
      </c>
      <c r="G100" s="12">
        <v>1</v>
      </c>
      <c r="H100" s="13">
        <v>6143.5483999999997</v>
      </c>
      <c r="I100" s="14">
        <v>0.19</v>
      </c>
      <c r="J100" s="15">
        <f t="shared" si="2"/>
        <v>7310.8225959999991</v>
      </c>
      <c r="K100" s="15">
        <f t="shared" si="3"/>
        <v>7310.8225959999991</v>
      </c>
    </row>
    <row r="101" spans="1:11" ht="129.6" x14ac:dyDescent="0.3">
      <c r="A101" s="8">
        <v>87</v>
      </c>
      <c r="B101" s="12">
        <v>53141620</v>
      </c>
      <c r="C101" s="12" t="s">
        <v>243</v>
      </c>
      <c r="D101" s="12" t="s">
        <v>243</v>
      </c>
      <c r="E101" s="12" t="s">
        <v>39</v>
      </c>
      <c r="F101" s="12" t="s">
        <v>146</v>
      </c>
      <c r="G101" s="12">
        <v>1</v>
      </c>
      <c r="H101" s="13">
        <v>32527.602800000001</v>
      </c>
      <c r="I101" s="14">
        <v>0.19</v>
      </c>
      <c r="J101" s="15">
        <f t="shared" si="2"/>
        <v>38707.847331999998</v>
      </c>
      <c r="K101" s="15">
        <f t="shared" si="3"/>
        <v>38707.847331999998</v>
      </c>
    </row>
    <row r="102" spans="1:11" ht="115.2" x14ac:dyDescent="0.3">
      <c r="A102" s="8">
        <v>88</v>
      </c>
      <c r="B102" s="12">
        <v>53141620</v>
      </c>
      <c r="C102" s="12" t="s">
        <v>244</v>
      </c>
      <c r="D102" s="12" t="s">
        <v>244</v>
      </c>
      <c r="E102" s="12" t="s">
        <v>39</v>
      </c>
      <c r="F102" s="12" t="s">
        <v>146</v>
      </c>
      <c r="G102" s="12">
        <v>1</v>
      </c>
      <c r="H102" s="13">
        <v>34696.167000000001</v>
      </c>
      <c r="I102" s="14">
        <v>0.19</v>
      </c>
      <c r="J102" s="15">
        <f t="shared" si="2"/>
        <v>41288.438730000002</v>
      </c>
      <c r="K102" s="15">
        <f t="shared" si="3"/>
        <v>41288.438730000002</v>
      </c>
    </row>
    <row r="103" spans="1:11" ht="57.6" x14ac:dyDescent="0.3">
      <c r="A103" s="8">
        <v>89</v>
      </c>
      <c r="B103" s="12">
        <v>53141600</v>
      </c>
      <c r="C103" s="12" t="s">
        <v>245</v>
      </c>
      <c r="D103" s="12" t="s">
        <v>245</v>
      </c>
      <c r="E103" s="12" t="s">
        <v>39</v>
      </c>
      <c r="F103" s="12" t="s">
        <v>146</v>
      </c>
      <c r="G103" s="12">
        <v>1</v>
      </c>
      <c r="H103" s="13">
        <v>55659.241000000002</v>
      </c>
      <c r="I103" s="14">
        <v>0.19</v>
      </c>
      <c r="J103" s="15">
        <f t="shared" si="2"/>
        <v>66234.496790000005</v>
      </c>
      <c r="K103" s="15">
        <f t="shared" si="3"/>
        <v>66234.496790000005</v>
      </c>
    </row>
    <row r="104" spans="1:11" ht="57.6" x14ac:dyDescent="0.3">
      <c r="A104" s="8">
        <v>90</v>
      </c>
      <c r="B104" s="12">
        <v>53141600</v>
      </c>
      <c r="C104" s="12" t="s">
        <v>246</v>
      </c>
      <c r="D104" s="12" t="s">
        <v>246</v>
      </c>
      <c r="E104" s="12" t="s">
        <v>39</v>
      </c>
      <c r="F104" s="12" t="s">
        <v>146</v>
      </c>
      <c r="G104" s="12">
        <v>1</v>
      </c>
      <c r="H104" s="13">
        <v>55659.241000000002</v>
      </c>
      <c r="I104" s="14">
        <v>0.19</v>
      </c>
      <c r="J104" s="15">
        <f t="shared" si="2"/>
        <v>66234.496790000005</v>
      </c>
      <c r="K104" s="15">
        <f t="shared" si="3"/>
        <v>66234.496790000005</v>
      </c>
    </row>
    <row r="105" spans="1:11" ht="187.2" x14ac:dyDescent="0.3">
      <c r="A105" s="8">
        <v>91</v>
      </c>
      <c r="B105" s="12">
        <v>53141600</v>
      </c>
      <c r="C105" s="12" t="s">
        <v>247</v>
      </c>
      <c r="D105" s="12" t="s">
        <v>248</v>
      </c>
      <c r="E105" s="12" t="s">
        <v>39</v>
      </c>
      <c r="F105" s="12" t="s">
        <v>146</v>
      </c>
      <c r="G105" s="12">
        <v>1</v>
      </c>
      <c r="H105" s="13">
        <v>6685.4744000000001</v>
      </c>
      <c r="I105" s="14">
        <v>0.19</v>
      </c>
      <c r="J105" s="15">
        <f t="shared" si="2"/>
        <v>7955.7145359999995</v>
      </c>
      <c r="K105" s="15">
        <f t="shared" si="3"/>
        <v>7955.7145359999995</v>
      </c>
    </row>
    <row r="106" spans="1:11" ht="43.2" x14ac:dyDescent="0.3">
      <c r="A106" s="8">
        <v>92</v>
      </c>
      <c r="B106" s="12">
        <v>53141600</v>
      </c>
      <c r="C106" s="12" t="s">
        <v>249</v>
      </c>
      <c r="D106" s="12" t="s">
        <v>249</v>
      </c>
      <c r="E106" s="12" t="s">
        <v>39</v>
      </c>
      <c r="F106" s="12" t="s">
        <v>146</v>
      </c>
      <c r="G106" s="12">
        <v>1</v>
      </c>
      <c r="H106" s="13">
        <v>13733.9532</v>
      </c>
      <c r="I106" s="14">
        <v>0.19</v>
      </c>
      <c r="J106" s="15">
        <f t="shared" si="2"/>
        <v>16343.404307999999</v>
      </c>
      <c r="K106" s="15">
        <f t="shared" si="3"/>
        <v>16343.404307999999</v>
      </c>
    </row>
    <row r="107" spans="1:11" ht="28.8" x14ac:dyDescent="0.3">
      <c r="A107" s="8">
        <v>93</v>
      </c>
      <c r="B107" s="12">
        <v>53141600</v>
      </c>
      <c r="C107" s="12" t="s">
        <v>250</v>
      </c>
      <c r="D107" s="12" t="s">
        <v>250</v>
      </c>
      <c r="E107" s="12" t="s">
        <v>39</v>
      </c>
      <c r="F107" s="12" t="s">
        <v>146</v>
      </c>
      <c r="G107" s="12">
        <v>1</v>
      </c>
      <c r="H107" s="13">
        <v>4155.6261999999997</v>
      </c>
      <c r="I107" s="14">
        <v>0.19</v>
      </c>
      <c r="J107" s="15">
        <f t="shared" si="2"/>
        <v>4945.195177999999</v>
      </c>
      <c r="K107" s="15">
        <f t="shared" si="3"/>
        <v>4945.195177999999</v>
      </c>
    </row>
    <row r="108" spans="1:11" ht="172.8" x14ac:dyDescent="0.3">
      <c r="A108" s="8">
        <v>94</v>
      </c>
      <c r="B108" s="12">
        <v>53141600</v>
      </c>
      <c r="C108" s="12" t="s">
        <v>251</v>
      </c>
      <c r="D108" s="12" t="s">
        <v>252</v>
      </c>
      <c r="E108" s="12" t="s">
        <v>39</v>
      </c>
      <c r="F108" s="12" t="s">
        <v>146</v>
      </c>
      <c r="G108" s="12">
        <v>1</v>
      </c>
      <c r="H108" s="13">
        <v>27829.190399999999</v>
      </c>
      <c r="I108" s="14">
        <v>0.19</v>
      </c>
      <c r="J108" s="15">
        <f t="shared" si="2"/>
        <v>33116.736575999996</v>
      </c>
      <c r="K108" s="15">
        <f t="shared" si="3"/>
        <v>33116.736575999996</v>
      </c>
    </row>
    <row r="109" spans="1:11" ht="144" x14ac:dyDescent="0.3">
      <c r="A109" s="8">
        <v>95</v>
      </c>
      <c r="B109" s="12">
        <v>53141600</v>
      </c>
      <c r="C109" s="12" t="s">
        <v>253</v>
      </c>
      <c r="D109" s="12" t="s">
        <v>253</v>
      </c>
      <c r="E109" s="12" t="s">
        <v>39</v>
      </c>
      <c r="F109" s="12" t="s">
        <v>146</v>
      </c>
      <c r="G109" s="12">
        <v>1</v>
      </c>
      <c r="H109" s="13">
        <v>17347.653399999999</v>
      </c>
      <c r="I109" s="14">
        <v>0.19</v>
      </c>
      <c r="J109" s="15">
        <f t="shared" si="2"/>
        <v>20643.707545999998</v>
      </c>
      <c r="K109" s="15">
        <f t="shared" si="3"/>
        <v>20643.707545999998</v>
      </c>
    </row>
    <row r="110" spans="1:11" ht="144" x14ac:dyDescent="0.3">
      <c r="A110" s="8">
        <v>96</v>
      </c>
      <c r="B110" s="12">
        <v>53141600</v>
      </c>
      <c r="C110" s="12" t="s">
        <v>254</v>
      </c>
      <c r="D110" s="12" t="s">
        <v>254</v>
      </c>
      <c r="E110" s="12" t="s">
        <v>39</v>
      </c>
      <c r="F110" s="12" t="s">
        <v>146</v>
      </c>
      <c r="G110" s="12">
        <v>1</v>
      </c>
      <c r="H110" s="13">
        <v>6360.3188</v>
      </c>
      <c r="I110" s="14">
        <v>0.19</v>
      </c>
      <c r="J110" s="15">
        <f t="shared" si="2"/>
        <v>7568.779372</v>
      </c>
      <c r="K110" s="15">
        <f t="shared" si="3"/>
        <v>7568.779372</v>
      </c>
    </row>
    <row r="111" spans="1:11" ht="86.4" x14ac:dyDescent="0.3">
      <c r="A111" s="8">
        <v>97</v>
      </c>
      <c r="B111" s="12">
        <v>53141605</v>
      </c>
      <c r="C111" s="12" t="s">
        <v>255</v>
      </c>
      <c r="D111" s="12" t="s">
        <v>255</v>
      </c>
      <c r="E111" s="12" t="s">
        <v>39</v>
      </c>
      <c r="F111" s="12" t="s">
        <v>146</v>
      </c>
      <c r="G111" s="12">
        <v>1</v>
      </c>
      <c r="H111" s="13">
        <v>987.50959999999998</v>
      </c>
      <c r="I111" s="14">
        <v>0.19</v>
      </c>
      <c r="J111" s="15">
        <f t="shared" si="2"/>
        <v>1175.136424</v>
      </c>
      <c r="K111" s="15">
        <f t="shared" si="3"/>
        <v>1175.136424</v>
      </c>
    </row>
    <row r="112" spans="1:11" ht="72" x14ac:dyDescent="0.3">
      <c r="A112" s="8">
        <v>98</v>
      </c>
      <c r="B112" s="12">
        <v>53141600</v>
      </c>
      <c r="C112" s="12" t="s">
        <v>256</v>
      </c>
      <c r="D112" s="12" t="s">
        <v>256</v>
      </c>
      <c r="E112" s="12" t="s">
        <v>39</v>
      </c>
      <c r="F112" s="12" t="s">
        <v>146</v>
      </c>
      <c r="G112" s="12">
        <v>1</v>
      </c>
      <c r="H112" s="13">
        <v>103367.6534</v>
      </c>
      <c r="I112" s="14">
        <v>0.19</v>
      </c>
      <c r="J112" s="15">
        <f t="shared" si="2"/>
        <v>123007.50754599999</v>
      </c>
      <c r="K112" s="15">
        <f t="shared" si="3"/>
        <v>123007.50754599999</v>
      </c>
    </row>
    <row r="113" spans="1:11" ht="72" x14ac:dyDescent="0.3">
      <c r="A113" s="8">
        <v>99</v>
      </c>
      <c r="B113" s="12">
        <v>53141600</v>
      </c>
      <c r="C113" s="12" t="s">
        <v>257</v>
      </c>
      <c r="D113" s="12" t="s">
        <v>257</v>
      </c>
      <c r="E113" s="12" t="s">
        <v>39</v>
      </c>
      <c r="F113" s="12" t="s">
        <v>146</v>
      </c>
      <c r="G113" s="12">
        <v>1</v>
      </c>
      <c r="H113" s="13">
        <v>19877.5016</v>
      </c>
      <c r="I113" s="14">
        <v>0.19</v>
      </c>
      <c r="J113" s="15">
        <f t="shared" si="2"/>
        <v>23654.226903999999</v>
      </c>
      <c r="K113" s="15">
        <f t="shared" si="3"/>
        <v>23654.226903999999</v>
      </c>
    </row>
    <row r="114" spans="1:11" ht="57.6" x14ac:dyDescent="0.3">
      <c r="A114" s="8">
        <v>100</v>
      </c>
      <c r="B114" s="12">
        <v>53141600</v>
      </c>
      <c r="C114" s="12" t="s">
        <v>258</v>
      </c>
      <c r="D114" s="12" t="s">
        <v>258</v>
      </c>
      <c r="E114" s="12" t="s">
        <v>39</v>
      </c>
      <c r="F114" s="12" t="s">
        <v>146</v>
      </c>
      <c r="G114" s="12">
        <v>1</v>
      </c>
      <c r="H114" s="13">
        <v>23130.777999999998</v>
      </c>
      <c r="I114" s="14">
        <v>0.19</v>
      </c>
      <c r="J114" s="15">
        <f t="shared" si="2"/>
        <v>27525.625819999997</v>
      </c>
      <c r="K114" s="15">
        <f t="shared" si="3"/>
        <v>27525.625819999997</v>
      </c>
    </row>
    <row r="115" spans="1:11" ht="43.2" x14ac:dyDescent="0.3">
      <c r="A115" s="8">
        <v>101</v>
      </c>
      <c r="B115" s="12">
        <v>53141600</v>
      </c>
      <c r="C115" s="12" t="s">
        <v>259</v>
      </c>
      <c r="D115" s="12" t="s">
        <v>260</v>
      </c>
      <c r="E115" s="12" t="s">
        <v>39</v>
      </c>
      <c r="F115" s="12" t="s">
        <v>146</v>
      </c>
      <c r="G115" s="12">
        <v>1</v>
      </c>
      <c r="H115" s="13">
        <v>27651.9892</v>
      </c>
      <c r="I115" s="14">
        <v>0.19</v>
      </c>
      <c r="J115" s="15">
        <f t="shared" si="2"/>
        <v>32905.867147999998</v>
      </c>
      <c r="K115" s="15">
        <f t="shared" si="3"/>
        <v>32905.867147999998</v>
      </c>
    </row>
    <row r="116" spans="1:11" x14ac:dyDescent="0.3">
      <c r="A116" s="21" t="s">
        <v>261</v>
      </c>
      <c r="B116" s="21"/>
      <c r="C116" s="21"/>
      <c r="D116" s="21"/>
      <c r="E116" s="21"/>
      <c r="F116" s="21"/>
      <c r="G116" s="21"/>
      <c r="H116" s="22">
        <f>SUM(H15:H115)</f>
        <v>10136394.653000001</v>
      </c>
      <c r="I116" s="14"/>
      <c r="J116" s="15">
        <f t="shared" si="2"/>
        <v>12062309.63707</v>
      </c>
      <c r="K116" s="23">
        <f>SUM(K15:K115)</f>
        <v>12062309.63707</v>
      </c>
    </row>
    <row r="117" spans="1:11" ht="26.4" x14ac:dyDescent="0.3">
      <c r="A117" s="24" t="s">
        <v>262</v>
      </c>
    </row>
    <row r="119" spans="1:11" ht="28.8" x14ac:dyDescent="0.3">
      <c r="A119" s="24" t="s">
        <v>263</v>
      </c>
      <c r="B119" s="2" t="s">
        <v>7</v>
      </c>
    </row>
    <row r="120" spans="1:11" x14ac:dyDescent="0.3">
      <c r="A120" s="24" t="s">
        <v>264</v>
      </c>
      <c r="B120" s="2">
        <v>43047767</v>
      </c>
    </row>
    <row r="121" spans="1:11" ht="28.8" x14ac:dyDescent="0.3">
      <c r="A121" s="25" t="s">
        <v>265</v>
      </c>
      <c r="C121" s="26" t="s">
        <v>266</v>
      </c>
    </row>
  </sheetData>
  <mergeCells count="15">
    <mergeCell ref="A9:B9"/>
    <mergeCell ref="C9:G9"/>
    <mergeCell ref="A116:G116"/>
    <mergeCell ref="A6:B6"/>
    <mergeCell ref="C6:G6"/>
    <mergeCell ref="A7:B7"/>
    <mergeCell ref="C7:G7"/>
    <mergeCell ref="A8:B8"/>
    <mergeCell ref="C8:G8"/>
    <mergeCell ref="A2:G2"/>
    <mergeCell ref="A3:G3"/>
    <mergeCell ref="A4:B4"/>
    <mergeCell ref="C4:G4"/>
    <mergeCell ref="A5:B5"/>
    <mergeCell ref="C5:G5"/>
  </mergeCells>
  <hyperlinks>
    <hyperlink ref="C7" r:id="rId1" xr:uid="{00000000-0004-0000-0000-000000000000}"/>
    <hyperlink ref="C121" r:id="rId2" xr:uid="{00000000-0004-0000-0000-000001000000}"/>
  </hyperlinks>
  <pageMargins left="0.7" right="0.7" top="0.75" bottom="0.75" header="0.3" footer="0.3"/>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santiago cano mejia</dc:creator>
  <cp:keywords/>
  <dc:description/>
  <cp:lastModifiedBy>Maribel Gil</cp:lastModifiedBy>
  <cp:revision/>
  <dcterms:created xsi:type="dcterms:W3CDTF">2024-06-12T20:47:45Z</dcterms:created>
  <dcterms:modified xsi:type="dcterms:W3CDTF">2026-10-24T00:59:26Z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2024-08-28T16:17:50Z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7a6b8fa5-524f-48f9-9b88-97244a89cc31</vt:lpwstr>
  </property>
  <property fmtid="{D5CDD505-2E9C-101B-9397-08002B2CF9AE}" pid="8" name="MSIP_Label_fc111285-cafa-4fc9-8a9a-bd902089b24f_ContentBits">
    <vt:lpwstr>0</vt:lpwstr>
  </property>
</Properties>
</file>