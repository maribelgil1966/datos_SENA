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rum\Documents\UdeA\2026-2\metas por centro\necesidades de materia prima para cada vigencia del cetro\2024\"/>
    </mc:Choice>
  </mc:AlternateContent>
  <xr:revisionPtr revIDLastSave="0" documentId="8_{A422219A-6F87-4AB5-8D46-71367E34C382}" xr6:coauthVersionLast="47" xr6:coauthVersionMax="47" xr10:uidLastSave="{00000000-0000-0000-0000-000000000000}"/>
  <bookViews>
    <workbookView showHorizontalScroll="0" showVerticalScroll="0" showSheetTabs="0" xWindow="-108" yWindow="-108" windowWidth="23256" windowHeight="12456"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4" i="1" l="1"/>
  <c r="J43" i="1"/>
  <c r="K43" i="1" s="1"/>
  <c r="K42" i="1"/>
  <c r="J42" i="1"/>
  <c r="J41" i="1"/>
  <c r="K41" i="1" s="1"/>
  <c r="J40" i="1"/>
  <c r="K40" i="1" s="1"/>
  <c r="J39" i="1"/>
  <c r="K39" i="1" s="1"/>
  <c r="J38" i="1"/>
  <c r="K38" i="1" s="1"/>
  <c r="K37" i="1"/>
  <c r="J37" i="1"/>
  <c r="J36" i="1"/>
  <c r="K36" i="1" s="1"/>
  <c r="J35" i="1"/>
  <c r="K35" i="1" s="1"/>
  <c r="K34" i="1"/>
  <c r="J34" i="1"/>
  <c r="J33" i="1"/>
  <c r="K33" i="1" s="1"/>
  <c r="J32" i="1"/>
  <c r="K32" i="1" s="1"/>
  <c r="J31" i="1"/>
  <c r="K31" i="1" s="1"/>
  <c r="J30" i="1"/>
  <c r="K30" i="1" s="1"/>
  <c r="K29" i="1"/>
  <c r="J29" i="1"/>
  <c r="J28" i="1"/>
  <c r="K28" i="1" s="1"/>
  <c r="J27" i="1"/>
  <c r="K27" i="1" s="1"/>
  <c r="K26" i="1"/>
  <c r="J26" i="1"/>
  <c r="J25" i="1"/>
  <c r="K25" i="1" s="1"/>
  <c r="J24" i="1"/>
  <c r="K24" i="1" s="1"/>
  <c r="J23" i="1"/>
  <c r="K23" i="1" s="1"/>
  <c r="J22" i="1"/>
  <c r="K22" i="1" s="1"/>
  <c r="K21" i="1"/>
  <c r="J21" i="1"/>
  <c r="J20" i="1"/>
  <c r="K20" i="1" s="1"/>
  <c r="J19" i="1"/>
  <c r="K19" i="1" s="1"/>
  <c r="K18" i="1"/>
  <c r="J18" i="1"/>
  <c r="J17" i="1"/>
  <c r="K17" i="1" s="1"/>
  <c r="J16" i="1"/>
  <c r="K16" i="1" s="1"/>
  <c r="J15" i="1"/>
  <c r="K15" i="1" s="1"/>
  <c r="J14" i="1"/>
  <c r="K14" i="1" s="1"/>
  <c r="K13" i="1"/>
  <c r="J13" i="1"/>
  <c r="J12" i="1"/>
  <c r="J44" i="1" s="1"/>
  <c r="K12" i="1" l="1"/>
  <c r="K4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Nikkel</author>
    <author>Elkin Antonio Zuleta Montoya</author>
  </authors>
  <commentList>
    <comment ref="B11" authorId="0" shapeId="0" xr:uid="{00000000-0006-0000-0000-000001000000}">
      <text>
        <r>
          <rPr>
            <b/>
            <sz val="9"/>
            <color indexed="81"/>
            <rFont val="Tahoma"/>
            <family val="2"/>
          </rPr>
          <t>Nikkel:</t>
        </r>
        <r>
          <rPr>
            <sz val="9"/>
            <color indexed="81"/>
            <rFont val="Tahoma"/>
            <family val="2"/>
          </rPr>
          <t xml:space="preserve">
Buscarlo en la hoja Adjunta</t>
        </r>
      </text>
    </comment>
    <comment ref="E11" authorId="1" shapeId="0" xr:uid="{00000000-0006-0000-0000-000002000000}">
      <text>
        <r>
          <rPr>
            <b/>
            <sz val="9"/>
            <color indexed="81"/>
            <rFont val="Tahoma"/>
            <family val="2"/>
          </rPr>
          <t>Nikkel:</t>
        </r>
        <r>
          <rPr>
            <sz val="9"/>
            <color indexed="81"/>
            <rFont val="Tahoma"/>
            <family val="2"/>
          </rPr>
          <t xml:space="preserve">
Si requiere el nombre el  nombre de la unidad, lo puede consultar en la hoja Unidades.
Tambien lo puede editar de manera directa
</t>
        </r>
      </text>
    </comment>
    <comment ref="F11" authorId="1" shapeId="0" xr:uid="{00000000-0006-0000-0000-000003000000}">
      <text>
        <r>
          <rPr>
            <sz val="9"/>
            <color indexed="81"/>
            <rFont val="Tahoma"/>
            <family val="2"/>
          </rPr>
          <t>Escoger de la lista y si no lo encuentra , completarlo  de forma manual</t>
        </r>
      </text>
    </comment>
    <comment ref="I11" authorId="0" shapeId="0" xr:uid="{00000000-0006-0000-0000-000004000000}">
      <text>
        <r>
          <rPr>
            <b/>
            <sz val="9"/>
            <color indexed="81"/>
            <rFont val="Tahoma"/>
            <family val="2"/>
          </rPr>
          <t>Nikkel:</t>
        </r>
        <r>
          <rPr>
            <sz val="9"/>
            <color indexed="81"/>
            <rFont val="Tahoma"/>
            <family val="2"/>
          </rPr>
          <t xml:space="preserve">
Anotar el valor directo , sin el formato (%)
</t>
        </r>
      </text>
    </comment>
  </commentList>
</comments>
</file>

<file path=xl/sharedStrings.xml><?xml version="1.0" encoding="utf-8"?>
<sst xmlns="http://schemas.openxmlformats.org/spreadsheetml/2006/main" count="120" uniqueCount="85">
  <si>
    <t>OFERTA ECONOMICA</t>
  </si>
  <si>
    <t>LOTE 8 SISTEMAS</t>
  </si>
  <si>
    <t>Nombre de la empresa</t>
  </si>
  <si>
    <t>SUMINISTROS MAYBE S.A.S.</t>
  </si>
  <si>
    <t>NIT:</t>
  </si>
  <si>
    <t>800154801-6</t>
  </si>
  <si>
    <t>Nombre de contacto:</t>
  </si>
  <si>
    <t>LUZ MARINA MEJIA PEREZ</t>
  </si>
  <si>
    <t>Correo electrónico:</t>
  </si>
  <si>
    <t>MAYBE@UNE.NET.CO</t>
  </si>
  <si>
    <t xml:space="preserve">Referencia: </t>
  </si>
  <si>
    <t>Proceso No. SASI-ANT-CDMC-0042-2024</t>
  </si>
  <si>
    <t>Objeto:</t>
  </si>
  <si>
    <t>5_9201_191 suministro de materiales de formación e insumos que se requieren para la ejecución de los diferentes programas y proyectos impartidos por el centro del diseño y manufactura del cuero.</t>
  </si>
  <si>
    <t>Item</t>
  </si>
  <si>
    <t>Código
UNSPSC</t>
  </si>
  <si>
    <t>Producto</t>
  </si>
  <si>
    <t>Descripción</t>
  </si>
  <si>
    <t xml:space="preserve">Unidad de medida </t>
  </si>
  <si>
    <t>Presentación</t>
  </si>
  <si>
    <t>Cantidad</t>
  </si>
  <si>
    <t xml:space="preserve">Valor Unitario sin IVA </t>
  </si>
  <si>
    <t>Valor del IVA (%)</t>
  </si>
  <si>
    <t xml:space="preserve">Valor  IVA </t>
  </si>
  <si>
    <t>Valor unitario  con IVA</t>
  </si>
  <si>
    <t>Tarjeta Programable</t>
  </si>
  <si>
    <t>Placa de desarrollo ESP32S WROOM, Tipo C conector, 30 pines, Wifi + Bluetooth, consumo de energía ultra bajo, doble núcleo</t>
  </si>
  <si>
    <t>Unidades</t>
  </si>
  <si>
    <t>Placa de desarrollo, ESP32 T-A7670G/E/SA R2 4G Placa de desarrollo LTE CAT1 SIM módulo ESP32, soporte GSM/GPRS/EDGE TF tarjeta A7670G A7670E A7670SA</t>
  </si>
  <si>
    <t>Panel Solar</t>
  </si>
  <si>
    <t xml:space="preserve">Panel solar voltaje pico de 5V, corriente 500mA. Características: Voltaje: 5V. Corriente: 500mA. Potencia: 2.5W.
Dimensiones 135x110mm. Contiene cables de conexión
</t>
  </si>
  <si>
    <t>Regulador - Panel Solar</t>
  </si>
  <si>
    <t xml:space="preserve">Panel solar voltaje pico de 5V, corriente 500mA. Pequeña tarjeta controladora diseñada para paneles de 5V, utilizada en proyectos de energías renovables e IoT.  Con conector USB. Características: Controlador:CN3065. Voltaje de entrada (Solar IN): 4.5V-6V. Entrada para batería (Bat IN): 3.7V, batería Li-polímero/ Li-ion Corriente de carga (USB/ Solar IN): 900mA máx. Voltaje de carga limite (USB/Solar IN): 4.2V±1%. Voltaje de entrada USB: 5V. Potencia regulada suministrada: 5V 1A. Eficiencia potencia regulada suministrada (3.7V batería IN) 5V/USB OUT:  9%@10%Load, 86%@50%Load, 83%@90%Load. Eficiencia de carga USB/ Solar: 73%@3.7V 900mA BAT IN. Corriente máxima quiescente: &lt;1mA. Protección contra sobrecarga. Protección contra corta circuito, sobre corriente y recalentamiento.
Temperatura de operación n: -40ºC-85ºC. Dimensiones: 33x63 mm
</t>
  </si>
  <si>
    <t>Regulador</t>
  </si>
  <si>
    <t>Regulador para panel solar (micro) + Panel 160mA. Tarjeta reguladora para panel solar, diseñado para proyectos de IoT basados en sensores o controladores de bajo consumo. Incluye panel solar.
Características: Con algoritmo MPPT que maximiza la conversión de energía solar.
Diseñado para paneles solares de 1-3V. Con dos métodos de carga: Solar/USB.
Voltaje de entrada (solar): 0.5-4V. Voltaje de entrada (batería): 3.7V batería de litio.
Máxima corriente de carga: 100mA (entrada USB), 70mA (entrada solar). Umbral de protección contra sobre carga: 4.2V. Umbral de protección contra sobre descarga: 3.1V. Tamaño: 30x30 mm</t>
  </si>
  <si>
    <t>Batería</t>
  </si>
  <si>
    <t>Batería LI-PO 3.7V 4000mAh.  Cuenta con protección de sobre voltaje, sobre corriente y tensión mínima. 
Características: Voltaje de salida: 3,7V DC. Corriente: 4000mAh.
Tipo de Uso: Sistemas que requieran baja potencia. Tipo de Conector: Estándar</t>
  </si>
  <si>
    <t>Banco de Baterías</t>
  </si>
  <si>
    <t>Power Bank P10000QCD, Batería Externa 10000 mAh</t>
  </si>
  <si>
    <t>Bomba de Agua</t>
  </si>
  <si>
    <t>Bomba de agua sumergible. Capacidad de 500L/H, altura máxima de 2m, voltaje de funcionamiento: 6-12VDC. Voltaje de funcionamiento: 6-12VDC. Potencia: 5W. Flujo: 500l/H. Altura máxima: 1.5-2m. Diámetro del tubo de salida: 13mm aprox</t>
  </si>
  <si>
    <t>Board programable IoT Lora 32 (V3) - Lora 915Mhz. Wifi, Bluetooth, antena 863-928, case V3</t>
  </si>
  <si>
    <t>Cables de conexxión</t>
  </si>
  <si>
    <t>Cable Depón Hembra - Hembra 20 Cm</t>
  </si>
  <si>
    <t>Router MIFI</t>
  </si>
  <si>
    <t>MIFI, 4G LTE B2/4/5/7-WIFI-4. Puerto de carga micro USB Ranura para tarjeta SIM 1 Ranura para tarjeta mini SIM Estándar.
Velocidad de conexión (máx.) 150Mbps Bandas de operación -LTE: B2/4/5/7/8/28 - Wifi simultáneo (máx.) Hasta 16 dispositivos SMS, configuración LTE/UMTS/Wifi, IPv6/ IPv4 dual stack, indicador de estado de la red, administración de PIN Batería 1,500mAh Hasta 6 horas de operación Dimensiones* 96.8 x 58 x 12.8mm Peso 75g Fuente de alimentación 5V/1A</t>
  </si>
  <si>
    <t>Sensor</t>
  </si>
  <si>
    <t>Sensor Gravity LTR390-UV proporciona detección de luz ambiental (450 nm – 700 nm) y luz UV (280 nm – 430 nm), posee interfaz I2C y UART configurable mediante el interruptor DIP.</t>
  </si>
  <si>
    <t>Sensor análogo de humedad del suelo a prueba de agua – Gravity</t>
  </si>
  <si>
    <t>Kit ó Bundle - Tarjeta AC Current Click y Sensor de corriente AC</t>
  </si>
  <si>
    <t>Relay</t>
  </si>
  <si>
    <t>Relay de 3.3 V estado sólido</t>
  </si>
  <si>
    <t>LCD TFT</t>
  </si>
  <si>
    <t>Pantalla táctil de 3.5 pulgadas con funda para Raspberry Pi 4, con ventilador y disipadores de calor, pantalla LCD TFT de resolución de 320 x 480 para Raspberry Pi 4</t>
  </si>
  <si>
    <t>LCD IPS</t>
  </si>
  <si>
    <t>LCD de 7 pulgadas para Raspberry Pi, pantalla LCD IPS de 1024 x 600 con soporte, monitor portátil HDMI para Raspberry Pi 5/Pi 4B/3B+/3B/B+/Zero/400, Win11/10/8/7, Banana Pi M5/M2 Zero.</t>
  </si>
  <si>
    <t>Tarjeta Micro SD</t>
  </si>
  <si>
    <t>Tarjeta de memoria micro SDXC UHS-I de 128 GB. Extreme con adaptador, hasta 190 MB/s, C10, U3, V30, 4K, 5K, A2, tarjeta Micro SD.</t>
  </si>
  <si>
    <t>Cable USB</t>
  </si>
  <si>
    <t>Cable USB-c A USB-a 3.0, Cable De Carga Rápida y datos. Tipo C Plano</t>
  </si>
  <si>
    <t>Adaptador</t>
  </si>
  <si>
    <t>Cargador Adaptador carga rápida, USB 5v, 3A Amperios. Entrada: 100-240V, 50/60Hz 0. 45ª, salida: 5V 3A 15W</t>
  </si>
  <si>
    <t>Kit de Programación</t>
  </si>
  <si>
    <t>Viltros Kit - Raspberry Pi 5 de 8GB - Incluye: placa Raspberry Pi 5, carcasa ABS trasparente, funda, ventilador, disipadores térmicos, fuente de alimentación.</t>
  </si>
  <si>
    <t>Cable HDMI</t>
  </si>
  <si>
    <t>HDMI macho a - Micro HDMI soporta 4K 3D</t>
  </si>
  <si>
    <t>Cámara USB</t>
  </si>
  <si>
    <t>Webcam HD - USB: Full HD 1080p (hasta 1920 x 1080 píxeles). Videoconferencias HD 720p (1280 x 720 píxeles), Tecnología Rightlight 2, Imágenes por segundo: 30fps, Aplicación Camera Settings, Compresión de vídeo H.264, Campo visual de 90°, Zoom 4x en 1080p, Enfoque automático, micrófonos omnidireccionales, Certificación USB 2.0 de alta velocidad (compatible con USB 3.0).</t>
  </si>
  <si>
    <t>Gateway</t>
  </si>
  <si>
    <t>Gateway LoRa WAN para exteriores. Alimentación 12VDC o PoE, 1 SX1302 + 2 1250 LoRa tranceiver, 1 puerto RJ45 10M/100M, 1 puerto USB, WiFi 2.4GHz (802.11 bgn), Frecuencia 915 MHz, para bandas AU915. PoE 802.3af, Compatible con protocolo LoRa WAN, Tiene pre-configurado bandas de frecuencia LoRa WAN estándar, Diseñado para exteriores. Sistema Open Source OpenWrt, Controlado por Web GUI, SSH vía LAN o WiFi, Emula 49x demuladores LoRa. 10 caminos de demulacion paralela programables, Con modulo GPS para localización, Con antena externa, Índice IP65</t>
  </si>
  <si>
    <t>Servo Motor</t>
  </si>
  <si>
    <t>Servo Motor MG995 Ángulo de control 180 engranajes de metal Servo 44.1 lb. Digital de alta velocidad Servo Motor para coche inteligente, para robótica.</t>
  </si>
  <si>
    <t>Fuente de Poder</t>
  </si>
  <si>
    <t>Fuente de poder metálica. 
Voltaje de entrada: AC110-220V.
Voltaje de la salida Variable: 3.3V, 5.0V, 12V, 24V DC. 
Corriente de salida: 50A.
Potencia: Difiere de cada opción. Material: Caja del metal / base de aluminio.
Protección: Protección contra sobrecargas - Sobre voltaje. Ampliamente utilizado en la automatización industrial, iluminación LED, comunicaciones.
Temperatura de trabajo: 0 ~ 40°...</t>
  </si>
  <si>
    <t>Adaptador DC</t>
  </si>
  <si>
    <t>Adaptador 12v DC, 3A corriente Cinta Led Cctv Regulador.</t>
  </si>
  <si>
    <t>Teclado Inalámbrico</t>
  </si>
  <si>
    <t>Mini teclado de 2,4G con panel táctil, retroiluminación LED, teclas de control multimedia y teclas de control de juegos de ordenador.
Almohadilla táctil inteligente integrada de alta sensibilidad con diseño de tapa de 360 grados.
¿Adecuado para PC Smart TV Android TV box Google TV caja Xbox 360 PS3/PS4... HTPC/IPTV etc. Dispositivo con interfaz USB.</t>
  </si>
  <si>
    <t>Adaptador 5v DC, 3A corriente para tarjeta Arduino Uno R3 o Arduino Mega 2560r de 5 Voltios DC y una corriente de 3 amperios.</t>
  </si>
  <si>
    <t>Mini teclado plegable portátil ligero y práctico, teclado inalámbrico Bluetooth recargable para IOS, Android, Windows, iPad, tableta, teléfono.
Certificación: CE, aplicación: Escritorio, portátil, tableta, teclado en español, Plegable, compatible con Bluetooth, batería de litio de 140mAh, Interfaz de carga: Tipo-C, compatible, Win/Android/IOS/OS/HMS, Voltaje y corriente de funcionamiento: 3,2-4,2 V &lt; 3mA, corriente de funcionamiento del panel táctil: &lt; 11mA, corriente de reposo/reposo: 0.7mA/16 μ A, duración de carga 45H, tiempo en espera: 90 días, vida útil clave: 3 millones de ciclos, color: negro.</t>
  </si>
  <si>
    <t>Tarjeta de Video</t>
  </si>
  <si>
    <t>HDMI inalámbrico: un transmisor y dos receptores, expansión simultánea inalámbrica de múltiples televisores, 164.0 ft/165 pies, 5.8 G/2.4G @60 Hz, Plug and Play, kit extensor de transmisión, ordenador portátil, cajas de cable, cámaras Proyecto Pantallas.
Soporta hasta 4 monitores: el nuevo extensor HDMI inalámbrico G91 (1TX+1RX) de resuelve el mayor problema de poder mostrar varias pantallas simultáneamente. Transmite sin esfuerzo video y audio suaves a múltiples pantallas</t>
  </si>
  <si>
    <t>Unidad USB</t>
  </si>
  <si>
    <t>Unidad flash de estado sólido USB 3.2 Extreme PRO de 1 TB - Hasta 420 MB/s, fundición de metal de aluminio duradero,</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</si>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</sst>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quot;$&quot;#,##0.00"/>
    <numFmt numFmtId="165" formatCode="_-&quot;$&quot;\ * #,##0_-;\-&quot;$&quot;\ * #,##0_-;_-&quot;$&quot;\ * &quot;-&quot;??_-;_-@_-"/>
  </numFmts>
  <fonts count="13"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b/>
      <sz val="10"/>
      <color theme="1"/>
      <name val="Arial"/>
      <family val="2"/>
    </font>
    <font>
      <b/>
      <sz val="11"/>
      <color rgb="FF000000"/>
      <name val="Calibri"/>
      <family val="2"/>
    </font>
    <font>
      <b/>
      <sz val="11"/>
      <name val="Calibri"/>
      <family val="2"/>
    </font>
    <font>
      <b/>
      <sz val="10"/>
      <color rgb="FF000000"/>
      <name val="Calibri Light"/>
      <family val="2"/>
    </font>
    <font>
      <b/>
      <sz val="11"/>
      <color theme="1"/>
      <name val="Calibri"/>
      <family val="2"/>
    </font>
    <font>
      <sz val="11"/>
      <color theme="1"/>
      <name val="Calibri"/>
      <family val="2"/>
    </font>
    <font>
      <sz val="10"/>
      <color rgb="FF000000"/>
      <name val="Times New Roman"/>
      <family val="1"/>
    </font>
    <font>
      <b/>
      <sz val="9"/>
      <color indexed="81"/>
      <name val="Tahoma"/>
      <family val="2"/>
    </font>
    <font>
      <sz val="9"/>
      <color indexed="81"/>
      <name val="Tahoma"/>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20">
    <xf numFmtId="0" fontId="0" fillId="0" borderId="0" xfId="0"/>
    <xf numFmtId="44" fontId="10" fillId="0" borderId="1" xfId="1" applyFont="1" applyFill="1" applyBorder="1" applyAlignment="1">
      <alignment horizontal="center" vertical="center"/>
    </xf>
    <xf numFmtId="0" fontId="0" fillId="0" borderId="0" xfId="0" applyFill="1"/>
    <xf numFmtId="0" fontId="2" fillId="0" borderId="1" xfId="0" applyFont="1" applyFill="1" applyBorder="1" applyAlignment="1">
      <alignment horizontal="center" vertical="center"/>
    </xf>
    <xf numFmtId="0" fontId="0" fillId="0" borderId="0" xfId="0" applyFill="1" applyAlignment="1">
      <alignment horizontal="center" vertical="center"/>
    </xf>
    <xf numFmtId="0" fontId="4" fillId="0" borderId="1" xfId="0" applyFont="1" applyFill="1" applyBorder="1" applyAlignment="1">
      <alignment horizontal="center" vertical="center"/>
    </xf>
    <xf numFmtId="0" fontId="3" fillId="0" borderId="1" xfId="3" applyFill="1" applyBorder="1" applyAlignment="1">
      <alignment horizontal="center" vertical="center"/>
    </xf>
    <xf numFmtId="0" fontId="5"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7" fillId="0" borderId="1" xfId="0" applyFont="1" applyFill="1" applyBorder="1" applyAlignment="1">
      <alignment horizontal="center" vertical="center"/>
    </xf>
    <xf numFmtId="164" fontId="5" fillId="0" borderId="1" xfId="0" applyNumberFormat="1" applyFont="1" applyFill="1" applyBorder="1" applyAlignment="1">
      <alignment horizontal="center" vertical="center"/>
    </xf>
    <xf numFmtId="0" fontId="8" fillId="0" borderId="1" xfId="0" applyFont="1" applyFill="1" applyBorder="1" applyAlignment="1">
      <alignment horizontal="center" vertical="center"/>
    </xf>
    <xf numFmtId="0" fontId="9" fillId="0" borderId="1" xfId="0" applyFont="1" applyFill="1" applyBorder="1" applyAlignment="1">
      <alignment horizontal="center" vertical="center"/>
    </xf>
    <xf numFmtId="9" fontId="9" fillId="0" borderId="1" xfId="2" applyFont="1" applyFill="1" applyBorder="1" applyAlignment="1">
      <alignment horizontal="center" vertical="center"/>
    </xf>
    <xf numFmtId="165" fontId="9" fillId="0" borderId="1" xfId="1" applyNumberFormat="1" applyFont="1" applyFill="1" applyBorder="1" applyAlignment="1">
      <alignment horizontal="center" vertical="center"/>
    </xf>
    <xf numFmtId="165" fontId="9" fillId="0" borderId="1" xfId="0" applyNumberFormat="1" applyFont="1" applyFill="1" applyBorder="1" applyAlignment="1">
      <alignment horizontal="center"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4" xfId="0" applyFont="1" applyFill="1" applyBorder="1" applyAlignment="1">
      <alignment horizontal="center" vertical="center"/>
    </xf>
    <xf numFmtId="44" fontId="9" fillId="0" borderId="1" xfId="0" applyNumberFormat="1" applyFont="1" applyFill="1" applyBorder="1" applyAlignment="1">
      <alignment horizontal="center" vertical="center"/>
    </xf>
  </cellXfs>
  <cellStyles count="4">
    <cellStyle name="Hipervínculo" xfId="3" builtinId="8"/>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895350</xdr:colOff>
      <xdr:row>0</xdr:row>
      <xdr:rowOff>552450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571750" cy="552450"/>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mailto:MAYBE@UNE.NET.CO"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
  <sheetViews>
    <sheetView tabSelected="1" workbookViewId="0">
      <selection activeCell="D1" sqref="D1"/>
    </sheetView>
  </sheetViews>
  <sheetFormatPr baseColWidth="10" defaultColWidth="11.44140625" defaultRowHeight="14.4" x14ac:dyDescent="0.3"/>
  <cols>
    <col min="1" max="2" width="11.44140625" style="2"/>
    <col min="3" max="3" width="23.33203125" style="2" customWidth="1"/>
    <col min="4" max="4" width="11" style="2" customWidth="1"/>
    <col min="5" max="5" width="29" style="2" customWidth="1"/>
    <col min="6" max="7" width="11.44140625" style="2"/>
    <col min="8" max="8" width="20.5546875" style="2" bestFit="1" customWidth="1"/>
    <col min="9" max="9" width="14.88671875" style="2" customWidth="1"/>
    <col min="10" max="10" width="12" style="2" bestFit="1" customWidth="1"/>
    <col min="11" max="11" width="20.88671875" style="2" bestFit="1" customWidth="1"/>
  </cols>
  <sheetData>
    <row r="1" spans="1:11" ht="44.25" customHeight="1" x14ac:dyDescent="0.3"/>
    <row r="2" spans="1:11" x14ac:dyDescent="0.3">
      <c r="A2" s="3" t="s">
        <v>0</v>
      </c>
      <c r="B2" s="3"/>
      <c r="C2" s="3"/>
      <c r="D2" s="3"/>
      <c r="E2" s="3"/>
      <c r="F2" s="3"/>
      <c r="G2" s="3"/>
      <c r="H2" s="4"/>
      <c r="I2" s="4"/>
      <c r="J2" s="4"/>
      <c r="K2" s="4"/>
    </row>
    <row r="3" spans="1:11" x14ac:dyDescent="0.3">
      <c r="A3" s="3" t="s">
        <v>1</v>
      </c>
      <c r="B3" s="3"/>
      <c r="C3" s="3"/>
      <c r="D3" s="3"/>
      <c r="E3" s="3"/>
      <c r="F3" s="3"/>
      <c r="G3" s="3"/>
      <c r="H3" s="4"/>
      <c r="I3" s="4"/>
      <c r="J3" s="4"/>
      <c r="K3" s="4"/>
    </row>
    <row r="4" spans="1:11" x14ac:dyDescent="0.3">
      <c r="A4" s="5" t="s">
        <v>2</v>
      </c>
      <c r="B4" s="5"/>
      <c r="C4" s="3" t="s">
        <v>3</v>
      </c>
      <c r="D4" s="3"/>
      <c r="E4" s="3"/>
      <c r="F4" s="3"/>
      <c r="G4" s="3"/>
      <c r="H4" s="4"/>
      <c r="I4" s="4"/>
      <c r="J4" s="4"/>
      <c r="K4" s="4"/>
    </row>
    <row r="5" spans="1:11" x14ac:dyDescent="0.3">
      <c r="A5" s="5" t="s">
        <v>4</v>
      </c>
      <c r="B5" s="5"/>
      <c r="C5" s="3" t="s">
        <v>5</v>
      </c>
      <c r="D5" s="3"/>
      <c r="E5" s="3"/>
      <c r="F5" s="3"/>
      <c r="G5" s="3"/>
      <c r="H5" s="4"/>
      <c r="I5" s="4"/>
      <c r="J5" s="4"/>
      <c r="K5" s="4"/>
    </row>
    <row r="6" spans="1:11" x14ac:dyDescent="0.3">
      <c r="A6" s="5" t="s">
        <v>6</v>
      </c>
      <c r="B6" s="5"/>
      <c r="C6" s="3" t="s">
        <v>7</v>
      </c>
      <c r="D6" s="3"/>
      <c r="E6" s="3"/>
      <c r="F6" s="3"/>
      <c r="G6" s="3"/>
      <c r="H6" s="4"/>
      <c r="I6" s="4"/>
      <c r="J6" s="4"/>
      <c r="K6" s="4"/>
    </row>
    <row r="7" spans="1:11" x14ac:dyDescent="0.3">
      <c r="A7" s="5" t="s">
        <v>8</v>
      </c>
      <c r="B7" s="5"/>
      <c r="C7" s="6" t="s">
        <v>9</v>
      </c>
      <c r="D7" s="3"/>
      <c r="E7" s="3"/>
      <c r="F7" s="3"/>
      <c r="G7" s="3"/>
      <c r="H7" s="4"/>
      <c r="I7" s="4"/>
      <c r="J7" s="4"/>
      <c r="K7" s="4"/>
    </row>
    <row r="8" spans="1:11" x14ac:dyDescent="0.3">
      <c r="A8" s="5" t="s">
        <v>10</v>
      </c>
      <c r="B8" s="5"/>
      <c r="C8" s="3" t="s">
        <v>11</v>
      </c>
      <c r="D8" s="3"/>
      <c r="E8" s="3"/>
      <c r="F8" s="3"/>
      <c r="G8" s="3"/>
      <c r="H8" s="4"/>
      <c r="I8" s="4"/>
      <c r="J8" s="4"/>
      <c r="K8" s="4"/>
    </row>
    <row r="9" spans="1:11" x14ac:dyDescent="0.3">
      <c r="A9" s="5" t="s">
        <v>12</v>
      </c>
      <c r="B9" s="5"/>
      <c r="C9" s="3" t="s">
        <v>13</v>
      </c>
      <c r="D9" s="3"/>
      <c r="E9" s="3"/>
      <c r="F9" s="3"/>
      <c r="G9" s="3"/>
      <c r="H9" s="4"/>
      <c r="I9" s="4"/>
      <c r="J9" s="4"/>
      <c r="K9" s="4"/>
    </row>
    <row r="10" spans="1:11" x14ac:dyDescent="0.3">
      <c r="A10" s="4"/>
      <c r="B10" s="4"/>
      <c r="C10" s="4"/>
      <c r="D10" s="4"/>
      <c r="E10" s="4"/>
      <c r="F10" s="4"/>
      <c r="G10" s="4"/>
      <c r="H10" s="4"/>
      <c r="I10" s="4"/>
      <c r="J10" s="4"/>
      <c r="K10" s="4"/>
    </row>
    <row r="11" spans="1:11" x14ac:dyDescent="0.3">
      <c r="A11" s="7" t="s">
        <v>14</v>
      </c>
      <c r="B11" s="7" t="s">
        <v>15</v>
      </c>
      <c r="C11" s="7" t="s">
        <v>16</v>
      </c>
      <c r="D11" s="7" t="s">
        <v>17</v>
      </c>
      <c r="E11" s="7" t="s">
        <v>18</v>
      </c>
      <c r="F11" s="7" t="s">
        <v>19</v>
      </c>
      <c r="G11" s="8" t="s">
        <v>20</v>
      </c>
      <c r="H11" s="9" t="s">
        <v>21</v>
      </c>
      <c r="I11" s="7" t="s">
        <v>22</v>
      </c>
      <c r="J11" s="7" t="s">
        <v>23</v>
      </c>
      <c r="K11" s="10" t="s">
        <v>24</v>
      </c>
    </row>
    <row r="12" spans="1:11" x14ac:dyDescent="0.3">
      <c r="A12" s="11">
        <v>1</v>
      </c>
      <c r="B12" s="12">
        <v>32151705</v>
      </c>
      <c r="C12" s="12" t="s">
        <v>25</v>
      </c>
      <c r="D12" s="12" t="s">
        <v>26</v>
      </c>
      <c r="E12" s="12"/>
      <c r="F12" s="12" t="s">
        <v>27</v>
      </c>
      <c r="G12" s="12">
        <v>1</v>
      </c>
      <c r="H12" s="1">
        <v>34743.94</v>
      </c>
      <c r="I12" s="13">
        <v>0.19</v>
      </c>
      <c r="J12" s="14">
        <f>H12*I12</f>
        <v>6601.3486000000003</v>
      </c>
      <c r="K12" s="15">
        <f>H12+J12</f>
        <v>41345.2886</v>
      </c>
    </row>
    <row r="13" spans="1:11" x14ac:dyDescent="0.3">
      <c r="A13" s="11">
        <v>2</v>
      </c>
      <c r="B13" s="12">
        <v>32151705</v>
      </c>
      <c r="C13" s="12" t="s">
        <v>25</v>
      </c>
      <c r="D13" s="12" t="s">
        <v>28</v>
      </c>
      <c r="E13" s="12"/>
      <c r="F13" s="12" t="s">
        <v>27</v>
      </c>
      <c r="G13" s="12">
        <v>1</v>
      </c>
      <c r="H13" s="1">
        <v>170090.76</v>
      </c>
      <c r="I13" s="13">
        <v>0.19</v>
      </c>
      <c r="J13" s="14">
        <f t="shared" ref="J13:J43" si="0">H13*I13</f>
        <v>32317.244400000003</v>
      </c>
      <c r="K13" s="15">
        <f t="shared" ref="K13:K43" si="1">H13+J13</f>
        <v>202408.00440000001</v>
      </c>
    </row>
    <row r="14" spans="1:11" x14ac:dyDescent="0.3">
      <c r="A14" s="11">
        <v>3</v>
      </c>
      <c r="B14" s="12">
        <v>43211902</v>
      </c>
      <c r="C14" s="12" t="s">
        <v>29</v>
      </c>
      <c r="D14" s="12" t="s">
        <v>30</v>
      </c>
      <c r="E14" s="12"/>
      <c r="F14" s="12" t="s">
        <v>27</v>
      </c>
      <c r="G14" s="12">
        <v>1</v>
      </c>
      <c r="H14" s="1">
        <v>43983.38</v>
      </c>
      <c r="I14" s="13">
        <v>0.19</v>
      </c>
      <c r="J14" s="14">
        <f t="shared" si="0"/>
        <v>8356.8421999999991</v>
      </c>
      <c r="K14" s="15">
        <f t="shared" si="1"/>
        <v>52340.222199999997</v>
      </c>
    </row>
    <row r="15" spans="1:11" x14ac:dyDescent="0.3">
      <c r="A15" s="11">
        <v>4</v>
      </c>
      <c r="B15" s="12">
        <v>43211903</v>
      </c>
      <c r="C15" s="12" t="s">
        <v>31</v>
      </c>
      <c r="D15" s="12" t="s">
        <v>32</v>
      </c>
      <c r="E15" s="12"/>
      <c r="F15" s="12" t="s">
        <v>27</v>
      </c>
      <c r="G15" s="12">
        <v>1</v>
      </c>
      <c r="H15" s="1">
        <v>89436.76</v>
      </c>
      <c r="I15" s="13">
        <v>0.19</v>
      </c>
      <c r="J15" s="14">
        <f t="shared" si="0"/>
        <v>16992.984399999998</v>
      </c>
      <c r="K15" s="15">
        <f t="shared" si="1"/>
        <v>106429.7444</v>
      </c>
    </row>
    <row r="16" spans="1:11" x14ac:dyDescent="0.3">
      <c r="A16" s="11">
        <v>5</v>
      </c>
      <c r="B16" s="12">
        <v>32101630</v>
      </c>
      <c r="C16" s="12" t="s">
        <v>33</v>
      </c>
      <c r="D16" s="12" t="s">
        <v>34</v>
      </c>
      <c r="E16" s="12"/>
      <c r="F16" s="12" t="s">
        <v>27</v>
      </c>
      <c r="G16" s="12">
        <v>1</v>
      </c>
      <c r="H16" s="1">
        <v>104782.58</v>
      </c>
      <c r="I16" s="13">
        <v>0.19</v>
      </c>
      <c r="J16" s="14">
        <f t="shared" si="0"/>
        <v>19908.690200000001</v>
      </c>
      <c r="K16" s="15">
        <f t="shared" si="1"/>
        <v>124691.2702</v>
      </c>
    </row>
    <row r="17" spans="1:11" x14ac:dyDescent="0.3">
      <c r="A17" s="11">
        <v>6</v>
      </c>
      <c r="B17" s="12">
        <v>26111706</v>
      </c>
      <c r="C17" s="12" t="s">
        <v>35</v>
      </c>
      <c r="D17" s="12" t="s">
        <v>36</v>
      </c>
      <c r="E17" s="12"/>
      <c r="F17" s="12" t="s">
        <v>27</v>
      </c>
      <c r="G17" s="12">
        <v>1</v>
      </c>
      <c r="H17" s="1">
        <v>35022.26</v>
      </c>
      <c r="I17" s="13">
        <v>0.19</v>
      </c>
      <c r="J17" s="14">
        <f t="shared" si="0"/>
        <v>6654.2294000000002</v>
      </c>
      <c r="K17" s="15">
        <f t="shared" si="1"/>
        <v>41676.489400000006</v>
      </c>
    </row>
    <row r="18" spans="1:11" x14ac:dyDescent="0.3">
      <c r="A18" s="11">
        <v>7</v>
      </c>
      <c r="B18" s="12">
        <v>26111706</v>
      </c>
      <c r="C18" s="12" t="s">
        <v>37</v>
      </c>
      <c r="D18" s="12" t="s">
        <v>38</v>
      </c>
      <c r="E18" s="12"/>
      <c r="F18" s="12" t="s">
        <v>27</v>
      </c>
      <c r="G18" s="12">
        <v>1</v>
      </c>
      <c r="H18" s="1">
        <v>86469.32</v>
      </c>
      <c r="I18" s="13">
        <v>0.19</v>
      </c>
      <c r="J18" s="14">
        <f t="shared" si="0"/>
        <v>16429.1708</v>
      </c>
      <c r="K18" s="15">
        <f t="shared" si="1"/>
        <v>102898.4908</v>
      </c>
    </row>
    <row r="19" spans="1:11" x14ac:dyDescent="0.3">
      <c r="A19" s="11">
        <v>8</v>
      </c>
      <c r="B19" s="12">
        <v>46191612</v>
      </c>
      <c r="C19" s="12" t="s">
        <v>39</v>
      </c>
      <c r="D19" s="12" t="s">
        <v>40</v>
      </c>
      <c r="E19" s="12"/>
      <c r="F19" s="12" t="s">
        <v>27</v>
      </c>
      <c r="G19" s="12">
        <v>1</v>
      </c>
      <c r="H19" s="1">
        <v>45886.54</v>
      </c>
      <c r="I19" s="13">
        <v>0.19</v>
      </c>
      <c r="J19" s="14">
        <f t="shared" si="0"/>
        <v>8718.4426000000003</v>
      </c>
      <c r="K19" s="15">
        <f t="shared" si="1"/>
        <v>54604.982600000003</v>
      </c>
    </row>
    <row r="20" spans="1:11" x14ac:dyDescent="0.3">
      <c r="A20" s="11">
        <v>9</v>
      </c>
      <c r="B20" s="12">
        <v>32151705</v>
      </c>
      <c r="C20" s="12" t="s">
        <v>25</v>
      </c>
      <c r="D20" s="12" t="s">
        <v>41</v>
      </c>
      <c r="E20" s="12"/>
      <c r="F20" s="12" t="s">
        <v>27</v>
      </c>
      <c r="G20" s="12">
        <v>1</v>
      </c>
      <c r="H20" s="1">
        <v>102907.84</v>
      </c>
      <c r="I20" s="13">
        <v>0.19</v>
      </c>
      <c r="J20" s="14">
        <f t="shared" si="0"/>
        <v>19552.489600000001</v>
      </c>
      <c r="K20" s="15">
        <f t="shared" si="1"/>
        <v>122460.3296</v>
      </c>
    </row>
    <row r="21" spans="1:11" x14ac:dyDescent="0.3">
      <c r="A21" s="11">
        <v>10</v>
      </c>
      <c r="B21" s="12">
        <v>39131700</v>
      </c>
      <c r="C21" s="12" t="s">
        <v>42</v>
      </c>
      <c r="D21" s="12" t="s">
        <v>43</v>
      </c>
      <c r="E21" s="12"/>
      <c r="F21" s="12" t="s">
        <v>27</v>
      </c>
      <c r="G21" s="12">
        <v>1</v>
      </c>
      <c r="H21" s="1">
        <v>10621.24</v>
      </c>
      <c r="I21" s="13">
        <v>0.19</v>
      </c>
      <c r="J21" s="14">
        <f t="shared" si="0"/>
        <v>2018.0355999999999</v>
      </c>
      <c r="K21" s="15">
        <f t="shared" si="1"/>
        <v>12639.275599999999</v>
      </c>
    </row>
    <row r="22" spans="1:11" x14ac:dyDescent="0.3">
      <c r="A22" s="11">
        <v>11</v>
      </c>
      <c r="B22" s="12">
        <v>43222609</v>
      </c>
      <c r="C22" s="12" t="s">
        <v>44</v>
      </c>
      <c r="D22" s="12" t="s">
        <v>45</v>
      </c>
      <c r="E22" s="12"/>
      <c r="F22" s="12" t="s">
        <v>27</v>
      </c>
      <c r="G22" s="12">
        <v>1</v>
      </c>
      <c r="H22" s="1">
        <v>321908.44</v>
      </c>
      <c r="I22" s="13">
        <v>0.19</v>
      </c>
      <c r="J22" s="14">
        <f t="shared" si="0"/>
        <v>61162.603600000002</v>
      </c>
      <c r="K22" s="15">
        <f t="shared" si="1"/>
        <v>383071.04359999998</v>
      </c>
    </row>
    <row r="23" spans="1:11" x14ac:dyDescent="0.3">
      <c r="A23" s="11">
        <v>12</v>
      </c>
      <c r="B23" s="12">
        <v>20122902</v>
      </c>
      <c r="C23" s="12" t="s">
        <v>46</v>
      </c>
      <c r="D23" s="12" t="s">
        <v>47</v>
      </c>
      <c r="E23" s="12"/>
      <c r="F23" s="12" t="s">
        <v>27</v>
      </c>
      <c r="G23" s="12">
        <v>1</v>
      </c>
      <c r="H23" s="1">
        <v>29308.86</v>
      </c>
      <c r="I23" s="13">
        <v>0.19</v>
      </c>
      <c r="J23" s="14">
        <f t="shared" si="0"/>
        <v>5568.6833999999999</v>
      </c>
      <c r="K23" s="15">
        <f t="shared" si="1"/>
        <v>34877.543400000002</v>
      </c>
    </row>
    <row r="24" spans="1:11" x14ac:dyDescent="0.3">
      <c r="A24" s="11">
        <v>13</v>
      </c>
      <c r="B24" s="12">
        <v>20122902</v>
      </c>
      <c r="C24" s="12" t="s">
        <v>46</v>
      </c>
      <c r="D24" s="12" t="s">
        <v>48</v>
      </c>
      <c r="E24" s="12"/>
      <c r="F24" s="12" t="s">
        <v>27</v>
      </c>
      <c r="G24" s="12">
        <v>1</v>
      </c>
      <c r="H24" s="1">
        <v>112427.56</v>
      </c>
      <c r="I24" s="13">
        <v>0.19</v>
      </c>
      <c r="J24" s="14">
        <f t="shared" si="0"/>
        <v>21361.236400000002</v>
      </c>
      <c r="K24" s="15">
        <f t="shared" si="1"/>
        <v>133788.79639999999</v>
      </c>
    </row>
    <row r="25" spans="1:11" x14ac:dyDescent="0.3">
      <c r="A25" s="11">
        <v>14</v>
      </c>
      <c r="B25" s="12">
        <v>41111928</v>
      </c>
      <c r="C25" s="12" t="s">
        <v>46</v>
      </c>
      <c r="D25" s="12" t="s">
        <v>49</v>
      </c>
      <c r="E25" s="12"/>
      <c r="F25" s="12" t="s">
        <v>27</v>
      </c>
      <c r="G25" s="12">
        <v>1</v>
      </c>
      <c r="H25" s="1">
        <v>166226.62</v>
      </c>
      <c r="I25" s="13">
        <v>0.19</v>
      </c>
      <c r="J25" s="14">
        <f t="shared" si="0"/>
        <v>31583.057799999999</v>
      </c>
      <c r="K25" s="15">
        <f t="shared" si="1"/>
        <v>197809.6778</v>
      </c>
    </row>
    <row r="26" spans="1:11" x14ac:dyDescent="0.3">
      <c r="A26" s="11">
        <v>15</v>
      </c>
      <c r="B26" s="12">
        <v>39121801</v>
      </c>
      <c r="C26" s="12" t="s">
        <v>50</v>
      </c>
      <c r="D26" s="12" t="s">
        <v>51</v>
      </c>
      <c r="E26" s="12"/>
      <c r="F26" s="12" t="s">
        <v>27</v>
      </c>
      <c r="G26" s="12">
        <v>1</v>
      </c>
      <c r="H26" s="1">
        <v>18076.099999999999</v>
      </c>
      <c r="I26" s="13">
        <v>0.19</v>
      </c>
      <c r="J26" s="14">
        <f t="shared" si="0"/>
        <v>3434.4589999999998</v>
      </c>
      <c r="K26" s="15">
        <f t="shared" si="1"/>
        <v>21510.558999999997</v>
      </c>
    </row>
    <row r="27" spans="1:11" x14ac:dyDescent="0.3">
      <c r="A27" s="11">
        <v>16</v>
      </c>
      <c r="B27" s="12">
        <v>43211903</v>
      </c>
      <c r="C27" s="12" t="s">
        <v>52</v>
      </c>
      <c r="D27" s="12" t="s">
        <v>53</v>
      </c>
      <c r="E27" s="12"/>
      <c r="F27" s="12" t="s">
        <v>27</v>
      </c>
      <c r="G27" s="12">
        <v>1</v>
      </c>
      <c r="H27" s="1">
        <v>114414.02</v>
      </c>
      <c r="I27" s="13">
        <v>0.19</v>
      </c>
      <c r="J27" s="14">
        <f t="shared" si="0"/>
        <v>21738.663800000002</v>
      </c>
      <c r="K27" s="15">
        <f t="shared" si="1"/>
        <v>136152.6838</v>
      </c>
    </row>
    <row r="28" spans="1:11" x14ac:dyDescent="0.3">
      <c r="A28" s="11">
        <v>17</v>
      </c>
      <c r="B28" s="12">
        <v>43211902</v>
      </c>
      <c r="C28" s="12" t="s">
        <v>54</v>
      </c>
      <c r="D28" s="12" t="s">
        <v>55</v>
      </c>
      <c r="E28" s="12"/>
      <c r="F28" s="12" t="s">
        <v>27</v>
      </c>
      <c r="G28" s="12">
        <v>1</v>
      </c>
      <c r="H28" s="1">
        <v>174979.98</v>
      </c>
      <c r="I28" s="13">
        <v>0.19</v>
      </c>
      <c r="J28" s="14">
        <f t="shared" si="0"/>
        <v>33246.196200000006</v>
      </c>
      <c r="K28" s="15">
        <f t="shared" si="1"/>
        <v>208226.17620000002</v>
      </c>
    </row>
    <row r="29" spans="1:11" x14ac:dyDescent="0.3">
      <c r="A29" s="11">
        <v>18</v>
      </c>
      <c r="B29" s="12">
        <v>32101622</v>
      </c>
      <c r="C29" s="12" t="s">
        <v>56</v>
      </c>
      <c r="D29" s="12" t="s">
        <v>57</v>
      </c>
      <c r="E29" s="12"/>
      <c r="F29" s="12" t="s">
        <v>27</v>
      </c>
      <c r="G29" s="12">
        <v>1</v>
      </c>
      <c r="H29" s="1">
        <v>108614.38</v>
      </c>
      <c r="I29" s="13">
        <v>0.19</v>
      </c>
      <c r="J29" s="14">
        <f t="shared" si="0"/>
        <v>20636.732200000002</v>
      </c>
      <c r="K29" s="15">
        <f t="shared" si="1"/>
        <v>129251.1122</v>
      </c>
    </row>
    <row r="30" spans="1:11" x14ac:dyDescent="0.3">
      <c r="A30" s="11">
        <v>19</v>
      </c>
      <c r="B30" s="12">
        <v>43211617</v>
      </c>
      <c r="C30" s="12" t="s">
        <v>58</v>
      </c>
      <c r="D30" s="12" t="s">
        <v>59</v>
      </c>
      <c r="E30" s="12"/>
      <c r="F30" s="12" t="s">
        <v>27</v>
      </c>
      <c r="G30" s="12">
        <v>1</v>
      </c>
      <c r="H30" s="1">
        <v>39281.339999999997</v>
      </c>
      <c r="I30" s="13">
        <v>0.19</v>
      </c>
      <c r="J30" s="14">
        <f t="shared" si="0"/>
        <v>7463.4545999999991</v>
      </c>
      <c r="K30" s="15">
        <f t="shared" si="1"/>
        <v>46744.794599999994</v>
      </c>
    </row>
    <row r="31" spans="1:11" x14ac:dyDescent="0.3">
      <c r="A31" s="11">
        <v>20</v>
      </c>
      <c r="B31" s="12">
        <v>39121032</v>
      </c>
      <c r="C31" s="12" t="s">
        <v>60</v>
      </c>
      <c r="D31" s="12" t="s">
        <v>61</v>
      </c>
      <c r="E31" s="12"/>
      <c r="F31" s="12" t="s">
        <v>27</v>
      </c>
      <c r="G31" s="12">
        <v>1</v>
      </c>
      <c r="H31" s="1">
        <v>58147.32</v>
      </c>
      <c r="I31" s="13">
        <v>0.19</v>
      </c>
      <c r="J31" s="14">
        <f t="shared" si="0"/>
        <v>11047.9908</v>
      </c>
      <c r="K31" s="15">
        <f t="shared" si="1"/>
        <v>69195.310800000007</v>
      </c>
    </row>
    <row r="32" spans="1:11" x14ac:dyDescent="0.3">
      <c r="A32" s="11">
        <v>21</v>
      </c>
      <c r="B32" s="12">
        <v>32151703</v>
      </c>
      <c r="C32" s="12" t="s">
        <v>62</v>
      </c>
      <c r="D32" s="12" t="s">
        <v>63</v>
      </c>
      <c r="E32" s="12"/>
      <c r="F32" s="12" t="s">
        <v>27</v>
      </c>
      <c r="G32" s="12">
        <v>1</v>
      </c>
      <c r="H32" s="1">
        <v>486518.06</v>
      </c>
      <c r="I32" s="13">
        <v>0.19</v>
      </c>
      <c r="J32" s="14">
        <f t="shared" si="0"/>
        <v>92438.431400000001</v>
      </c>
      <c r="K32" s="15">
        <f t="shared" si="1"/>
        <v>578956.49139999994</v>
      </c>
    </row>
    <row r="33" spans="1:11" x14ac:dyDescent="0.3">
      <c r="A33" s="11">
        <v>22</v>
      </c>
      <c r="B33" s="12">
        <v>43211617</v>
      </c>
      <c r="C33" s="12" t="s">
        <v>64</v>
      </c>
      <c r="D33" s="12" t="s">
        <v>65</v>
      </c>
      <c r="E33" s="12"/>
      <c r="F33" s="12" t="s">
        <v>27</v>
      </c>
      <c r="G33" s="12">
        <v>1</v>
      </c>
      <c r="H33" s="1">
        <v>51009</v>
      </c>
      <c r="I33" s="13">
        <v>0.19</v>
      </c>
      <c r="J33" s="14">
        <f t="shared" si="0"/>
        <v>9691.7100000000009</v>
      </c>
      <c r="K33" s="15">
        <f t="shared" si="1"/>
        <v>60700.71</v>
      </c>
    </row>
    <row r="34" spans="1:11" x14ac:dyDescent="0.3">
      <c r="A34" s="11">
        <v>23</v>
      </c>
      <c r="B34" s="12">
        <v>43211718</v>
      </c>
      <c r="C34" s="12" t="s">
        <v>66</v>
      </c>
      <c r="D34" s="12" t="s">
        <v>67</v>
      </c>
      <c r="E34" s="12"/>
      <c r="F34" s="12" t="s">
        <v>27</v>
      </c>
      <c r="G34" s="12">
        <v>1</v>
      </c>
      <c r="H34" s="1">
        <v>345783.2</v>
      </c>
      <c r="I34" s="13">
        <v>0.19</v>
      </c>
      <c r="J34" s="14">
        <f t="shared" si="0"/>
        <v>65698.808000000005</v>
      </c>
      <c r="K34" s="15">
        <f t="shared" si="1"/>
        <v>411482.00800000003</v>
      </c>
    </row>
    <row r="35" spans="1:11" x14ac:dyDescent="0.3">
      <c r="A35" s="11">
        <v>24</v>
      </c>
      <c r="B35" s="12">
        <v>43222605</v>
      </c>
      <c r="C35" s="12" t="s">
        <v>68</v>
      </c>
      <c r="D35" s="12" t="s">
        <v>69</v>
      </c>
      <c r="E35" s="12"/>
      <c r="F35" s="12" t="s">
        <v>27</v>
      </c>
      <c r="G35" s="12">
        <v>1</v>
      </c>
      <c r="H35" s="1">
        <v>1441215.44</v>
      </c>
      <c r="I35" s="13">
        <v>0.19</v>
      </c>
      <c r="J35" s="14">
        <f t="shared" si="0"/>
        <v>273830.93359999999</v>
      </c>
      <c r="K35" s="15">
        <f t="shared" si="1"/>
        <v>1715046.3736</v>
      </c>
    </row>
    <row r="36" spans="1:11" x14ac:dyDescent="0.3">
      <c r="A36" s="11">
        <v>25</v>
      </c>
      <c r="B36" s="12">
        <v>26101205</v>
      </c>
      <c r="C36" s="12" t="s">
        <v>70</v>
      </c>
      <c r="D36" s="12" t="s">
        <v>71</v>
      </c>
      <c r="E36" s="12"/>
      <c r="F36" s="12" t="s">
        <v>27</v>
      </c>
      <c r="G36" s="12">
        <v>1</v>
      </c>
      <c r="H36" s="1">
        <v>34113.800000000003</v>
      </c>
      <c r="I36" s="13">
        <v>0.19</v>
      </c>
      <c r="J36" s="14">
        <f t="shared" si="0"/>
        <v>6481.6220000000003</v>
      </c>
      <c r="K36" s="15">
        <f t="shared" si="1"/>
        <v>40595.422000000006</v>
      </c>
    </row>
    <row r="37" spans="1:11" x14ac:dyDescent="0.3">
      <c r="A37" s="11">
        <v>26</v>
      </c>
      <c r="B37" s="12">
        <v>39121032</v>
      </c>
      <c r="C37" s="12" t="s">
        <v>72</v>
      </c>
      <c r="D37" s="12" t="s">
        <v>73</v>
      </c>
      <c r="E37" s="12"/>
      <c r="F37" s="12" t="s">
        <v>27</v>
      </c>
      <c r="G37" s="12">
        <v>1</v>
      </c>
      <c r="H37" s="1">
        <v>148811.04</v>
      </c>
      <c r="I37" s="13">
        <v>0.19</v>
      </c>
      <c r="J37" s="14">
        <f t="shared" si="0"/>
        <v>28274.097600000001</v>
      </c>
      <c r="K37" s="15">
        <f t="shared" si="1"/>
        <v>177085.13760000002</v>
      </c>
    </row>
    <row r="38" spans="1:11" x14ac:dyDescent="0.3">
      <c r="A38" s="11">
        <v>27</v>
      </c>
      <c r="B38" s="12">
        <v>39121032</v>
      </c>
      <c r="C38" s="12" t="s">
        <v>74</v>
      </c>
      <c r="D38" s="12" t="s">
        <v>75</v>
      </c>
      <c r="E38" s="12"/>
      <c r="F38" s="12" t="s">
        <v>27</v>
      </c>
      <c r="G38" s="12">
        <v>1</v>
      </c>
      <c r="H38" s="1">
        <v>26394.34</v>
      </c>
      <c r="I38" s="13">
        <v>0.19</v>
      </c>
      <c r="J38" s="14">
        <f t="shared" si="0"/>
        <v>5014.9246000000003</v>
      </c>
      <c r="K38" s="15">
        <f>H38+J38</f>
        <v>31409.264600000002</v>
      </c>
    </row>
    <row r="39" spans="1:11" x14ac:dyDescent="0.3">
      <c r="A39" s="11">
        <v>28</v>
      </c>
      <c r="B39" s="12">
        <v>43211706</v>
      </c>
      <c r="C39" s="12" t="s">
        <v>76</v>
      </c>
      <c r="D39" s="12" t="s">
        <v>77</v>
      </c>
      <c r="E39" s="12"/>
      <c r="F39" s="12" t="s">
        <v>27</v>
      </c>
      <c r="G39" s="12">
        <v>1</v>
      </c>
      <c r="H39" s="1">
        <v>28073.08</v>
      </c>
      <c r="I39" s="13">
        <v>0.19</v>
      </c>
      <c r="J39" s="14">
        <f t="shared" si="0"/>
        <v>5333.8852000000006</v>
      </c>
      <c r="K39" s="15">
        <f t="shared" si="1"/>
        <v>33406.965200000006</v>
      </c>
    </row>
    <row r="40" spans="1:11" x14ac:dyDescent="0.3">
      <c r="A40" s="11">
        <v>29</v>
      </c>
      <c r="B40" s="12">
        <v>39121032</v>
      </c>
      <c r="C40" s="12" t="s">
        <v>74</v>
      </c>
      <c r="D40" s="12" t="s">
        <v>78</v>
      </c>
      <c r="E40" s="12"/>
      <c r="F40" s="12" t="s">
        <v>27</v>
      </c>
      <c r="G40" s="12">
        <v>1</v>
      </c>
      <c r="H40" s="1">
        <v>29431.360000000001</v>
      </c>
      <c r="I40" s="13">
        <v>0.19</v>
      </c>
      <c r="J40" s="14">
        <f t="shared" si="0"/>
        <v>5591.9584000000004</v>
      </c>
      <c r="K40" s="15">
        <f t="shared" si="1"/>
        <v>35023.318400000004</v>
      </c>
    </row>
    <row r="41" spans="1:11" x14ac:dyDescent="0.3">
      <c r="A41" s="11">
        <v>30</v>
      </c>
      <c r="B41" s="12">
        <v>43211706</v>
      </c>
      <c r="C41" s="12" t="s">
        <v>76</v>
      </c>
      <c r="D41" s="12" t="s">
        <v>79</v>
      </c>
      <c r="E41" s="12"/>
      <c r="F41" s="12" t="s">
        <v>27</v>
      </c>
      <c r="G41" s="12">
        <v>1</v>
      </c>
      <c r="H41" s="1">
        <v>194187</v>
      </c>
      <c r="I41" s="13">
        <v>0.19</v>
      </c>
      <c r="J41" s="14">
        <f t="shared" si="0"/>
        <v>36895.53</v>
      </c>
      <c r="K41" s="15">
        <f t="shared" si="1"/>
        <v>231082.53</v>
      </c>
    </row>
    <row r="42" spans="1:11" x14ac:dyDescent="0.3">
      <c r="A42" s="11">
        <v>31</v>
      </c>
      <c r="B42" s="12">
        <v>43201531</v>
      </c>
      <c r="C42" s="12" t="s">
        <v>80</v>
      </c>
      <c r="D42" s="12" t="s">
        <v>81</v>
      </c>
      <c r="E42" s="12"/>
      <c r="F42" s="12"/>
      <c r="G42" s="12">
        <v>1</v>
      </c>
      <c r="H42" s="1">
        <v>581634.9</v>
      </c>
      <c r="I42" s="13">
        <v>0.19</v>
      </c>
      <c r="J42" s="14">
        <f t="shared" si="0"/>
        <v>110510.63100000001</v>
      </c>
      <c r="K42" s="15">
        <f t="shared" si="1"/>
        <v>692145.53100000008</v>
      </c>
    </row>
    <row r="43" spans="1:11" x14ac:dyDescent="0.3">
      <c r="A43" s="11">
        <v>32</v>
      </c>
      <c r="B43" s="12">
        <v>43202005</v>
      </c>
      <c r="C43" s="12" t="s">
        <v>82</v>
      </c>
      <c r="D43" s="12" t="s">
        <v>83</v>
      </c>
      <c r="E43" s="12"/>
      <c r="F43" s="12"/>
      <c r="G43" s="12">
        <v>1</v>
      </c>
      <c r="H43" s="1">
        <v>313513.76</v>
      </c>
      <c r="I43" s="13">
        <v>0.19</v>
      </c>
      <c r="J43" s="14">
        <f t="shared" si="0"/>
        <v>59567.614400000006</v>
      </c>
      <c r="K43" s="15">
        <f t="shared" si="1"/>
        <v>373081.37440000003</v>
      </c>
    </row>
    <row r="44" spans="1:11" x14ac:dyDescent="0.3">
      <c r="A44" s="16" t="s">
        <v>84</v>
      </c>
      <c r="B44" s="17"/>
      <c r="C44" s="17"/>
      <c r="D44" s="17"/>
      <c r="E44" s="17"/>
      <c r="F44" s="17"/>
      <c r="G44" s="18"/>
      <c r="H44" s="19">
        <f>SUM(H12:H43)</f>
        <v>5548014.2200000007</v>
      </c>
      <c r="I44" s="13"/>
      <c r="J44" s="14">
        <f>SUM(J12:J43)</f>
        <v>1054122.7018000002</v>
      </c>
      <c r="K44" s="15">
        <f>SUM(K12:K43)</f>
        <v>6602136.9218000025</v>
      </c>
    </row>
  </sheetData>
  <mergeCells count="15">
    <mergeCell ref="A9:B9"/>
    <mergeCell ref="C9:G9"/>
    <mergeCell ref="A44:G44"/>
    <mergeCell ref="A6:B6"/>
    <mergeCell ref="C6:G6"/>
    <mergeCell ref="A7:B7"/>
    <mergeCell ref="C7:G7"/>
    <mergeCell ref="A8:B8"/>
    <mergeCell ref="C8:G8"/>
    <mergeCell ref="A2:G2"/>
    <mergeCell ref="A3:G3"/>
    <mergeCell ref="A4:B4"/>
    <mergeCell ref="C4:G4"/>
    <mergeCell ref="A5:B5"/>
    <mergeCell ref="C5:G5"/>
  </mergeCells>
  <hyperlinks>
    <hyperlink ref="C7" r:id="rId1" xr:uid="{00000000-0004-0000-0000-000000000000}"/>
  </hyperlinks>
  <pageMargins left="0.7" right="0.7" top="0.75" bottom="0.75" header="0.3" footer="0.3"/>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santiago cano mejia</dc:creator>
  <cp:keywords/>
  <dc:description/>
  <cp:lastModifiedBy>Maribel Gil</cp:lastModifiedBy>
  <cp:revision/>
  <dcterms:created xsi:type="dcterms:W3CDTF">2024-06-13T17:17:43Z</dcterms:created>
  <dcterms:modified xsi:type="dcterms:W3CDTF">2026-10-24T01:01:44Z</dcterms:modified>
  <cp:category/>
  <cp:contentStatus/>
</cp:coreProperties>
</file>