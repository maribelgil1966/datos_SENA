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4\"/>
    </mc:Choice>
  </mc:AlternateContent>
  <xr:revisionPtr revIDLastSave="0" documentId="8_{C2311863-D198-4BA4-9E10-2863E61FA808}"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 l="1"/>
  <c r="J75" i="1"/>
  <c r="K75" i="1" s="1"/>
  <c r="K74" i="1"/>
  <c r="J74" i="1"/>
  <c r="J73" i="1"/>
  <c r="K73" i="1" s="1"/>
  <c r="J72" i="1"/>
  <c r="K72" i="1" s="1"/>
  <c r="J71" i="1"/>
  <c r="K71" i="1" s="1"/>
  <c r="K70" i="1"/>
  <c r="J70" i="1"/>
  <c r="K69" i="1"/>
  <c r="J69" i="1"/>
  <c r="J68" i="1"/>
  <c r="K68" i="1" s="1"/>
  <c r="J67" i="1"/>
  <c r="K67" i="1" s="1"/>
  <c r="K66" i="1"/>
  <c r="J66" i="1"/>
  <c r="J65" i="1"/>
  <c r="K65" i="1" s="1"/>
  <c r="J64" i="1"/>
  <c r="K64" i="1" s="1"/>
  <c r="J63" i="1"/>
  <c r="K63" i="1" s="1"/>
  <c r="K62" i="1"/>
  <c r="J62" i="1"/>
  <c r="K61" i="1"/>
  <c r="J61" i="1"/>
  <c r="J60" i="1"/>
  <c r="K60" i="1" s="1"/>
  <c r="J59" i="1"/>
  <c r="K59" i="1" s="1"/>
  <c r="K58" i="1"/>
  <c r="J58" i="1"/>
  <c r="J57" i="1"/>
  <c r="K57" i="1" s="1"/>
  <c r="J56" i="1"/>
  <c r="K56" i="1" s="1"/>
  <c r="J55" i="1"/>
  <c r="K55" i="1" s="1"/>
  <c r="K54" i="1"/>
  <c r="J54" i="1"/>
  <c r="K53" i="1"/>
  <c r="J53" i="1"/>
  <c r="J52" i="1"/>
  <c r="K52" i="1" s="1"/>
  <c r="J51" i="1"/>
  <c r="K51" i="1" s="1"/>
  <c r="K50" i="1"/>
  <c r="J50" i="1"/>
  <c r="J49" i="1"/>
  <c r="K49" i="1" s="1"/>
  <c r="J48" i="1"/>
  <c r="K48" i="1" s="1"/>
  <c r="J47" i="1"/>
  <c r="K47" i="1" s="1"/>
  <c r="K46" i="1"/>
  <c r="J46" i="1"/>
  <c r="K45" i="1"/>
  <c r="J45" i="1"/>
  <c r="J44" i="1"/>
  <c r="K44" i="1" s="1"/>
  <c r="J43" i="1"/>
  <c r="K43" i="1" s="1"/>
  <c r="K42" i="1"/>
  <c r="J42" i="1"/>
  <c r="J41" i="1"/>
  <c r="K41" i="1" s="1"/>
  <c r="J40" i="1"/>
  <c r="K40" i="1" s="1"/>
  <c r="J39" i="1"/>
  <c r="K39" i="1" s="1"/>
  <c r="K38" i="1"/>
  <c r="J38" i="1"/>
  <c r="K37" i="1"/>
  <c r="J37" i="1"/>
  <c r="J36" i="1"/>
  <c r="K36" i="1" s="1"/>
  <c r="J35" i="1"/>
  <c r="K35" i="1" s="1"/>
  <c r="K34" i="1"/>
  <c r="J34" i="1"/>
  <c r="J33" i="1"/>
  <c r="K33" i="1" s="1"/>
  <c r="J32" i="1"/>
  <c r="K32" i="1" s="1"/>
  <c r="J31" i="1"/>
  <c r="K31" i="1" s="1"/>
  <c r="K30" i="1"/>
  <c r="J30" i="1"/>
  <c r="K29" i="1"/>
  <c r="J29" i="1"/>
  <c r="J28" i="1"/>
  <c r="K28" i="1" s="1"/>
  <c r="J27" i="1"/>
  <c r="K27" i="1" s="1"/>
  <c r="K26" i="1"/>
  <c r="J26" i="1"/>
  <c r="J25" i="1"/>
  <c r="K25" i="1" s="1"/>
  <c r="J24" i="1"/>
  <c r="K24" i="1" s="1"/>
  <c r="J23" i="1"/>
  <c r="K23" i="1" s="1"/>
  <c r="K22" i="1"/>
  <c r="J22" i="1"/>
  <c r="K21" i="1"/>
  <c r="J21" i="1"/>
  <c r="J20" i="1"/>
  <c r="K20" i="1" s="1"/>
  <c r="J19" i="1"/>
  <c r="K19" i="1" s="1"/>
  <c r="K18" i="1"/>
  <c r="J18" i="1"/>
  <c r="J17" i="1"/>
  <c r="K17" i="1" s="1"/>
  <c r="J16" i="1"/>
  <c r="K16" i="1" s="1"/>
  <c r="J15" i="1"/>
  <c r="K15" i="1" s="1"/>
  <c r="K14" i="1"/>
  <c r="J14" i="1"/>
  <c r="K13" i="1"/>
  <c r="J13" i="1"/>
  <c r="J12" i="1"/>
  <c r="K12" i="1" s="1"/>
  <c r="K76" i="1" l="1"/>
  <c r="J7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s>
  <commentList>
    <comment ref="I11" authorId="0" shapeId="0" xr:uid="{00000000-0006-0000-0000-000001000000}">
      <text>
        <r>
          <rPr>
            <b/>
            <sz val="9"/>
            <color indexed="81"/>
            <rFont val="Tahoma"/>
            <family val="2"/>
          </rPr>
          <t>Nikkel:</t>
        </r>
        <r>
          <rPr>
            <sz val="9"/>
            <color indexed="81"/>
            <rFont val="Tahoma"/>
            <family val="2"/>
          </rPr>
          <t xml:space="preserve">
Anotar el valor directo , sin el formato (%)
</t>
        </r>
      </text>
    </comment>
  </commentList>
</comments>
</file>

<file path=xl/sharedStrings.xml><?xml version="1.0" encoding="utf-8"?>
<sst xmlns="http://schemas.openxmlformats.org/spreadsheetml/2006/main" count="351" uniqueCount="188">
  <si>
    <t>OFERTA ECONOMICA</t>
  </si>
  <si>
    <t>LOTE 5 SEGURIDAD Y SALUD EN EL TRABAJO</t>
  </si>
  <si>
    <t>Nombre de la empresa</t>
  </si>
  <si>
    <t>SUMINISTROS MAYBE S.A.S.</t>
  </si>
  <si>
    <t>NIT:</t>
  </si>
  <si>
    <t>800154801-6</t>
  </si>
  <si>
    <t>Nombre de contacto:</t>
  </si>
  <si>
    <t>LUZ MARINA MEJIA PEREZ</t>
  </si>
  <si>
    <t>Correo electrónico:</t>
  </si>
  <si>
    <t>MAYBE@UNE.NET.CO</t>
  </si>
  <si>
    <t xml:space="preserve">Referencia: </t>
  </si>
  <si>
    <t>Proceso No. SASI-ANT-CDMC-0042-2024</t>
  </si>
  <si>
    <t>Objeto:</t>
  </si>
  <si>
    <t>5_9201_191 suministro de materiales de formación e insumos que se requieren para la ejecución de los diferentes programas y proyectos impartidos por el centro del diseño y manufactura del cuero.</t>
  </si>
  <si>
    <t>Item</t>
  </si>
  <si>
    <t>Código</t>
  </si>
  <si>
    <t>Producto</t>
  </si>
  <si>
    <t>Descripción</t>
  </si>
  <si>
    <t>Unidad de medida</t>
  </si>
  <si>
    <t>Presentación</t>
  </si>
  <si>
    <t>Cantidad</t>
  </si>
  <si>
    <t xml:space="preserve">Valor Unitario sin IVA </t>
  </si>
  <si>
    <t>Valor del IVA (%)</t>
  </si>
  <si>
    <t xml:space="preserve">Valor  IVA </t>
  </si>
  <si>
    <t>Valor unitario  con IVA</t>
  </si>
  <si>
    <t>52101510 </t>
  </si>
  <si>
    <t>Alfombra de Entrenamiento de Levantamiento Manual de Cargas </t>
  </si>
  <si>
    <t>Descubre la innovadora Alfombra de Levantamiento de Cargas. Mejora tus capacitaciones en ergonomía y cuidado de la espalda. Entrenamiento dinámico y visual. Enseña a proteger la espalda y prevenir lesiones. </t>
  </si>
  <si>
    <t>unidad </t>
  </si>
  <si>
    <t>Unidad </t>
  </si>
  <si>
    <t>46182306 </t>
  </si>
  <si>
    <r>
      <t>ARNÉS CON FAJA LUMBAR STEELPRO</t>
    </r>
    <r>
      <rPr>
        <sz val="11"/>
        <color rgb="FF232323"/>
        <rFont val="Aptos Narrow"/>
        <family val="2"/>
        <scheme val="minor"/>
      </rPr>
      <t> </t>
    </r>
  </si>
  <si>
    <t>ARNÉS CON FAJA LUMBAR, El arnés multipropósito con faja lumbar 500863 sistema ajustable de talla M a XL. reatas en poliamida de alta duración. Argollas en D distribuidas en: 1 argolla dorsal. 1 argolla pectoral. 2 argollas de posicionamiento. Todas las argollas están fabricadas en acero reforzado de alta resistencia 22.5 Kn y sus 5 hebillas de ajuste correspondientes. El soporte lumbar ofrece un gran confort para actividades de suspensión o laborares de larga duración en posiciones incomodas. Almohadillas en U para un mejor soporte en los hombros y evitar el rose directo de las reatas alrededor del cuello y los hombros. Capacidad máxima 140 Kg Reatas de Poliéster de 45 mm. Hebillas de ajuste distribuidas en pecho – piernas – torso. Posee sistema de indicación para poder verificar si el equipo ha sufrido algún uso en riesgo o detención de alguna caída. El ticket de verificación cuenta con sistema de protección para prolongar la vida útil de las misma y poder disponer de dicha información constantemente. Detención de caída – ascenso y descenso – restricción de caída. Certificación OSHA 1926. ANSI Z359.1-2007.ANSI A10.32-2010 </t>
  </si>
  <si>
    <t>Unidad  </t>
  </si>
  <si>
    <t>46181600 </t>
  </si>
  <si>
    <r>
      <t>BOTAS DE SEGURIDAD </t>
    </r>
    <r>
      <rPr>
        <sz val="11"/>
        <color rgb="FF232323"/>
        <rFont val="Aptos Narrow"/>
        <family val="2"/>
        <scheme val="minor"/>
      </rPr>
      <t> </t>
    </r>
  </si>
  <si>
    <t>Bota de seguridad dieléctrica. Bota de seguridad negra. Bota saga 2021E, Puntera: composite dieléctrica. Calibre 1.8 - 2.0 mm. Elaborada en tejido de punto 100% poliéster texturizado con suplemento en espuma calibre 4 mm, abullonado con lámina de espuma de polietileno calibre 8 mm y tela no tejida 100% poliéster que proporciona comodidad al zapato. Ojales: Redondos en material plástico. Plantilla:1,5mm, antihongos, Anatómica en poliuretano, removible, con soporte calcáneo y perforaciones para reducir la transpiración. Cinta reflectaba entre costuras del talón para trabajos en lugares con poca luminosidad. Parte superior del tobillo en alta comodidad con tres soportes. </t>
  </si>
  <si>
    <t>Par </t>
  </si>
  <si>
    <t>24112401 </t>
  </si>
  <si>
    <r>
      <t>Cajas para Herramientas 58 cm con Ruedas y Mango</t>
    </r>
    <r>
      <rPr>
        <sz val="11"/>
        <color rgb="FF333333"/>
        <rFont val="Aptos Narrow"/>
        <family val="2"/>
        <scheme val="minor"/>
      </rPr>
      <t> </t>
    </r>
  </si>
  <si>
    <t>Especificaciones: Tipo Caja de herramientas. Cierre Clip. Material Polipropileno. Características: Cubierta superior con 3 áreas de almacenamiento, Fabricada en polipropileno de alto impacto, Puede colocarse candado, Permite colocar candado, Mango de alta resistencia y para fácil transporte, Modelo ancho para mayor capacidad, Contiene 1 bandeja de plástico, Es liviana y lavable </t>
  </si>
  <si>
    <t>46180000 </t>
  </si>
  <si>
    <t>CARETA DE SOLDADURA </t>
  </si>
  <si>
    <t>parte posterior. Lentes para absorber el 99.9% de la radiación o también llamada rayos UV. Parte frontal el arnés con almohadilla para el sudor removible para ser limpiada. Certificaciones. EN175S. EN379. ANSI Z87.1 </t>
  </si>
  <si>
    <t>CARETA EN MALLA </t>
  </si>
  <si>
    <t>Careta de protección en malla. Careta en malla. Careta para guadañar, Visor levantable con doble ajuste tanto en altura e inclinación posterior para ofrecer confort en puntos principales. Presenta pines de ajuste personalizables con diferentes visores. Color naranja casquete. Anzi Z87.1+ EN166A EN1731S IRAM </t>
  </si>
  <si>
    <t>Careta para altas temperaturas </t>
  </si>
  <si>
    <t>El visor está diseñado especialmente para la protección visual directa. Protección contra partículas – radiación infrarroja – refracción del calor. 
Visor en policarbonato En 5.0 IR. disminuye la temperatura directa que recibe en la parte frontal, ofreciendo así un mayor confort para trabajos directos. Múltiples sujetadores superiores para mantener el visor sin producir movimiento o efecto cóncavo. Filtración UV 99.9 %. La careta 5.0 IR es usa en diferentes áreas como son: Metalmecánicos – corte y múltiples pulidos – fundición -hornos – minería – pintura – talleres automotrices – corte de plasma. Visor 2.25 - 2,5 mm de espesor. Soporte de casquete color gris oscuro. Visor IR 5.0 Verde oscuro. Certificación: ANSI Z87.1 2010 </t>
  </si>
  <si>
    <t>Careta para altas temperaturas dorado </t>
  </si>
  <si>
    <t>El visor está diseñado especialmente para la protección visual directa. Protección contra partículas – radiación infrarroja – refracción del calor. 
Visor dorado en policarbonato en 5.0 IR. El visor disminuye la temperatura directa que recibe en la parte frontal, ofreciendo así un mayor confort para trabajos directos. Múltiples sujetadores superiores para mantener el visor sin producir movimiento o efecto cóncavo. Filtración UV 99.9 %. La careta  5.0 IR es usa en diferentes áreas como son: 
Metalmecánicos – corte y múltiples pulidos – fundición -hornos – minería – pintura – talleres automotrices – corte de plasma. Visor 2.25 - 2,5 mm de espesor. Soporte de casquete color gris oscuro. Visor IR 5.0 Dorado. Certificación: ANSI Z87.1 2010 </t>
  </si>
  <si>
    <t>46182000 </t>
  </si>
  <si>
    <t>CARTUCHOS PARA AMONIACO - METILAMINA </t>
  </si>
  <si>
    <t>Cartucho para amoniaco - metilamina.  </t>
  </si>
  <si>
    <t>46181700 </t>
  </si>
  <si>
    <r>
      <t>CASCO PARA ALTURAS</t>
    </r>
    <r>
      <rPr>
        <sz val="11"/>
        <color rgb="FF232323"/>
        <rFont val="Aptos Narrow"/>
        <family val="2"/>
        <scheme val="minor"/>
      </rPr>
      <t> </t>
    </r>
  </si>
  <si>
    <t>Casco para alturas de alto rendimiento. CARACTERISTICAS: Fácil manejo. Material plástico de alta resistencia. Modelo de soporte para fácil ajuste. Material resistente a caídas / golpes  Trabajos en alturas, PRESENTACIÓN Bolsa plástica. Desde una unidad. CARACTERÍSTICAS TÉCNICAS / CERTIFICACIONES: Tafilete - araña de 6 apoyos. Barbuquejo de 4 puntos de sujeción Peso: 460 g. Aprobación / certificación CE EN 397+ LD / EN 166:2001 /1995 + A1:2000 </t>
  </si>
  <si>
    <t>46181507 </t>
  </si>
  <si>
    <t>Chaleco Reflectivo  </t>
  </si>
  <si>
    <t>Chaleco en color naranja y verde fluorescente. Cuenta con dos bandas Fluorescentes a su alrededor.  </t>
  </si>
  <si>
    <t>46181518 </t>
  </si>
  <si>
    <t>Chaqueta Ignífuga de 1 capa </t>
  </si>
  <si>
    <t>4 bolsillos frontales con solapa sobredimensionada para una apertura fácil con guantes. Bolsillo frontal, izquierdo superior adaptado para emisoras portátiles. Velcro, para identificación en el pecho. Argolla de enganche para petate de emisora a la altura del hombro. Bolsillo porta emisoras. Puños ajustables mediante Velcro® exterior. Cuello sobre elevado en la parte posterior para protección de la nuca. Solapa cubre cuello ajustable con velcro®. Cremallera central de apertura rápida de seguridad y sistema abre fácil. Bandas reflectantes de alta visibilidad en frontal, brazos y espalda. Forro completo para una alta protección en ataque directo y rozaduras </t>
  </si>
  <si>
    <t>24112403 </t>
  </si>
  <si>
    <t>Cinturón Porta Herramientas  </t>
  </si>
  <si>
    <t>Múltiples bolsillos y almacenamiento para martillo. • Cinturón ajustable y espaldar acolchado para mayor comodidad. • Resistente, fuerte y duradera • Múltiples tamaños de bolsillos • Proporciona una máxima organización de herramientas y piezas pequeñas • Tamaño y estructura de los bolsillos permite un fácil acceso • Gancho para martillo integrado • Diseñado para llevar en la parte del frente del cuerpo Especificaciones técnicas: » Bolsillos: 11 » Largo: 55 pulg (1397 mm) » Altura: 10-1/4 pulg (260.3 mm) Herramienta manual para uso profesional,  </t>
  </si>
  <si>
    <t>46181604 </t>
  </si>
  <si>
    <r>
      <t>Cubre botas caña alta </t>
    </r>
    <r>
      <rPr>
        <sz val="11"/>
        <color rgb="FF232323"/>
        <rFont val="Aptos Narrow"/>
        <family val="2"/>
        <scheme val="minor"/>
      </rPr>
      <t> </t>
    </r>
  </si>
  <si>
    <t>Cubre botas. Cubre botas caña alta. Cierre en liga plástica de alta resistencia. Botas en polietileno transparente, CARACTERÍSTICAS TÉCNICAS / CERTIFICACIONES: Cubre botas plástico para evitar la filtración de líquidos o material microparticulado. Material polipropileno. Presentación bolsa plástica por 10 unidades. Diseño ambidiestro. Zapatones plásticos Calibre 0.05. Terminación resortada. 100% impermeable. </t>
  </si>
  <si>
    <t>Bolsa x 10 unidades </t>
  </si>
  <si>
    <t>42172001 </t>
  </si>
  <si>
    <t>CUELLO ORTOPEDICO MULTI TALLA </t>
  </si>
  <si>
    <t>Cuello multi talla. Collarín multi talla. Cuello ortopédico. Cuello ortopédico ajustable, Los ajustes en talla son S M L. Ofrece 4 formas de collares para adulto y 3 para niños. El múltiple ajuste permite el uso en personas y pediátricos, sujetadores de ajuste en velcro. Doble botón de push to look en cada lateral. Para aplicar el bloqueo del cuello. </t>
  </si>
  <si>
    <r>
      <t>Filtro para material particulado</t>
    </r>
    <r>
      <rPr>
        <sz val="11"/>
        <color rgb="FF232323"/>
        <rFont val="Aptos Narrow"/>
        <family val="2"/>
        <scheme val="minor"/>
      </rPr>
      <t> </t>
    </r>
  </si>
  <si>
    <t>CARACTERISTICAS: Filtro para material particulado. Color de gris. Etiqueta en fucsia con amarillo. Peso aproximado por pieza 44 gramos. Puede ser limpiado por toallas antisépticas y descontaminado. </t>
  </si>
  <si>
    <t>46181811 </t>
  </si>
  <si>
    <r>
      <t>GAFA DE SEGURDAD </t>
    </r>
    <r>
      <rPr>
        <sz val="11"/>
        <color rgb="FF232323"/>
        <rFont val="Aptos Narrow"/>
        <family val="2"/>
        <scheme val="minor"/>
      </rPr>
      <t> </t>
    </r>
  </si>
  <si>
    <t>Gafas de seguridad. CARACTERÍSTICAS: Instalación básica. Completamente aseguradas para evitar que se desprendan. Material resistente a caídas. Protección visual de alto nivel. Placa de color = negro. Lente compuesto en policarbonato. Soporte facial en espuma suave y sellada PRESENTACIÓN: Tipo bolsa. Desde una unidad. CARACTERÍSTICAS TÉCNICAS / CERTIFICACIONES. Protección de alto nivel. Color = negro. Estuche para protección y banda elástica ajustable. Aprobación / certificación. Filtración de rayos ultravioleta 99.9 %. ANSI-Z87+ </t>
  </si>
  <si>
    <t>CARACTERÍSTICAS: Instalación básica. Completamente aseguradas para evitar que se desprendan. Material resistente a caídas. Protección visual de alto nivel Placa de color = rojo. Lente compuesto en policarbonato. Soporte facial en espuma suave y sellada, Material resistente a caídas. Protección visual de alto nivel Placa de color = rojo. Lente compuesto en policarbonato. Soporte facial en espuma suave y sellada </t>
  </si>
  <si>
    <t>CARACTERÍSTICAS: Instalación básica. Completamente aseguradas para evitar que se desprendan. Material resistente a caídas. Protección visual de alto nivel Placa de color = azul. Lente compuesto en policarbonato. Soporte facial en espuma suave y sellada </t>
  </si>
  <si>
    <t>CARACTERISTICAS Instalación básica. Material resistente a caídas. Protección visual de alto nivel. Placa de color = rojo. Lente compuesto en policarbonato  </t>
  </si>
  <si>
    <t>CARACTERÍSTICA: Material resistente a caídas. Protección visual de alto nivel. Placa de color = negro. Disponibilidad de lente oscuro. Lente compuesto en policarbonato  </t>
  </si>
  <si>
    <r>
      <t>GAFA PARA LENTE FORMULADO </t>
    </r>
    <r>
      <rPr>
        <sz val="11"/>
        <color rgb="FF232323"/>
        <rFont val="Aptos Narrow"/>
        <family val="2"/>
        <scheme val="minor"/>
      </rPr>
      <t> </t>
    </r>
  </si>
  <si>
    <t>CARACTERISTICAS: Instalación básica. Material resistente a caídas. Protección visual de alto nivel. Placa de color = marón-claro Protección múltiple a la altura de las cejas. Disponibilidad de lente claro/ oscuro. Lente compuesto en policarbonato. Gafas para lentes formulados  </t>
  </si>
  <si>
    <r>
      <t>GAFAS DE SEGURIDAD </t>
    </r>
    <r>
      <rPr>
        <sz val="11"/>
        <color rgb="FF232323"/>
        <rFont val="Aptos Narrow"/>
        <family val="2"/>
        <scheme val="minor"/>
      </rPr>
      <t> </t>
    </r>
  </si>
  <si>
    <t>CARACTERISTICAS: Instalación básica. Material resistente a caídas. Protección visual de alto nivel. Placa de color =claro. Disponibilidad de lente oscuro/claro Anti-empaño /AntiRalladura /Anti Impacto Aprobación / certificación. Filtración de rayos ultravioleta 99.9 %.ANSI-Z87+ </t>
  </si>
  <si>
    <t>GAFAS DE SEGURIDAD  </t>
  </si>
  <si>
    <t>Gafas de seguridad TOP GUN IR. 5.0 </t>
  </si>
  <si>
    <t>GAFAS PARA SOLDADURA </t>
  </si>
  <si>
    <t>Gafas de seguridad. CARACTERISTICAS: Instalación básica. Material resistente a caídas / golpes / salpicaduras Placa de color =Plata, Protección lateral: Ventilación directa, Disponibilidad de lente oscuro . CARACTERISTICAS TECNICAS / CERTIFICACIONES Protección de alto nivel. Color = plata. Numero de sombra en protección# 7.Apropiadapara soldadura. Autógena / Oxicorte. Aprobación / certificación Filtración de rayos ultravioleta 99.9 %.ANSI Z87 +  </t>
  </si>
  <si>
    <t>46181504 </t>
  </si>
  <si>
    <r>
      <t>GUANTE</t>
    </r>
    <r>
      <rPr>
        <sz val="11"/>
        <color rgb="FF232323"/>
        <rFont val="Aptos Narrow"/>
        <family val="2"/>
        <scheme val="minor"/>
      </rPr>
      <t> </t>
    </r>
  </si>
  <si>
    <t>Nitrilo. Su tecnología de tejido permite un mayor estiramiento y flexibilidad en áreas de gran tensión evitando el daño y prolongando una larga vida útil del mismo. Antiestático según norma: EN1149 Para aplicaciones especiales. Tecnología aplicada en el diseño. cualquier talla. Material del forro nylon. Material de recubrimiento espuma de nitrilo. Longitud de 200 – 265 mm. </t>
  </si>
  <si>
    <t>Guantes  </t>
  </si>
  <si>
    <t>Guantes Jardinería x01 Par Unisex Caucho Transpirable, recubierto de goma </t>
  </si>
  <si>
    <r>
      <t>Guantes De Neopreno</t>
    </r>
    <r>
      <rPr>
        <sz val="11"/>
        <color rgb="FF3A3939"/>
        <rFont val="Aptos Narrow"/>
        <family val="2"/>
        <scheme val="minor"/>
      </rPr>
      <t> </t>
    </r>
  </si>
  <si>
    <t>Fabricado en Neopreno de alto gramaje. . Soporte interior en jersey Alta resistencia al desgaste y químicos. . Textura lisa y/o rugosa 35cm de largo (14").. Recubrimiento interior con actifresh. . Resistente a calor húmedo. </t>
  </si>
  <si>
    <t>56121201 </t>
  </si>
  <si>
    <t>INMOVILIZADOR PARA CAMILLA </t>
  </si>
  <si>
    <t>Inmovilizador craneal para camilla, Inmovilizador para camilla plástica CARACTERÍSTICAS :Instalación básica Rápido ajuste de las reatas Placa color = naranja / amarillo. Polietileno traslúcido a los rayos x. PRESENTACIÓN Bolsa plástica: Desde 1 unidad. CARACTERÍSTICAS TÉCNICAS / CERTIFICACIONES: Seguridad industrial brigada. Alto rendimiento entre costuras y ajuste. Placa color = naranja / amarillo. Resistencia 45Kg deajuste. Diámetro27CM x 14CM x 20CM. Elemento necesario para primeros auxilios y sistemas de emergencias. Aprobación / certificación </t>
  </si>
  <si>
    <t>39121905 </t>
  </si>
  <si>
    <t>Kit De Etiquetado Y Bloqueo Eléctrico </t>
  </si>
  <si>
    <t>Característica: 1. Dispositivo de bloqueo de disyuntor universal, adecuado para la mayoría de los interruptores automáticos unipolares y multipolares modernos. Hecho de nylon resistente, resistente a la corrosión y duradero. 2. 2 tamaños de bloqueo del interruptor automático, el tamaño pequeño es adecuado para disyuntores de plástico con un ancho de mango inferior e igual a 0.7 pulgadas, y el tamaño mediano es adecuado para interruptores automáticos de plástico con un ancho de mango inferior e igual a 1.7 pulgadas. 3. Cerraduras de seguridad de 2 piezas: la pequeña tiene 1 pulgada de diámetro y la grande tiene 1.5 pulgadas de diámetro. Mango de nylon, puede contener hasta 6 cerraduras de seguridad. 4. Etiquetas de escritura de 10 piezas, puede dejarlo después de bloquearlo y escribir advertencias de seguridad o información del número del empleado del operador, que se puede borrar y usar repetidamente 5. La cerradura de enchufe eléctrico de tamaño mediano, adecuada para enchufes de 110 V, se puede usar para aires acondicionados, televisores, etc. Incluye 2 candados, cada uno con 2 llaves. Viene con una bolsa de seguridad roja para facilitar su transporte y ahorrar espacio. La instalación de la cerradura del disyuntor de palanca pequeña se puede completar fácilmente con un solo botón, sin herramientas, y no requiere un orificio en el disyuntor. Especificación: Tipo de artículo: Kit de etiquetas de bloqueo eléctrico. Material: Nailon+acero+tela de poliéster+cerradura de candado ABS Haz: Diámetro: Aprox. 6 mm/0.2 pulgadas, longitud: aprox. 38 mm/1.5 pulgadas Diámetro de bloqueo de cerrojo pequeño: Aprox. 25 mm/1 pulgada Diámetro de bloqueo de cerrojo grande: Aprox. 38 mm/1.5 pulgadas Bloqueo del disyuntor de abrazadera pequeña: adecuado para disyuntores de plástico con un ancho de mango menor e igual a 18 mm/abrazadera mediana de 0.7 pulgadas Bloqueo del disyuntor: adecuado para disyuntores de plástico con un ancho de mango inferior e igual a 42 mm/1.7 pulgadas Tamaño de bloqueo de enchufe eléctrico: 65 x 65 x 118 mm/2.6 x 2.6 x 4.6 pulgadas. Lista de paquetes: 10 x etiqueta1 x bloqueo de enchufe eléctrico2 x candados4 x llaves1 x interruptor de circuito de abrazadera pequeña1 x abrazadera mediana Disyuntor, 1 bolsa de bloqueo, 1 hebilla de cerrojo pequeña, 1 bloqueo de cerrojo grande, 2 bloqueo de palanca de interruptor </t>
  </si>
  <si>
    <t>Kit </t>
  </si>
  <si>
    <t>46181516 </t>
  </si>
  <si>
    <r>
      <t>MANGA ANTICORTE </t>
    </r>
    <r>
      <rPr>
        <sz val="11"/>
        <color rgb="FF232323"/>
        <rFont val="Aptos Narrow"/>
        <family val="2"/>
        <scheme val="minor"/>
      </rPr>
      <t> </t>
    </r>
  </si>
  <si>
    <t>Manga anticorte.  Color blanco – largo de 18” (45.72cm) - Nivel anticorte 2. Materiales en composición 40% poliéster -30% hilos acerados – 30% nylon. Esta manga de seguridad se distribuye en una sola pieza. Las mangas son lavables con detergente y lavadora. La tecnología de la manga está diseñada para brindar una larga vida útil de la misma y una resistencia a múltiples explosiones de ambientes y cortes. Tecnología con micro-fibras de hilos en acero. Certificación CE EN388 Resistencia anti-punzaso </t>
  </si>
  <si>
    <r>
      <t>MONOGAFAS CON MALLA </t>
    </r>
    <r>
      <rPr>
        <sz val="11"/>
        <color rgb="FF232323"/>
        <rFont val="Aptos Narrow"/>
        <family val="2"/>
        <scheme val="minor"/>
      </rPr>
      <t> </t>
    </r>
  </si>
  <si>
    <t>Lente protector con malla de acero. Monogafa de protección en malla. La protección en malla ofrece una protección más alta contra partículas proyectadas o impactos directos en el visor de la monogafa. </t>
  </si>
  <si>
    <t>MONOGAFAS DE SEGURIDAD </t>
  </si>
  <si>
    <t>CARACTERÍSTICAS: Instalación básica. Material resistente a caídas / golpes / salpicaduras. Placa de color =marón. Protección lateral. Ventilación integrada. Disponibilidad de lente Claro </t>
  </si>
  <si>
    <t>MONOGAFAS DE SEGURIDAD  </t>
  </si>
  <si>
    <t>CARACTERÍSTICAS: Instalación básica. Ventilación indirecta. Material resistente a caídas / golpes / salpicaduras. Placa de color =transparente. Ajustable con banda elástica. Protección lateral. Disponibilidad de lente Claro </t>
  </si>
  <si>
    <t>MONOGAFAS PARA SOLDADURA </t>
  </si>
  <si>
    <t>Monogafas de seguridad .CARACTERISTICAS: Instalación básica. Material resistente a caídas / golpes / salpicaduras. Placa de color =verde. Protección lateral  Disponibilidad de lente oscuro. Anti_empañante </t>
  </si>
  <si>
    <t>46181900 </t>
  </si>
  <si>
    <t>PROTECTOR AUDITIVO TAPA OIDO  </t>
  </si>
  <si>
    <t>Tapa oído / protector auditivo. CARACTERÍSTICAS. Con cordón. Reutilizables / lavables Placa de color =amarillo - naranja. Tripe anillo de revote contra sonidos altos Sellado más eficiente /facilita la inserción auditiva, CARACTERÍSTICAS TÉCNICAS / CERTIFICACIONES: NRR27dB - UT SNR25. Material silicona suave. Largo de la cuerda 70 cm. Color amarillo – naranja – verde neón. Aprobación ANSI S3.19- CE EN 352.1:2003 CE </t>
  </si>
  <si>
    <t>46191601 </t>
  </si>
  <si>
    <t>Recarca de extintor a base de agua tipo A </t>
  </si>
  <si>
    <t>Capacidad nominal (kg) 10 libras. Peso cargado (kg)12,55 Altura (mm)620 / 650 Ancho (mm)240 Profundidad (mm)190 Tiempo de descarga (s)55. Alcance (m)11/9. Rango temperatura (ºC)5 a 50. Presión de servicio (Mpa) 0,8 Presión de ensayo (Mpa) 2,0. Norma IRAM extintor 3525 </t>
  </si>
  <si>
    <t>Recarca de extintor CO2 </t>
  </si>
  <si>
    <t>Capacidad nominal (kg) 5kg. Peso cargado (kg) 20. Altura (mm) 790. Ancho (mm) 310. Profundidad (mm)140. Tiempo de descarga (s)14 Alcance (m) Largo de manga (mm)900. Rango temperatura (ºC). Presión de servicio (Mpa)15 Presión de ensayo (Mpa)25 Norma IRAM agente extintor Norma IRAM extintor. </t>
  </si>
  <si>
    <t>Recarca EXTINTOR POLVO SECO ABC 10 LBS </t>
  </si>
  <si>
    <t>-Agente extintor: Fosfato Monoamónico. -Agente expulsor: Nitrógeno (N2).-Cilindro en lámina de acero C20, recubierta con pintura electroestática amarilla. -Indicador de presión: Manómetro. -Sistema de accionamiento: rápido (manija y palanca). -Rotulado cilindro: Salud y Seguridad Laboral FMQ (SYS FMQ). -Tiempo de descarga: 10 a 20 segundos. -Alcance de descarga: 1 a 3 metros. -Porcentaje de descarga: hasta el 97%.  </t>
  </si>
  <si>
    <t>RESPIRADOR CONTRA POLVO </t>
  </si>
  <si>
    <t>Respirador 1/3 de cara. contra polvo y microparticulas. Fabricado en polímero suave, con bordes redondeados que facilitan adaptarla a la cara Cierre hermético. Fácil lavado para limpieza rápida </t>
  </si>
  <si>
    <t>RESPIRADOR N95  </t>
  </si>
  <si>
    <t>Tapabocas N95.Respirador Este respirador  permite el uso de lentes (gafas de seguridad) y protectores auditivos sin intervenir en su función. Este respirador está diseñado en forma liviana y ergonómico, además sus tiras de ajuste son dobles para evitar un desuso básico. </t>
  </si>
  <si>
    <r>
      <t>TAPA OIDO PROTECTOR AUDITIVO TIPO COPA </t>
    </r>
    <r>
      <rPr>
        <sz val="11"/>
        <color rgb="FF232323"/>
        <rFont val="Aptos Narrow"/>
        <family val="2"/>
        <scheme val="minor"/>
      </rPr>
      <t> </t>
    </r>
  </si>
  <si>
    <t>Tapa oídos tipo copa. CARACTERÍSTICAS: Instalación básica Completamente aseguradas para evitar que se desprendan Material resistente a caídas 100 % dieléctrico. Placa de color = amarillo Soporte lateral en espuma suave y sellada PRESENTACIÓN: Tipo bolsa Desde una unidad Peso en gramos =228. CARACTERÍSTICAS TÉCNICAS / CERTIFICACIONES. Protección de alto nivel. Color = amarillo NRR 22dB-- UT SNR21. Aprobación / certificación: ANSI S3.19 Norma CE EN 352-1: 1993 </t>
  </si>
  <si>
    <t>UNILENTE DE SEGURIDAD  </t>
  </si>
  <si>
    <t>Unilentes de seguridad Rainbow. CARACTERISTICAS Instalación básica .Material resistente a caídas / golpes / salpicaduras laca de color =azul / gris. Protección lateral. Brazos ajustables. Comodidad en puente nasal. Disponibilidad de lente claro espejado. Anti-empañante. PRESENTACION Tipo bolsa. Desde una unidad. CARACTERISTICAS TECNICAS / CERTIFICACIONES: Protección de alto nivel. Color = azul / gris. Aprobación / certificación. Filtración de rayos ultravioleta 99.9 %.ANSI Z87 +  </t>
  </si>
  <si>
    <t>46181528 </t>
  </si>
  <si>
    <t>Protector de mangas </t>
  </si>
  <si>
    <t>Protector de mangas. Cuando se enfrenta a los máximos requisitos de higiene, ya sabe que no caben los compromisos. Ropa higiénica ligera, literalmente sin ataduras, ni botones, ni corchetes y que hace obsoletos todos los cierres y las costuras habituales. Hemos incorporado muchos más avances en el desarrollo de este nuevo producto: Detectable. Blanco o Azul.  </t>
  </si>
  <si>
    <t>46181536 </t>
  </si>
  <si>
    <t>Guante Largo en malla de acero inoxidable </t>
  </si>
  <si>
    <t>Guante Largo en malla de acero inoxidable Largo 20cm CON CORREA DE PLÁSTICO INTERCAMBIABLE.EN 1082-1 Ligero, cómodo Comprobada y probada la solución de botón de presión (permite tanto el ajuste perfecto como la liberación rápida en caso de emergencia) Intercambio fácil de la banda – ¡sin herramientas! Ambidiestro, simple cambio de izquierda a derecha / derecha a izquierda en segundos – ¡sin herramientas! Banda con prevención del deslizamiento lateral automática. Fácil reparación respetuosa con el medio ambiente Diseño de guante patentado. </t>
  </si>
  <si>
    <t>46181506 </t>
  </si>
  <si>
    <t>Delantal o Peto en malla de acero inoxidable 70 x 50 cm </t>
  </si>
  <si>
    <t>Delantal o Peto en malla de acero inoxidable 70 x 50 cm. Nuestros delantales de malla están hechos de malla de acero inoxidable (7 mm de diámetro de anillo) y están equipados con un arnés resistente y cómodo.100% acero inoxidable para una higiene óptima sin acumulación de suciedad flexibles y cómodos de llevar resistentes y duraderos ajuste perfecto para una máxima comodidad arnés ajustable, cómodo en forma de X  </t>
  </si>
  <si>
    <t>Guante Mecánico resistente a Impacto </t>
  </si>
  <si>
    <t>Guante Mecánico resistente a Impacto. CARACTERÍSTICAS: Longitud A (In) Palma B (In) Puño C (In) UT2953M M 8.268 1.299 1.969 Palma acolchada, TPR en dorso de la mano ANSI Calor de contacto Nivel 1 – 176 ºF u 80 ºC Nitrilo espumado rojo en palma y dedos. Palma acolchada para reducir impacto y vibraciones. DETALLES: está elaborado con HPPE/sintético en color sal y pimienta de calibre 13, palma y dedos recubiertos de nitrilo espumado rojo. Su palma acolchada permite que le proporcione una reducción de impacto y vibración. El diseño exclusivo de TPR brinda una excelente cobertura para la protección del dorso en la mano. Además, cuenta con un panel en la muñeca que permite una identificación personalizada. ANSI Calor de contacto Nivel 1 – 176 ºF u 80 ºC. ESPECIFICACIONES: Material: Fibra Sintética, Fibra de vidrio, Nitrilo, TPR Color: Sal &amp; Pimienta, Rojo, Negro, Lima Fluorescente. Grado: Industrial. Calibre: 13 Galgas. Palma: Nitrilo espumado. Dorso: Tecnología termoplástica (TPR). Revestimiento: Sin forro. Longitud: 9 in. Textura/Acabado: Plano. Tipo de pulgar: Recto. Puño: Tejido elástico. Material del puño: Fibra sintética. Ribete o dobladillo: Ribete. Inmersión: Simple. Estéril: No estéril. </t>
  </si>
  <si>
    <t>Guante para frío </t>
  </si>
  <si>
    <t>Guante para frío. CARACTERÍSTICAS: • Mayor resistencia a la abrasión • Resiste pinchazos ligeros• Alta Visibilidad• Brinda protección en aplicaciones frías• resorte en puño para mayor seguridad. DETALLES: presenta una pantalla táctil en la punta de los dedos, que brinda un excelente agarre en aplicaciones con trabajo húmedo, seco o aceitoso, cuenta también con un forro Thinsulate de 200 g que ayuda a mantener las manos cálidas aún en aplicaciones con trabajos muy fríos y en la muñeca una cinta para ajustar el guante de manera que no pueda entrar el agua. Su color negro nos brinda una mejor presentación ya que oculta las manchas de suciedad. ESPECIFICACIONES: Longitud: 11 in. Textura/Acabado: Plano Tipo de pulgar: Ala. Puño: Deslizable Material del puño: Nylon. Ribete o dobladillo: Dobladillo. Patrón: Gunn. Estéril: No estéril.  </t>
  </si>
  <si>
    <t>Guante resistente a Químicos Nitrilo PVC de doble inmersión </t>
  </si>
  <si>
    <t>Guante resistente a Químicos Nitrilo PVC de doble inmersión. CARACTERÍSTICAS: Nylon con doble inmersión de Bi-Polímero. Cuerpo de Nylon de calibre 18. Bi-Polímero de PVC-Nitrilo  Acabado arenoso en palma. Puño de guantelete festoneado. ANSI Calor de contacto Nivel 1 – 176 ºF u 80 ºC. DETALLES: presenta un cuerpo de nylon sin costuras de calibre 18 con una doble inmersión de bi-polímero de PVC/nitrilo. La primera inmersión es un bi-polímero en color rojo de PVC/Nitrilo. El segundo es un bi-polímero de PVC/nitrilo con acabado arenoso en color negro. Este guante con guantelete de 12 pulgadas proporciona una excelente destreza y agarre. ANSI Calor de contacto Nivel 1 – 176 ºF u 80 ºC. EN374: 2016 – Guantes de protección contra sustancias químicas y microorganismos clase B (JKL). Sus materiales componentes cumplen con todas las regulaciones para el contacto con alimentos. ESPECIFICACIONES: Material: Nylon, PVC, Nitrilo. Color: Negro, Rojo. Calibre: 18 Galgas. Palma: Bi-Polímero. Dorso: Bi-Polímero. Revestimiento: Nylon. Longitud: 12 in. Textura/Acabado: Arenoso. Tipo de pulgar: Recto. Puño: Guantelete. Material del puño: Bi-Polímero. Ribete o dobladillo: Festoneado. Inmersión: Doble. Estéril: No estéril. Resistencia de químicos: correcto  </t>
  </si>
  <si>
    <t>Guante completo protección mano-a-hombro en malla de acero inoxidable </t>
  </si>
  <si>
    <t>Guante completo protección mano-a-hombro en malla de acero inoxidable. Ligero, cómodo Comprobada y probada la solución de botón de presión (permite tanto el ajuste perfecto como la liberación rápida en caso de emergencia). Intercambio fácil de la banda – ¡sin herramientas!. Ambidiestro, simple cambio de izquierda a derecha / derecha a izquierda en segundos – ¡sin herramientas!. Banda con prevención del deslizamiento lateral automática. Fácil reparación respetuosa con el medio ambiente. Diseño de guante patentado. </t>
  </si>
  <si>
    <t>Guante detectable de múltiple uso </t>
  </si>
  <si>
    <t>Guante detectable de múltiple uso. CARACTERÍSTICAS: Peso Caja (Libras). Guante detectable de múltiple uso. Materiales que cumplen con la FDA: los materiales de los componentes cumplen con todas las reglamentaciones federales para el contacto con alimentos. Guantes de nitrilo azul sin forro de 15 mil Puño recto extra largo de 12 pulgadas. Palma con diseño de diamante en relieve. Excelente elección para aplicaciones en la industria alimentaria. DETALLES: Los guantes de nitrilo son tres veces más resistentes a los pinchazos que los de goma y se pueden utilizar para ofrecer una resistencia superior a muchos tipos de productos químicos. Este material de guante también es una excelente alternativa para las personas que pueden experimentar reacciones alérgicas al látex. Es un guante de nitrilo sin forro que tiene 15 milésimas de pulgada de espesor y 12 pulgadas de largo. Su construcción lo convierte en un guante detectable de metales que se puede recuperar cuando se pierde, lo que lo convierte en una excelente opción para trabajar en aplicaciones de procesamiento de alimentos. Otras características incluyen un diseño de palma con textura de patrón de diamante para un poder de agarre adicional y los materiales de sus componentes cumplen con todas las regulaciones federales para el contacto con alimentos. Sin Látex. ESPECIFICACIONES: Material: Nitrilo. Color: Azul. Grado: Médico. Calibre: 15 mil. Palma: Nitrilo. Dorso: Nitrilo. Revestimiento: Sin forro. Longitud: 12 in. Textura/Acabado: Patrón Diamante. Tipo de pulgar: Recto. Puño: Guantelete. Material del puño: Nitrilo. Ribete o dobladillo: Festoneado .Inmersión: Simple. Estéril: No estéril. </t>
  </si>
  <si>
    <t>Guantes en Fibra, con Nitrilo, anticorte nivel 5 </t>
  </si>
  <si>
    <t>Guantes en Fibra, con Nitrilo, anticorte nivel 5. Con revestimiento interno en Nitrilo HCT. No usar con temperaturas superiores a 100ºC. 100% cotton inside liner. MÁS INFORMACIÓN  Puño de “Quita y Pon”. Protección Anticorte nivel 5. No usar con temperaturas superiores a 100ºC. Elaborado: 100% .• HCT Nitrile Multilayer inner coating technology 100% cotton inside liner. </t>
  </si>
  <si>
    <t>Guantes en fibra </t>
  </si>
  <si>
    <t>Guantes en fibra recubiertos con Poliuretano anticorte. Recubiertos con Poliuretano - DIP NORMAL - Ideal para trabajos de construcción, ensamblaje agroindustria manejo de vidrio acero y soldadura. MÁS INFORMACIÓN: puño tejido. Resistencia a la abrasión. Resistencia al corte. Protección Anticorte nivel 5. Resistencia a los rayos UV. Mantiene las propiedades y el color en contacto con la luz. No deja pelusa. Ideal para trabajos de construcción, ensamblaje, agroindustria, manejo de vidrio, acero, soldadura. También para ambientes que requieran condiciones de limpieza en donde no se permite ningún tipo de contaminación. </t>
  </si>
  <si>
    <t>Guantes PVC Semicorrugados  </t>
  </si>
  <si>
    <t>Guantes PVC  Neon Semicorrugados. Guantes PVC-Utilflex Neón Semicorrugados. Para ambientes fríos. Puño Elástico - 9” (22.86cm) - MÁS INFORMACIÓN: Puño elástico. Resistente al frío. Utilizado en la industria para áreas frías, neveras, congeladores. Elaborado: 20% Algodón • 80% PVC • Dip Total. </t>
  </si>
  <si>
    <t>Guante Carnaza y Lona </t>
  </si>
  <si>
    <t>Guante Carnaza y Lona. Guante Carnaza y Lona • Forrados para Soldar • Largo: 18”(47.62cm) - cosido con Kevlar para mayor protección contra chispas - “Bull” - CON COLGADOR EN CARNAZA. MÁS INFORMACIÓN: Forrado Largo 18”Puño de “quita y pon”. Ideal para trabajos de soldadura. Para trabajos de aplicaciones al calor y trabajos en general de construcción.  Suave al tacto. Resistencia a la tensión, al corte y la abrasión. Elaborado 45% Cuero, 55% Lona • Cosido con Kevlar®. Forro: 45% Poliéster - 55% Algodón. Talla Única. </t>
  </si>
  <si>
    <t>Guante Vaqueta Tipo Ciclista </t>
  </si>
  <si>
    <t>Guante lona tipo petrolero </t>
  </si>
  <si>
    <t>Guante lona tipo petrolero. Brinda seguridad en el trabajo pesado que se le ejerce en una área de explosión petrolera. Su longitud es de 9". Puño elástico. Guante multiproposito punto elaborado 100% en algodón. NO es apropiado para riesgos de calor. </t>
  </si>
  <si>
    <t>Guante Dieléctrico </t>
  </si>
  <si>
    <t>Guante Dieléctrico. Clase: 00, 0, 1, 2, 3, y 4.Guante para alta tensión. Kit dieléctrico. MÁS INFORMACIÓN: Características: Guante dieléctrico para altas tensiones cumple con certificaciones para variedad de trabajo con electricidad. Según la clase el guante posee resistencia a ciertos líquidos: A: ácido, Z: ozono, H: aceite, C: muy baja tensión, R: A+Z+H </t>
  </si>
  <si>
    <t>46181804 </t>
  </si>
  <si>
    <t>Gafas para laser.  </t>
  </si>
  <si>
    <t>Gafas de protección IPL, para laser. Longitud ajustable del brazo. Características de protección: absorción integral. Longitud de onda protectora: De 190nm a 540nm. Material: plástico. Tamaño: aproximadamente 15 x 5,5 x 5,5 cm </t>
  </si>
  <si>
    <t>46181540 </t>
  </si>
  <si>
    <t>Guantes de carnaza extra largos </t>
  </si>
  <si>
    <t>Guantes de seguridad, protección contra peligros mecánicos y riesgo térmico. Largo: 23.6 pulgadas. Material: Cuero de vacuno. Parte trasera completa de cuero de vaca dividida hasta el puño, mas suave. Características técnicas: Resistentes al calor, al fuego Diseño: Flexible, con pulgar reforzado y rosca de Kevlar para mayor flexibilidad, permitiendo sostener articulos y operar con facilidad. Forro: En algodón y dedos soldados. </t>
  </si>
  <si>
    <t>46181541 </t>
  </si>
  <si>
    <t>Guantes de nitrilo </t>
  </si>
  <si>
    <t>Guantes de nitrilo. Calibre: 6. Talla: S. Ambidiestros: cada guante puede usar en mano izquierdo o derecho. Usos: Para manipulación de químicos. Color: Varios </t>
  </si>
  <si>
    <t>Caja x 100 unidades  </t>
  </si>
  <si>
    <t>Basureso plástico Negro Contramarcada para residuos no aprovechables</t>
  </si>
  <si>
    <t>Contramarcada para residuos no aprovechables,  Capacidad de 55 litros, Alto 70.5 ancho 30 largo 40 cm, Tapa vaiven, polietileno virgen , soporte para bolsa que facilita el agarre y oculata sus bordes al interior del basusero</t>
  </si>
  <si>
    <t>Unidad</t>
  </si>
  <si>
    <t xml:space="preserve">Unidad </t>
  </si>
  <si>
    <t>Basureso plástico blanco Contramarcada para residuos aprovechables</t>
  </si>
  <si>
    <t>Sombrero de ala ancha tipo safari (para jardinería)</t>
  </si>
  <si>
    <t>Sombrero de ala ancha: ala ancha de 4 pulgadas y solapa trasera larga que proporcionan una gran cobertura para la cara, el cuello y las orejas del sol. Tipo safari para jardinería. microfibra de protección UV cuenta con 100 SPF/UPF 50,  2 formas: plegable y fácil de almacena. Ajustable y transpirable: el cordón ajustable de la barbilla mantiene el sombrero firmemente en su lugar cuando hace viento. La banda interior que absorbe la humedad y las redes laterales de malla mejoran en gran medida la refrigeración y el flujo de aire.</t>
  </si>
  <si>
    <t>TOTAL</t>
  </si>
  <si>
    <t>Atentamente,</t>
  </si>
  <si>
    <t>REPRESENTANTE LEGAL</t>
  </si>
  <si>
    <t>Firma:</t>
  </si>
  <si>
    <t>Nombre:</t>
  </si>
  <si>
    <t xml:space="preserve">Cedula: </t>
  </si>
  <si>
    <t>Correo electrónico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</si>
</sst>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44" formatCode="_-&quot;$&quot;\ * #,##0.00_-;\-&quot;$&quot;\ * #,##0.00_-;_-&quot;$&quot;\ * &quot;-&quot;??_-;_-@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rial"/>
      <family val="2"/>
    </font>
    <font>
      <b/>
      <sz val="11"/>
      <color rgb="FF000000"/>
      <name val="Aptos Narrow"/>
      <family val="2"/>
      <scheme val="minor"/>
    </font>
    <font>
      <b/>
      <sz val="10"/>
      <color rgb="FF000000"/>
      <name val="Calibri Light"/>
      <family val="2"/>
    </font>
    <font>
      <b/>
      <sz val="11"/>
      <color rgb="FF000000"/>
      <name val="Calibri"/>
      <family val="2"/>
    </font>
    <font>
      <sz val="11"/>
      <color rgb="FF000000"/>
      <name val="Aptos Narrow"/>
      <family val="2"/>
      <scheme val="minor"/>
    </font>
    <font>
      <sz val="10"/>
      <color rgb="FF000000"/>
      <name val="Times New Roman"/>
      <family val="1"/>
    </font>
    <font>
      <sz val="11"/>
      <color rgb="FF232323"/>
      <name val="Aptos Narrow"/>
      <family val="2"/>
      <scheme val="minor"/>
    </font>
    <font>
      <sz val="11"/>
      <color rgb="FF333333"/>
      <name val="Aptos Narrow"/>
      <family val="2"/>
      <scheme val="minor"/>
    </font>
    <font>
      <sz val="11"/>
      <color rgb="FF3A3939"/>
      <name val="Aptos Narrow"/>
      <family val="2"/>
      <scheme val="minor"/>
    </font>
    <font>
      <sz val="10"/>
      <color rgb="FF000000"/>
      <name val="Arial"/>
      <family val="2"/>
    </font>
    <font>
      <b/>
      <sz val="10"/>
      <color rgb="FF000000"/>
      <name val="Arial"/>
      <family val="2"/>
    </font>
    <font>
      <b/>
      <sz val="9"/>
      <color indexed="81"/>
      <name val="Tahoma"/>
      <family val="2"/>
    </font>
    <font>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25">
    <xf numFmtId="0" fontId="0" fillId="0" borderId="0" xfId="0"/>
    <xf numFmtId="8" fontId="9" fillId="0" borderId="1" xfId="1" applyNumberFormat="1" applyFont="1" applyFill="1" applyBorder="1" applyAlignment="1">
      <alignment horizontal="center" vertical="center"/>
    </xf>
    <xf numFmtId="0" fontId="0" fillId="0" borderId="0" xfId="0" applyFill="1"/>
    <xf numFmtId="0" fontId="0" fillId="0" borderId="0" xfId="0" applyFill="1" applyAlignment="1">
      <alignment wrapText="1"/>
    </xf>
    <xf numFmtId="8" fontId="0" fillId="0" borderId="0" xfId="0" applyNumberFormat="1" applyFill="1"/>
    <xf numFmtId="0" fontId="2" fillId="0" borderId="1" xfId="0" applyFont="1" applyFill="1" applyBorder="1" applyAlignment="1">
      <alignment horizontal="center" vertical="center"/>
    </xf>
    <xf numFmtId="0" fontId="4" fillId="0" borderId="1" xfId="0" applyFont="1" applyFill="1" applyBorder="1" applyAlignment="1">
      <alignment horizontal="left" vertical="top"/>
    </xf>
    <xf numFmtId="0" fontId="2" fillId="0" borderId="1" xfId="0" applyFont="1" applyFill="1" applyBorder="1" applyAlignment="1">
      <alignment horizontal="left" vertical="top"/>
    </xf>
    <xf numFmtId="0" fontId="3" fillId="0" borderId="1" xfId="2" applyFill="1" applyBorder="1" applyAlignment="1">
      <alignment horizontal="left" vertical="top"/>
    </xf>
    <xf numFmtId="0" fontId="4"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5" fillId="0" borderId="1" xfId="0" applyFont="1" applyFill="1" applyBorder="1" applyAlignment="1">
      <alignment horizontal="center" vertical="center" wrapText="1"/>
    </xf>
    <xf numFmtId="8"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8" fontId="7"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8" fontId="9" fillId="0" borderId="1" xfId="0" applyNumberFormat="1" applyFont="1" applyFill="1" applyBorder="1" applyAlignment="1">
      <alignment horizontal="center" vertical="center"/>
    </xf>
    <xf numFmtId="9" fontId="0" fillId="0" borderId="1" xfId="0" applyNumberFormat="1" applyFill="1" applyBorder="1" applyAlignment="1">
      <alignment horizontal="center" vertical="center"/>
    </xf>
    <xf numFmtId="8" fontId="0" fillId="0" borderId="1" xfId="0" applyNumberFormat="1" applyFill="1" applyBorder="1" applyAlignment="1">
      <alignment horizontal="center" vertical="center"/>
    </xf>
    <xf numFmtId="0" fontId="13" fillId="0" borderId="0" xfId="0" applyFont="1" applyFill="1" applyAlignment="1">
      <alignment vertical="center"/>
    </xf>
    <xf numFmtId="0" fontId="0" fillId="0" borderId="0" xfId="0" applyFill="1" applyAlignment="1">
      <alignment vertical="center"/>
    </xf>
    <xf numFmtId="0" fontId="14" fillId="0" borderId="0" xfId="0" applyFont="1" applyFill="1" applyAlignment="1">
      <alignment vertical="center"/>
    </xf>
    <xf numFmtId="0" fontId="13" fillId="0" borderId="0" xfId="0" applyFont="1" applyFill="1"/>
    <xf numFmtId="0" fontId="3" fillId="0" borderId="0" xfId="2" applyFill="1"/>
  </cellXfs>
  <cellStyles count="3">
    <cellStyle name="Hipervínculo" xfId="2" builtinId="8"/>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723900</xdr:colOff>
      <xdr:row>85</xdr:row>
      <xdr:rowOff>50165</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00231575"/>
          <a:ext cx="1485900" cy="621665"/>
        </a:xfrm>
        <a:prstGeom prst="rect">
          <a:avLst/>
        </a:prstGeom>
        <a:noFill/>
      </xdr:spPr>
    </xdr:pic>
    <xdr:clientData/>
  </xdr:twoCellAnchor>
  <xdr:twoCellAnchor editAs="oneCell">
    <xdr:from>
      <xdr:col>0</xdr:col>
      <xdr:colOff>0</xdr:colOff>
      <xdr:row>0</xdr:row>
      <xdr:rowOff>0</xdr:rowOff>
    </xdr:from>
    <xdr:to>
      <xdr:col>2</xdr:col>
      <xdr:colOff>695325</xdr:colOff>
      <xdr:row>0</xdr:row>
      <xdr:rowOff>552449</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2371725" cy="552449"/>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MAYBE@UNE.NET.CO" TargetMode="External"/><Relationship Id="rId1" Type="http://schemas.openxmlformats.org/officeDocument/2006/relationships/hyperlink" Target="mailto:MAYBE@UNE.NET.C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tabSelected="1" workbookViewId="0">
      <selection sqref="A1:K1048576"/>
    </sheetView>
  </sheetViews>
  <sheetFormatPr baseColWidth="10" defaultRowHeight="14.4" x14ac:dyDescent="0.3"/>
  <cols>
    <col min="1" max="2" width="11.5546875" style="2"/>
    <col min="3" max="3" width="17" style="2" customWidth="1"/>
    <col min="4" max="4" width="57.33203125" style="3" customWidth="1"/>
    <col min="5" max="7" width="11.5546875" style="2"/>
    <col min="8" max="8" width="11.33203125" style="4"/>
    <col min="9" max="9" width="11.5546875" style="2"/>
    <col min="10" max="10" width="11.77734375" style="4" bestFit="1" customWidth="1"/>
    <col min="11" max="11" width="13.109375" style="4" bestFit="1" customWidth="1"/>
  </cols>
  <sheetData>
    <row r="1" spans="1:11" ht="44.25" customHeight="1" x14ac:dyDescent="0.3"/>
    <row r="2" spans="1:11" x14ac:dyDescent="0.3">
      <c r="A2" s="5" t="s">
        <v>0</v>
      </c>
      <c r="B2" s="5"/>
      <c r="C2" s="5"/>
      <c r="D2" s="5"/>
      <c r="E2" s="5"/>
      <c r="F2" s="5"/>
      <c r="G2" s="5"/>
    </row>
    <row r="3" spans="1:11" x14ac:dyDescent="0.3">
      <c r="A3" s="5" t="s">
        <v>1</v>
      </c>
      <c r="B3" s="5"/>
      <c r="C3" s="5"/>
      <c r="D3" s="5"/>
      <c r="E3" s="5"/>
      <c r="F3" s="5"/>
      <c r="G3" s="5"/>
    </row>
    <row r="4" spans="1:11" x14ac:dyDescent="0.3">
      <c r="A4" s="6" t="s">
        <v>2</v>
      </c>
      <c r="B4" s="6"/>
      <c r="C4" s="7" t="s">
        <v>3</v>
      </c>
      <c r="D4" s="7"/>
      <c r="E4" s="7"/>
      <c r="F4" s="7"/>
      <c r="G4" s="7"/>
    </row>
    <row r="5" spans="1:11" x14ac:dyDescent="0.3">
      <c r="A5" s="6" t="s">
        <v>4</v>
      </c>
      <c r="B5" s="6"/>
      <c r="C5" s="7" t="s">
        <v>5</v>
      </c>
      <c r="D5" s="7"/>
      <c r="E5" s="7"/>
      <c r="F5" s="7"/>
      <c r="G5" s="7"/>
    </row>
    <row r="6" spans="1:11" x14ac:dyDescent="0.3">
      <c r="A6" s="6" t="s">
        <v>6</v>
      </c>
      <c r="B6" s="6"/>
      <c r="C6" s="7" t="s">
        <v>7</v>
      </c>
      <c r="D6" s="7"/>
      <c r="E6" s="7"/>
      <c r="F6" s="7"/>
      <c r="G6" s="7"/>
    </row>
    <row r="7" spans="1:11" x14ac:dyDescent="0.3">
      <c r="A7" s="6" t="s">
        <v>8</v>
      </c>
      <c r="B7" s="6"/>
      <c r="C7" s="8" t="s">
        <v>9</v>
      </c>
      <c r="D7" s="7"/>
      <c r="E7" s="7"/>
      <c r="F7" s="7"/>
      <c r="G7" s="7"/>
    </row>
    <row r="8" spans="1:11" x14ac:dyDescent="0.3">
      <c r="A8" s="6" t="s">
        <v>10</v>
      </c>
      <c r="B8" s="6"/>
      <c r="C8" s="7" t="s">
        <v>11</v>
      </c>
      <c r="D8" s="7"/>
      <c r="E8" s="7"/>
      <c r="F8" s="7"/>
      <c r="G8" s="7"/>
    </row>
    <row r="9" spans="1:11" x14ac:dyDescent="0.3">
      <c r="A9" s="9" t="s">
        <v>12</v>
      </c>
      <c r="B9" s="9"/>
      <c r="C9" s="10" t="s">
        <v>13</v>
      </c>
      <c r="D9" s="10"/>
      <c r="E9" s="10"/>
      <c r="F9" s="10"/>
      <c r="G9" s="10"/>
    </row>
    <row r="11" spans="1:11" ht="41.4" x14ac:dyDescent="0.3">
      <c r="A11" s="11" t="s">
        <v>14</v>
      </c>
      <c r="B11" s="11" t="s">
        <v>15</v>
      </c>
      <c r="C11" s="11" t="s">
        <v>16</v>
      </c>
      <c r="D11" s="11" t="s">
        <v>17</v>
      </c>
      <c r="E11" s="11" t="s">
        <v>18</v>
      </c>
      <c r="F11" s="11" t="s">
        <v>19</v>
      </c>
      <c r="G11" s="11" t="s">
        <v>20</v>
      </c>
      <c r="H11" s="12" t="s">
        <v>21</v>
      </c>
      <c r="I11" s="13" t="s">
        <v>22</v>
      </c>
      <c r="J11" s="14" t="s">
        <v>23</v>
      </c>
      <c r="K11" s="14" t="s">
        <v>24</v>
      </c>
    </row>
    <row r="12" spans="1:11" ht="57.6" x14ac:dyDescent="0.3">
      <c r="A12" s="15">
        <v>1</v>
      </c>
      <c r="B12" s="16" t="s">
        <v>25</v>
      </c>
      <c r="C12" s="16" t="s">
        <v>26</v>
      </c>
      <c r="D12" s="16" t="s">
        <v>27</v>
      </c>
      <c r="E12" s="16" t="s">
        <v>28</v>
      </c>
      <c r="F12" s="16" t="s">
        <v>29</v>
      </c>
      <c r="G12" s="16">
        <v>1</v>
      </c>
      <c r="H12" s="17">
        <v>10548.72</v>
      </c>
      <c r="I12" s="18">
        <v>0.19</v>
      </c>
      <c r="J12" s="19">
        <f>H12*I12</f>
        <v>2004.2567999999999</v>
      </c>
      <c r="K12" s="19">
        <f>H12+J12</f>
        <v>12552.976799999999</v>
      </c>
    </row>
    <row r="13" spans="1:11" ht="259.2" x14ac:dyDescent="0.3">
      <c r="A13" s="15">
        <v>2</v>
      </c>
      <c r="B13" s="16" t="s">
        <v>30</v>
      </c>
      <c r="C13" s="16" t="s">
        <v>31</v>
      </c>
      <c r="D13" s="16" t="s">
        <v>32</v>
      </c>
      <c r="E13" s="16" t="s">
        <v>33</v>
      </c>
      <c r="F13" s="16" t="s">
        <v>29</v>
      </c>
      <c r="G13" s="16">
        <v>1</v>
      </c>
      <c r="H13" s="17">
        <v>131153.4</v>
      </c>
      <c r="I13" s="18">
        <v>0.19</v>
      </c>
      <c r="J13" s="19">
        <f t="shared" ref="J13:J75" si="0">H13*I13</f>
        <v>24919.146000000001</v>
      </c>
      <c r="K13" s="19">
        <f t="shared" ref="K13:K75" si="1">H13+J13</f>
        <v>156072.546</v>
      </c>
    </row>
    <row r="14" spans="1:11" ht="158.4" x14ac:dyDescent="0.3">
      <c r="A14" s="15">
        <v>3</v>
      </c>
      <c r="B14" s="16" t="s">
        <v>34</v>
      </c>
      <c r="C14" s="16" t="s">
        <v>35</v>
      </c>
      <c r="D14" s="16" t="s">
        <v>36</v>
      </c>
      <c r="E14" s="16" t="s">
        <v>37</v>
      </c>
      <c r="F14" s="16" t="s">
        <v>37</v>
      </c>
      <c r="G14" s="16">
        <v>1</v>
      </c>
      <c r="H14" s="17">
        <v>28201.46</v>
      </c>
      <c r="I14" s="18">
        <v>0.19</v>
      </c>
      <c r="J14" s="19">
        <f t="shared" si="0"/>
        <v>5358.2773999999999</v>
      </c>
      <c r="K14" s="19">
        <f t="shared" si="1"/>
        <v>33559.737399999998</v>
      </c>
    </row>
    <row r="15" spans="1:11" ht="86.4" x14ac:dyDescent="0.3">
      <c r="A15" s="15">
        <v>4</v>
      </c>
      <c r="B15" s="16" t="s">
        <v>38</v>
      </c>
      <c r="C15" s="16" t="s">
        <v>39</v>
      </c>
      <c r="D15" s="16" t="s">
        <v>40</v>
      </c>
      <c r="E15" s="16" t="s">
        <v>33</v>
      </c>
      <c r="F15" s="16" t="s">
        <v>29</v>
      </c>
      <c r="G15" s="16">
        <v>1</v>
      </c>
      <c r="H15" s="17">
        <v>83078.52</v>
      </c>
      <c r="I15" s="18">
        <v>0.19</v>
      </c>
      <c r="J15" s="19">
        <f t="shared" si="0"/>
        <v>15784.918800000001</v>
      </c>
      <c r="K15" s="19">
        <f t="shared" si="1"/>
        <v>98863.438800000004</v>
      </c>
    </row>
    <row r="16" spans="1:11" ht="57.6" x14ac:dyDescent="0.3">
      <c r="A16" s="15">
        <v>5</v>
      </c>
      <c r="B16" s="16" t="s">
        <v>41</v>
      </c>
      <c r="C16" s="16" t="s">
        <v>42</v>
      </c>
      <c r="D16" s="16" t="s">
        <v>43</v>
      </c>
      <c r="E16" s="16" t="s">
        <v>33</v>
      </c>
      <c r="F16" s="16" t="s">
        <v>29</v>
      </c>
      <c r="G16" s="16">
        <v>1</v>
      </c>
      <c r="H16" s="17">
        <v>48935.32</v>
      </c>
      <c r="I16" s="18">
        <v>0.19</v>
      </c>
      <c r="J16" s="19">
        <f t="shared" si="0"/>
        <v>9297.7108000000007</v>
      </c>
      <c r="K16" s="19">
        <f t="shared" si="1"/>
        <v>58233.0308</v>
      </c>
    </row>
    <row r="17" spans="1:11" ht="72" x14ac:dyDescent="0.3">
      <c r="A17" s="15">
        <v>6</v>
      </c>
      <c r="B17" s="16" t="s">
        <v>41</v>
      </c>
      <c r="C17" s="16" t="s">
        <v>44</v>
      </c>
      <c r="D17" s="16" t="s">
        <v>45</v>
      </c>
      <c r="E17" s="16" t="s">
        <v>33</v>
      </c>
      <c r="F17" s="16" t="s">
        <v>29</v>
      </c>
      <c r="G17" s="16">
        <v>1</v>
      </c>
      <c r="H17" s="17">
        <v>9657.9</v>
      </c>
      <c r="I17" s="18">
        <v>0.19</v>
      </c>
      <c r="J17" s="19">
        <f t="shared" si="0"/>
        <v>1835.001</v>
      </c>
      <c r="K17" s="19">
        <f t="shared" si="1"/>
        <v>11492.901</v>
      </c>
    </row>
    <row r="18" spans="1:11" ht="172.8" x14ac:dyDescent="0.3">
      <c r="A18" s="15">
        <v>7</v>
      </c>
      <c r="B18" s="16" t="s">
        <v>41</v>
      </c>
      <c r="C18" s="16" t="s">
        <v>46</v>
      </c>
      <c r="D18" s="16" t="s">
        <v>47</v>
      </c>
      <c r="E18" s="16" t="s">
        <v>33</v>
      </c>
      <c r="F18" s="16" t="s">
        <v>29</v>
      </c>
      <c r="G18" s="16">
        <v>1</v>
      </c>
      <c r="H18" s="17">
        <v>194475.12</v>
      </c>
      <c r="I18" s="18">
        <v>0.19</v>
      </c>
      <c r="J18" s="19">
        <f t="shared" si="0"/>
        <v>36950.272799999999</v>
      </c>
      <c r="K18" s="19">
        <f t="shared" si="1"/>
        <v>231425.3928</v>
      </c>
    </row>
    <row r="19" spans="1:11" ht="187.2" x14ac:dyDescent="0.3">
      <c r="A19" s="15">
        <v>8</v>
      </c>
      <c r="B19" s="16" t="s">
        <v>41</v>
      </c>
      <c r="C19" s="16" t="s">
        <v>48</v>
      </c>
      <c r="D19" s="16" t="s">
        <v>49</v>
      </c>
      <c r="E19" s="16" t="s">
        <v>33</v>
      </c>
      <c r="F19" s="16" t="s">
        <v>29</v>
      </c>
      <c r="G19" s="16">
        <v>1</v>
      </c>
      <c r="H19" s="17">
        <v>214014.36</v>
      </c>
      <c r="I19" s="18">
        <v>0.19</v>
      </c>
      <c r="J19" s="19">
        <f t="shared" si="0"/>
        <v>40662.7284</v>
      </c>
      <c r="K19" s="19">
        <f t="shared" si="1"/>
        <v>254677.08839999998</v>
      </c>
    </row>
    <row r="20" spans="1:11" ht="43.2" x14ac:dyDescent="0.3">
      <c r="A20" s="15">
        <v>9</v>
      </c>
      <c r="B20" s="16" t="s">
        <v>50</v>
      </c>
      <c r="C20" s="16" t="s">
        <v>51</v>
      </c>
      <c r="D20" s="16" t="s">
        <v>52</v>
      </c>
      <c r="E20" s="16" t="s">
        <v>37</v>
      </c>
      <c r="F20" s="16" t="s">
        <v>37</v>
      </c>
      <c r="G20" s="16">
        <v>1</v>
      </c>
      <c r="H20" s="17">
        <v>8934.66</v>
      </c>
      <c r="I20" s="18">
        <v>0.19</v>
      </c>
      <c r="J20" s="19">
        <f t="shared" si="0"/>
        <v>1697.5853999999999</v>
      </c>
      <c r="K20" s="19">
        <f t="shared" si="1"/>
        <v>10632.2454</v>
      </c>
    </row>
    <row r="21" spans="1:11" ht="100.8" x14ac:dyDescent="0.3">
      <c r="A21" s="15">
        <v>10</v>
      </c>
      <c r="B21" s="16" t="s">
        <v>53</v>
      </c>
      <c r="C21" s="16" t="s">
        <v>54</v>
      </c>
      <c r="D21" s="16" t="s">
        <v>55</v>
      </c>
      <c r="E21" s="16" t="s">
        <v>33</v>
      </c>
      <c r="F21" s="16" t="s">
        <v>29</v>
      </c>
      <c r="G21" s="16">
        <v>1</v>
      </c>
      <c r="H21" s="17">
        <v>31703.98</v>
      </c>
      <c r="I21" s="18">
        <v>0.19</v>
      </c>
      <c r="J21" s="19">
        <f t="shared" si="0"/>
        <v>6023.7561999999998</v>
      </c>
      <c r="K21" s="19">
        <f t="shared" si="1"/>
        <v>37727.736199999999</v>
      </c>
    </row>
    <row r="22" spans="1:11" ht="28.8" x14ac:dyDescent="0.3">
      <c r="A22" s="15">
        <v>11</v>
      </c>
      <c r="B22" s="16" t="s">
        <v>56</v>
      </c>
      <c r="C22" s="16" t="s">
        <v>57</v>
      </c>
      <c r="D22" s="16" t="s">
        <v>58</v>
      </c>
      <c r="E22" s="16" t="s">
        <v>33</v>
      </c>
      <c r="F22" s="16" t="s">
        <v>29</v>
      </c>
      <c r="G22" s="16">
        <v>1</v>
      </c>
      <c r="H22" s="17">
        <v>14754.88</v>
      </c>
      <c r="I22" s="18">
        <v>0.19</v>
      </c>
      <c r="J22" s="19">
        <f t="shared" si="0"/>
        <v>2803.4272000000001</v>
      </c>
      <c r="K22" s="19">
        <f t="shared" si="1"/>
        <v>17558.307199999999</v>
      </c>
    </row>
    <row r="23" spans="1:11" ht="144" x14ac:dyDescent="0.3">
      <c r="A23" s="15">
        <v>12</v>
      </c>
      <c r="B23" s="16" t="s">
        <v>59</v>
      </c>
      <c r="C23" s="16" t="s">
        <v>60</v>
      </c>
      <c r="D23" s="16" t="s">
        <v>61</v>
      </c>
      <c r="E23" s="16" t="s">
        <v>33</v>
      </c>
      <c r="F23" s="16" t="s">
        <v>29</v>
      </c>
      <c r="G23" s="16">
        <v>1</v>
      </c>
      <c r="H23" s="17">
        <v>302947.40000000002</v>
      </c>
      <c r="I23" s="18">
        <v>0.19</v>
      </c>
      <c r="J23" s="19">
        <f t="shared" si="0"/>
        <v>57560.006000000008</v>
      </c>
      <c r="K23" s="19">
        <f t="shared" si="1"/>
        <v>360507.40600000002</v>
      </c>
    </row>
    <row r="24" spans="1:11" ht="129.6" x14ac:dyDescent="0.3">
      <c r="A24" s="15">
        <v>13</v>
      </c>
      <c r="B24" s="16" t="s">
        <v>62</v>
      </c>
      <c r="C24" s="16" t="s">
        <v>63</v>
      </c>
      <c r="D24" s="16" t="s">
        <v>64</v>
      </c>
      <c r="E24" s="16" t="s">
        <v>33</v>
      </c>
      <c r="F24" s="16" t="s">
        <v>33</v>
      </c>
      <c r="G24" s="16">
        <v>1</v>
      </c>
      <c r="H24" s="17">
        <v>33634.58</v>
      </c>
      <c r="I24" s="18">
        <v>0.19</v>
      </c>
      <c r="J24" s="19">
        <f t="shared" si="0"/>
        <v>6390.5702000000001</v>
      </c>
      <c r="K24" s="19">
        <f t="shared" si="1"/>
        <v>40025.150200000004</v>
      </c>
    </row>
    <row r="25" spans="1:11" ht="100.8" x14ac:dyDescent="0.3">
      <c r="A25" s="15">
        <v>14</v>
      </c>
      <c r="B25" s="16" t="s">
        <v>65</v>
      </c>
      <c r="C25" s="16" t="s">
        <v>66</v>
      </c>
      <c r="D25" s="16" t="s">
        <v>67</v>
      </c>
      <c r="E25" s="16" t="s">
        <v>33</v>
      </c>
      <c r="F25" s="16" t="s">
        <v>68</v>
      </c>
      <c r="G25" s="16">
        <v>1</v>
      </c>
      <c r="H25" s="17">
        <v>66885.98</v>
      </c>
      <c r="I25" s="18">
        <v>0.19</v>
      </c>
      <c r="J25" s="19">
        <f t="shared" si="0"/>
        <v>12708.3362</v>
      </c>
      <c r="K25" s="19">
        <f t="shared" si="1"/>
        <v>79594.316200000001</v>
      </c>
    </row>
    <row r="26" spans="1:11" ht="86.4" x14ac:dyDescent="0.3">
      <c r="A26" s="15">
        <v>15</v>
      </c>
      <c r="B26" s="16" t="s">
        <v>69</v>
      </c>
      <c r="C26" s="16" t="s">
        <v>70</v>
      </c>
      <c r="D26" s="16" t="s">
        <v>71</v>
      </c>
      <c r="E26" s="16" t="s">
        <v>33</v>
      </c>
      <c r="F26" s="16" t="s">
        <v>29</v>
      </c>
      <c r="G26" s="16">
        <v>1</v>
      </c>
      <c r="H26" s="17">
        <v>60202.38</v>
      </c>
      <c r="I26" s="18">
        <v>0.19</v>
      </c>
      <c r="J26" s="19">
        <f t="shared" si="0"/>
        <v>11438.4522</v>
      </c>
      <c r="K26" s="19">
        <f t="shared" si="1"/>
        <v>71640.832200000004</v>
      </c>
    </row>
    <row r="27" spans="1:11" ht="57.6" x14ac:dyDescent="0.3">
      <c r="A27" s="15">
        <v>16</v>
      </c>
      <c r="B27" s="16" t="s">
        <v>50</v>
      </c>
      <c r="C27" s="16" t="s">
        <v>72</v>
      </c>
      <c r="D27" s="16" t="s">
        <v>73</v>
      </c>
      <c r="E27" s="16" t="s">
        <v>37</v>
      </c>
      <c r="F27" s="16" t="s">
        <v>37</v>
      </c>
      <c r="G27" s="16">
        <v>1</v>
      </c>
      <c r="H27" s="17">
        <v>40019.279999999999</v>
      </c>
      <c r="I27" s="18">
        <v>0.19</v>
      </c>
      <c r="J27" s="19">
        <f t="shared" si="0"/>
        <v>7603.6632</v>
      </c>
      <c r="K27" s="19">
        <f t="shared" si="1"/>
        <v>47622.943200000002</v>
      </c>
    </row>
    <row r="28" spans="1:11" ht="129.6" x14ac:dyDescent="0.3">
      <c r="A28" s="15">
        <v>17</v>
      </c>
      <c r="B28" s="16" t="s">
        <v>74</v>
      </c>
      <c r="C28" s="16" t="s">
        <v>75</v>
      </c>
      <c r="D28" s="16" t="s">
        <v>76</v>
      </c>
      <c r="E28" s="16" t="s">
        <v>33</v>
      </c>
      <c r="F28" s="16" t="s">
        <v>29</v>
      </c>
      <c r="G28" s="16">
        <v>1</v>
      </c>
      <c r="H28" s="17">
        <v>41910.68</v>
      </c>
      <c r="I28" s="18">
        <v>0.19</v>
      </c>
      <c r="J28" s="19">
        <f t="shared" si="0"/>
        <v>7963.0291999999999</v>
      </c>
      <c r="K28" s="19">
        <f t="shared" si="1"/>
        <v>49873.709199999998</v>
      </c>
    </row>
    <row r="29" spans="1:11" ht="100.8" x14ac:dyDescent="0.3">
      <c r="A29" s="15">
        <v>18</v>
      </c>
      <c r="B29" s="16" t="s">
        <v>74</v>
      </c>
      <c r="C29" s="16" t="s">
        <v>75</v>
      </c>
      <c r="D29" s="16" t="s">
        <v>77</v>
      </c>
      <c r="E29" s="16" t="s">
        <v>33</v>
      </c>
      <c r="F29" s="16" t="s">
        <v>29</v>
      </c>
      <c r="G29" s="16">
        <v>1</v>
      </c>
      <c r="H29" s="17">
        <v>33400.36</v>
      </c>
      <c r="I29" s="18">
        <v>0.19</v>
      </c>
      <c r="J29" s="19">
        <f t="shared" si="0"/>
        <v>6346.0684000000001</v>
      </c>
      <c r="K29" s="19">
        <f t="shared" si="1"/>
        <v>39746.428400000004</v>
      </c>
    </row>
    <row r="30" spans="1:11" ht="57.6" x14ac:dyDescent="0.3">
      <c r="A30" s="15">
        <v>19</v>
      </c>
      <c r="B30" s="16" t="s">
        <v>74</v>
      </c>
      <c r="C30" s="16" t="s">
        <v>75</v>
      </c>
      <c r="D30" s="16" t="s">
        <v>78</v>
      </c>
      <c r="E30" s="16" t="s">
        <v>33</v>
      </c>
      <c r="F30" s="16" t="s">
        <v>29</v>
      </c>
      <c r="G30" s="16">
        <v>1</v>
      </c>
      <c r="H30" s="17">
        <v>36769.599999999999</v>
      </c>
      <c r="I30" s="18">
        <v>0.19</v>
      </c>
      <c r="J30" s="19">
        <f t="shared" si="0"/>
        <v>6986.2240000000002</v>
      </c>
      <c r="K30" s="19">
        <f t="shared" si="1"/>
        <v>43755.824000000001</v>
      </c>
    </row>
    <row r="31" spans="1:11" ht="43.2" x14ac:dyDescent="0.3">
      <c r="A31" s="15">
        <v>20</v>
      </c>
      <c r="B31" s="16" t="s">
        <v>74</v>
      </c>
      <c r="C31" s="16" t="s">
        <v>75</v>
      </c>
      <c r="D31" s="16" t="s">
        <v>79</v>
      </c>
      <c r="E31" s="16" t="s">
        <v>33</v>
      </c>
      <c r="F31" s="16" t="s">
        <v>29</v>
      </c>
      <c r="G31" s="16">
        <v>1</v>
      </c>
      <c r="H31" s="17">
        <v>10818.22</v>
      </c>
      <c r="I31" s="18">
        <v>0.19</v>
      </c>
      <c r="J31" s="19">
        <f t="shared" si="0"/>
        <v>2055.4618</v>
      </c>
      <c r="K31" s="19">
        <f t="shared" si="1"/>
        <v>12873.681799999998</v>
      </c>
    </row>
    <row r="32" spans="1:11" ht="43.2" x14ac:dyDescent="0.3">
      <c r="A32" s="15">
        <v>21</v>
      </c>
      <c r="B32" s="16" t="s">
        <v>74</v>
      </c>
      <c r="C32" s="16" t="s">
        <v>75</v>
      </c>
      <c r="D32" s="16" t="s">
        <v>80</v>
      </c>
      <c r="E32" s="16" t="s">
        <v>33</v>
      </c>
      <c r="F32" s="16" t="s">
        <v>29</v>
      </c>
      <c r="G32" s="16">
        <v>1</v>
      </c>
      <c r="H32" s="17">
        <v>46738.16</v>
      </c>
      <c r="I32" s="18">
        <v>0.19</v>
      </c>
      <c r="J32" s="19">
        <f t="shared" si="0"/>
        <v>8880.2504000000008</v>
      </c>
      <c r="K32" s="19">
        <f t="shared" si="1"/>
        <v>55618.410400000008</v>
      </c>
    </row>
    <row r="33" spans="1:11" ht="72" x14ac:dyDescent="0.3">
      <c r="A33" s="15">
        <v>22</v>
      </c>
      <c r="B33" s="16" t="s">
        <v>74</v>
      </c>
      <c r="C33" s="16" t="s">
        <v>81</v>
      </c>
      <c r="D33" s="16" t="s">
        <v>82</v>
      </c>
      <c r="E33" s="16" t="s">
        <v>33</v>
      </c>
      <c r="F33" s="16" t="s">
        <v>29</v>
      </c>
      <c r="G33" s="16">
        <v>1</v>
      </c>
      <c r="H33" s="17">
        <v>43170.96</v>
      </c>
      <c r="I33" s="18">
        <v>0.19</v>
      </c>
      <c r="J33" s="19">
        <f t="shared" si="0"/>
        <v>8202.4824000000008</v>
      </c>
      <c r="K33" s="19">
        <f t="shared" si="1"/>
        <v>51373.4424</v>
      </c>
    </row>
    <row r="34" spans="1:11" ht="72" x14ac:dyDescent="0.3">
      <c r="A34" s="15">
        <v>23</v>
      </c>
      <c r="B34" s="16" t="s">
        <v>74</v>
      </c>
      <c r="C34" s="16" t="s">
        <v>83</v>
      </c>
      <c r="D34" s="16" t="s">
        <v>84</v>
      </c>
      <c r="E34" s="16" t="s">
        <v>33</v>
      </c>
      <c r="F34" s="16" t="s">
        <v>29</v>
      </c>
      <c r="G34" s="16">
        <v>1</v>
      </c>
      <c r="H34" s="17">
        <v>19167.82</v>
      </c>
      <c r="I34" s="18">
        <v>0.19</v>
      </c>
      <c r="J34" s="19">
        <f t="shared" si="0"/>
        <v>3641.8858</v>
      </c>
      <c r="K34" s="19">
        <f t="shared" si="1"/>
        <v>22809.7058</v>
      </c>
    </row>
    <row r="35" spans="1:11" ht="28.8" x14ac:dyDescent="0.3">
      <c r="A35" s="15">
        <v>24</v>
      </c>
      <c r="B35" s="16" t="s">
        <v>74</v>
      </c>
      <c r="C35" s="16" t="s">
        <v>85</v>
      </c>
      <c r="D35" s="16" t="s">
        <v>86</v>
      </c>
      <c r="E35" s="16" t="s">
        <v>33</v>
      </c>
      <c r="F35" s="16" t="s">
        <v>29</v>
      </c>
      <c r="G35" s="16">
        <v>1</v>
      </c>
      <c r="H35" s="17">
        <v>13079.08</v>
      </c>
      <c r="I35" s="18">
        <v>0.19</v>
      </c>
      <c r="J35" s="19">
        <f t="shared" si="0"/>
        <v>2485.0252</v>
      </c>
      <c r="K35" s="19">
        <f t="shared" si="1"/>
        <v>15564.1052</v>
      </c>
    </row>
    <row r="36" spans="1:11" ht="100.8" x14ac:dyDescent="0.3">
      <c r="A36" s="15">
        <v>25</v>
      </c>
      <c r="B36" s="16" t="s">
        <v>74</v>
      </c>
      <c r="C36" s="16" t="s">
        <v>87</v>
      </c>
      <c r="D36" s="16" t="s">
        <v>88</v>
      </c>
      <c r="E36" s="16" t="s">
        <v>33</v>
      </c>
      <c r="F36" s="16" t="s">
        <v>29</v>
      </c>
      <c r="G36" s="16">
        <v>1</v>
      </c>
      <c r="H36" s="17">
        <v>19208</v>
      </c>
      <c r="I36" s="18">
        <v>0.19</v>
      </c>
      <c r="J36" s="19">
        <f t="shared" si="0"/>
        <v>3649.52</v>
      </c>
      <c r="K36" s="19">
        <f t="shared" si="1"/>
        <v>22857.52</v>
      </c>
    </row>
    <row r="37" spans="1:11" ht="86.4" x14ac:dyDescent="0.3">
      <c r="A37" s="15">
        <v>26</v>
      </c>
      <c r="B37" s="16" t="s">
        <v>89</v>
      </c>
      <c r="C37" s="16" t="s">
        <v>90</v>
      </c>
      <c r="D37" s="16" t="s">
        <v>91</v>
      </c>
      <c r="E37" s="16" t="s">
        <v>37</v>
      </c>
      <c r="F37" s="16" t="s">
        <v>37</v>
      </c>
      <c r="G37" s="16">
        <v>1</v>
      </c>
      <c r="H37" s="17">
        <v>126941.36</v>
      </c>
      <c r="I37" s="18">
        <v>0.19</v>
      </c>
      <c r="J37" s="19">
        <f t="shared" si="0"/>
        <v>24118.858400000001</v>
      </c>
      <c r="K37" s="19">
        <f t="shared" si="1"/>
        <v>151060.21840000001</v>
      </c>
    </row>
    <row r="38" spans="1:11" ht="28.8" x14ac:dyDescent="0.3">
      <c r="A38" s="15">
        <v>27</v>
      </c>
      <c r="B38" s="16" t="s">
        <v>89</v>
      </c>
      <c r="C38" s="16" t="s">
        <v>92</v>
      </c>
      <c r="D38" s="16" t="s">
        <v>93</v>
      </c>
      <c r="E38" s="16" t="s">
        <v>37</v>
      </c>
      <c r="F38" s="16" t="s">
        <v>37</v>
      </c>
      <c r="G38" s="16">
        <v>1</v>
      </c>
      <c r="H38" s="17">
        <v>11561.06</v>
      </c>
      <c r="I38" s="18">
        <v>0.19</v>
      </c>
      <c r="J38" s="19">
        <f t="shared" si="0"/>
        <v>2196.6014</v>
      </c>
      <c r="K38" s="19">
        <f t="shared" si="1"/>
        <v>13757.661399999999</v>
      </c>
    </row>
    <row r="39" spans="1:11" ht="57.6" x14ac:dyDescent="0.3">
      <c r="A39" s="15">
        <v>28</v>
      </c>
      <c r="B39" s="16" t="s">
        <v>89</v>
      </c>
      <c r="C39" s="16" t="s">
        <v>94</v>
      </c>
      <c r="D39" s="16" t="s">
        <v>95</v>
      </c>
      <c r="E39" s="16" t="s">
        <v>37</v>
      </c>
      <c r="F39" s="16" t="s">
        <v>37</v>
      </c>
      <c r="G39" s="16">
        <v>1</v>
      </c>
      <c r="H39" s="17">
        <v>48479.62</v>
      </c>
      <c r="I39" s="18">
        <v>0.19</v>
      </c>
      <c r="J39" s="19">
        <f t="shared" si="0"/>
        <v>9211.1278000000002</v>
      </c>
      <c r="K39" s="19">
        <f t="shared" si="1"/>
        <v>57690.747800000005</v>
      </c>
    </row>
    <row r="40" spans="1:11" ht="129.6" x14ac:dyDescent="0.3">
      <c r="A40" s="15">
        <v>29</v>
      </c>
      <c r="B40" s="16" t="s">
        <v>96</v>
      </c>
      <c r="C40" s="16" t="s">
        <v>97</v>
      </c>
      <c r="D40" s="16" t="s">
        <v>98</v>
      </c>
      <c r="E40" s="16" t="s">
        <v>33</v>
      </c>
      <c r="F40" s="16" t="s">
        <v>29</v>
      </c>
      <c r="G40" s="16">
        <v>1</v>
      </c>
      <c r="H40" s="17">
        <v>8277.08</v>
      </c>
      <c r="I40" s="18">
        <v>0.19</v>
      </c>
      <c r="J40" s="19">
        <f t="shared" si="0"/>
        <v>1572.6451999999999</v>
      </c>
      <c r="K40" s="19">
        <f t="shared" si="1"/>
        <v>9849.7252000000008</v>
      </c>
    </row>
    <row r="41" spans="1:11" ht="409.6" x14ac:dyDescent="0.3">
      <c r="A41" s="15">
        <v>30</v>
      </c>
      <c r="B41" s="16" t="s">
        <v>99</v>
      </c>
      <c r="C41" s="16" t="s">
        <v>100</v>
      </c>
      <c r="D41" s="16" t="s">
        <v>101</v>
      </c>
      <c r="E41" s="16" t="s">
        <v>29</v>
      </c>
      <c r="F41" s="16" t="s">
        <v>102</v>
      </c>
      <c r="G41" s="16">
        <v>1</v>
      </c>
      <c r="H41" s="17">
        <v>293656.02</v>
      </c>
      <c r="I41" s="18">
        <v>0.19</v>
      </c>
      <c r="J41" s="19">
        <f t="shared" si="0"/>
        <v>55794.643800000005</v>
      </c>
      <c r="K41" s="19">
        <f t="shared" si="1"/>
        <v>349450.66380000004</v>
      </c>
    </row>
    <row r="42" spans="1:11" ht="115.2" x14ac:dyDescent="0.3">
      <c r="A42" s="15">
        <v>31</v>
      </c>
      <c r="B42" s="16" t="s">
        <v>103</v>
      </c>
      <c r="C42" s="16" t="s">
        <v>104</v>
      </c>
      <c r="D42" s="16" t="s">
        <v>105</v>
      </c>
      <c r="E42" s="16" t="s">
        <v>33</v>
      </c>
      <c r="F42" s="16" t="s">
        <v>29</v>
      </c>
      <c r="G42" s="16">
        <v>1</v>
      </c>
      <c r="H42" s="17">
        <v>23363.200000000001</v>
      </c>
      <c r="I42" s="18">
        <v>0.19</v>
      </c>
      <c r="J42" s="19">
        <f t="shared" si="0"/>
        <v>4439.0079999999998</v>
      </c>
      <c r="K42" s="19">
        <f t="shared" si="1"/>
        <v>27802.207999999999</v>
      </c>
    </row>
    <row r="43" spans="1:11" ht="57.6" x14ac:dyDescent="0.3">
      <c r="A43" s="15">
        <v>32</v>
      </c>
      <c r="B43" s="16" t="s">
        <v>74</v>
      </c>
      <c r="C43" s="16" t="s">
        <v>106</v>
      </c>
      <c r="D43" s="16" t="s">
        <v>107</v>
      </c>
      <c r="E43" s="16" t="s">
        <v>33</v>
      </c>
      <c r="F43" s="16" t="s">
        <v>29</v>
      </c>
      <c r="G43" s="16">
        <v>1</v>
      </c>
      <c r="H43" s="17">
        <v>37677.08</v>
      </c>
      <c r="I43" s="18">
        <v>0.19</v>
      </c>
      <c r="J43" s="19">
        <f t="shared" si="0"/>
        <v>7158.6452000000008</v>
      </c>
      <c r="K43" s="19">
        <f t="shared" si="1"/>
        <v>44835.725200000001</v>
      </c>
    </row>
    <row r="44" spans="1:11" ht="43.2" x14ac:dyDescent="0.3">
      <c r="A44" s="15">
        <v>33</v>
      </c>
      <c r="B44" s="16" t="s">
        <v>74</v>
      </c>
      <c r="C44" s="16" t="s">
        <v>108</v>
      </c>
      <c r="D44" s="16" t="s">
        <v>109</v>
      </c>
      <c r="E44" s="16" t="s">
        <v>33</v>
      </c>
      <c r="F44" s="16" t="s">
        <v>29</v>
      </c>
      <c r="G44" s="16">
        <v>1</v>
      </c>
      <c r="H44" s="17">
        <v>37155.72</v>
      </c>
      <c r="I44" s="18">
        <v>0.19</v>
      </c>
      <c r="J44" s="19">
        <f t="shared" si="0"/>
        <v>7059.5868</v>
      </c>
      <c r="K44" s="19">
        <f t="shared" si="1"/>
        <v>44215.306799999998</v>
      </c>
    </row>
    <row r="45" spans="1:11" ht="57.6" x14ac:dyDescent="0.3">
      <c r="A45" s="15">
        <v>34</v>
      </c>
      <c r="B45" s="16" t="s">
        <v>74</v>
      </c>
      <c r="C45" s="16" t="s">
        <v>110</v>
      </c>
      <c r="D45" s="16" t="s">
        <v>111</v>
      </c>
      <c r="E45" s="16" t="s">
        <v>33</v>
      </c>
      <c r="F45" s="16" t="s">
        <v>29</v>
      </c>
      <c r="G45" s="16">
        <v>1</v>
      </c>
      <c r="H45" s="17">
        <v>30879.8</v>
      </c>
      <c r="I45" s="18">
        <v>0.19</v>
      </c>
      <c r="J45" s="19">
        <f t="shared" si="0"/>
        <v>5867.1620000000003</v>
      </c>
      <c r="K45" s="19">
        <f t="shared" si="1"/>
        <v>36746.962</v>
      </c>
    </row>
    <row r="46" spans="1:11" ht="57.6" x14ac:dyDescent="0.3">
      <c r="A46" s="15">
        <v>35</v>
      </c>
      <c r="B46" s="16" t="s">
        <v>74</v>
      </c>
      <c r="C46" s="16" t="s">
        <v>112</v>
      </c>
      <c r="D46" s="16" t="s">
        <v>113</v>
      </c>
      <c r="E46" s="16" t="s">
        <v>33</v>
      </c>
      <c r="F46" s="16" t="s">
        <v>29</v>
      </c>
      <c r="G46" s="16">
        <v>1</v>
      </c>
      <c r="H46" s="17">
        <v>36639.26</v>
      </c>
      <c r="I46" s="18">
        <v>0.19</v>
      </c>
      <c r="J46" s="19">
        <f t="shared" si="0"/>
        <v>6961.4594000000006</v>
      </c>
      <c r="K46" s="19">
        <f t="shared" si="1"/>
        <v>43600.719400000002</v>
      </c>
    </row>
    <row r="47" spans="1:11" ht="100.8" x14ac:dyDescent="0.3">
      <c r="A47" s="15">
        <v>36</v>
      </c>
      <c r="B47" s="16" t="s">
        <v>114</v>
      </c>
      <c r="C47" s="16" t="s">
        <v>115</v>
      </c>
      <c r="D47" s="16" t="s">
        <v>116</v>
      </c>
      <c r="E47" s="16" t="s">
        <v>33</v>
      </c>
      <c r="F47" s="16" t="s">
        <v>29</v>
      </c>
      <c r="G47" s="16">
        <v>1</v>
      </c>
      <c r="H47" s="17">
        <v>5356.68</v>
      </c>
      <c r="I47" s="18">
        <v>0.19</v>
      </c>
      <c r="J47" s="19">
        <f t="shared" si="0"/>
        <v>1017.7692000000001</v>
      </c>
      <c r="K47" s="19">
        <f t="shared" si="1"/>
        <v>6374.4492</v>
      </c>
    </row>
    <row r="48" spans="1:11" ht="72" x14ac:dyDescent="0.3">
      <c r="A48" s="15">
        <v>37</v>
      </c>
      <c r="B48" s="16" t="s">
        <v>117</v>
      </c>
      <c r="C48" s="16" t="s">
        <v>118</v>
      </c>
      <c r="D48" s="16" t="s">
        <v>119</v>
      </c>
      <c r="E48" s="16" t="s">
        <v>33</v>
      </c>
      <c r="F48" s="16" t="s">
        <v>29</v>
      </c>
      <c r="G48" s="16">
        <v>1</v>
      </c>
      <c r="H48" s="17">
        <v>13587.7</v>
      </c>
      <c r="I48" s="18">
        <v>0.19</v>
      </c>
      <c r="J48" s="19">
        <f t="shared" si="0"/>
        <v>2581.663</v>
      </c>
      <c r="K48" s="19">
        <f t="shared" si="1"/>
        <v>16169.363000000001</v>
      </c>
    </row>
    <row r="49" spans="1:11" ht="72" x14ac:dyDescent="0.3">
      <c r="A49" s="15">
        <v>38</v>
      </c>
      <c r="B49" s="16" t="s">
        <v>117</v>
      </c>
      <c r="C49" s="16" t="s">
        <v>120</v>
      </c>
      <c r="D49" s="16" t="s">
        <v>121</v>
      </c>
      <c r="E49" s="16" t="s">
        <v>33</v>
      </c>
      <c r="F49" s="16" t="s">
        <v>29</v>
      </c>
      <c r="G49" s="16">
        <v>1</v>
      </c>
      <c r="H49" s="17">
        <v>87936.38</v>
      </c>
      <c r="I49" s="18">
        <v>0.19</v>
      </c>
      <c r="J49" s="19">
        <f t="shared" si="0"/>
        <v>16707.912200000002</v>
      </c>
      <c r="K49" s="19">
        <f t="shared" si="1"/>
        <v>104644.29220000001</v>
      </c>
    </row>
    <row r="50" spans="1:11" ht="100.8" x14ac:dyDescent="0.3">
      <c r="A50" s="15">
        <v>39</v>
      </c>
      <c r="B50" s="16" t="s">
        <v>117</v>
      </c>
      <c r="C50" s="16" t="s">
        <v>122</v>
      </c>
      <c r="D50" s="16" t="s">
        <v>123</v>
      </c>
      <c r="E50" s="16" t="s">
        <v>33</v>
      </c>
      <c r="F50" s="16" t="s">
        <v>29</v>
      </c>
      <c r="G50" s="16">
        <v>1</v>
      </c>
      <c r="H50" s="17">
        <v>4528.58</v>
      </c>
      <c r="I50" s="18">
        <v>0.19</v>
      </c>
      <c r="J50" s="19">
        <f t="shared" si="0"/>
        <v>860.43020000000001</v>
      </c>
      <c r="K50" s="19">
        <f t="shared" si="1"/>
        <v>5389.0101999999997</v>
      </c>
    </row>
    <row r="51" spans="1:11" ht="43.2" x14ac:dyDescent="0.3">
      <c r="A51" s="15">
        <v>40</v>
      </c>
      <c r="B51" s="16" t="s">
        <v>50</v>
      </c>
      <c r="C51" s="16" t="s">
        <v>124</v>
      </c>
      <c r="D51" s="16" t="s">
        <v>125</v>
      </c>
      <c r="E51" s="16" t="s">
        <v>33</v>
      </c>
      <c r="F51" s="16" t="s">
        <v>29</v>
      </c>
      <c r="G51" s="16">
        <v>1</v>
      </c>
      <c r="H51" s="17">
        <v>16824.64</v>
      </c>
      <c r="I51" s="18">
        <v>0.19</v>
      </c>
      <c r="J51" s="19">
        <f t="shared" si="0"/>
        <v>3196.6815999999999</v>
      </c>
      <c r="K51" s="19">
        <f t="shared" si="1"/>
        <v>20021.321599999999</v>
      </c>
    </row>
    <row r="52" spans="1:11" ht="57.6" x14ac:dyDescent="0.3">
      <c r="A52" s="15">
        <v>41</v>
      </c>
      <c r="B52" s="16" t="s">
        <v>50</v>
      </c>
      <c r="C52" s="16" t="s">
        <v>126</v>
      </c>
      <c r="D52" s="16" t="s">
        <v>127</v>
      </c>
      <c r="E52" s="16" t="s">
        <v>33</v>
      </c>
      <c r="F52" s="16" t="s">
        <v>29</v>
      </c>
      <c r="G52" s="16">
        <v>1</v>
      </c>
      <c r="H52" s="17">
        <v>2236.36</v>
      </c>
      <c r="I52" s="18">
        <v>0.19</v>
      </c>
      <c r="J52" s="19">
        <f t="shared" si="0"/>
        <v>424.90840000000003</v>
      </c>
      <c r="K52" s="19">
        <f t="shared" si="1"/>
        <v>2661.2683999999999</v>
      </c>
    </row>
    <row r="53" spans="1:11" ht="115.2" x14ac:dyDescent="0.3">
      <c r="A53" s="15">
        <v>42</v>
      </c>
      <c r="B53" s="16" t="s">
        <v>114</v>
      </c>
      <c r="C53" s="16" t="s">
        <v>128</v>
      </c>
      <c r="D53" s="16" t="s">
        <v>129</v>
      </c>
      <c r="E53" s="16" t="s">
        <v>33</v>
      </c>
      <c r="F53" s="16" t="s">
        <v>29</v>
      </c>
      <c r="G53" s="16">
        <v>1</v>
      </c>
      <c r="H53" s="17">
        <v>12523.42</v>
      </c>
      <c r="I53" s="18">
        <v>0.19</v>
      </c>
      <c r="J53" s="19">
        <f t="shared" si="0"/>
        <v>2379.4497999999999</v>
      </c>
      <c r="K53" s="19">
        <f t="shared" si="1"/>
        <v>14902.8698</v>
      </c>
    </row>
    <row r="54" spans="1:11" ht="115.2" x14ac:dyDescent="0.3">
      <c r="A54" s="15">
        <v>43</v>
      </c>
      <c r="B54" s="16" t="s">
        <v>74</v>
      </c>
      <c r="C54" s="16" t="s">
        <v>130</v>
      </c>
      <c r="D54" s="16" t="s">
        <v>131</v>
      </c>
      <c r="E54" s="16" t="s">
        <v>33</v>
      </c>
      <c r="F54" s="16" t="s">
        <v>29</v>
      </c>
      <c r="G54" s="16">
        <v>1</v>
      </c>
      <c r="H54" s="17">
        <v>13761.16</v>
      </c>
      <c r="I54" s="18">
        <v>0.19</v>
      </c>
      <c r="J54" s="19">
        <f t="shared" si="0"/>
        <v>2614.6203999999998</v>
      </c>
      <c r="K54" s="19">
        <f t="shared" si="1"/>
        <v>16375.7804</v>
      </c>
    </row>
    <row r="55" spans="1:11" ht="86.4" x14ac:dyDescent="0.3">
      <c r="A55" s="15">
        <v>44</v>
      </c>
      <c r="B55" s="16" t="s">
        <v>132</v>
      </c>
      <c r="C55" s="16" t="s">
        <v>133</v>
      </c>
      <c r="D55" s="16" t="s">
        <v>134</v>
      </c>
      <c r="E55" s="16" t="s">
        <v>28</v>
      </c>
      <c r="F55" s="16" t="s">
        <v>28</v>
      </c>
      <c r="G55" s="16">
        <v>1</v>
      </c>
      <c r="H55" s="17">
        <v>7667.52</v>
      </c>
      <c r="I55" s="18">
        <v>0.19</v>
      </c>
      <c r="J55" s="19">
        <f t="shared" si="0"/>
        <v>1456.8288</v>
      </c>
      <c r="K55" s="19">
        <f t="shared" si="1"/>
        <v>9124.3487999999998</v>
      </c>
    </row>
    <row r="56" spans="1:11" ht="129.6" x14ac:dyDescent="0.3">
      <c r="A56" s="15">
        <v>45</v>
      </c>
      <c r="B56" s="16" t="s">
        <v>135</v>
      </c>
      <c r="C56" s="16" t="s">
        <v>136</v>
      </c>
      <c r="D56" s="16" t="s">
        <v>137</v>
      </c>
      <c r="E56" s="16" t="s">
        <v>37</v>
      </c>
      <c r="F56" s="16" t="s">
        <v>37</v>
      </c>
      <c r="G56" s="16">
        <v>1</v>
      </c>
      <c r="H56" s="17">
        <v>312251.52000000002</v>
      </c>
      <c r="I56" s="18">
        <v>0.19</v>
      </c>
      <c r="J56" s="19">
        <f t="shared" si="0"/>
        <v>59327.788800000002</v>
      </c>
      <c r="K56" s="19">
        <f t="shared" si="1"/>
        <v>371579.3088</v>
      </c>
    </row>
    <row r="57" spans="1:11" ht="100.8" x14ac:dyDescent="0.3">
      <c r="A57" s="15">
        <v>46</v>
      </c>
      <c r="B57" s="16" t="s">
        <v>138</v>
      </c>
      <c r="C57" s="16" t="s">
        <v>139</v>
      </c>
      <c r="D57" s="16" t="s">
        <v>140</v>
      </c>
      <c r="E57" s="16" t="s">
        <v>28</v>
      </c>
      <c r="F57" s="16" t="s">
        <v>28</v>
      </c>
      <c r="G57" s="16">
        <v>1</v>
      </c>
      <c r="H57" s="17">
        <v>312763.08</v>
      </c>
      <c r="I57" s="18">
        <v>0.19</v>
      </c>
      <c r="J57" s="19">
        <f t="shared" si="0"/>
        <v>59424.985200000003</v>
      </c>
      <c r="K57" s="19">
        <f t="shared" si="1"/>
        <v>372188.06520000001</v>
      </c>
    </row>
    <row r="58" spans="1:11" ht="273.60000000000002" x14ac:dyDescent="0.3">
      <c r="A58" s="15">
        <v>47</v>
      </c>
      <c r="B58" s="16" t="s">
        <v>135</v>
      </c>
      <c r="C58" s="16" t="s">
        <v>141</v>
      </c>
      <c r="D58" s="16" t="s">
        <v>142</v>
      </c>
      <c r="E58" s="16" t="s">
        <v>37</v>
      </c>
      <c r="F58" s="16" t="s">
        <v>37</v>
      </c>
      <c r="G58" s="16">
        <v>1</v>
      </c>
      <c r="H58" s="17">
        <v>30645.58</v>
      </c>
      <c r="I58" s="18">
        <v>0.19</v>
      </c>
      <c r="J58" s="19">
        <f t="shared" si="0"/>
        <v>5822.6602000000003</v>
      </c>
      <c r="K58" s="19">
        <f t="shared" si="1"/>
        <v>36468.2402</v>
      </c>
    </row>
    <row r="59" spans="1:11" ht="187.2" x14ac:dyDescent="0.3">
      <c r="A59" s="15">
        <v>48</v>
      </c>
      <c r="B59" s="16" t="s">
        <v>89</v>
      </c>
      <c r="C59" s="16" t="s">
        <v>143</v>
      </c>
      <c r="D59" s="16" t="s">
        <v>144</v>
      </c>
      <c r="E59" s="16" t="s">
        <v>37</v>
      </c>
      <c r="F59" s="16" t="s">
        <v>37</v>
      </c>
      <c r="G59" s="16">
        <v>1</v>
      </c>
      <c r="H59" s="17">
        <v>24456.880000000001</v>
      </c>
      <c r="I59" s="18">
        <v>0.19</v>
      </c>
      <c r="J59" s="19">
        <f t="shared" si="0"/>
        <v>4646.8072000000002</v>
      </c>
      <c r="K59" s="19">
        <f t="shared" si="1"/>
        <v>29103.6872</v>
      </c>
    </row>
    <row r="60" spans="1:11" ht="288" x14ac:dyDescent="0.3">
      <c r="A60" s="15">
        <v>49</v>
      </c>
      <c r="B60" s="16" t="s">
        <v>89</v>
      </c>
      <c r="C60" s="16" t="s">
        <v>145</v>
      </c>
      <c r="D60" s="16" t="s">
        <v>146</v>
      </c>
      <c r="E60" s="16" t="s">
        <v>37</v>
      </c>
      <c r="F60" s="16" t="s">
        <v>37</v>
      </c>
      <c r="G60" s="16">
        <v>1</v>
      </c>
      <c r="H60" s="17">
        <v>34424.46</v>
      </c>
      <c r="I60" s="18">
        <v>0.19</v>
      </c>
      <c r="J60" s="19">
        <f t="shared" si="0"/>
        <v>6540.6473999999998</v>
      </c>
      <c r="K60" s="19">
        <f t="shared" si="1"/>
        <v>40965.107400000001</v>
      </c>
    </row>
    <row r="61" spans="1:11" ht="115.2" x14ac:dyDescent="0.3">
      <c r="A61" s="15">
        <v>50</v>
      </c>
      <c r="B61" s="16" t="s">
        <v>89</v>
      </c>
      <c r="C61" s="16" t="s">
        <v>147</v>
      </c>
      <c r="D61" s="16" t="s">
        <v>148</v>
      </c>
      <c r="E61" s="16" t="s">
        <v>37</v>
      </c>
      <c r="F61" s="16" t="s">
        <v>37</v>
      </c>
      <c r="G61" s="16">
        <v>1</v>
      </c>
      <c r="H61" s="17">
        <v>332103.38</v>
      </c>
      <c r="I61" s="18">
        <v>0.19</v>
      </c>
      <c r="J61" s="19">
        <f t="shared" si="0"/>
        <v>63099.642200000002</v>
      </c>
      <c r="K61" s="19">
        <f t="shared" si="1"/>
        <v>395203.02220000001</v>
      </c>
    </row>
    <row r="62" spans="1:11" ht="360" x14ac:dyDescent="0.3">
      <c r="A62" s="15">
        <v>51</v>
      </c>
      <c r="B62" s="16" t="s">
        <v>89</v>
      </c>
      <c r="C62" s="16" t="s">
        <v>149</v>
      </c>
      <c r="D62" s="16" t="s">
        <v>150</v>
      </c>
      <c r="E62" s="16" t="s">
        <v>37</v>
      </c>
      <c r="F62" s="16" t="s">
        <v>37</v>
      </c>
      <c r="G62" s="16">
        <v>1</v>
      </c>
      <c r="H62" s="17">
        <v>68105.100000000006</v>
      </c>
      <c r="I62" s="18">
        <v>0.19</v>
      </c>
      <c r="J62" s="19">
        <f t="shared" si="0"/>
        <v>12939.969000000001</v>
      </c>
      <c r="K62" s="19">
        <f t="shared" si="1"/>
        <v>81045.069000000003</v>
      </c>
    </row>
    <row r="63" spans="1:11" ht="86.4" x14ac:dyDescent="0.3">
      <c r="A63" s="15">
        <v>52</v>
      </c>
      <c r="B63" s="16" t="s">
        <v>89</v>
      </c>
      <c r="C63" s="16" t="s">
        <v>151</v>
      </c>
      <c r="D63" s="16" t="s">
        <v>152</v>
      </c>
      <c r="E63" s="16" t="s">
        <v>37</v>
      </c>
      <c r="F63" s="16" t="s">
        <v>37</v>
      </c>
      <c r="G63" s="16">
        <v>1</v>
      </c>
      <c r="H63" s="17">
        <v>27793.78</v>
      </c>
      <c r="I63" s="18">
        <v>0.19</v>
      </c>
      <c r="J63" s="19">
        <f t="shared" si="0"/>
        <v>5280.8181999999997</v>
      </c>
      <c r="K63" s="19">
        <f t="shared" si="1"/>
        <v>33074.5982</v>
      </c>
    </row>
    <row r="64" spans="1:11" ht="144" x14ac:dyDescent="0.3">
      <c r="A64" s="15">
        <v>53</v>
      </c>
      <c r="B64" s="16" t="s">
        <v>89</v>
      </c>
      <c r="C64" s="16" t="s">
        <v>153</v>
      </c>
      <c r="D64" s="16" t="s">
        <v>154</v>
      </c>
      <c r="E64" s="16" t="s">
        <v>37</v>
      </c>
      <c r="F64" s="16" t="s">
        <v>37</v>
      </c>
      <c r="G64" s="16">
        <v>1</v>
      </c>
      <c r="H64" s="17">
        <v>3733.8</v>
      </c>
      <c r="I64" s="18">
        <v>0.19</v>
      </c>
      <c r="J64" s="19">
        <f t="shared" si="0"/>
        <v>709.42200000000003</v>
      </c>
      <c r="K64" s="19">
        <f t="shared" si="1"/>
        <v>4443.2219999999998</v>
      </c>
    </row>
    <row r="65" spans="1:11" ht="72" x14ac:dyDescent="0.3">
      <c r="A65" s="15">
        <v>54</v>
      </c>
      <c r="B65" s="16" t="s">
        <v>89</v>
      </c>
      <c r="C65" s="16" t="s">
        <v>155</v>
      </c>
      <c r="D65" s="16" t="s">
        <v>156</v>
      </c>
      <c r="E65" s="16" t="s">
        <v>37</v>
      </c>
      <c r="F65" s="16" t="s">
        <v>37</v>
      </c>
      <c r="G65" s="16">
        <v>1</v>
      </c>
      <c r="H65" s="17">
        <v>11192.58</v>
      </c>
      <c r="I65" s="18">
        <v>0.19</v>
      </c>
      <c r="J65" s="19">
        <f t="shared" si="0"/>
        <v>2126.5902000000001</v>
      </c>
      <c r="K65" s="19">
        <f t="shared" si="1"/>
        <v>13319.1702</v>
      </c>
    </row>
    <row r="66" spans="1:11" ht="115.2" x14ac:dyDescent="0.3">
      <c r="A66" s="15">
        <v>55</v>
      </c>
      <c r="B66" s="16" t="s">
        <v>89</v>
      </c>
      <c r="C66" s="16" t="s">
        <v>157</v>
      </c>
      <c r="D66" s="16" t="s">
        <v>158</v>
      </c>
      <c r="E66" s="16" t="s">
        <v>37</v>
      </c>
      <c r="F66" s="16" t="s">
        <v>37</v>
      </c>
      <c r="G66" s="16">
        <v>1</v>
      </c>
      <c r="H66" s="17">
        <v>7610.68</v>
      </c>
      <c r="I66" s="18">
        <v>0.19</v>
      </c>
      <c r="J66" s="19">
        <f t="shared" si="0"/>
        <v>1446.0292000000002</v>
      </c>
      <c r="K66" s="19">
        <f t="shared" si="1"/>
        <v>9056.7092000000011</v>
      </c>
    </row>
    <row r="67" spans="1:11" ht="28.8" x14ac:dyDescent="0.3">
      <c r="A67" s="15">
        <v>56</v>
      </c>
      <c r="B67" s="16" t="s">
        <v>89</v>
      </c>
      <c r="C67" s="16" t="s">
        <v>159</v>
      </c>
      <c r="D67" s="16" t="s">
        <v>159</v>
      </c>
      <c r="E67" s="16" t="s">
        <v>37</v>
      </c>
      <c r="F67" s="16" t="s">
        <v>37</v>
      </c>
      <c r="G67" s="16">
        <v>1</v>
      </c>
      <c r="H67" s="17">
        <v>22654.66</v>
      </c>
      <c r="I67" s="18">
        <v>0.19</v>
      </c>
      <c r="J67" s="19">
        <f t="shared" si="0"/>
        <v>4304.3854000000001</v>
      </c>
      <c r="K67" s="19">
        <f t="shared" si="1"/>
        <v>26959.045399999999</v>
      </c>
    </row>
    <row r="68" spans="1:11" ht="57.6" x14ac:dyDescent="0.3">
      <c r="A68" s="15">
        <v>57</v>
      </c>
      <c r="B68" s="16" t="s">
        <v>89</v>
      </c>
      <c r="C68" s="16" t="s">
        <v>160</v>
      </c>
      <c r="D68" s="16" t="s">
        <v>161</v>
      </c>
      <c r="E68" s="16" t="s">
        <v>37</v>
      </c>
      <c r="F68" s="16" t="s">
        <v>37</v>
      </c>
      <c r="G68" s="16">
        <v>1</v>
      </c>
      <c r="H68" s="17">
        <v>9146.34</v>
      </c>
      <c r="I68" s="18">
        <v>0.19</v>
      </c>
      <c r="J68" s="19">
        <f t="shared" si="0"/>
        <v>1737.8045999999999</v>
      </c>
      <c r="K68" s="19">
        <f t="shared" si="1"/>
        <v>10884.1446</v>
      </c>
    </row>
    <row r="69" spans="1:11" ht="86.4" x14ac:dyDescent="0.3">
      <c r="A69" s="15">
        <v>58</v>
      </c>
      <c r="B69" s="16" t="s">
        <v>89</v>
      </c>
      <c r="C69" s="16" t="s">
        <v>162</v>
      </c>
      <c r="D69" s="16" t="s">
        <v>163</v>
      </c>
      <c r="E69" s="16" t="s">
        <v>37</v>
      </c>
      <c r="F69" s="16" t="s">
        <v>37</v>
      </c>
      <c r="G69" s="16">
        <v>1</v>
      </c>
      <c r="H69" s="17">
        <v>462081.76</v>
      </c>
      <c r="I69" s="18">
        <v>0.19</v>
      </c>
      <c r="J69" s="19">
        <f t="shared" si="0"/>
        <v>87795.534400000004</v>
      </c>
      <c r="K69" s="19">
        <f t="shared" si="1"/>
        <v>549877.29440000001</v>
      </c>
    </row>
    <row r="70" spans="1:11" ht="57.6" x14ac:dyDescent="0.3">
      <c r="A70" s="15">
        <v>59</v>
      </c>
      <c r="B70" s="16" t="s">
        <v>164</v>
      </c>
      <c r="C70" s="16" t="s">
        <v>165</v>
      </c>
      <c r="D70" s="16" t="s">
        <v>166</v>
      </c>
      <c r="E70" s="16" t="s">
        <v>29</v>
      </c>
      <c r="F70" s="16" t="s">
        <v>29</v>
      </c>
      <c r="G70" s="16">
        <v>1</v>
      </c>
      <c r="H70" s="17">
        <v>1028412.98</v>
      </c>
      <c r="I70" s="18">
        <v>0.19</v>
      </c>
      <c r="J70" s="19">
        <f t="shared" si="0"/>
        <v>195398.4662</v>
      </c>
      <c r="K70" s="19">
        <f t="shared" si="1"/>
        <v>1223811.4461999999</v>
      </c>
    </row>
    <row r="71" spans="1:11" ht="100.8" x14ac:dyDescent="0.3">
      <c r="A71" s="15">
        <v>60</v>
      </c>
      <c r="B71" s="16" t="s">
        <v>167</v>
      </c>
      <c r="C71" s="16" t="s">
        <v>168</v>
      </c>
      <c r="D71" s="16" t="s">
        <v>169</v>
      </c>
      <c r="E71" s="16" t="s">
        <v>29</v>
      </c>
      <c r="F71" s="16" t="s">
        <v>37</v>
      </c>
      <c r="G71" s="16">
        <v>1</v>
      </c>
      <c r="H71" s="17">
        <v>37072.42</v>
      </c>
      <c r="I71" s="18">
        <v>0.19</v>
      </c>
      <c r="J71" s="19">
        <f t="shared" si="0"/>
        <v>7043.7597999999998</v>
      </c>
      <c r="K71" s="19">
        <f t="shared" si="1"/>
        <v>44116.179799999998</v>
      </c>
    </row>
    <row r="72" spans="1:11" ht="43.2" x14ac:dyDescent="0.3">
      <c r="A72" s="15">
        <v>61</v>
      </c>
      <c r="B72" s="16" t="s">
        <v>170</v>
      </c>
      <c r="C72" s="16" t="s">
        <v>171</v>
      </c>
      <c r="D72" s="16" t="s">
        <v>172</v>
      </c>
      <c r="E72" s="16" t="s">
        <v>29</v>
      </c>
      <c r="F72" s="16" t="s">
        <v>173</v>
      </c>
      <c r="G72" s="16">
        <v>1</v>
      </c>
      <c r="H72" s="17">
        <v>2986.06</v>
      </c>
      <c r="I72" s="18">
        <v>0.19</v>
      </c>
      <c r="J72" s="19">
        <f t="shared" si="0"/>
        <v>567.35140000000001</v>
      </c>
      <c r="K72" s="19">
        <f t="shared" si="1"/>
        <v>3553.4114</v>
      </c>
    </row>
    <row r="73" spans="1:11" ht="72" x14ac:dyDescent="0.3">
      <c r="A73" s="15">
        <v>62</v>
      </c>
      <c r="B73" s="16">
        <v>24101510</v>
      </c>
      <c r="C73" s="16" t="s">
        <v>174</v>
      </c>
      <c r="D73" s="16" t="s">
        <v>175</v>
      </c>
      <c r="E73" s="16" t="s">
        <v>176</v>
      </c>
      <c r="F73" s="16" t="s">
        <v>177</v>
      </c>
      <c r="G73" s="16">
        <v>1</v>
      </c>
      <c r="H73" s="17">
        <v>10197.879999999999</v>
      </c>
      <c r="I73" s="18">
        <v>0.19</v>
      </c>
      <c r="J73" s="19">
        <f t="shared" si="0"/>
        <v>1937.5971999999999</v>
      </c>
      <c r="K73" s="19">
        <f t="shared" si="1"/>
        <v>12135.477199999999</v>
      </c>
    </row>
    <row r="74" spans="1:11" ht="72" x14ac:dyDescent="0.3">
      <c r="A74" s="15">
        <v>63</v>
      </c>
      <c r="B74" s="16">
        <v>24101510</v>
      </c>
      <c r="C74" s="16" t="s">
        <v>178</v>
      </c>
      <c r="D74" s="16" t="s">
        <v>175</v>
      </c>
      <c r="E74" s="16" t="s">
        <v>176</v>
      </c>
      <c r="F74" s="16" t="s">
        <v>177</v>
      </c>
      <c r="G74" s="16">
        <v>1</v>
      </c>
      <c r="H74" s="17">
        <v>10197.879999999999</v>
      </c>
      <c r="I74" s="18">
        <v>0.19</v>
      </c>
      <c r="J74" s="19">
        <f t="shared" si="0"/>
        <v>1937.5971999999999</v>
      </c>
      <c r="K74" s="19">
        <f t="shared" si="1"/>
        <v>12135.477199999999</v>
      </c>
    </row>
    <row r="75" spans="1:11" ht="115.2" x14ac:dyDescent="0.3">
      <c r="A75" s="15">
        <v>64</v>
      </c>
      <c r="B75" s="16">
        <v>53000000</v>
      </c>
      <c r="C75" s="16" t="s">
        <v>179</v>
      </c>
      <c r="D75" s="16" t="s">
        <v>180</v>
      </c>
      <c r="E75" s="16" t="s">
        <v>176</v>
      </c>
      <c r="F75" s="16" t="s">
        <v>177</v>
      </c>
      <c r="G75" s="16">
        <v>1</v>
      </c>
      <c r="H75" s="17">
        <v>69111.56</v>
      </c>
      <c r="I75" s="18">
        <v>0.19</v>
      </c>
      <c r="J75" s="19">
        <f t="shared" si="0"/>
        <v>13131.196399999999</v>
      </c>
      <c r="K75" s="19">
        <f t="shared" si="1"/>
        <v>82242.756399999998</v>
      </c>
    </row>
    <row r="76" spans="1:11" x14ac:dyDescent="0.3">
      <c r="A76" s="15" t="s">
        <v>181</v>
      </c>
      <c r="B76" s="15"/>
      <c r="C76" s="15"/>
      <c r="D76" s="11"/>
      <c r="E76" s="15"/>
      <c r="F76" s="15"/>
      <c r="G76" s="15"/>
      <c r="H76" s="1">
        <f>SUM(H12:H75)</f>
        <v>5179405.84</v>
      </c>
      <c r="I76" s="18">
        <v>0.19</v>
      </c>
      <c r="J76" s="19">
        <f>SUM(J12:J75)</f>
        <v>984087.10960000032</v>
      </c>
      <c r="K76" s="19">
        <f>SUM(K12:K75)</f>
        <v>6163492.9495999999</v>
      </c>
    </row>
    <row r="78" spans="1:11" x14ac:dyDescent="0.3">
      <c r="A78" s="20" t="s">
        <v>182</v>
      </c>
      <c r="D78" s="2"/>
    </row>
    <row r="79" spans="1:11" x14ac:dyDescent="0.3">
      <c r="A79" s="21"/>
      <c r="D79" s="2"/>
    </row>
    <row r="80" spans="1:11" x14ac:dyDescent="0.3">
      <c r="A80" s="21"/>
      <c r="D80" s="2"/>
    </row>
    <row r="81" spans="1:4" x14ac:dyDescent="0.3">
      <c r="A81" s="21"/>
      <c r="D81" s="2"/>
    </row>
    <row r="82" spans="1:4" x14ac:dyDescent="0.3">
      <c r="A82" s="22" t="s">
        <v>183</v>
      </c>
      <c r="D82" s="2"/>
    </row>
    <row r="83" spans="1:4" x14ac:dyDescent="0.3">
      <c r="A83" s="20" t="s">
        <v>184</v>
      </c>
      <c r="D83" s="2"/>
    </row>
    <row r="84" spans="1:4" x14ac:dyDescent="0.3">
      <c r="D84" s="2"/>
    </row>
    <row r="85" spans="1:4" x14ac:dyDescent="0.3">
      <c r="D85" s="2"/>
    </row>
    <row r="86" spans="1:4" x14ac:dyDescent="0.3">
      <c r="A86" s="20" t="s">
        <v>185</v>
      </c>
      <c r="B86" s="2" t="s">
        <v>7</v>
      </c>
      <c r="D86" s="2"/>
    </row>
    <row r="87" spans="1:4" x14ac:dyDescent="0.3">
      <c r="A87" s="20" t="s">
        <v>186</v>
      </c>
      <c r="B87" s="2">
        <v>43047767</v>
      </c>
      <c r="D87" s="2"/>
    </row>
    <row r="88" spans="1:4" x14ac:dyDescent="0.3">
      <c r="A88" s="23" t="s">
        <v>187</v>
      </c>
      <c r="C88" s="24" t="s">
        <v>9</v>
      </c>
      <c r="D88" s="2"/>
    </row>
  </sheetData>
  <mergeCells count="14">
    <mergeCell ref="A2:G2"/>
    <mergeCell ref="A3:G3"/>
    <mergeCell ref="A4:B4"/>
    <mergeCell ref="C4:G4"/>
    <mergeCell ref="A5:B5"/>
    <mergeCell ref="C5:G5"/>
    <mergeCell ref="A9:B9"/>
    <mergeCell ref="C9:G9"/>
    <mergeCell ref="A6:B6"/>
    <mergeCell ref="C6:G6"/>
    <mergeCell ref="A7:B7"/>
    <mergeCell ref="C7:G7"/>
    <mergeCell ref="A8:B8"/>
    <mergeCell ref="C8:G8"/>
  </mergeCells>
  <hyperlinks>
    <hyperlink ref="C7" r:id="rId1" xr:uid="{00000000-0004-0000-0000-000000000000}"/>
    <hyperlink ref="C88" r:id="rId2" xr:uid="{00000000-0004-0000-0000-000001000000}"/>
  </hyperlinks>
  <pageMargins left="0.7" right="0.7" top="0.75" bottom="0.75" header="0.3" footer="0.3"/>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cano mejia</dc:creator>
  <cp:lastModifiedBy>Maribel Gil</cp:lastModifiedBy>
  <dcterms:created xsi:type="dcterms:W3CDTF">2024-06-12T21:19:07Z</dcterms:created>
  <dcterms:modified xsi:type="dcterms:W3CDTF">2026-10-24T01:01:06Z</dcterms:modified>
</cp:coreProperties>
</file>