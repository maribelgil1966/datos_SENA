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USUARIO\Desktop\COMPRA DE  MATERIALES 2026\MADERA\"/>
    </mc:Choice>
  </mc:AlternateContent>
  <xr:revisionPtr revIDLastSave="364" documentId="11_998A6FDDE1F8BA6E28045E2DFC26778D8459A7D9" xr6:coauthVersionLast="47" xr6:coauthVersionMax="47" xr10:uidLastSave="{9D1B01B8-6028-45F4-BE19-7E3E2FC0579B}"/>
  <bookViews>
    <workbookView xWindow="0" yWindow="0" windowWidth="15510" windowHeight="4530" xr2:uid="{00000000-000D-0000-FFFF-FFFF00000000}"/>
  </bookViews>
  <sheets>
    <sheet name="MADERA" sheetId="26" r:id="rId1"/>
    <sheet name="Unidades" sheetId="4" r:id="rId2"/>
  </sheets>
  <definedNames>
    <definedName name="_xlnm.Print_Area" localSheetId="0">MADERA!$A$1:$V$91</definedName>
    <definedName name="Presentacion" localSheetId="0">Tabla1[Prsentación]</definedName>
    <definedName name="Presentacion">Tabla1[Prsentación]</definedName>
    <definedName name="Simbolos" localSheetId="0">Tabla1[Simbololo   Unidad]</definedName>
    <definedName name="Simbolos">Tabla1[Simbololo   Unidad]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2" i="26" l="1"/>
  <c r="U200" i="26"/>
  <c r="U204" i="26"/>
  <c r="U208" i="26"/>
  <c r="L206" i="26"/>
  <c r="L207" i="26"/>
  <c r="L208" i="26"/>
  <c r="L209" i="26"/>
  <c r="L210" i="26"/>
  <c r="L211" i="26"/>
  <c r="K208" i="26"/>
  <c r="K209" i="26"/>
  <c r="K210" i="26"/>
  <c r="K211" i="26"/>
  <c r="L205" i="26"/>
  <c r="K205" i="26"/>
  <c r="K206" i="26"/>
  <c r="L198" i="26"/>
  <c r="L199" i="26"/>
  <c r="L200" i="26"/>
  <c r="K198" i="26"/>
  <c r="K199" i="26"/>
  <c r="K200" i="26"/>
  <c r="K201" i="26"/>
  <c r="L197" i="26"/>
  <c r="K197" i="26"/>
  <c r="U192" i="26"/>
  <c r="U188" i="26"/>
  <c r="U184" i="26"/>
  <c r="U180" i="26"/>
  <c r="U176" i="26"/>
  <c r="U172" i="26"/>
  <c r="U168" i="26"/>
  <c r="U164" i="26"/>
  <c r="U156" i="26"/>
  <c r="U160" i="26"/>
  <c r="U152" i="26"/>
  <c r="U148" i="26"/>
  <c r="U144" i="26"/>
  <c r="U140" i="26"/>
  <c r="U136" i="26"/>
  <c r="U132" i="26"/>
  <c r="U128" i="26"/>
  <c r="U124" i="26"/>
  <c r="U120" i="26"/>
  <c r="U116" i="26"/>
  <c r="U112" i="26"/>
  <c r="U108" i="26"/>
  <c r="U104" i="26"/>
  <c r="U100" i="26"/>
  <c r="U96" i="26"/>
  <c r="U92" i="26"/>
  <c r="U88" i="26"/>
  <c r="U84" i="26"/>
  <c r="U80" i="26"/>
  <c r="U76" i="26"/>
  <c r="U72" i="26"/>
  <c r="U68" i="26"/>
  <c r="U64" i="26"/>
  <c r="U60" i="26"/>
  <c r="U55" i="26"/>
  <c r="U51" i="26"/>
  <c r="U46" i="26"/>
  <c r="U41" i="26"/>
  <c r="U37" i="26"/>
  <c r="U32" i="26"/>
  <c r="U28" i="26"/>
  <c r="U24" i="26"/>
  <c r="U20" i="26"/>
  <c r="L7" i="26"/>
  <c r="L8" i="26"/>
  <c r="L9" i="26"/>
  <c r="L12" i="26"/>
  <c r="L13" i="26"/>
  <c r="L14" i="26"/>
  <c r="L17" i="26"/>
  <c r="L18" i="26"/>
  <c r="L19" i="26"/>
  <c r="L22" i="26"/>
  <c r="L23" i="26"/>
  <c r="L26" i="26"/>
  <c r="L27" i="26"/>
  <c r="L30" i="26"/>
  <c r="L31" i="26"/>
  <c r="L34" i="26"/>
  <c r="L35" i="26"/>
  <c r="L36" i="26"/>
  <c r="L39" i="26"/>
  <c r="L40" i="26"/>
  <c r="L43" i="26"/>
  <c r="L44" i="26"/>
  <c r="L45" i="26"/>
  <c r="L48" i="26"/>
  <c r="L49" i="26"/>
  <c r="L50" i="26"/>
  <c r="L53" i="26"/>
  <c r="L54" i="26"/>
  <c r="L57" i="26"/>
  <c r="L58" i="26"/>
  <c r="L59" i="26"/>
  <c r="L62" i="26"/>
  <c r="L63" i="26"/>
  <c r="L66" i="26"/>
  <c r="L67" i="26"/>
  <c r="L70" i="26"/>
  <c r="L71" i="26"/>
  <c r="L74" i="26"/>
  <c r="L75" i="26"/>
  <c r="L78" i="26"/>
  <c r="L79" i="26"/>
  <c r="L82" i="26"/>
  <c r="L83" i="26"/>
  <c r="L86" i="26"/>
  <c r="L87" i="26"/>
  <c r="L90" i="26"/>
  <c r="L91" i="26"/>
  <c r="L94" i="26"/>
  <c r="L95" i="26"/>
  <c r="L99" i="26"/>
  <c r="L103" i="26"/>
  <c r="L107" i="26"/>
  <c r="L111" i="26"/>
  <c r="L115" i="26"/>
  <c r="L118" i="26"/>
  <c r="L119" i="26"/>
  <c r="L123" i="26"/>
  <c r="L127" i="26"/>
  <c r="L130" i="26"/>
  <c r="L131" i="26"/>
  <c r="L135" i="26"/>
  <c r="L139" i="26"/>
  <c r="L142" i="26"/>
  <c r="L143" i="26"/>
  <c r="L146" i="26"/>
  <c r="L147" i="26"/>
  <c r="L150" i="26"/>
  <c r="L151" i="26"/>
  <c r="L155" i="26"/>
  <c r="L158" i="26"/>
  <c r="L159" i="26"/>
  <c r="L163" i="26"/>
  <c r="L167" i="26"/>
  <c r="L171" i="26"/>
  <c r="L174" i="26"/>
  <c r="L175" i="26"/>
  <c r="L178" i="26"/>
  <c r="L179" i="26"/>
  <c r="L183" i="26"/>
  <c r="L187" i="26"/>
  <c r="L191" i="26"/>
  <c r="L195" i="26"/>
  <c r="L203" i="26"/>
  <c r="L212" i="26"/>
  <c r="K90" i="26"/>
  <c r="K91" i="26"/>
  <c r="K92" i="26"/>
  <c r="L92" i="26" s="1"/>
  <c r="K93" i="26"/>
  <c r="L93" i="26" s="1"/>
  <c r="K94" i="26"/>
  <c r="K95" i="26"/>
  <c r="K96" i="26"/>
  <c r="L96" i="26" s="1"/>
  <c r="K97" i="26"/>
  <c r="L97" i="26" s="1"/>
  <c r="K98" i="26"/>
  <c r="L98" i="26" s="1"/>
  <c r="K99" i="26"/>
  <c r="K100" i="26"/>
  <c r="L100" i="26" s="1"/>
  <c r="K101" i="26"/>
  <c r="L101" i="26" s="1"/>
  <c r="K102" i="26"/>
  <c r="L102" i="26" s="1"/>
  <c r="K103" i="26"/>
  <c r="K104" i="26"/>
  <c r="L104" i="26" s="1"/>
  <c r="K105" i="26"/>
  <c r="L105" i="26" s="1"/>
  <c r="K106" i="26"/>
  <c r="L106" i="26" s="1"/>
  <c r="K107" i="26"/>
  <c r="K108" i="26"/>
  <c r="L108" i="26" s="1"/>
  <c r="K109" i="26"/>
  <c r="L109" i="26" s="1"/>
  <c r="K110" i="26"/>
  <c r="L110" i="26" s="1"/>
  <c r="K111" i="26"/>
  <c r="K112" i="26"/>
  <c r="L112" i="26" s="1"/>
  <c r="K113" i="26"/>
  <c r="L113" i="26" s="1"/>
  <c r="K114" i="26"/>
  <c r="L114" i="26" s="1"/>
  <c r="K115" i="26"/>
  <c r="K116" i="26"/>
  <c r="L116" i="26" s="1"/>
  <c r="K117" i="26"/>
  <c r="L117" i="26" s="1"/>
  <c r="K118" i="26"/>
  <c r="K119" i="26"/>
  <c r="K120" i="26"/>
  <c r="L120" i="26" s="1"/>
  <c r="K121" i="26"/>
  <c r="L121" i="26" s="1"/>
  <c r="K122" i="26"/>
  <c r="L122" i="26" s="1"/>
  <c r="K123" i="26"/>
  <c r="K124" i="26"/>
  <c r="L124" i="26" s="1"/>
  <c r="K125" i="26"/>
  <c r="L125" i="26" s="1"/>
  <c r="K126" i="26"/>
  <c r="L126" i="26" s="1"/>
  <c r="K127" i="26"/>
  <c r="K128" i="26"/>
  <c r="L128" i="26" s="1"/>
  <c r="K129" i="26"/>
  <c r="L129" i="26" s="1"/>
  <c r="K130" i="26"/>
  <c r="K131" i="26"/>
  <c r="K132" i="26"/>
  <c r="L132" i="26" s="1"/>
  <c r="K133" i="26"/>
  <c r="L133" i="26" s="1"/>
  <c r="K134" i="26"/>
  <c r="L134" i="26" s="1"/>
  <c r="K135" i="26"/>
  <c r="K136" i="26"/>
  <c r="L136" i="26" s="1"/>
  <c r="K137" i="26"/>
  <c r="L137" i="26" s="1"/>
  <c r="K138" i="26"/>
  <c r="L138" i="26" s="1"/>
  <c r="K139" i="26"/>
  <c r="K140" i="26"/>
  <c r="L140" i="26" s="1"/>
  <c r="K141" i="26"/>
  <c r="L141" i="26" s="1"/>
  <c r="K142" i="26"/>
  <c r="K143" i="26"/>
  <c r="K144" i="26"/>
  <c r="L144" i="26" s="1"/>
  <c r="K145" i="26"/>
  <c r="L145" i="26" s="1"/>
  <c r="K146" i="26"/>
  <c r="K147" i="26"/>
  <c r="K148" i="26"/>
  <c r="L148" i="26" s="1"/>
  <c r="K149" i="26"/>
  <c r="L149" i="26" s="1"/>
  <c r="K150" i="26"/>
  <c r="K151" i="26"/>
  <c r="K152" i="26"/>
  <c r="L152" i="26" s="1"/>
  <c r="K153" i="26"/>
  <c r="L153" i="26" s="1"/>
  <c r="K154" i="26"/>
  <c r="L154" i="26" s="1"/>
  <c r="K155" i="26"/>
  <c r="K156" i="26"/>
  <c r="L156" i="26" s="1"/>
  <c r="K157" i="26"/>
  <c r="L157" i="26" s="1"/>
  <c r="K158" i="26"/>
  <c r="K159" i="26"/>
  <c r="K160" i="26"/>
  <c r="L160" i="26" s="1"/>
  <c r="K161" i="26"/>
  <c r="L161" i="26" s="1"/>
  <c r="K162" i="26"/>
  <c r="L162" i="26" s="1"/>
  <c r="K163" i="26"/>
  <c r="K164" i="26"/>
  <c r="L164" i="26" s="1"/>
  <c r="K165" i="26"/>
  <c r="L165" i="26" s="1"/>
  <c r="K166" i="26"/>
  <c r="L166" i="26" s="1"/>
  <c r="K167" i="26"/>
  <c r="K168" i="26"/>
  <c r="L168" i="26" s="1"/>
  <c r="K169" i="26"/>
  <c r="L169" i="26" s="1"/>
  <c r="K170" i="26"/>
  <c r="L170" i="26" s="1"/>
  <c r="K171" i="26"/>
  <c r="K172" i="26"/>
  <c r="L172" i="26" s="1"/>
  <c r="K173" i="26"/>
  <c r="L173" i="26" s="1"/>
  <c r="K174" i="26"/>
  <c r="K175" i="26"/>
  <c r="K176" i="26"/>
  <c r="L176" i="26" s="1"/>
  <c r="K177" i="26"/>
  <c r="L177" i="26" s="1"/>
  <c r="K178" i="26"/>
  <c r="K179" i="26"/>
  <c r="K180" i="26"/>
  <c r="L180" i="26" s="1"/>
  <c r="K181" i="26"/>
  <c r="L181" i="26" s="1"/>
  <c r="K182" i="26"/>
  <c r="L182" i="26" s="1"/>
  <c r="K183" i="26"/>
  <c r="K184" i="26"/>
  <c r="L184" i="26" s="1"/>
  <c r="K185" i="26"/>
  <c r="L185" i="26" s="1"/>
  <c r="K186" i="26"/>
  <c r="L186" i="26" s="1"/>
  <c r="K187" i="26"/>
  <c r="K188" i="26"/>
  <c r="L188" i="26" s="1"/>
  <c r="K189" i="26"/>
  <c r="L189" i="26" s="1"/>
  <c r="K190" i="26"/>
  <c r="L190" i="26" s="1"/>
  <c r="K191" i="26"/>
  <c r="K192" i="26"/>
  <c r="L192" i="26" s="1"/>
  <c r="K193" i="26"/>
  <c r="L193" i="26" s="1"/>
  <c r="K194" i="26"/>
  <c r="L194" i="26" s="1"/>
  <c r="K195" i="26"/>
  <c r="K196" i="26"/>
  <c r="L196" i="26" s="1"/>
  <c r="L201" i="26"/>
  <c r="K202" i="26"/>
  <c r="L202" i="26" s="1"/>
  <c r="K203" i="26"/>
  <c r="K204" i="26"/>
  <c r="L204" i="26" s="1"/>
  <c r="K207" i="26"/>
  <c r="M200" i="26" l="1"/>
  <c r="N200" i="26"/>
  <c r="O200" i="26"/>
  <c r="P200" i="26"/>
  <c r="R200" i="26"/>
  <c r="P201" i="26"/>
  <c r="P202" i="26"/>
  <c r="P203" i="26"/>
  <c r="M204" i="26"/>
  <c r="N204" i="26"/>
  <c r="O204" i="26"/>
  <c r="P204" i="26"/>
  <c r="R204" i="26"/>
  <c r="P205" i="26"/>
  <c r="P206" i="26"/>
  <c r="P207" i="26"/>
  <c r="S200" i="26" l="1"/>
  <c r="S204" i="26"/>
  <c r="Q200" i="26"/>
  <c r="Q204" i="26"/>
  <c r="P211" i="26" l="1"/>
  <c r="P210" i="26"/>
  <c r="P209" i="26"/>
  <c r="R208" i="26"/>
  <c r="P208" i="26"/>
  <c r="O208" i="26"/>
  <c r="N208" i="26"/>
  <c r="M208" i="26"/>
  <c r="P199" i="26"/>
  <c r="P198" i="26"/>
  <c r="P197" i="26"/>
  <c r="Q196" i="26" s="1"/>
  <c r="R196" i="26"/>
  <c r="P196" i="26"/>
  <c r="O196" i="26"/>
  <c r="N196" i="26"/>
  <c r="M196" i="26"/>
  <c r="U196" i="26" s="1"/>
  <c r="P195" i="26"/>
  <c r="P194" i="26"/>
  <c r="P193" i="26"/>
  <c r="Q192" i="26" s="1"/>
  <c r="R192" i="26"/>
  <c r="P192" i="26"/>
  <c r="O192" i="26"/>
  <c r="N192" i="26"/>
  <c r="M192" i="26"/>
  <c r="P191" i="26"/>
  <c r="P190" i="26"/>
  <c r="P189" i="26"/>
  <c r="R188" i="26"/>
  <c r="P188" i="26"/>
  <c r="O188" i="26"/>
  <c r="N188" i="26"/>
  <c r="M188" i="26"/>
  <c r="P187" i="26"/>
  <c r="P186" i="26"/>
  <c r="P185" i="26"/>
  <c r="R184" i="26"/>
  <c r="P184" i="26"/>
  <c r="O184" i="26"/>
  <c r="N184" i="26"/>
  <c r="M184" i="26"/>
  <c r="P183" i="26"/>
  <c r="P182" i="26"/>
  <c r="P181" i="26"/>
  <c r="Q180" i="26" s="1"/>
  <c r="R180" i="26"/>
  <c r="P180" i="26"/>
  <c r="O180" i="26"/>
  <c r="N180" i="26"/>
  <c r="M180" i="26"/>
  <c r="P179" i="26"/>
  <c r="P178" i="26"/>
  <c r="P177" i="26"/>
  <c r="R176" i="26"/>
  <c r="P176" i="26"/>
  <c r="O176" i="26"/>
  <c r="N176" i="26"/>
  <c r="M176" i="26"/>
  <c r="P175" i="26"/>
  <c r="P174" i="26"/>
  <c r="P173" i="26"/>
  <c r="R172" i="26"/>
  <c r="P172" i="26"/>
  <c r="O172" i="26"/>
  <c r="N172" i="26"/>
  <c r="M172" i="26"/>
  <c r="P171" i="26"/>
  <c r="P170" i="26"/>
  <c r="P169" i="26"/>
  <c r="R168" i="26"/>
  <c r="P168" i="26"/>
  <c r="O168" i="26"/>
  <c r="N168" i="26"/>
  <c r="M168" i="26"/>
  <c r="P167" i="26"/>
  <c r="P166" i="26"/>
  <c r="P165" i="26"/>
  <c r="Q164" i="26" s="1"/>
  <c r="R164" i="26"/>
  <c r="P164" i="26"/>
  <c r="O164" i="26"/>
  <c r="N164" i="26"/>
  <c r="M164" i="26"/>
  <c r="P163" i="26"/>
  <c r="P162" i="26"/>
  <c r="P161" i="26"/>
  <c r="Q160" i="26" s="1"/>
  <c r="R160" i="26"/>
  <c r="P160" i="26"/>
  <c r="O160" i="26"/>
  <c r="N160" i="26"/>
  <c r="M160" i="26"/>
  <c r="P159" i="26"/>
  <c r="P158" i="26"/>
  <c r="P157" i="26"/>
  <c r="R156" i="26"/>
  <c r="P156" i="26"/>
  <c r="O156" i="26"/>
  <c r="N156" i="26"/>
  <c r="M156" i="26"/>
  <c r="P155" i="26"/>
  <c r="P154" i="26"/>
  <c r="P153" i="26"/>
  <c r="R152" i="26"/>
  <c r="P152" i="26"/>
  <c r="O152" i="26"/>
  <c r="N152" i="26"/>
  <c r="M152" i="26"/>
  <c r="P151" i="26"/>
  <c r="P150" i="26"/>
  <c r="P149" i="26"/>
  <c r="Q148" i="26" s="1"/>
  <c r="R148" i="26"/>
  <c r="P148" i="26"/>
  <c r="O148" i="26"/>
  <c r="N148" i="26"/>
  <c r="M148" i="26"/>
  <c r="P147" i="26"/>
  <c r="P146" i="26"/>
  <c r="P145" i="26"/>
  <c r="R144" i="26"/>
  <c r="P144" i="26"/>
  <c r="O144" i="26"/>
  <c r="N144" i="26"/>
  <c r="M144" i="26"/>
  <c r="P143" i="26"/>
  <c r="P142" i="26"/>
  <c r="P141" i="26"/>
  <c r="R140" i="26"/>
  <c r="P140" i="26"/>
  <c r="O140" i="26"/>
  <c r="N140" i="26"/>
  <c r="M140" i="26"/>
  <c r="P139" i="26"/>
  <c r="P138" i="26"/>
  <c r="P137" i="26"/>
  <c r="Q136" i="26" s="1"/>
  <c r="R136" i="26"/>
  <c r="P136" i="26"/>
  <c r="O136" i="26"/>
  <c r="N136" i="26"/>
  <c r="M136" i="26"/>
  <c r="P135" i="26"/>
  <c r="P134" i="26"/>
  <c r="P133" i="26"/>
  <c r="Q132" i="26" s="1"/>
  <c r="R132" i="26"/>
  <c r="P132" i="26"/>
  <c r="O132" i="26"/>
  <c r="N132" i="26"/>
  <c r="M132" i="26"/>
  <c r="P131" i="26"/>
  <c r="P130" i="26"/>
  <c r="P129" i="26"/>
  <c r="R128" i="26"/>
  <c r="P128" i="26"/>
  <c r="O128" i="26"/>
  <c r="N128" i="26"/>
  <c r="M128" i="26"/>
  <c r="P127" i="26"/>
  <c r="P126" i="26"/>
  <c r="P125" i="26"/>
  <c r="Q124" i="26" s="1"/>
  <c r="R124" i="26"/>
  <c r="P124" i="26"/>
  <c r="O124" i="26"/>
  <c r="N124" i="26"/>
  <c r="M124" i="26"/>
  <c r="P123" i="26"/>
  <c r="P122" i="26"/>
  <c r="P121" i="26"/>
  <c r="R120" i="26"/>
  <c r="P120" i="26"/>
  <c r="O120" i="26"/>
  <c r="N120" i="26"/>
  <c r="M120" i="26"/>
  <c r="P119" i="26"/>
  <c r="P118" i="26"/>
  <c r="P117" i="26"/>
  <c r="R116" i="26"/>
  <c r="P116" i="26"/>
  <c r="O116" i="26"/>
  <c r="N116" i="26"/>
  <c r="M116" i="26"/>
  <c r="P115" i="26"/>
  <c r="P114" i="26"/>
  <c r="P113" i="26"/>
  <c r="Q112" i="26" s="1"/>
  <c r="R112" i="26"/>
  <c r="P112" i="26"/>
  <c r="O112" i="26"/>
  <c r="N112" i="26"/>
  <c r="M112" i="26"/>
  <c r="P111" i="26"/>
  <c r="P110" i="26"/>
  <c r="P109" i="26"/>
  <c r="R108" i="26"/>
  <c r="P108" i="26"/>
  <c r="O108" i="26"/>
  <c r="N108" i="26"/>
  <c r="M108" i="26"/>
  <c r="P107" i="26"/>
  <c r="P106" i="26"/>
  <c r="P105" i="26"/>
  <c r="R104" i="26"/>
  <c r="P104" i="26"/>
  <c r="O104" i="26"/>
  <c r="N104" i="26"/>
  <c r="M104" i="26"/>
  <c r="P103" i="26"/>
  <c r="P102" i="26"/>
  <c r="P101" i="26"/>
  <c r="R100" i="26"/>
  <c r="P100" i="26"/>
  <c r="O100" i="26"/>
  <c r="N100" i="26"/>
  <c r="M100" i="26"/>
  <c r="P99" i="26"/>
  <c r="P98" i="26"/>
  <c r="P97" i="26"/>
  <c r="R96" i="26"/>
  <c r="P96" i="26"/>
  <c r="O96" i="26"/>
  <c r="N96" i="26"/>
  <c r="M96" i="26"/>
  <c r="P95" i="26"/>
  <c r="P94" i="26"/>
  <c r="P93" i="26"/>
  <c r="R92" i="26"/>
  <c r="O92" i="26"/>
  <c r="N92" i="26"/>
  <c r="M92" i="26"/>
  <c r="P92" i="26"/>
  <c r="K68" i="26"/>
  <c r="L68" i="26" s="1"/>
  <c r="P68" i="26"/>
  <c r="P91" i="26"/>
  <c r="P90" i="26"/>
  <c r="K89" i="26"/>
  <c r="K88" i="26"/>
  <c r="P87" i="26"/>
  <c r="K87" i="26"/>
  <c r="P86" i="26"/>
  <c r="K86" i="26"/>
  <c r="K85" i="26"/>
  <c r="K84" i="26"/>
  <c r="L84" i="26" s="1"/>
  <c r="P83" i="26"/>
  <c r="K83" i="26"/>
  <c r="P82" i="26"/>
  <c r="K82" i="26"/>
  <c r="K81" i="26"/>
  <c r="K80" i="26"/>
  <c r="L80" i="26" s="1"/>
  <c r="P79" i="26"/>
  <c r="K79" i="26"/>
  <c r="P78" i="26"/>
  <c r="K78" i="26"/>
  <c r="K77" i="26"/>
  <c r="K76" i="26"/>
  <c r="L76" i="26" s="1"/>
  <c r="P75" i="26"/>
  <c r="K75" i="26"/>
  <c r="P74" i="26"/>
  <c r="K74" i="26"/>
  <c r="K73" i="26"/>
  <c r="K72" i="26"/>
  <c r="L72" i="26" s="1"/>
  <c r="P71" i="26"/>
  <c r="K71" i="26"/>
  <c r="P70" i="26"/>
  <c r="K70" i="26"/>
  <c r="K69" i="26"/>
  <c r="L69" i="26" s="1"/>
  <c r="P67" i="26"/>
  <c r="K67" i="26"/>
  <c r="P66" i="26"/>
  <c r="K66" i="26"/>
  <c r="K65" i="26"/>
  <c r="K64" i="26"/>
  <c r="L64" i="26" s="1"/>
  <c r="P63" i="26"/>
  <c r="K63" i="26"/>
  <c r="P62" i="26"/>
  <c r="K62" i="26"/>
  <c r="K61" i="26"/>
  <c r="K60" i="26"/>
  <c r="L60" i="26" s="1"/>
  <c r="P59" i="26"/>
  <c r="K59" i="26"/>
  <c r="P58" i="26"/>
  <c r="K58" i="26"/>
  <c r="P57" i="26"/>
  <c r="K57" i="26"/>
  <c r="K56" i="26"/>
  <c r="K55" i="26"/>
  <c r="L55" i="26" s="1"/>
  <c r="P54" i="26"/>
  <c r="K54" i="26"/>
  <c r="P53" i="26"/>
  <c r="K53" i="26"/>
  <c r="K52" i="26"/>
  <c r="K51" i="26"/>
  <c r="L51" i="26" s="1"/>
  <c r="P50" i="26"/>
  <c r="K50" i="26"/>
  <c r="P49" i="26"/>
  <c r="K49" i="26"/>
  <c r="P48" i="26"/>
  <c r="K48" i="26"/>
  <c r="K47" i="26"/>
  <c r="K46" i="26"/>
  <c r="L46" i="26" s="1"/>
  <c r="P45" i="26"/>
  <c r="K45" i="26"/>
  <c r="P44" i="26"/>
  <c r="K44" i="26"/>
  <c r="P43" i="26"/>
  <c r="K43" i="26"/>
  <c r="K42" i="26"/>
  <c r="K41" i="26"/>
  <c r="L41" i="26" s="1"/>
  <c r="P40" i="26"/>
  <c r="K40" i="26"/>
  <c r="P39" i="26"/>
  <c r="K39" i="26"/>
  <c r="K38" i="26"/>
  <c r="K37" i="26"/>
  <c r="L37" i="26" s="1"/>
  <c r="P36" i="26"/>
  <c r="K36" i="26"/>
  <c r="P35" i="26"/>
  <c r="K35" i="26"/>
  <c r="P34" i="26"/>
  <c r="K34" i="26"/>
  <c r="K33" i="26"/>
  <c r="K32" i="26"/>
  <c r="L32" i="26" s="1"/>
  <c r="P31" i="26"/>
  <c r="K31" i="26"/>
  <c r="P30" i="26"/>
  <c r="K30" i="26"/>
  <c r="K29" i="26"/>
  <c r="K28" i="26"/>
  <c r="L28" i="26" s="1"/>
  <c r="P27" i="26"/>
  <c r="K27" i="26"/>
  <c r="P26" i="26"/>
  <c r="K26" i="26"/>
  <c r="K25" i="26"/>
  <c r="K24" i="26"/>
  <c r="L24" i="26" s="1"/>
  <c r="P23" i="26"/>
  <c r="K23" i="26"/>
  <c r="P22" i="26"/>
  <c r="K22" i="26"/>
  <c r="K21" i="26"/>
  <c r="L21" i="26" s="1"/>
  <c r="K20" i="26"/>
  <c r="L20" i="26" s="1"/>
  <c r="P19" i="26"/>
  <c r="K19" i="26"/>
  <c r="P18" i="26"/>
  <c r="K18" i="26"/>
  <c r="P17" i="26"/>
  <c r="K17" i="26"/>
  <c r="K16" i="26"/>
  <c r="K15" i="26"/>
  <c r="L15" i="26" s="1"/>
  <c r="P14" i="26"/>
  <c r="K14" i="26"/>
  <c r="P13" i="26"/>
  <c r="K13" i="26"/>
  <c r="P12" i="26"/>
  <c r="K12" i="26"/>
  <c r="K11" i="26"/>
  <c r="K10" i="26"/>
  <c r="L10" i="26" s="1"/>
  <c r="A10" i="26"/>
  <c r="A15" i="26" s="1"/>
  <c r="A20" i="26" s="1"/>
  <c r="A24" i="26" s="1"/>
  <c r="A28" i="26" s="1"/>
  <c r="A37" i="26" s="1"/>
  <c r="A41" i="26" s="1"/>
  <c r="A46" i="26" s="1"/>
  <c r="A51" i="26" s="1"/>
  <c r="A55" i="26" s="1"/>
  <c r="A60" i="26" s="1"/>
  <c r="A64" i="26" s="1"/>
  <c r="A68" i="26" s="1"/>
  <c r="A72" i="26" s="1"/>
  <c r="A76" i="26" s="1"/>
  <c r="A80" i="26" s="1"/>
  <c r="A84" i="26" s="1"/>
  <c r="A88" i="26" s="1"/>
  <c r="A92" i="26" s="1"/>
  <c r="A96" i="26" s="1"/>
  <c r="A100" i="26" s="1"/>
  <c r="A104" i="26" s="1"/>
  <c r="A108" i="26" s="1"/>
  <c r="A112" i="26" s="1"/>
  <c r="A116" i="26" s="1"/>
  <c r="A120" i="26" s="1"/>
  <c r="A124" i="26" s="1"/>
  <c r="A128" i="26" s="1"/>
  <c r="A132" i="26" s="1"/>
  <c r="A136" i="26" s="1"/>
  <c r="A140" i="26" s="1"/>
  <c r="A144" i="26" s="1"/>
  <c r="A148" i="26" s="1"/>
  <c r="A152" i="26" s="1"/>
  <c r="A156" i="26" s="1"/>
  <c r="A160" i="26" s="1"/>
  <c r="A164" i="26" s="1"/>
  <c r="A168" i="26" s="1"/>
  <c r="A172" i="26" s="1"/>
  <c r="A176" i="26" s="1"/>
  <c r="A180" i="26" s="1"/>
  <c r="A188" i="26" s="1"/>
  <c r="A192" i="26" s="1"/>
  <c r="A196" i="26" s="1"/>
  <c r="A200" i="26" s="1"/>
  <c r="P9" i="26"/>
  <c r="K9" i="26"/>
  <c r="P8" i="26"/>
  <c r="K8" i="26"/>
  <c r="K7" i="26"/>
  <c r="P7" i="26" s="1"/>
  <c r="K6" i="26"/>
  <c r="K5" i="26"/>
  <c r="L5" i="26" s="1"/>
  <c r="L6" i="26" l="1"/>
  <c r="P6" i="26" s="1"/>
  <c r="L11" i="26"/>
  <c r="P11" i="26" s="1"/>
  <c r="L16" i="26"/>
  <c r="P16" i="26" s="1"/>
  <c r="L25" i="26"/>
  <c r="P25" i="26" s="1"/>
  <c r="L29" i="26"/>
  <c r="P29" i="26" s="1"/>
  <c r="L33" i="26"/>
  <c r="P33" i="26" s="1"/>
  <c r="L38" i="26"/>
  <c r="P38" i="26" s="1"/>
  <c r="L42" i="26"/>
  <c r="P42" i="26" s="1"/>
  <c r="L47" i="26"/>
  <c r="P47" i="26" s="1"/>
  <c r="L52" i="26"/>
  <c r="P52" i="26" s="1"/>
  <c r="L56" i="26"/>
  <c r="P56" i="26" s="1"/>
  <c r="L61" i="26"/>
  <c r="P61" i="26" s="1"/>
  <c r="L65" i="26"/>
  <c r="P65" i="26" s="1"/>
  <c r="L73" i="26"/>
  <c r="P73" i="26" s="1"/>
  <c r="L77" i="26"/>
  <c r="P77" i="26" s="1"/>
  <c r="L81" i="26"/>
  <c r="P81" i="26" s="1"/>
  <c r="L85" i="26"/>
  <c r="P85" i="26" s="1"/>
  <c r="L88" i="26"/>
  <c r="P88" i="26" s="1"/>
  <c r="L89" i="26"/>
  <c r="P89" i="26" s="1"/>
  <c r="P21" i="26"/>
  <c r="Q92" i="26"/>
  <c r="Q172" i="26"/>
  <c r="Q108" i="26"/>
  <c r="M88" i="26"/>
  <c r="Q120" i="26"/>
  <c r="Q156" i="26"/>
  <c r="Q104" i="26"/>
  <c r="Q116" i="26"/>
  <c r="Q128" i="26"/>
  <c r="Q96" i="26"/>
  <c r="Q144" i="26"/>
  <c r="Q168" i="26"/>
  <c r="Q184" i="26"/>
  <c r="Q188" i="26"/>
  <c r="Q88" i="26"/>
  <c r="Q152" i="26"/>
  <c r="Q208" i="26"/>
  <c r="M68" i="26"/>
  <c r="Q100" i="26"/>
  <c r="Q140" i="26"/>
  <c r="Q176" i="26"/>
  <c r="N88" i="26"/>
  <c r="O88" i="26"/>
  <c r="R88" i="26"/>
  <c r="A204" i="26"/>
  <c r="A208" i="26" s="1"/>
  <c r="P69" i="26"/>
  <c r="Q68" i="26" s="1"/>
  <c r="N68" i="26"/>
  <c r="O68" i="26"/>
  <c r="R68" i="26"/>
  <c r="S208" i="26"/>
  <c r="S196" i="26"/>
  <c r="S192" i="26"/>
  <c r="S188" i="26"/>
  <c r="S184" i="26"/>
  <c r="S180" i="26"/>
  <c r="S176" i="26"/>
  <c r="S172" i="26"/>
  <c r="S168" i="26"/>
  <c r="S164" i="26"/>
  <c r="S160" i="26"/>
  <c r="S156" i="26"/>
  <c r="S152" i="26"/>
  <c r="S148" i="26"/>
  <c r="S144" i="26"/>
  <c r="S140" i="26"/>
  <c r="S136" i="26"/>
  <c r="S132" i="26"/>
  <c r="S128" i="26"/>
  <c r="S124" i="26"/>
  <c r="S120" i="26"/>
  <c r="S116" i="26"/>
  <c r="S112" i="26"/>
  <c r="S108" i="26"/>
  <c r="S104" i="26"/>
  <c r="S100" i="26"/>
  <c r="S96" i="26"/>
  <c r="S92" i="26"/>
  <c r="P5" i="26"/>
  <c r="R5" i="26" s="1"/>
  <c r="S5" i="26" s="1"/>
  <c r="O5" i="26"/>
  <c r="N5" i="26"/>
  <c r="M5" i="26"/>
  <c r="U5" i="26" s="1"/>
  <c r="R10" i="26"/>
  <c r="P10" i="26"/>
  <c r="O10" i="26"/>
  <c r="N10" i="26"/>
  <c r="M10" i="26"/>
  <c r="U10" i="26" s="1"/>
  <c r="R15" i="26"/>
  <c r="P15" i="26"/>
  <c r="O15" i="26"/>
  <c r="N15" i="26"/>
  <c r="M15" i="26"/>
  <c r="U15" i="26" s="1"/>
  <c r="R20" i="26"/>
  <c r="P20" i="26"/>
  <c r="Q20" i="26" s="1"/>
  <c r="O20" i="26"/>
  <c r="N20" i="26"/>
  <c r="M20" i="26"/>
  <c r="R24" i="26"/>
  <c r="P24" i="26"/>
  <c r="Q24" i="26" s="1"/>
  <c r="O24" i="26"/>
  <c r="N24" i="26"/>
  <c r="M24" i="26"/>
  <c r="R28" i="26"/>
  <c r="P28" i="26"/>
  <c r="Q28" i="26" s="1"/>
  <c r="O28" i="26"/>
  <c r="N28" i="26"/>
  <c r="M28" i="26"/>
  <c r="R32" i="26"/>
  <c r="P32" i="26"/>
  <c r="Q32" i="26" s="1"/>
  <c r="O32" i="26"/>
  <c r="N32" i="26"/>
  <c r="M32" i="26"/>
  <c r="R37" i="26"/>
  <c r="P37" i="26"/>
  <c r="Q37" i="26" s="1"/>
  <c r="O37" i="26"/>
  <c r="N37" i="26"/>
  <c r="M37" i="26"/>
  <c r="R41" i="26"/>
  <c r="P41" i="26"/>
  <c r="Q41" i="26" s="1"/>
  <c r="O41" i="26"/>
  <c r="N41" i="26"/>
  <c r="M41" i="26"/>
  <c r="R46" i="26"/>
  <c r="P46" i="26"/>
  <c r="Q46" i="26" s="1"/>
  <c r="O46" i="26"/>
  <c r="N46" i="26"/>
  <c r="M46" i="26"/>
  <c r="R51" i="26"/>
  <c r="P51" i="26"/>
  <c r="Q51" i="26" s="1"/>
  <c r="O51" i="26"/>
  <c r="N51" i="26"/>
  <c r="M51" i="26"/>
  <c r="R55" i="26"/>
  <c r="P55" i="26"/>
  <c r="Q55" i="26" s="1"/>
  <c r="O55" i="26"/>
  <c r="N55" i="26"/>
  <c r="M55" i="26"/>
  <c r="R60" i="26"/>
  <c r="P60" i="26"/>
  <c r="Q60" i="26" s="1"/>
  <c r="O60" i="26"/>
  <c r="N60" i="26"/>
  <c r="M60" i="26"/>
  <c r="R64" i="26"/>
  <c r="P64" i="26"/>
  <c r="Q64" i="26" s="1"/>
  <c r="O64" i="26"/>
  <c r="N64" i="26"/>
  <c r="M64" i="26"/>
  <c r="R72" i="26"/>
  <c r="P72" i="26"/>
  <c r="Q72" i="26" s="1"/>
  <c r="O72" i="26"/>
  <c r="N72" i="26"/>
  <c r="M72" i="26"/>
  <c r="R76" i="26"/>
  <c r="P76" i="26"/>
  <c r="Q76" i="26" s="1"/>
  <c r="O76" i="26"/>
  <c r="N76" i="26"/>
  <c r="M76" i="26"/>
  <c r="R80" i="26"/>
  <c r="P80" i="26"/>
  <c r="Q80" i="26" s="1"/>
  <c r="O80" i="26"/>
  <c r="N80" i="26"/>
  <c r="M80" i="26"/>
  <c r="R84" i="26"/>
  <c r="P84" i="26"/>
  <c r="Q84" i="26" s="1"/>
  <c r="O84" i="26"/>
  <c r="N84" i="26"/>
  <c r="M84" i="26"/>
  <c r="S88" i="26"/>
  <c r="S68" i="26" l="1"/>
  <c r="S84" i="26"/>
  <c r="S80" i="26"/>
  <c r="S76" i="26"/>
  <c r="S72" i="26"/>
  <c r="S64" i="26"/>
  <c r="S60" i="26"/>
  <c r="S55" i="26"/>
  <c r="S51" i="26"/>
  <c r="S46" i="26"/>
  <c r="S41" i="26"/>
  <c r="S37" i="26"/>
  <c r="S32" i="26"/>
  <c r="S28" i="26"/>
  <c r="S24" i="26"/>
  <c r="S20" i="26"/>
  <c r="S15" i="26"/>
  <c r="S10"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Elkin Antonio Zuleta Montoya</author>
  </authors>
  <commentList>
    <comment ref="B3" authorId="0" shapeId="0" xr:uid="{00000000-0006-0000-0000-000001000000}">
      <text>
        <r>
          <rPr>
            <b/>
            <sz val="9"/>
            <color indexed="81"/>
            <rFont val="Tahoma"/>
            <family val="2"/>
          </rPr>
          <t>Nikkel:</t>
        </r>
        <r>
          <rPr>
            <sz val="9"/>
            <color indexed="81"/>
            <rFont val="Tahoma"/>
            <family val="2"/>
          </rPr>
          <t xml:space="preserve">
Buscarlo en la hoja Adjunta</t>
        </r>
      </text>
    </comment>
    <comment ref="E3" authorId="1" shapeId="0" xr:uid="{00000000-0006-0000-0000-000002000000}">
      <text>
        <r>
          <rPr>
            <b/>
            <sz val="9"/>
            <color indexed="81"/>
            <rFont val="Tahoma"/>
            <charset val="1"/>
          </rPr>
          <t>Nikkel:</t>
        </r>
        <r>
          <rPr>
            <sz val="9"/>
            <color indexed="81"/>
            <rFont val="Tahoma"/>
            <charset val="1"/>
          </rPr>
          <t xml:space="preserve">
Si requiere el nombre el  nombre de la unidad, lo puede consultar en la hoja Unidades.
Tambien lo puede editar de manera directa
</t>
        </r>
      </text>
    </comment>
    <comment ref="F3" authorId="1" shapeId="0" xr:uid="{00000000-0006-0000-0000-000003000000}">
      <text>
        <r>
          <rPr>
            <sz val="9"/>
            <color indexed="81"/>
            <rFont val="Tahoma"/>
            <family val="2"/>
          </rPr>
          <t>Escoger de la lista y si no lo encuentra , completarlo  de forma manual</t>
        </r>
      </text>
    </comment>
    <comment ref="J3" authorId="0" shapeId="0" xr:uid="{00000000-0006-0000-0000-000004000000}">
      <text>
        <r>
          <rPr>
            <b/>
            <sz val="9"/>
            <color indexed="81"/>
            <rFont val="Tahoma"/>
            <family val="2"/>
          </rPr>
          <t>Nikkel:</t>
        </r>
        <r>
          <rPr>
            <sz val="9"/>
            <color indexed="81"/>
            <rFont val="Tahoma"/>
            <family val="2"/>
          </rPr>
          <t xml:space="preserve">
Anotar el valor directo , sin el formato (%)
</t>
        </r>
      </text>
    </comment>
    <comment ref="N3" authorId="1" shapeId="0" xr:uid="{00000000-0006-0000-0000-000005000000}">
      <text>
        <r>
          <rPr>
            <b/>
            <sz val="9"/>
            <color indexed="81"/>
            <rFont val="Tahoma"/>
            <family val="2"/>
          </rPr>
          <t>Elkin Antonio Zuleta Montoya:</t>
        </r>
        <r>
          <rPr>
            <sz val="9"/>
            <color indexed="81"/>
            <rFont val="Tahoma"/>
            <family val="2"/>
          </rPr>
          <t xml:space="preserve">
Este valor es estadistico, tambien se calcula, solo si tiene los tres valores 
</t>
        </r>
      </text>
    </comment>
    <comment ref="Q3" authorId="1" shapeId="0" xr:uid="{00000000-0006-0000-0000-000006000000}">
      <text>
        <r>
          <rPr>
            <sz val="9"/>
            <color indexed="81"/>
            <rFont val="Tahoma"/>
            <family val="2"/>
          </rPr>
          <t xml:space="preserve">Alguna de Las celdas anteriores a este valor en la columna " </t>
        </r>
        <r>
          <rPr>
            <b/>
            <sz val="9"/>
            <color indexed="81"/>
            <rFont val="Tahoma"/>
            <family val="2"/>
          </rPr>
          <t>Valores Individuales"</t>
        </r>
        <r>
          <rPr>
            <sz val="9"/>
            <color indexed="81"/>
            <rFont val="Tahoma"/>
            <family val="2"/>
          </rPr>
          <t xml:space="preserve">, las puede borrar, según el criterio de que esté muy  desfazada ( por encima o por debajo con respecto  al valor  del </t>
        </r>
        <r>
          <rPr>
            <b/>
            <sz val="9"/>
            <color indexed="81"/>
            <rFont val="Tahoma"/>
            <family val="2"/>
          </rPr>
          <t>Promedio.</t>
        </r>
        <r>
          <rPr>
            <sz val="9"/>
            <color indexed="81"/>
            <rFont val="Tahoma"/>
            <family val="2"/>
          </rPr>
          <t xml:space="preserve">
De lo contrario este valor será igual que el </t>
        </r>
        <r>
          <rPr>
            <b/>
            <sz val="9"/>
            <color indexed="81"/>
            <rFont val="Tahoma"/>
            <family val="2"/>
          </rPr>
          <t>Promedio</t>
        </r>
        <r>
          <rPr>
            <sz val="9"/>
            <color indexed="81"/>
            <rFont val="Tahoma"/>
            <family val="2"/>
          </rPr>
          <t xml:space="preserve">
</t>
        </r>
      </text>
    </comment>
    <comment ref="R3" authorId="1" shapeId="0" xr:uid="{00000000-0006-0000-0000-000007000000}">
      <text>
        <r>
          <rPr>
            <b/>
            <sz val="9"/>
            <color indexed="81"/>
            <rFont val="Tahoma"/>
            <family val="2"/>
          </rPr>
          <t>Elkin Antonio Zuleta Montoya:</t>
        </r>
        <r>
          <rPr>
            <sz val="9"/>
            <color indexed="81"/>
            <rFont val="Tahoma"/>
            <family val="2"/>
          </rPr>
          <t xml:space="preserve">
Este valor es el estadístico de cuan alejados estan los datos con respecto al </t>
        </r>
        <r>
          <rPr>
            <b/>
            <sz val="9"/>
            <color indexed="81"/>
            <rFont val="Tahoma"/>
            <family val="2"/>
          </rPr>
          <t xml:space="preserve">Promedio. </t>
        </r>
        <r>
          <rPr>
            <sz val="9"/>
            <color indexed="81"/>
            <rFont val="Tahoma"/>
            <family val="2"/>
          </rPr>
          <t xml:space="preserve"> Pero este valor, es solo UNA desviación estandar, si cualesquier valor sumado con esta desviación estandar queda incluido, quiere decir que los valores estan muy cercanos, de lo contrario se puede observar cúal de todos está más alejado.</t>
        </r>
      </text>
    </comment>
    <comment ref="S3" authorId="1" shapeId="0" xr:uid="{00000000-0006-0000-0000-000008000000}">
      <text>
        <r>
          <rPr>
            <b/>
            <sz val="9"/>
            <color indexed="81"/>
            <rFont val="Tahoma"/>
            <family val="2"/>
          </rPr>
          <t>Elkin Antonio Zuleta Montoya:</t>
        </r>
        <r>
          <rPr>
            <sz val="9"/>
            <color indexed="81"/>
            <rFont val="Tahoma"/>
            <family val="2"/>
          </rPr>
          <t xml:space="preserve">
Como referente, un coeficiente de Variación entre precios superior al </t>
        </r>
        <r>
          <rPr>
            <b/>
            <sz val="9"/>
            <color indexed="81"/>
            <rFont val="Tahoma"/>
            <family val="2"/>
          </rPr>
          <t>20%,</t>
        </r>
        <r>
          <rPr>
            <sz val="9"/>
            <color indexed="81"/>
            <rFont val="Tahoma"/>
            <family val="2"/>
          </rPr>
          <t xml:space="preserve"> indica que los precios estan muy desfazados mientras más alto esté  el valor</t>
        </r>
      </text>
    </comment>
    <comment ref="T3" authorId="1" shapeId="0" xr:uid="{00000000-0006-0000-0000-000009000000}">
      <text>
        <r>
          <rPr>
            <b/>
            <sz val="9"/>
            <color indexed="81"/>
            <rFont val="Tahoma"/>
            <family val="2"/>
          </rPr>
          <t>Elkin Antonio Zuleta Montoya:</t>
        </r>
        <r>
          <rPr>
            <sz val="9"/>
            <color indexed="81"/>
            <rFont val="Tahoma"/>
            <family val="2"/>
          </rPr>
          <t xml:space="preserve">
Describir la elección del proveedor de acuerdo al análisis de precios</t>
        </r>
      </text>
    </comment>
    <comment ref="U3" authorId="1" shapeId="0" xr:uid="{00000000-0006-0000-0000-00000A000000}">
      <text>
        <r>
          <rPr>
            <sz val="9"/>
            <color indexed="81"/>
            <rFont val="Tahoma"/>
            <family val="2"/>
          </rPr>
          <t xml:space="preserve">Elegir el valor sugerido según el análisis elaborado
</t>
        </r>
      </text>
    </comment>
  </commentList>
</comments>
</file>

<file path=xl/sharedStrings.xml><?xml version="1.0" encoding="utf-8"?>
<sst xmlns="http://schemas.openxmlformats.org/spreadsheetml/2006/main" count="387" uniqueCount="241">
  <si>
    <t>Relación de elemctos a cotizar (información suministrata por el Centro de Formación)</t>
  </si>
  <si>
    <t>Información a registrar por el cotizante</t>
  </si>
  <si>
    <t>Análisis del precio</t>
  </si>
  <si>
    <t>Item</t>
  </si>
  <si>
    <t>Código
UNSPSC</t>
  </si>
  <si>
    <t>Producto</t>
  </si>
  <si>
    <t>Descripción</t>
  </si>
  <si>
    <r>
      <t xml:space="preserve">Unidad de medida </t>
    </r>
    <r>
      <rPr>
        <b/>
        <i/>
        <sz val="8"/>
        <color rgb="FFFF0000"/>
        <rFont val="Calibri"/>
        <family val="2"/>
      </rPr>
      <t>Escoger Lista</t>
    </r>
  </si>
  <si>
    <r>
      <t xml:space="preserve">Presentación
</t>
    </r>
    <r>
      <rPr>
        <b/>
        <sz val="8"/>
        <color rgb="FFFF0000"/>
        <rFont val="Calibri"/>
        <family val="2"/>
      </rPr>
      <t>Escoger Lista</t>
    </r>
  </si>
  <si>
    <t>Cantidad
solicitada</t>
  </si>
  <si>
    <t>Proveedor</t>
  </si>
  <si>
    <t xml:space="preserve">Valor Unitario sin IVA </t>
  </si>
  <si>
    <t>Valor del IVA (%)</t>
  </si>
  <si>
    <t xml:space="preserve">Valor Unitario con IVA </t>
  </si>
  <si>
    <t>Valor Total  con IVA</t>
  </si>
  <si>
    <t>PROMEDIO</t>
  </si>
  <si>
    <t>Media
Armonica</t>
  </si>
  <si>
    <t>Mediana</t>
  </si>
  <si>
    <t>Valores
Individuales</t>
  </si>
  <si>
    <t>Media Podada</t>
  </si>
  <si>
    <t>Desviación Estandar</t>
  </si>
  <si>
    <t>Coeficiente
de Variación</t>
  </si>
  <si>
    <t>Conclusiones análisis del precio</t>
  </si>
  <si>
    <t>Valor total establecido. Incluido IVA</t>
  </si>
  <si>
    <t>Observaciones</t>
  </si>
  <si>
    <t>Pintura Acrílica Profesional</t>
  </si>
  <si>
    <t>Está elaborada con pigmentos orgánicos e inorgánicos de alta pureza, finamente molidos y dispersos en una resina acrílica copolímera 100%. Su fórmula avanzada ofrece un acabado satinado, colores intensos y duraderos, excelente poder cubriente, flexibilidad y un secado rápido que facilita el trabajo por capas.
CARACTERÍSTICAS DESTACADAS:
Calidad profesional: Ideal para técnicas exigentes y resultados duraderos.
Colores intensos y de alta cobertura: Acabado satinado de aspecto profesional.
Secado rápido: Ideal para trabajos en capas sin largas esperas.
Alta adherencia y flexibilidad: Evita cuarteaduras, incluso en soportes porosos o irregulares.
Resistente a la luz y al amarillamiento: Conserva su intensidad con el tiempo.
Fórmula no tóxica: Segura para uso en espacios cerrados, proyectos profesionales o decorativos.. Frasco de 100ml con tapa dosificadora. Colores surtidos según anexo técnico.</t>
  </si>
  <si>
    <t>ml</t>
  </si>
  <si>
    <t>Frascos</t>
  </si>
  <si>
    <t>Franco Arte</t>
  </si>
  <si>
    <t xml:space="preserve">Bocetos Papelería / Falabella </t>
  </si>
  <si>
    <t>Set de Pinceles Planos (Sintéticos)</t>
  </si>
  <si>
    <t>Set x 5 pinceles planos de pelo sintético (Taklon) de alta resistencia. Tamaños variados (2, 4, 8, 10, 12). Virola de aluminio antioxidante y mango de madera ergonómico.</t>
  </si>
  <si>
    <t>Unidades</t>
  </si>
  <si>
    <t>Set x 5 unidades</t>
  </si>
  <si>
    <t>Jonan</t>
  </si>
  <si>
    <t>Pincel Liner Profesional</t>
  </si>
  <si>
    <t>Pincel de pelo largo sintético extra fino (referencia 000 o 0), ideal para fileteado y caligrafía en madera. Alta capacidad de carga de pigmento y punta indeformable.</t>
  </si>
  <si>
    <t>Unidad</t>
  </si>
  <si>
    <t>Nail Store</t>
  </si>
  <si>
    <t>Tienda Gioto</t>
  </si>
  <si>
    <t>Barniz Final Base Agua</t>
  </si>
  <si>
    <t>Barniz protector transparente, no amarillento, con filtro UV. Acabado semi-mate. Debe ser de bajo olor, no tóxico y compatible con pinturas acrílicas. Presentación de 120ml.</t>
  </si>
  <si>
    <t>panafargo</t>
  </si>
  <si>
    <t xml:space="preserve">Lija de Agua Silicio Grano </t>
  </si>
  <si>
    <t>Hojas de lija de carburo de silicio, alta flexibilidad y resistencia al desgarro. Especial para preparación de superficies de madera y pulido entre capas de pintura. Grano variado de 220</t>
  </si>
  <si>
    <t>Hoja</t>
  </si>
  <si>
    <t>Soelco</t>
  </si>
  <si>
    <t>Easy Colombia</t>
  </si>
  <si>
    <t>Adhesivo PVA para Madera</t>
  </si>
  <si>
    <t>Pegante blanco concentrado de alta densidad (tipo carpintería). Libre de solventes, secado transparente y alta resistencia a la tracción. Presentación de 250g.</t>
  </si>
  <si>
    <t>g</t>
  </si>
  <si>
    <t>Mercado Libre</t>
  </si>
  <si>
    <t>Homecenter</t>
  </si>
  <si>
    <t>Paleta Mezcladora</t>
  </si>
  <si>
    <t>Paleta de plástico polipropileno de alta densidad con mínimo 10 pozos para mezcla de pigmentos. Fácil limpieza y superficie lisa antiadherente.</t>
  </si>
  <si>
    <t xml:space="preserve">Unidad </t>
  </si>
  <si>
    <t>Creativebox Colombia</t>
  </si>
  <si>
    <t>Pasta para Relieve (Texturizador)</t>
  </si>
  <si>
    <t>Pasta acrílica blanca para efectos 3D y estarcido. Debe mantener el volumen tras el secado sin agrietarse. Compatible con espátulas y stencils. Frasco x 120ml.</t>
  </si>
  <si>
    <t xml:space="preserve">Fallabela </t>
  </si>
  <si>
    <t>Vinilos adhesivos inkjet</t>
  </si>
  <si>
    <t>Ideal para impresiones de alta calidad y proyectos creativos, este papel vinilo adhesivo transparente tamaño A4 es perfecto para impresoras inkjet. Su acabado resistente al agua y a los rayones lo hace ideal para etiquetas, manualidades y señalización.
ESPECIFICACIONES
- Tamaño: A4 (210 mm x 297 mm)
- Cantidad: 20 hojas
- Tipo: Vinilo adhesivo transparente para impresora inkjet
- Marca: Masafa
RECOMENDACIONES DE USO
Asegúrate de utilizar tintas compatibles con impresoras inkjet para obtener los mejores resultados. Ideal para proyectos escolares, etiquetas personalizadas y decoración.
VENTAJAS
- Resistente al agua y a los rayones
- Secado rápido
- Excelente reproducción de color
- Fácil de aplicar en superficies lisas
Garantía de fábrica: 1 días</t>
  </si>
  <si>
    <t>Espátulas plásticas de polipropileno</t>
  </si>
  <si>
    <t>Espátula de polipropileno de alta resistencia química, flexible, con borde biselado para aplicación de pastas de relieve. Set por 3 tamaños (1", 2", 3"). Superficie antiadherente de fácil limpieza.</t>
  </si>
  <si>
    <t>Set x 3 Unidades</t>
  </si>
  <si>
    <t>Esponjas para efectos artísticos</t>
  </si>
  <si>
    <t>Esponja de estructura de celda abierta (tipo marina o sintética de alta densidad) para técnica de estarcido. Diámetro entre 5-7 cm. Debe permitir lavados repetitivos sin desmoronarse.</t>
  </si>
  <si>
    <t xml:space="preserve">Suescun </t>
  </si>
  <si>
    <t>Rodillos de espuma de alta densidad</t>
  </si>
  <si>
    <t>Rodillo de espuma de poliuretano de celda fina, ancho de 5 cm (2"), con mango de polímero ergonómico y eje de acero galvanizado. Especial para aplicación de bases acrílicas sin dejar burbujas.</t>
  </si>
  <si>
    <t>Decapador de calor para artesanías</t>
  </si>
  <si>
    <t>Pistola de calor de baja emisión sonora, con al menos dos niveles de temperatura Graduación Digital (mínimo 300°C). Boquilla de acero inoxidable y protección contra sobrecalentamiento. Cable de mínimo 1.5 metros.</t>
  </si>
  <si>
    <t>Cinta de enmascarar de baja adhesión</t>
  </si>
  <si>
    <t>Cinta de papel crepé con adhesivo acrílico reposicionable. Ancho 24mm x 40m. Diseñada para no transferir adhesivo ni levantar capas de pintura base en superficies de madera o MDF.</t>
  </si>
  <si>
    <t>Panamericana</t>
  </si>
  <si>
    <t>Limpia pinceles con rejilla decantadora</t>
  </si>
  <si>
    <t>Recipiente plástico de alta resistencia (mínimo 500ml) con sistema de rejilla interior de acero inoxidable o plástico rígido para decantación de pigmentos. Tapa hermética para evitar evaporación.</t>
  </si>
  <si>
    <t>Paños de limpieza de microfibra</t>
  </si>
  <si>
    <t>Paño de microfibra (80% poliéster, 20% poliamida), gramaje mínimo 250 g/m². Tamaño 40x40 cm. Alta capacidad de absorción y sin desprendimiento de motas para limpieza de superficies prepintadas.</t>
  </si>
  <si>
    <t>Dispapeles</t>
  </si>
  <si>
    <t>Easy</t>
  </si>
  <si>
    <t>Protector de mesa (Mantelería PVC)</t>
  </si>
  <si>
    <t>Plástico PVC cristal o vinilo protector, calibre mínimo 12, ancho 1.40 m. Resistente a solventes de pátinas al aceite y adherencia de resinas epóxicas.</t>
  </si>
  <si>
    <t>Metro</t>
  </si>
  <si>
    <t>Mercacolegios</t>
  </si>
  <si>
    <t>Belplasticos</t>
  </si>
  <si>
    <t>Regla metálica de precisión</t>
  </si>
  <si>
    <t>Regla de acero inoxidable graduada en milímetros y pulgadas. Longitud 30 cm. Grabado en bajo relieve para evitar desgaste por uso de bisturí o contacto con pinturas.</t>
  </si>
  <si>
    <t>Papel transfer (Carboncillo amarillo/blanco)</t>
  </si>
  <si>
    <t>Pliegos de papel de transferencia libre de cera, especial para superficies oscuras. No mancha la madera y permite el borrado del trazo. Tamaño mínimo oficio.</t>
  </si>
  <si>
    <t>Lamina</t>
  </si>
  <si>
    <t>silverfalcon</t>
  </si>
  <si>
    <t>Lápices de grafito técnico 2H</t>
  </si>
  <si>
    <t>Lápiz de madera con mina de grafito grado 2H (duro). Ideal para marcado fino en madera sellada sin generar exceso de polvo de grafito que ensucie el color.</t>
  </si>
  <si>
    <t xml:space="preserve">Panagrafo </t>
  </si>
  <si>
    <t>Dsitribucione MVM</t>
  </si>
  <si>
    <t xml:space="preserve">resina epoxica gemelos </t>
  </si>
  <si>
    <t>Sistema de dos componentes (A y B) transparente, autonivelante, de alto brillo y resistencia al rayado. Especial para acabado vítreo en tapas de cajas y relojes. Presentación Kit 500ml.</t>
  </si>
  <si>
    <t xml:space="preserve">quimicos el eje </t>
  </si>
  <si>
    <t>Lija de Agua Silicio (Grano 320/400)</t>
  </si>
  <si>
    <t>Pliegos de lija impermeables de carburo de silicio. Alta flexibilidad para lijado de bordes curvos en MDF. 50% grano 320 y 50% grano 400.</t>
  </si>
  <si>
    <t>pliego</t>
  </si>
  <si>
    <t xml:space="preserve">ferragro </t>
  </si>
  <si>
    <t xml:space="preserve">tornituercass y herramientas </t>
  </si>
  <si>
    <t xml:space="preserve">casa andina </t>
  </si>
  <si>
    <t>Pátinas al Aceite</t>
  </si>
  <si>
    <t>Producto para envejecido y sombreado técnico. Colores: Café, Wengue y Oro. Alta transparencia y tiempo de secado prolongado para manipulación artística. Frasco 30ml.</t>
  </si>
  <si>
    <t xml:space="preserve">orocolor </t>
  </si>
  <si>
    <t xml:space="preserve">fusion color </t>
  </si>
  <si>
    <t>produart</t>
  </si>
  <si>
    <t>Maquinaria para Reloj</t>
  </si>
  <si>
    <t>Kit de motor de cuarzo silencioso para madera de 9mm, incluye manecillas (hora, minuto, segundero) de metal y tuerca de fijación.</t>
  </si>
  <si>
    <t>ferretronica</t>
  </si>
  <si>
    <t xml:space="preserve">publicitar </t>
  </si>
  <si>
    <t xml:space="preserve">60124305
</t>
  </si>
  <si>
    <t>cajas en mdf para arte country</t>
  </si>
  <si>
    <t>Dimensiones: 20 cm de largo x 15 cm de ancho.Altura estándar: Suele variar entre 5 cm y 10 cm, dependiendo del uso (joyero, costurero o recuerdo).Material: MDF de alta densidad (generalmente de 3 mm o 5 mm de espesor), con un acabado suave que facilita el lijado y la adherencia de la pintura.Construcción: Ensambles precisos con cortes láser o router CNC, lo que garantiza ángulos de $90^\circ$ perfectos.</t>
  </si>
  <si>
    <t>maderbox</t>
  </si>
  <si>
    <t>figurarte</t>
  </si>
  <si>
    <t>portisur</t>
  </si>
  <si>
    <t>organizadorers de escritorio en mdf</t>
  </si>
  <si>
    <t>Los organizadores de escritorio de madera varían en medidas según su diseño (cajoneras, portalápices o estantes), encontrándose opciones compactas desde 12x12 cm hasta organizadores amplios de 
 cm o más. Las medidas más comunes para escritorio con cajoneras rondan los 24.5 cm de ancho, 25.4 cm de alto y 15 cm de profundidad</t>
  </si>
  <si>
    <t xml:space="preserve">60124305
</t>
  </si>
  <si>
    <t>juegos de porta vasos</t>
  </si>
  <si>
    <t>ase o Contenedor: Una caja pequeña o soporte diseñado para mantener los portavasos organizados. Esta pieza suele ser la protagonista del diseño principal.
Discos (Portavasos): Generalmente sets de 4 o 6 piezas. Tienen un grosor estándar de 3 mm a 5 mm, lo que les da resistencia sin ser demasiado toscos</t>
  </si>
  <si>
    <t xml:space="preserve">cajas de servilletas </t>
  </si>
  <si>
    <t>Los servilleteros para arte country son piezas artesanales fabricadas comúnmente en madera MDF o pino, caracterizadas por diseños rústicos o tiernos (vacas, conejos, manzanas, gallinas) decorados con técnicas de pintura acrílica, decoupage, craquelado o patinas. Sus medidas estándar suelen rondar los  13 x6 cm o  13x8
 para modelos de media luna, 15 x 10 y 
 para diseños rectangulares, ideales para servilletas de papel o tela</t>
  </si>
  <si>
    <t xml:space="preserve">casas de huevos </t>
  </si>
  <si>
    <t>Las casas de huevos para arte country son organizadores decorativos de cocina hechos principalmente en madera (MDF o pino), diseñados con una estética rústica y campestre (Farmhouse). Suelen tener forma de casita o gallinero, capacidad para 12-30 huevos</t>
  </si>
  <si>
    <t xml:space="preserve">trazos de arte </t>
  </si>
  <si>
    <t>caja de relojes</t>
  </si>
  <si>
    <t>estructura de madera rústica (generalmente pino de 9 mm), con acabados envejecidos o decapados, ideal para personalizar con apliques vintage, pintura acrílica y técnicas de decapado. Suelen incluir divisiones interiores, almohadillas y, a menudo, una tapa con vidrio para exhibición Material: Madera, principalmente pino o triplex de pino de 9 mm de grosor</t>
  </si>
  <si>
    <t xml:space="preserve">mercado libre </t>
  </si>
  <si>
    <t>extension de cable multitoma</t>
  </si>
  <si>
    <t>Carcasa Ignífuga: El exterior debe estar fabricado en policarbonato o plástico ABS de alto impacto con clasificación UL 94 V-0, lo que significa que el material es autoextinguible en caso de incendio. de 3 metros 
Cable de Uso Rudo: El cable debe ser grueso (calibre 14 AWG o superior) para manejar cargas de hasta 15 Amperios sin calentarse  Característica	Especificación Recomendada
Voltaje de operación	110V - 125V (según la región)
Corriente máxima	15 A
Potencia máxima	1875 W
Certificaciones	UL (Underwriters Laboratories) o NOM</t>
  </si>
  <si>
    <t>Metros</t>
  </si>
  <si>
    <t>sirius</t>
  </si>
  <si>
    <t xml:space="preserve">homecenter </t>
  </si>
  <si>
    <t>pincel de espuma o brocha espuma</t>
  </si>
  <si>
    <t>herramienta de pintura, caracterizada por una cabeza de espuma porosa con mango de madera o plástico  Espuma (usualmente oscura o negra) que absorbe pintura de manera uniforme, lo que reduce la necesidad de recargar constantemente 25 mm</t>
  </si>
  <si>
    <t xml:space="preserve">homcenter </t>
  </si>
  <si>
    <t>papeleria alvarez</t>
  </si>
  <si>
    <t>aceite de teca</t>
  </si>
  <si>
    <t>es un tratamiento protector y nutritivo, diseñado principalmente para maderas exóticas, tropicales y de teca en exteriores, aunque también se usa en interiores. Penetra profundamente para hidratar, realzar la veta natural, y proteger contra la humedad, los rayos UV y el grisáceo, sin formar película galon</t>
  </si>
  <si>
    <t>proquimicol</t>
  </si>
  <si>
    <t xml:space="preserve">sellador en spryte mate </t>
  </si>
  <si>
    <t>spray para madera es una solución de secado rápido diseñada para acondicionar, sellar poros y proteger superficies de madera, ideal para muebles interiores, molduras y artesanías. Proporciona un acabado uniforme y transparente, facilita el lijado y mejora el rendimiento de lacas o barnices finales, ofreciendo alta resistencia y cubrimiento</t>
  </si>
  <si>
    <t>galon</t>
  </si>
  <si>
    <t>machetico</t>
  </si>
  <si>
    <t xml:space="preserve">caladora o segueta  manual de hilo </t>
  </si>
  <si>
    <t>herramienta de corte de precisión, caracterizada por un arco de acero sólido (generalmente de 6 a 12 pulgadas) y un mango ergonómico (madera o plástico), diseñado para realizar cortes curvos, detallados y calados en madera, plástico y metales blandos, utilizando hojas de sierra delgadas y finas</t>
  </si>
  <si>
    <t>unidad</t>
  </si>
  <si>
    <t xml:space="preserve">la casa de la herramienta </t>
  </si>
  <si>
    <t>segueta de hilo para caladora</t>
  </si>
  <si>
    <r>
      <rPr>
        <sz val="8"/>
        <color rgb="FF000000"/>
        <rFont val="Calibri"/>
        <scheme val="minor"/>
      </rPr>
      <t xml:space="preserve">segueta de pelo (o sierra de pelo) es una sierra manual extremadamente fina y estrecha, diseñada para cortes de alta precisión, formas intrincadas y curvas cerradas en materiales blandos como metales preciosos (joyería), madera o plásticos  </t>
    </r>
    <r>
      <rPr>
        <b/>
        <sz val="8"/>
        <color rgb="FF000000"/>
        <rFont val="Calibri"/>
        <scheme val="minor"/>
      </rPr>
      <t>fabricados de acero al carbono (HCS) para materiales blandos, acero rápido (HSS) para metales, o materiales especiales como tungsteno o carborundo.</t>
    </r>
  </si>
  <si>
    <t xml:space="preserve">mercadolbre </t>
  </si>
  <si>
    <t>lavallejo</t>
  </si>
  <si>
    <t xml:space="preserve">tecnifacil </t>
  </si>
  <si>
    <t>papel transfer</t>
  </si>
  <si>
    <t>material especializado, comúnmente de tipo lámina calcomanía (waterslide) o transferencias DTF, diseñado para trasladar imágenes impresas con precisión a superficies de madera, logrando acabados personalizados tipo pintura o vinilo</t>
  </si>
  <si>
    <t xml:space="preserve">mercadolibre </t>
  </si>
  <si>
    <t>insublitex</t>
  </si>
  <si>
    <t>prensa esquinera</t>
  </si>
  <si>
    <t>herramienta de fijación esencial diseñada para sujetar piezas en ángulos rectos precisos (
), ideal para ensamblajes, encolados, clavado o atornillado de marcos, gavetas y muebles. Construidas generalmente en aluminio fundido o metal, ofrecen alta resistencia y firmeza para trabajos de carpintería</t>
  </si>
  <si>
    <t xml:space="preserve">soelco </t>
  </si>
  <si>
    <t xml:space="preserve">el machetico </t>
  </si>
  <si>
    <t>prensa rapida 8"</t>
  </si>
  <si>
    <t>prensa rápida, también conocida como sargento de gatillo o de una mano, es una herramienta de sujeción manual de alta velocidad, diseñada para carpintería, herrería y bricolaje. Utiliza un mecanismo de palanca o gatillo para ajustar muelas de hierro fundido o acero, permitiendo un apriete firme hasta 5 veces más rápido que las tradicionales.</t>
  </si>
  <si>
    <t>paquete</t>
  </si>
  <si>
    <t xml:space="preserve">total </t>
  </si>
  <si>
    <t>casa ferretera</t>
  </si>
  <si>
    <t>prensa tipo c 18cm</t>
  </si>
  <si>
    <t xml:space="preserve"> herramienta de sujeción robusta con un marco en forma de "C", fabricada comúnmente en hierro nodular o fundido, diseñada para sujetar firmemente piezas de madera o metal. Cuenta con una manija deslizante en "T" y un tornillo de rosca profunda (frecuentemente zincada) que permite ajustar la presión con alta precisión y un agarre firme</t>
  </si>
  <si>
    <t>ferricentro</t>
  </si>
  <si>
    <t xml:space="preserve">ferreteria bravo </t>
  </si>
  <si>
    <t>belltec</t>
  </si>
  <si>
    <t xml:space="preserve"> </t>
  </si>
  <si>
    <t>triplex de 12mm</t>
  </si>
  <si>
    <t>triplex (terciado/contrachapado) de 12 mm es un tablero estructural de madera, generalmente pino radiata, compuesto por capas impares superpuestas, ideal para muebles, divisiones y construcción. Sus dimensiones estándar son 
 metros, ofreciendo alta resistencia, estabilidad y buen anclaje para tornillos y clavos</t>
  </si>
  <si>
    <t>triplex de 3 mm</t>
  </si>
  <si>
    <t>triplex (o contrachapado) de 3 mm (usualmente 3.2 mm) es un tablero delgado y ligero, formado por finas chapas de madera unidas con resina, con unas dimensiones estándar de 
 metros. Es ideal para trabajos de carpintería fina, fondos de muebles, manualidades y revestimientos decorativos, ofreciendo alta flexibilidad, bajo peso y gran versatilidad para corte láser o manual</t>
  </si>
  <si>
    <t xml:space="preserve">acemar </t>
  </si>
  <si>
    <t>mdf de 3mm</t>
  </si>
  <si>
    <t>Fibras de madera (generalmente pino radiata) unidas con resinas a alta temperatura, resultando en un color marrón claro/tostado natural. Las hojas suelen encontrarse en  tamaños de  1.83c 2.84 metros,  
 metros o 
 metros.</t>
  </si>
  <si>
    <t>casandina</t>
  </si>
  <si>
    <t xml:space="preserve">flexometro </t>
  </si>
  <si>
    <t>flexómetro de 3 metros es una cinta métrica compacta y portátil, ideal para trabajos de bricolaje, medición en interiores y construcción ligera. Cuenta con una cinta de acero autoenrollable (usualmente de 13-16mm de ancho) alojada en una carcasa de ABS o plástico, con bloqueo de seguridad y punta gancho para mediciones precisas</t>
  </si>
  <si>
    <t>almacenes hj</t>
  </si>
  <si>
    <t>caja de herramientas plastica  14 "</t>
  </si>
  <si>
    <t>contenedor portátil y ligero, diseñado para organizar y transportar herramientas, fabricado comúnmente en polipropileno de alta resistencia. Incluye características como bandejas desmontables, cierres de seguridad (plásticos o metálicos), organizadores en la tapa para objetos pequeños, manijas ergonómicas y capacidades que varían desde las 13 hasta más de 22 pulgadas, siendo ideal para uso doméstico, taller o bricolaje por ser resistente al óxido</t>
  </si>
  <si>
    <t>lamina</t>
  </si>
  <si>
    <t>ferreteria rhino</t>
  </si>
  <si>
    <t xml:space="preserve">27111602
</t>
  </si>
  <si>
    <t>martillo</t>
  </si>
  <si>
    <t>es una herramienta de acero forjado diseñada para clavar y extraer clavos. Se caracteriza por una cabeza con una cara plana para golpear y una uña curvada o recta para hacer palanca, siendo esencial para trabajos de carpintería, ensamblaje y construcción</t>
  </si>
  <si>
    <t xml:space="preserve">easy </t>
  </si>
  <si>
    <t>pegante de secado rapido en spray</t>
  </si>
  <si>
    <t xml:space="preserve"> adhesivo industrial o doméstico contenido en un envase presurizado, diseñado para una aplicación uniforme, rápida y limpia mediante pulverización</t>
  </si>
  <si>
    <t xml:space="preserve">infinita distribuidora </t>
  </si>
  <si>
    <t>escuadra metalica</t>
  </si>
  <si>
    <t>escuadra metálica para madera es una herramienta esencial de carpintería en forma de "L" o triángulo, fabricada en acero inoxidable o aluminio, diseñada para trazar, medir y verificar ángulos de 
 y 
. Ofrece alta precisión, durabilidad, graduaciones permanentes (métrica/pulgadas) y resistencia a la corrosión, siendo ideal para ensamblajes, cortes rectos y diseño de vigas</t>
  </si>
  <si>
    <t xml:space="preserve">ferreteria luis penagos </t>
  </si>
  <si>
    <t>maquitodo</t>
  </si>
  <si>
    <t>prensa rapida 16"</t>
  </si>
  <si>
    <t>prensa etipo C largo 15 cm</t>
  </si>
  <si>
    <t xml:space="preserve">casa ferretera </t>
  </si>
  <si>
    <t>TOTAL</t>
  </si>
  <si>
    <t>Nombre  de la Unidades</t>
  </si>
  <si>
    <t>Simbololo   Unidad</t>
  </si>
  <si>
    <t>Prsentación</t>
  </si>
  <si>
    <t xml:space="preserve">centimetros cuadrados </t>
  </si>
  <si>
    <r>
      <t>cm</t>
    </r>
    <r>
      <rPr>
        <b/>
        <vertAlign val="superscript"/>
        <sz val="10"/>
        <rFont val="Arial"/>
        <family val="2"/>
      </rPr>
      <t>2</t>
    </r>
  </si>
  <si>
    <t xml:space="preserve">Cajas por </t>
  </si>
  <si>
    <t xml:space="preserve">decimetros  </t>
  </si>
  <si>
    <t>dm</t>
  </si>
  <si>
    <t>Garrafas</t>
  </si>
  <si>
    <t xml:space="preserve">decimetros Cuadrados </t>
  </si>
  <si>
    <r>
      <t>dm</t>
    </r>
    <r>
      <rPr>
        <b/>
        <vertAlign val="superscript"/>
        <sz val="10"/>
        <rFont val="Arial"/>
        <family val="2"/>
      </rPr>
      <t>2</t>
    </r>
  </si>
  <si>
    <t>Galon</t>
  </si>
  <si>
    <t>gal</t>
  </si>
  <si>
    <t>Kit</t>
  </si>
  <si>
    <t>gramos</t>
  </si>
  <si>
    <t>Láminas</t>
  </si>
  <si>
    <t>Libra</t>
  </si>
  <si>
    <t>lb</t>
  </si>
  <si>
    <t>Paquete</t>
  </si>
  <si>
    <t>Litro</t>
  </si>
  <si>
    <t xml:space="preserve">l </t>
  </si>
  <si>
    <t xml:space="preserve">Pares de </t>
  </si>
  <si>
    <t>metros</t>
  </si>
  <si>
    <t>m</t>
  </si>
  <si>
    <t>Pliego</t>
  </si>
  <si>
    <t>centimetros</t>
  </si>
  <si>
    <t>cm</t>
  </si>
  <si>
    <t>Rollos</t>
  </si>
  <si>
    <t>mililitro</t>
  </si>
  <si>
    <t>Porcentaje</t>
  </si>
  <si>
    <t>%</t>
  </si>
  <si>
    <t>Kilogramo</t>
  </si>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</sst>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quot;$&quot;#,##0.00"/>
    <numFmt numFmtId="166" formatCode="[$$-240A]\ #,##0.0;\-[$$-240A]\ #,##0.0"/>
    <numFmt numFmtId="167" formatCode="&quot;$&quot;#,##0.0"/>
    <numFmt numFmtId="168" formatCode="&quot;$&quot;\ #,##0"/>
  </numFmts>
  <fonts count="28">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9"/>
      <color indexed="81"/>
      <name val="Tahoma"/>
      <family val="2"/>
    </font>
    <font>
      <b/>
      <sz val="9"/>
      <color indexed="81"/>
      <name val="Tahoma"/>
      <family val="2"/>
    </font>
    <font>
      <sz val="10"/>
      <name val="Arial"/>
      <family val="2"/>
    </font>
    <font>
      <b/>
      <sz val="10"/>
      <name val="Arial"/>
      <family val="2"/>
    </font>
    <font>
      <b/>
      <vertAlign val="superscript"/>
      <sz val="10"/>
      <name val="Arial"/>
      <family val="2"/>
    </font>
    <font>
      <sz val="9"/>
      <color indexed="81"/>
      <name val="Tahoma"/>
      <charset val="1"/>
    </font>
    <font>
      <b/>
      <sz val="9"/>
      <color indexed="81"/>
      <name val="Tahoma"/>
      <charset val="1"/>
    </font>
    <font>
      <b/>
      <sz val="8"/>
      <color rgb="FFFF0000"/>
      <name val="Calibri"/>
      <family val="2"/>
    </font>
    <font>
      <b/>
      <i/>
      <sz val="8"/>
      <color theme="1"/>
      <name val="Calibri"/>
      <family val="2"/>
    </font>
    <font>
      <b/>
      <sz val="8"/>
      <color theme="1"/>
      <name val="Calibri"/>
      <family val="2"/>
    </font>
    <font>
      <b/>
      <sz val="8"/>
      <color rgb="FF000000"/>
      <name val="Calibri"/>
      <family val="2"/>
    </font>
    <font>
      <b/>
      <i/>
      <sz val="8"/>
      <color rgb="FFFF0000"/>
      <name val="Calibri"/>
      <family val="2"/>
    </font>
    <font>
      <b/>
      <sz val="8"/>
      <color rgb="FF000000"/>
      <name val="Calibri Light"/>
      <family val="2"/>
    </font>
    <font>
      <b/>
      <sz val="8"/>
      <color theme="1"/>
      <name val="Calibri"/>
      <family val="2"/>
      <scheme val="minor"/>
    </font>
    <font>
      <b/>
      <sz val="8"/>
      <color theme="0"/>
      <name val="Calibri"/>
      <family val="2"/>
      <scheme val="minor"/>
    </font>
    <font>
      <sz val="8"/>
      <color theme="1"/>
      <name val="Calibri"/>
      <family val="2"/>
    </font>
    <font>
      <sz val="8"/>
      <color theme="1"/>
      <name val="Calibri"/>
      <family val="2"/>
      <scheme val="minor"/>
    </font>
    <font>
      <sz val="8"/>
      <color rgb="FF000000"/>
      <name val="Calibri"/>
      <family val="2"/>
    </font>
    <font>
      <sz val="8"/>
      <color rgb="FF000000"/>
      <name val="Calibri"/>
      <scheme val="minor"/>
    </font>
    <font>
      <b/>
      <sz val="8"/>
      <color rgb="FF000000"/>
      <name val="Calibri"/>
      <scheme val="minor"/>
    </font>
    <font>
      <sz val="9"/>
      <color theme="1"/>
      <name val="Calibri"/>
      <scheme val="minor"/>
    </font>
    <font>
      <sz val="9"/>
      <color rgb="FF000000"/>
      <name val="Calibri"/>
      <scheme val="minor"/>
    </font>
    <font>
      <u/>
      <sz val="11"/>
      <color theme="10"/>
      <name val="Calibri"/>
      <family val="2"/>
      <scheme val="minor"/>
    </font>
    <font>
      <sz val="8"/>
      <color theme="1"/>
      <name val="Calibri"/>
      <scheme val="minor"/>
    </font>
  </fonts>
  <fills count="1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7" tint="-0.249977111117893"/>
        <bgColor indexed="64"/>
      </patternFill>
    </fill>
    <fill>
      <patternFill patternType="solid">
        <fgColor rgb="FFA0BADC"/>
        <bgColor indexed="64"/>
      </patternFill>
    </fill>
  </fills>
  <borders count="4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top style="thin">
        <color rgb="FF000000"/>
      </top>
      <bottom/>
      <diagonal/>
    </border>
    <border>
      <left/>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rgb="FF000000"/>
      </left>
      <right style="thin">
        <color indexed="64"/>
      </right>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style="thin">
        <color indexed="64"/>
      </bottom>
      <diagonal/>
    </border>
    <border>
      <left style="thin">
        <color rgb="FF000000"/>
      </left>
      <right style="medium">
        <color indexed="64"/>
      </right>
      <top style="thin">
        <color rgb="FF000000"/>
      </top>
      <bottom/>
      <diagonal/>
    </border>
    <border>
      <left style="thin">
        <color rgb="FF000000"/>
      </left>
      <right style="medium">
        <color indexed="64"/>
      </right>
      <top/>
      <bottom style="thin">
        <color rgb="FF000000"/>
      </bottom>
      <diagonal/>
    </border>
    <border>
      <left/>
      <right/>
      <top style="thin">
        <color rgb="FF000000"/>
      </top>
      <bottom/>
      <diagonal/>
    </border>
    <border>
      <left/>
      <right style="thin">
        <color indexed="64"/>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rgb="FF000000"/>
      </top>
      <bottom/>
      <diagonal/>
    </border>
    <border>
      <left style="thin">
        <color rgb="FF000000"/>
      </left>
      <right style="thin">
        <color indexed="64"/>
      </right>
      <top style="thin">
        <color indexed="64"/>
      </top>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s>
  <cellStyleXfs count="7">
    <xf numFmtId="0" fontId="0" fillId="0" borderId="0"/>
    <xf numFmtId="9" fontId="2" fillId="0" borderId="0" applyFont="0" applyFill="0" applyBorder="0" applyAlignment="0" applyProtection="0"/>
    <xf numFmtId="0" fontId="6" fillId="0" borderId="0"/>
    <xf numFmtId="43" fontId="2" fillId="0" borderId="0" applyFont="0" applyFill="0" applyBorder="0" applyAlignment="0" applyProtection="0"/>
    <xf numFmtId="0" fontId="6" fillId="0" borderId="0"/>
    <xf numFmtId="0" fontId="26" fillId="0" borderId="0" applyNumberFormat="0" applyFill="0" applyBorder="0" applyAlignment="0" applyProtection="0"/>
    <xf numFmtId="0" fontId="26" fillId="0" borderId="0" applyNumberFormat="0" applyFill="0" applyBorder="0" applyAlignment="0" applyProtection="0"/>
  </cellStyleXfs>
  <cellXfs count="175">
    <xf numFmtId="0" fontId="0" fillId="0" borderId="0" xfId="0"/>
    <xf numFmtId="0" fontId="0" fillId="0" borderId="0" xfId="0" applyAlignment="1">
      <alignment horizontal="center" vertical="center"/>
    </xf>
    <xf numFmtId="0" fontId="7" fillId="0" borderId="2" xfId="4" applyFont="1" applyBorder="1" applyAlignment="1">
      <alignment horizontal="center" vertical="center"/>
    </xf>
    <xf numFmtId="0" fontId="0" fillId="0" borderId="4" xfId="0" applyBorder="1"/>
    <xf numFmtId="49" fontId="0" fillId="0" borderId="5" xfId="0" applyNumberFormat="1" applyBorder="1" applyAlignment="1">
      <alignment horizontal="center" vertical="center"/>
    </xf>
    <xf numFmtId="0" fontId="0" fillId="0" borderId="5" xfId="0" applyBorder="1" applyAlignment="1">
      <alignment horizontal="center" vertical="center"/>
    </xf>
    <xf numFmtId="0" fontId="1" fillId="10" borderId="6" xfId="0" applyFont="1" applyFill="1" applyBorder="1" applyAlignment="1">
      <alignment horizontal="center" wrapText="1"/>
    </xf>
    <xf numFmtId="0" fontId="1" fillId="10" borderId="1"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0" fillId="0" borderId="8" xfId="0" applyBorder="1"/>
    <xf numFmtId="0" fontId="1" fillId="0" borderId="9" xfId="0" applyFont="1" applyBorder="1" applyAlignment="1">
      <alignment horizontal="center" vertical="center"/>
    </xf>
    <xf numFmtId="0" fontId="0" fillId="0" borderId="3" xfId="0" applyBorder="1"/>
    <xf numFmtId="0" fontId="7" fillId="0" borderId="9" xfId="4" applyFont="1" applyBorder="1" applyAlignment="1">
      <alignment horizontal="center" vertical="center"/>
    </xf>
    <xf numFmtId="0" fontId="0" fillId="0" borderId="3" xfId="0" applyBorder="1" applyAlignment="1">
      <alignment horizontal="center" vertical="center"/>
    </xf>
    <xf numFmtId="0" fontId="0" fillId="0" borderId="0" xfId="0" applyAlignment="1">
      <alignment vertical="center"/>
    </xf>
    <xf numFmtId="165" fontId="0" fillId="0" borderId="0" xfId="0" applyNumberFormat="1" applyAlignment="1">
      <alignment vertical="center"/>
    </xf>
    <xf numFmtId="167" fontId="0" fillId="0" borderId="0" xfId="0" applyNumberFormat="1" applyAlignment="1">
      <alignment vertical="center"/>
    </xf>
    <xf numFmtId="0" fontId="19" fillId="0" borderId="10" xfId="0" applyFont="1" applyBorder="1" applyAlignment="1">
      <alignment horizontal="center" vertical="center"/>
    </xf>
    <xf numFmtId="168" fontId="20" fillId="0" borderId="2" xfId="0" applyNumberFormat="1" applyFont="1" applyBorder="1" applyAlignment="1">
      <alignment horizontal="center" vertical="center"/>
    </xf>
    <xf numFmtId="0" fontId="19" fillId="7" borderId="10" xfId="1" applyNumberFormat="1" applyFont="1" applyFill="1" applyBorder="1" applyAlignment="1">
      <alignment horizontal="center" vertical="center"/>
    </xf>
    <xf numFmtId="168" fontId="19" fillId="0" borderId="10" xfId="0" applyNumberFormat="1" applyFont="1" applyBorder="1" applyAlignment="1">
      <alignment horizontal="center" vertical="center" wrapText="1"/>
    </xf>
    <xf numFmtId="166" fontId="19" fillId="0" borderId="13" xfId="0" applyNumberFormat="1" applyFont="1" applyBorder="1" applyAlignment="1">
      <alignment horizontal="center" vertical="center"/>
    </xf>
    <xf numFmtId="167" fontId="19" fillId="10" borderId="9" xfId="0" applyNumberFormat="1" applyFont="1" applyFill="1" applyBorder="1" applyAlignment="1">
      <alignment horizontal="center" vertical="center"/>
    </xf>
    <xf numFmtId="0" fontId="19" fillId="7" borderId="10" xfId="0" applyFont="1" applyFill="1" applyBorder="1" applyAlignment="1">
      <alignment horizontal="center" vertical="center" wrapText="1"/>
    </xf>
    <xf numFmtId="0" fontId="19" fillId="7" borderId="10" xfId="0" applyFont="1" applyFill="1" applyBorder="1" applyAlignment="1">
      <alignment horizontal="center" vertical="center"/>
    </xf>
    <xf numFmtId="166" fontId="19" fillId="10" borderId="13" xfId="0" applyNumberFormat="1" applyFont="1" applyFill="1" applyBorder="1" applyAlignment="1">
      <alignment horizontal="center" vertical="center"/>
    </xf>
    <xf numFmtId="0" fontId="21" fillId="7" borderId="11" xfId="0" applyFont="1" applyFill="1" applyBorder="1" applyAlignment="1">
      <alignment horizontal="center" vertical="center" wrapText="1"/>
    </xf>
    <xf numFmtId="167" fontId="19" fillId="10" borderId="9" xfId="0" applyNumberFormat="1" applyFont="1" applyFill="1" applyBorder="1" applyAlignment="1">
      <alignment vertical="center"/>
    </xf>
    <xf numFmtId="168" fontId="20" fillId="0" borderId="9" xfId="0" applyNumberFormat="1" applyFont="1" applyBorder="1" applyAlignment="1">
      <alignment horizontal="center" vertical="center"/>
    </xf>
    <xf numFmtId="0" fontId="19" fillId="0" borderId="2" xfId="0" applyFont="1" applyBorder="1" applyAlignment="1">
      <alignment horizontal="center" vertical="center"/>
    </xf>
    <xf numFmtId="0" fontId="19" fillId="7" borderId="2" xfId="0" applyFont="1" applyFill="1" applyBorder="1" applyAlignment="1">
      <alignment horizontal="center" vertical="center"/>
    </xf>
    <xf numFmtId="167" fontId="19" fillId="10" borderId="2" xfId="0" applyNumberFormat="1" applyFont="1" applyFill="1" applyBorder="1" applyAlignment="1">
      <alignment vertical="center"/>
    </xf>
    <xf numFmtId="0" fontId="21" fillId="7" borderId="10" xfId="0" applyFont="1" applyFill="1" applyBorder="1" applyAlignment="1">
      <alignment horizontal="center" vertical="center" wrapText="1"/>
    </xf>
    <xf numFmtId="168" fontId="19" fillId="0" borderId="2" xfId="0" applyNumberFormat="1" applyFont="1" applyBorder="1" applyAlignment="1">
      <alignment horizontal="center" vertical="center" wrapText="1"/>
    </xf>
    <xf numFmtId="0" fontId="21" fillId="7" borderId="2" xfId="0" applyFont="1" applyFill="1" applyBorder="1" applyAlignment="1">
      <alignment horizontal="center" vertical="center" wrapText="1"/>
    </xf>
    <xf numFmtId="0" fontId="20" fillId="0" borderId="9" xfId="0" applyFont="1" applyBorder="1" applyAlignment="1">
      <alignment vertical="center"/>
    </xf>
    <xf numFmtId="0" fontId="20" fillId="0" borderId="14" xfId="0" applyFont="1" applyBorder="1" applyAlignment="1">
      <alignment vertical="center"/>
    </xf>
    <xf numFmtId="0" fontId="20" fillId="0" borderId="1" xfId="0" applyFont="1" applyBorder="1" applyAlignment="1">
      <alignment vertical="center"/>
    </xf>
    <xf numFmtId="0" fontId="26" fillId="0" borderId="9" xfId="5" applyBorder="1" applyAlignment="1">
      <alignment vertical="center"/>
    </xf>
    <xf numFmtId="0" fontId="26" fillId="0" borderId="14" xfId="5" applyBorder="1" applyAlignment="1">
      <alignment vertical="center"/>
    </xf>
    <xf numFmtId="0" fontId="26" fillId="0" borderId="9" xfId="6" applyBorder="1" applyAlignment="1">
      <alignment vertical="center"/>
    </xf>
    <xf numFmtId="0" fontId="26" fillId="0" borderId="14" xfId="6" applyBorder="1" applyAlignment="1">
      <alignment vertical="center"/>
    </xf>
    <xf numFmtId="0" fontId="26" fillId="0" borderId="14" xfId="6" applyBorder="1" applyAlignment="1">
      <alignment vertical="center" wrapText="1"/>
    </xf>
    <xf numFmtId="0" fontId="26" fillId="0" borderId="9" xfId="6" applyBorder="1" applyAlignment="1">
      <alignment vertical="center" wrapText="1"/>
    </xf>
    <xf numFmtId="0" fontId="27" fillId="7" borderId="0" xfId="0" applyFont="1" applyFill="1" applyAlignment="1">
      <alignment horizontal="center" vertical="center"/>
    </xf>
    <xf numFmtId="166" fontId="19" fillId="0" borderId="0" xfId="0" applyNumberFormat="1" applyFont="1" applyAlignment="1">
      <alignment horizontal="center" vertical="center"/>
    </xf>
    <xf numFmtId="167" fontId="13" fillId="10" borderId="9" xfId="0" applyNumberFormat="1" applyFont="1" applyFill="1" applyBorder="1" applyAlignment="1">
      <alignment horizontal="center" vertical="center" wrapText="1"/>
    </xf>
    <xf numFmtId="167" fontId="13" fillId="10" borderId="14" xfId="0" applyNumberFormat="1" applyFont="1" applyFill="1" applyBorder="1" applyAlignment="1">
      <alignment horizontal="center" vertical="center" wrapText="1"/>
    </xf>
    <xf numFmtId="167" fontId="13" fillId="10" borderId="1" xfId="0" applyNumberFormat="1" applyFont="1" applyFill="1" applyBorder="1" applyAlignment="1">
      <alignment horizontal="center" vertical="center" wrapText="1"/>
    </xf>
    <xf numFmtId="167" fontId="13" fillId="10" borderId="9" xfId="0" applyNumberFormat="1" applyFont="1" applyFill="1" applyBorder="1" applyAlignment="1">
      <alignment horizontal="center" vertical="center"/>
    </xf>
    <xf numFmtId="167" fontId="13" fillId="10" borderId="14" xfId="0" applyNumberFormat="1" applyFont="1" applyFill="1" applyBorder="1" applyAlignment="1">
      <alignment horizontal="center" vertical="center"/>
    </xf>
    <xf numFmtId="167" fontId="13" fillId="10" borderId="1" xfId="0" applyNumberFormat="1" applyFont="1" applyFill="1" applyBorder="1" applyAlignment="1">
      <alignment horizontal="center" vertical="center"/>
    </xf>
    <xf numFmtId="164" fontId="13" fillId="10" borderId="9" xfId="1" applyNumberFormat="1" applyFont="1" applyFill="1" applyBorder="1" applyAlignment="1">
      <alignment horizontal="center" vertical="center"/>
    </xf>
    <xf numFmtId="164" fontId="13" fillId="10" borderId="14" xfId="1" applyNumberFormat="1" applyFont="1" applyFill="1" applyBorder="1" applyAlignment="1">
      <alignment horizontal="center" vertical="center"/>
    </xf>
    <xf numFmtId="164" fontId="13" fillId="10" borderId="1" xfId="1" applyNumberFormat="1" applyFont="1" applyFill="1" applyBorder="1" applyAlignment="1">
      <alignment horizontal="center" vertical="center"/>
    </xf>
    <xf numFmtId="0" fontId="20" fillId="10" borderId="9"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5" fillId="0" borderId="0" xfId="0" applyFont="1" applyAlignment="1">
      <alignment horizontal="center" vertical="center" wrapText="1"/>
    </xf>
    <xf numFmtId="0" fontId="24" fillId="0" borderId="14" xfId="0" applyFont="1" applyBorder="1" applyAlignment="1">
      <alignment horizontal="center" vertical="center" wrapText="1"/>
    </xf>
    <xf numFmtId="0" fontId="24" fillId="0" borderId="1" xfId="0" applyFont="1" applyBorder="1" applyAlignment="1">
      <alignment horizontal="center" vertical="center" wrapText="1"/>
    </xf>
    <xf numFmtId="0" fontId="13" fillId="8" borderId="9"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 xfId="0" applyFont="1" applyFill="1" applyBorder="1" applyAlignment="1">
      <alignment horizontal="center" vertical="center"/>
    </xf>
    <xf numFmtId="0" fontId="20" fillId="0" borderId="9" xfId="0" applyFont="1" applyBorder="1" applyAlignment="1">
      <alignment horizontal="center" vertical="center"/>
    </xf>
    <xf numFmtId="0" fontId="20" fillId="0" borderId="14" xfId="0" applyFont="1" applyBorder="1" applyAlignment="1">
      <alignment horizontal="center" vertical="center"/>
    </xf>
    <xf numFmtId="0" fontId="20" fillId="0" borderId="1" xfId="0" applyFont="1" applyBorder="1" applyAlignment="1">
      <alignment horizontal="center" vertical="center"/>
    </xf>
    <xf numFmtId="0" fontId="20" fillId="0" borderId="9"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 xfId="0" applyFont="1" applyBorder="1" applyAlignment="1">
      <alignment horizontal="center" vertical="center" wrapText="1"/>
    </xf>
    <xf numFmtId="0" fontId="19" fillId="12" borderId="9" xfId="0" applyFont="1" applyFill="1" applyBorder="1" applyAlignment="1">
      <alignment horizontal="center" vertical="center"/>
    </xf>
    <xf numFmtId="0" fontId="19" fillId="12" borderId="14" xfId="0" applyFont="1" applyFill="1" applyBorder="1" applyAlignment="1">
      <alignment horizontal="center" vertical="center"/>
    </xf>
    <xf numFmtId="0" fontId="19" fillId="12" borderId="1" xfId="0" applyFont="1" applyFill="1" applyBorder="1" applyAlignment="1">
      <alignment horizontal="center" vertical="center"/>
    </xf>
    <xf numFmtId="167" fontId="13" fillId="10" borderId="6" xfId="0" applyNumberFormat="1" applyFont="1" applyFill="1" applyBorder="1" applyAlignment="1">
      <alignment horizontal="center" vertical="center"/>
    </xf>
    <xf numFmtId="0" fontId="24" fillId="0" borderId="9"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9" xfId="0" applyFont="1" applyBorder="1" applyAlignment="1">
      <alignment horizontal="center" vertical="center" wrapText="1"/>
    </xf>
    <xf numFmtId="0" fontId="20" fillId="0" borderId="9" xfId="0" applyFont="1" applyBorder="1" applyAlignment="1">
      <alignment horizontal="center" vertical="top" wrapText="1"/>
    </xf>
    <xf numFmtId="0" fontId="20" fillId="0" borderId="14" xfId="0" applyFont="1" applyBorder="1" applyAlignment="1">
      <alignment horizontal="center" vertical="top" wrapText="1"/>
    </xf>
    <xf numFmtId="0" fontId="20" fillId="0" borderId="1" xfId="0" applyFont="1" applyBorder="1" applyAlignment="1">
      <alignment horizontal="center" vertical="top" wrapText="1"/>
    </xf>
    <xf numFmtId="0" fontId="19" fillId="0" borderId="10"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2" xfId="0" applyFont="1" applyBorder="1" applyAlignment="1">
      <alignment horizontal="center" vertical="center" wrapText="1"/>
    </xf>
    <xf numFmtId="0" fontId="19" fillId="12" borderId="10" xfId="0" applyFont="1" applyFill="1" applyBorder="1" applyAlignment="1">
      <alignment horizontal="center" vertical="center"/>
    </xf>
    <xf numFmtId="0" fontId="19" fillId="12" borderId="15" xfId="0" applyFont="1" applyFill="1" applyBorder="1" applyAlignment="1">
      <alignment horizontal="center" vertical="center"/>
    </xf>
    <xf numFmtId="0" fontId="19" fillId="12" borderId="12" xfId="0" applyFont="1" applyFill="1" applyBorder="1" applyAlignment="1">
      <alignment horizontal="center" vertical="center"/>
    </xf>
    <xf numFmtId="0" fontId="12" fillId="4" borderId="16" xfId="0" applyFont="1" applyFill="1" applyBorder="1" applyAlignment="1">
      <alignment horizontal="center" vertical="center"/>
    </xf>
    <xf numFmtId="0" fontId="12" fillId="4" borderId="30" xfId="0" applyFont="1" applyFill="1" applyBorder="1" applyAlignment="1">
      <alignment horizontal="center" vertical="center"/>
    </xf>
    <xf numFmtId="0" fontId="12" fillId="4" borderId="35" xfId="0" applyFont="1" applyFill="1" applyBorder="1" applyAlignment="1">
      <alignment horizontal="center" vertical="center"/>
    </xf>
    <xf numFmtId="0" fontId="12" fillId="4" borderId="32" xfId="0" applyFont="1" applyFill="1" applyBorder="1" applyAlignment="1">
      <alignment horizontal="center" vertical="center"/>
    </xf>
    <xf numFmtId="0" fontId="12" fillId="4" borderId="33" xfId="0" applyFont="1" applyFill="1" applyBorder="1" applyAlignment="1">
      <alignment horizontal="center" vertical="center"/>
    </xf>
    <xf numFmtId="0" fontId="12" fillId="4" borderId="36"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30" xfId="0" applyFont="1" applyFill="1" applyBorder="1" applyAlignment="1">
      <alignment horizontal="center" vertical="center"/>
    </xf>
    <xf numFmtId="0" fontId="13" fillId="5" borderId="31" xfId="0" applyFont="1" applyFill="1" applyBorder="1" applyAlignment="1">
      <alignment horizontal="center" vertical="center"/>
    </xf>
    <xf numFmtId="0" fontId="13" fillId="5" borderId="32" xfId="0" applyFont="1" applyFill="1" applyBorder="1" applyAlignment="1">
      <alignment horizontal="center" vertical="center"/>
    </xf>
    <xf numFmtId="0" fontId="13" fillId="5" borderId="33" xfId="0" applyFont="1" applyFill="1" applyBorder="1" applyAlignment="1">
      <alignment horizontal="center" vertical="center"/>
    </xf>
    <xf numFmtId="0" fontId="13" fillId="5" borderId="34" xfId="0" applyFont="1" applyFill="1" applyBorder="1" applyAlignment="1">
      <alignment horizontal="center" vertical="center"/>
    </xf>
    <xf numFmtId="0" fontId="14" fillId="6" borderId="3" xfId="0" applyFont="1" applyFill="1" applyBorder="1" applyAlignment="1">
      <alignment horizontal="center" vertical="center" wrapText="1"/>
    </xf>
    <xf numFmtId="0" fontId="14" fillId="6" borderId="22"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2" xfId="0" applyFont="1" applyFill="1" applyBorder="1" applyAlignment="1">
      <alignment horizontal="center" vertical="center" wrapText="1"/>
    </xf>
    <xf numFmtId="0" fontId="17" fillId="11" borderId="9"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8" fillId="13" borderId="9" xfId="0" applyFont="1" applyFill="1" applyBorder="1" applyAlignment="1">
      <alignment horizontal="center" vertical="center" wrapText="1"/>
    </xf>
    <xf numFmtId="0" fontId="18" fillId="13" borderId="1" xfId="0" applyFont="1" applyFill="1" applyBorder="1" applyAlignment="1">
      <alignment horizontal="center" vertical="center" wrapText="1"/>
    </xf>
    <xf numFmtId="165" fontId="13" fillId="6" borderId="9" xfId="0" applyNumberFormat="1" applyFont="1" applyFill="1" applyBorder="1" applyAlignment="1">
      <alignment horizontal="center" vertical="center" wrapText="1"/>
    </xf>
    <xf numFmtId="165" fontId="13" fillId="6" borderId="1" xfId="0" applyNumberFormat="1" applyFont="1" applyFill="1" applyBorder="1" applyAlignment="1">
      <alignment horizontal="center" vertical="center" wrapText="1"/>
    </xf>
    <xf numFmtId="167" fontId="13" fillId="9" borderId="9" xfId="0" applyNumberFormat="1" applyFont="1" applyFill="1" applyBorder="1" applyAlignment="1">
      <alignment horizontal="center" vertical="center" wrapText="1"/>
    </xf>
    <xf numFmtId="167" fontId="13" fillId="9" borderId="1" xfId="0" applyNumberFormat="1" applyFont="1" applyFill="1" applyBorder="1" applyAlignment="1">
      <alignment horizontal="center" vertical="center" wrapText="1"/>
    </xf>
    <xf numFmtId="165" fontId="13" fillId="9" borderId="9" xfId="0" applyNumberFormat="1" applyFont="1" applyFill="1" applyBorder="1" applyAlignment="1">
      <alignment horizontal="center" vertical="center" wrapText="1"/>
    </xf>
    <xf numFmtId="165" fontId="13" fillId="9" borderId="1" xfId="0" applyNumberFormat="1"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6" fillId="12" borderId="26" xfId="0" applyFont="1" applyFill="1" applyBorder="1" applyAlignment="1">
      <alignment horizontal="center" vertical="center" wrapText="1"/>
    </xf>
    <xf numFmtId="0" fontId="16" fillId="12" borderId="27" xfId="0" applyFont="1" applyFill="1" applyBorder="1" applyAlignment="1">
      <alignment horizontal="center" vertical="center" wrapText="1"/>
    </xf>
    <xf numFmtId="0" fontId="14" fillId="9" borderId="24" xfId="0" applyFont="1" applyFill="1" applyBorder="1" applyAlignment="1">
      <alignment horizontal="center" vertical="center" wrapText="1"/>
    </xf>
    <xf numFmtId="0" fontId="14" fillId="9" borderId="25"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2" xfId="0" applyFont="1" applyFill="1" applyBorder="1" applyAlignment="1">
      <alignment horizontal="center" vertical="center" wrapText="1"/>
    </xf>
    <xf numFmtId="165" fontId="14" fillId="3" borderId="18" xfId="0" applyNumberFormat="1" applyFont="1" applyFill="1" applyBorder="1" applyAlignment="1">
      <alignment horizontal="center" vertical="center" wrapText="1"/>
    </xf>
    <xf numFmtId="165" fontId="14" fillId="3" borderId="23" xfId="0" applyNumberFormat="1" applyFont="1" applyFill="1" applyBorder="1" applyAlignment="1">
      <alignment horizontal="center" vertical="center" wrapText="1"/>
    </xf>
    <xf numFmtId="0" fontId="13" fillId="8" borderId="10" xfId="0" applyFont="1" applyFill="1" applyBorder="1" applyAlignment="1">
      <alignment horizontal="center" vertical="center"/>
    </xf>
    <xf numFmtId="0" fontId="13" fillId="8" borderId="15" xfId="0" applyFont="1" applyFill="1" applyBorder="1" applyAlignment="1">
      <alignment horizontal="center" vertical="center"/>
    </xf>
    <xf numFmtId="0" fontId="13" fillId="8" borderId="12" xfId="0" applyFont="1" applyFill="1" applyBorder="1" applyAlignment="1">
      <alignment horizontal="center" vertical="center"/>
    </xf>
    <xf numFmtId="0" fontId="19" fillId="0" borderId="10" xfId="0" applyFont="1" applyBorder="1" applyAlignment="1">
      <alignment horizontal="center" vertical="center"/>
    </xf>
    <xf numFmtId="0" fontId="19" fillId="0" borderId="15" xfId="0" applyFont="1" applyBorder="1" applyAlignment="1">
      <alignment horizontal="center" vertical="center"/>
    </xf>
    <xf numFmtId="0" fontId="19" fillId="0" borderId="12" xfId="0" applyFont="1" applyBorder="1" applyAlignment="1">
      <alignment horizontal="center" vertical="center"/>
    </xf>
    <xf numFmtId="0" fontId="24" fillId="0" borderId="10"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2" xfId="0" applyFont="1" applyBorder="1" applyAlignment="1">
      <alignment horizontal="center" vertical="center" wrapText="1"/>
    </xf>
    <xf numFmtId="167" fontId="13" fillId="10" borderId="3" xfId="0" applyNumberFormat="1" applyFont="1" applyFill="1" applyBorder="1" applyAlignment="1">
      <alignment horizontal="center" vertical="center"/>
    </xf>
    <xf numFmtId="167" fontId="13" fillId="10" borderId="21" xfId="0" applyNumberFormat="1" applyFont="1" applyFill="1" applyBorder="1" applyAlignment="1">
      <alignment horizontal="center" vertical="center"/>
    </xf>
    <xf numFmtId="167" fontId="13" fillId="10" borderId="7" xfId="0" applyNumberFormat="1" applyFont="1" applyFill="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horizontal="center" vertical="center"/>
    </xf>
    <xf numFmtId="0" fontId="24" fillId="0" borderId="40" xfId="0" applyFont="1" applyBorder="1" applyAlignment="1">
      <alignment horizontal="center" vertical="center" wrapText="1"/>
    </xf>
    <xf numFmtId="0" fontId="20" fillId="0" borderId="40" xfId="0" applyFont="1" applyBorder="1" applyAlignment="1">
      <alignment horizontal="center" vertical="center" wrapText="1"/>
    </xf>
    <xf numFmtId="0" fontId="19" fillId="12" borderId="37" xfId="0" applyFont="1" applyFill="1" applyBorder="1" applyAlignment="1">
      <alignment horizontal="center" vertical="center"/>
    </xf>
    <xf numFmtId="0" fontId="19" fillId="12" borderId="38" xfId="0" applyFont="1" applyFill="1" applyBorder="1" applyAlignment="1">
      <alignment horizontal="center" vertical="center"/>
    </xf>
    <xf numFmtId="0" fontId="19" fillId="12" borderId="39" xfId="0" applyFont="1" applyFill="1" applyBorder="1" applyAlignment="1">
      <alignment horizontal="center" vertical="center"/>
    </xf>
    <xf numFmtId="167" fontId="20" fillId="10" borderId="9" xfId="0" applyNumberFormat="1" applyFont="1" applyFill="1" applyBorder="1" applyAlignment="1">
      <alignment horizontal="center" vertical="center" wrapText="1"/>
    </xf>
    <xf numFmtId="167" fontId="20" fillId="10" borderId="14" xfId="0" applyNumberFormat="1" applyFont="1" applyFill="1" applyBorder="1" applyAlignment="1">
      <alignment horizontal="center" vertical="center" wrapText="1"/>
    </xf>
    <xf numFmtId="167" fontId="20" fillId="10" borderId="1" xfId="0" applyNumberFormat="1" applyFont="1" applyFill="1" applyBorder="1" applyAlignment="1">
      <alignment horizontal="center" vertical="center" wrapText="1"/>
    </xf>
    <xf numFmtId="0" fontId="20" fillId="0" borderId="41" xfId="0" applyFont="1" applyBorder="1" applyAlignment="1">
      <alignment horizontal="center" vertical="center"/>
    </xf>
    <xf numFmtId="0" fontId="20" fillId="0" borderId="23" xfId="0" applyFont="1" applyBorder="1" applyAlignment="1">
      <alignment horizontal="center" vertical="center"/>
    </xf>
    <xf numFmtId="0" fontId="24" fillId="0" borderId="42" xfId="0" applyFont="1" applyBorder="1" applyAlignment="1">
      <alignment horizontal="center" vertical="center" wrapText="1"/>
    </xf>
    <xf numFmtId="0" fontId="19" fillId="0" borderId="44" xfId="0" applyFont="1" applyBorder="1" applyAlignment="1">
      <alignment horizontal="center" vertical="center"/>
    </xf>
    <xf numFmtId="0" fontId="24" fillId="0" borderId="44"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44" xfId="0" applyFont="1" applyBorder="1" applyAlignment="1">
      <alignment horizontal="center" vertical="center" wrapText="1"/>
    </xf>
    <xf numFmtId="0" fontId="13" fillId="8" borderId="44" xfId="0" applyFont="1" applyFill="1" applyBorder="1" applyAlignment="1">
      <alignment horizontal="center" vertical="center"/>
    </xf>
    <xf numFmtId="0" fontId="19" fillId="12" borderId="45" xfId="0" applyFont="1" applyFill="1" applyBorder="1" applyAlignment="1">
      <alignment horizontal="center" vertical="center"/>
    </xf>
    <xf numFmtId="0" fontId="19" fillId="12" borderId="44" xfId="0" applyFont="1" applyFill="1" applyBorder="1" applyAlignment="1">
      <alignment horizontal="center" vertical="center"/>
    </xf>
    <xf numFmtId="0" fontId="13" fillId="14" borderId="9" xfId="0" applyFont="1" applyFill="1" applyBorder="1" applyAlignment="1">
      <alignment horizontal="center" vertical="center"/>
    </xf>
    <xf numFmtId="0" fontId="13" fillId="14" borderId="14" xfId="0" applyFont="1" applyFill="1" applyBorder="1" applyAlignment="1">
      <alignment horizontal="center" vertical="center"/>
    </xf>
    <xf numFmtId="0" fontId="13" fillId="14" borderId="1" xfId="0" applyFont="1" applyFill="1" applyBorder="1" applyAlignment="1">
      <alignment horizontal="center" vertical="center"/>
    </xf>
    <xf numFmtId="0" fontId="20" fillId="0" borderId="9" xfId="0" applyFont="1" applyBorder="1" applyAlignment="1">
      <alignment horizontal="left" vertical="top" wrapText="1"/>
    </xf>
    <xf numFmtId="0" fontId="20" fillId="0" borderId="14" xfId="0" applyFont="1" applyBorder="1" applyAlignment="1">
      <alignment horizontal="left" vertical="top" wrapText="1"/>
    </xf>
    <xf numFmtId="0" fontId="20" fillId="0" borderId="1" xfId="0" applyFont="1" applyBorder="1" applyAlignment="1">
      <alignment horizontal="left" vertical="top" wrapText="1"/>
    </xf>
    <xf numFmtId="0" fontId="20" fillId="0" borderId="9" xfId="0" applyFont="1" applyBorder="1" applyAlignment="1">
      <alignment vertical="center" wrapText="1"/>
    </xf>
    <xf numFmtId="0" fontId="20" fillId="0" borderId="14" xfId="0" applyFont="1" applyBorder="1" applyAlignment="1">
      <alignment vertical="center"/>
    </xf>
    <xf numFmtId="0" fontId="20" fillId="0" borderId="1" xfId="0" applyFont="1" applyBorder="1" applyAlignment="1">
      <alignment vertical="center"/>
    </xf>
    <xf numFmtId="0" fontId="0" fillId="3" borderId="0" xfId="0" applyFill="1" applyAlignment="1">
      <alignment vertical="center"/>
    </xf>
  </cellXfs>
  <cellStyles count="7">
    <cellStyle name="Hipervínculo" xfId="6" builtinId="8"/>
    <cellStyle name="Hyperlink" xfId="5" xr:uid="{00000000-000B-0000-0000-000008000000}"/>
    <cellStyle name="Millares 2" xfId="3" xr:uid="{00000000-0005-0000-0000-000000000000}"/>
    <cellStyle name="Normal" xfId="0" builtinId="0"/>
    <cellStyle name="Normal 2" xfId="4" xr:uid="{00000000-0005-0000-0000-000003000000}"/>
    <cellStyle name="Normal 6" xfId="2" xr:uid="{00000000-0005-0000-0000-000004000000}"/>
    <cellStyle name="Porcentaje" xfId="1" builtinId="5"/>
  </cellStyles>
  <dxfs count="133">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colors>
    <mruColors>
      <color rgb="FFA0BADC"/>
      <color rgb="FFC2D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C14" totalsRowShown="0" headerRowBorderDxfId="4" tableBorderDxfId="5" totalsRowBorderDxfId="3">
  <autoFilter ref="A1:C14" xr:uid="{00000000-0009-0000-0100-000001000000}"/>
  <sortState xmlns:xlrd2="http://schemas.microsoft.com/office/spreadsheetml/2017/richdata2" ref="A2:C14">
    <sortCondition ref="C1:C14"/>
  </sortState>
  <tableColumns count="3">
    <tableColumn id="1" xr3:uid="{00000000-0010-0000-0000-000001000000}" name="Nombre  de la Unidades" dataDxfId="2"/>
    <tableColumn id="2" xr3:uid="{00000000-0010-0000-0000-000002000000}" name="Simbololo   Unidad" dataDxfId="1" dataCellStyle="Normal 2"/>
    <tableColumn id="3" xr3:uid="{00000000-0010-0000-0000-000003000000}" name="Prsent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2"/>
  <sheetViews>
    <sheetView tabSelected="1" zoomScale="110" zoomScaleNormal="110" zoomScaleSheetLayoutView="145" workbookViewId="0">
      <pane xSplit="3" ySplit="4" topLeftCell="P204" activePane="bottomRight" state="frozen"/>
      <selection pane="bottomRight" activeCell="U5" sqref="U5:U9"/>
      <selection pane="bottomLeft" activeCell="H1" sqref="H1"/>
      <selection pane="topRight" activeCell="H1" sqref="H1"/>
    </sheetView>
  </sheetViews>
  <sheetFormatPr defaultColWidth="11.42578125" defaultRowHeight="15" outlineLevelCol="1"/>
  <cols>
    <col min="1" max="1" width="7.85546875" style="14" customWidth="1"/>
    <col min="2" max="2" width="9" style="14" bestFit="1" customWidth="1"/>
    <col min="3" max="3" width="15.7109375" style="14" customWidth="1"/>
    <col min="4" max="4" width="36.140625" style="14" customWidth="1"/>
    <col min="5" max="5" width="13.42578125" style="14" customWidth="1"/>
    <col min="6" max="6" width="14.7109375" style="14" customWidth="1"/>
    <col min="7" max="7" width="13" style="14" customWidth="1"/>
    <col min="8" max="8" width="20.5703125" style="14" customWidth="1" outlineLevel="1"/>
    <col min="9" max="9" width="11.42578125" style="1" customWidth="1" outlineLevel="1"/>
    <col min="10" max="10" width="11.42578125" style="14" customWidth="1" outlineLevel="1"/>
    <col min="11" max="11" width="15.7109375" style="1" customWidth="1" outlineLevel="1"/>
    <col min="12" max="12" width="15.85546875" style="15" customWidth="1"/>
    <col min="13" max="15" width="15.85546875" style="16" customWidth="1"/>
    <col min="16" max="16" width="17.85546875" style="15" customWidth="1"/>
    <col min="17" max="17" width="22.140625" style="16" customWidth="1"/>
    <col min="18" max="18" width="17.85546875" style="15" customWidth="1"/>
    <col min="19" max="19" width="17" style="14" customWidth="1"/>
    <col min="20" max="21" width="16.85546875" style="14" customWidth="1"/>
    <col min="22" max="22" width="89.5703125" style="14" customWidth="1"/>
    <col min="23" max="16384" width="11.42578125" style="14"/>
  </cols>
  <sheetData>
    <row r="1" spans="1:22" ht="15" customHeight="1">
      <c r="A1" s="88" t="s">
        <v>0</v>
      </c>
      <c r="B1" s="89"/>
      <c r="C1" s="89"/>
      <c r="D1" s="89"/>
      <c r="E1" s="89"/>
      <c r="F1" s="89"/>
      <c r="G1" s="90"/>
      <c r="H1" s="94" t="s">
        <v>1</v>
      </c>
      <c r="I1" s="95"/>
      <c r="J1" s="95"/>
      <c r="K1" s="95"/>
      <c r="L1" s="96"/>
      <c r="M1" s="100" t="s">
        <v>2</v>
      </c>
      <c r="N1" s="101"/>
      <c r="O1" s="101"/>
      <c r="P1" s="101"/>
      <c r="Q1" s="101"/>
      <c r="R1" s="101"/>
      <c r="S1" s="101"/>
      <c r="T1" s="101"/>
      <c r="U1" s="101"/>
      <c r="V1" s="102"/>
    </row>
    <row r="2" spans="1:22">
      <c r="A2" s="91"/>
      <c r="B2" s="92"/>
      <c r="C2" s="92"/>
      <c r="D2" s="92"/>
      <c r="E2" s="92"/>
      <c r="F2" s="92"/>
      <c r="G2" s="93"/>
      <c r="H2" s="97"/>
      <c r="I2" s="98"/>
      <c r="J2" s="98"/>
      <c r="K2" s="98"/>
      <c r="L2" s="99"/>
      <c r="M2" s="103"/>
      <c r="N2" s="104"/>
      <c r="O2" s="104"/>
      <c r="P2" s="104"/>
      <c r="Q2" s="104"/>
      <c r="R2" s="104"/>
      <c r="S2" s="104"/>
      <c r="T2" s="104"/>
      <c r="U2" s="104"/>
      <c r="V2" s="105"/>
    </row>
    <row r="3" spans="1:22" ht="15" customHeight="1">
      <c r="A3" s="106" t="s">
        <v>3</v>
      </c>
      <c r="B3" s="106" t="s">
        <v>4</v>
      </c>
      <c r="C3" s="106" t="s">
        <v>5</v>
      </c>
      <c r="D3" s="106" t="s">
        <v>6</v>
      </c>
      <c r="E3" s="108" t="s">
        <v>7</v>
      </c>
      <c r="F3" s="108" t="s">
        <v>8</v>
      </c>
      <c r="G3" s="106" t="s">
        <v>9</v>
      </c>
      <c r="H3" s="122" t="s">
        <v>10</v>
      </c>
      <c r="I3" s="124" t="s">
        <v>11</v>
      </c>
      <c r="J3" s="126" t="s">
        <v>12</v>
      </c>
      <c r="K3" s="128" t="s">
        <v>13</v>
      </c>
      <c r="L3" s="130" t="s">
        <v>14</v>
      </c>
      <c r="M3" s="116" t="s">
        <v>15</v>
      </c>
      <c r="N3" s="116" t="s">
        <v>16</v>
      </c>
      <c r="O3" s="116" t="s">
        <v>17</v>
      </c>
      <c r="P3" s="114" t="s">
        <v>18</v>
      </c>
      <c r="Q3" s="116" t="s">
        <v>19</v>
      </c>
      <c r="R3" s="118" t="s">
        <v>20</v>
      </c>
      <c r="S3" s="120" t="s">
        <v>21</v>
      </c>
      <c r="T3" s="110" t="s">
        <v>22</v>
      </c>
      <c r="U3" s="112" t="s">
        <v>23</v>
      </c>
      <c r="V3" s="110" t="s">
        <v>24</v>
      </c>
    </row>
    <row r="4" spans="1:22" ht="36.75" customHeight="1">
      <c r="A4" s="107"/>
      <c r="B4" s="107"/>
      <c r="C4" s="107"/>
      <c r="D4" s="107"/>
      <c r="E4" s="109"/>
      <c r="F4" s="109"/>
      <c r="G4" s="107"/>
      <c r="H4" s="123"/>
      <c r="I4" s="125"/>
      <c r="J4" s="127"/>
      <c r="K4" s="129"/>
      <c r="L4" s="131"/>
      <c r="M4" s="117"/>
      <c r="N4" s="117"/>
      <c r="O4" s="117"/>
      <c r="P4" s="115"/>
      <c r="Q4" s="117"/>
      <c r="R4" s="119"/>
      <c r="S4" s="121"/>
      <c r="T4" s="111"/>
      <c r="U4" s="113"/>
      <c r="V4" s="111"/>
    </row>
    <row r="5" spans="1:22" ht="27.95" customHeight="1">
      <c r="A5" s="132">
        <v>1</v>
      </c>
      <c r="B5" s="135">
        <v>31211507</v>
      </c>
      <c r="C5" s="138" t="s">
        <v>25</v>
      </c>
      <c r="D5" s="82" t="s">
        <v>26</v>
      </c>
      <c r="E5" s="85" t="s">
        <v>27</v>
      </c>
      <c r="F5" s="85" t="s">
        <v>28</v>
      </c>
      <c r="G5" s="17">
        <v>30</v>
      </c>
      <c r="H5" s="23" t="s">
        <v>29</v>
      </c>
      <c r="I5" s="18">
        <v>17433.5</v>
      </c>
      <c r="J5" s="19">
        <v>19</v>
      </c>
      <c r="K5" s="20">
        <f>(I5*0.19)+I5</f>
        <v>20745.865000000002</v>
      </c>
      <c r="L5" s="21">
        <f>IF(I5=0,"",(K5)*$G5)</f>
        <v>622375.95000000007</v>
      </c>
      <c r="M5" s="49">
        <f>IF(L5="","",AVERAGE(L5:L9))</f>
        <v>730665.11700000009</v>
      </c>
      <c r="N5" s="49">
        <f>IFERROR(HARMEAN(L5:L9),"")</f>
        <v>714615.98119658127</v>
      </c>
      <c r="O5" s="141">
        <f>IFERROR(MEDIAN(L5:L9),"")</f>
        <v>730665.11700000009</v>
      </c>
      <c r="P5" s="22">
        <f>IF(L5="","",L5)</f>
        <v>622375.95000000007</v>
      </c>
      <c r="Q5" s="46">
        <v>0</v>
      </c>
      <c r="R5" s="49">
        <f>IFERROR(_xlfn.STDEV.S(P5:P9),"")</f>
        <v>153144.00862948425</v>
      </c>
      <c r="S5" s="52" t="str">
        <f>IFERROR(R5/Q5,"")</f>
        <v/>
      </c>
      <c r="T5" s="55"/>
      <c r="U5" s="49">
        <f>M5</f>
        <v>730665.11700000009</v>
      </c>
      <c r="V5" s="38"/>
    </row>
    <row r="6" spans="1:22" ht="39" customHeight="1">
      <c r="A6" s="133"/>
      <c r="B6" s="136"/>
      <c r="C6" s="139"/>
      <c r="D6" s="83"/>
      <c r="E6" s="86"/>
      <c r="F6" s="86"/>
      <c r="G6" s="17">
        <v>30</v>
      </c>
      <c r="H6" s="23" t="s">
        <v>30</v>
      </c>
      <c r="I6" s="18">
        <v>23500.12</v>
      </c>
      <c r="J6" s="24">
        <v>19</v>
      </c>
      <c r="K6" s="20">
        <f t="shared" ref="K6:K64" si="0">(I6*0.19)+I6</f>
        <v>27965.142799999998</v>
      </c>
      <c r="L6" s="21">
        <f t="shared" ref="L6:L69" si="1">IF(I6=0,"",(K6)*$G6)</f>
        <v>838954.28399999999</v>
      </c>
      <c r="M6" s="50"/>
      <c r="N6" s="50"/>
      <c r="O6" s="142"/>
      <c r="P6" s="22">
        <f>IF(L6="","",L6)</f>
        <v>838954.28399999999</v>
      </c>
      <c r="Q6" s="47"/>
      <c r="R6" s="50"/>
      <c r="S6" s="53"/>
      <c r="T6" s="56"/>
      <c r="U6" s="50"/>
      <c r="V6" s="39"/>
    </row>
    <row r="7" spans="1:22" ht="39" customHeight="1">
      <c r="A7" s="133"/>
      <c r="B7" s="136"/>
      <c r="C7" s="139"/>
      <c r="D7" s="83"/>
      <c r="E7" s="86"/>
      <c r="F7" s="86"/>
      <c r="G7" s="17">
        <v>30</v>
      </c>
      <c r="H7" s="23"/>
      <c r="I7" s="18">
        <v>0</v>
      </c>
      <c r="J7" s="24">
        <v>19</v>
      </c>
      <c r="K7" s="20">
        <f t="shared" si="0"/>
        <v>0</v>
      </c>
      <c r="L7" s="21" t="str">
        <f t="shared" si="1"/>
        <v/>
      </c>
      <c r="M7" s="50"/>
      <c r="N7" s="50"/>
      <c r="O7" s="142"/>
      <c r="P7" s="25" t="str">
        <f>IF(L7="","",L7)</f>
        <v/>
      </c>
      <c r="Q7" s="47"/>
      <c r="R7" s="50"/>
      <c r="S7" s="53"/>
      <c r="T7" s="56"/>
      <c r="U7" s="50"/>
      <c r="V7" s="36"/>
    </row>
    <row r="8" spans="1:22" ht="39" customHeight="1">
      <c r="A8" s="133"/>
      <c r="B8" s="136"/>
      <c r="C8" s="139"/>
      <c r="D8" s="83"/>
      <c r="E8" s="86"/>
      <c r="F8" s="86"/>
      <c r="G8" s="17">
        <v>30</v>
      </c>
      <c r="H8" s="23"/>
      <c r="I8" s="18">
        <v>0</v>
      </c>
      <c r="J8" s="24">
        <v>19</v>
      </c>
      <c r="K8" s="20">
        <f t="shared" si="0"/>
        <v>0</v>
      </c>
      <c r="L8" s="21" t="str">
        <f t="shared" si="1"/>
        <v/>
      </c>
      <c r="M8" s="50"/>
      <c r="N8" s="50"/>
      <c r="O8" s="142"/>
      <c r="P8" s="22" t="str">
        <f>IF(L8="","",L8)</f>
        <v/>
      </c>
      <c r="Q8" s="47"/>
      <c r="R8" s="50"/>
      <c r="S8" s="53"/>
      <c r="T8" s="56"/>
      <c r="U8" s="50"/>
      <c r="V8" s="36"/>
    </row>
    <row r="9" spans="1:22" ht="35.25" customHeight="1">
      <c r="A9" s="134"/>
      <c r="B9" s="137"/>
      <c r="C9" s="140"/>
      <c r="D9" s="84"/>
      <c r="E9" s="87"/>
      <c r="F9" s="87"/>
      <c r="G9" s="17">
        <v>30</v>
      </c>
      <c r="H9" s="26"/>
      <c r="I9" s="18">
        <v>0</v>
      </c>
      <c r="J9" s="24">
        <v>19</v>
      </c>
      <c r="K9" s="20">
        <f t="shared" si="0"/>
        <v>0</v>
      </c>
      <c r="L9" s="21" t="str">
        <f t="shared" si="1"/>
        <v/>
      </c>
      <c r="M9" s="51"/>
      <c r="N9" s="51"/>
      <c r="O9" s="143"/>
      <c r="P9" s="22" t="str">
        <f>IF(L9="","",L9)</f>
        <v/>
      </c>
      <c r="Q9" s="48"/>
      <c r="R9" s="51"/>
      <c r="S9" s="54"/>
      <c r="T9" s="57"/>
      <c r="U9" s="51"/>
      <c r="V9" s="37"/>
    </row>
    <row r="10" spans="1:22" ht="27.95" customHeight="1">
      <c r="A10" s="132">
        <f>A5+1</f>
        <v>2</v>
      </c>
      <c r="B10" s="135">
        <v>60121225</v>
      </c>
      <c r="C10" s="138" t="s">
        <v>31</v>
      </c>
      <c r="D10" s="82" t="s">
        <v>32</v>
      </c>
      <c r="E10" s="85" t="s">
        <v>33</v>
      </c>
      <c r="F10" s="85" t="s">
        <v>34</v>
      </c>
      <c r="G10" s="17">
        <v>30</v>
      </c>
      <c r="H10" s="23" t="s">
        <v>29</v>
      </c>
      <c r="I10" s="18">
        <v>12605.67</v>
      </c>
      <c r="J10" s="24">
        <v>19</v>
      </c>
      <c r="K10" s="20">
        <f t="shared" si="0"/>
        <v>15000.747299999999</v>
      </c>
      <c r="L10" s="21">
        <f t="shared" si="1"/>
        <v>450022.41899999999</v>
      </c>
      <c r="M10" s="49">
        <f t="shared" ref="M10" si="2">IF(L10="","",AVERAGE(L10:L14))</f>
        <v>480270.31499999994</v>
      </c>
      <c r="N10" s="49">
        <f>IFERROR(HARMEAN(L10:L14),"")</f>
        <v>478365.27281052631</v>
      </c>
      <c r="O10" s="141">
        <f>IFERROR(MEDIAN(L10:L14),"")</f>
        <v>480270.31499999994</v>
      </c>
      <c r="P10" s="22">
        <f t="shared" ref="P10:P68" si="3">IF(L10="","",L10)</f>
        <v>450022.41899999999</v>
      </c>
      <c r="Q10" s="46">
        <v>1</v>
      </c>
      <c r="R10" s="49">
        <f>IFERROR(_xlfn.STDEV.S(L10:L14),"")</f>
        <v>42776.984756450867</v>
      </c>
      <c r="S10" s="52">
        <f>IFERROR(R10/M10,"")</f>
        <v>8.9068558727080333E-2</v>
      </c>
      <c r="T10" s="55"/>
      <c r="U10" s="49">
        <f>M10</f>
        <v>480270.31499999994</v>
      </c>
      <c r="V10" s="38"/>
    </row>
    <row r="11" spans="1:22" ht="27.95" customHeight="1">
      <c r="A11" s="133"/>
      <c r="B11" s="136"/>
      <c r="C11" s="139"/>
      <c r="D11" s="83"/>
      <c r="E11" s="86"/>
      <c r="F11" s="86"/>
      <c r="G11" s="17">
        <v>30</v>
      </c>
      <c r="H11" s="26" t="s">
        <v>35</v>
      </c>
      <c r="I11" s="18">
        <v>14300.23</v>
      </c>
      <c r="J11" s="24">
        <v>19</v>
      </c>
      <c r="K11" s="20">
        <f t="shared" si="0"/>
        <v>17017.273699999998</v>
      </c>
      <c r="L11" s="21">
        <f t="shared" si="1"/>
        <v>510518.21099999995</v>
      </c>
      <c r="M11" s="50"/>
      <c r="N11" s="50"/>
      <c r="O11" s="142"/>
      <c r="P11" s="22">
        <f t="shared" si="3"/>
        <v>510518.21099999995</v>
      </c>
      <c r="Q11" s="47"/>
      <c r="R11" s="50"/>
      <c r="S11" s="53"/>
      <c r="T11" s="56"/>
      <c r="U11" s="50"/>
      <c r="V11" s="39"/>
    </row>
    <row r="12" spans="1:22" ht="27.95" customHeight="1">
      <c r="A12" s="133"/>
      <c r="B12" s="136"/>
      <c r="C12" s="139"/>
      <c r="D12" s="83"/>
      <c r="E12" s="86"/>
      <c r="F12" s="86"/>
      <c r="G12" s="17">
        <v>30</v>
      </c>
      <c r="H12" s="26"/>
      <c r="I12" s="18">
        <v>0</v>
      </c>
      <c r="J12" s="24">
        <v>19</v>
      </c>
      <c r="K12" s="20">
        <f t="shared" si="0"/>
        <v>0</v>
      </c>
      <c r="L12" s="21" t="str">
        <f t="shared" si="1"/>
        <v/>
      </c>
      <c r="M12" s="50"/>
      <c r="N12" s="50"/>
      <c r="O12" s="142"/>
      <c r="P12" s="25" t="str">
        <f>IF(L12="","",L12)</f>
        <v/>
      </c>
      <c r="Q12" s="47"/>
      <c r="R12" s="50"/>
      <c r="S12" s="53"/>
      <c r="T12" s="56"/>
      <c r="U12" s="50"/>
      <c r="V12" s="36"/>
    </row>
    <row r="13" spans="1:22" ht="27.95" customHeight="1">
      <c r="A13" s="133"/>
      <c r="B13" s="136"/>
      <c r="C13" s="139"/>
      <c r="D13" s="83"/>
      <c r="E13" s="86"/>
      <c r="F13" s="86"/>
      <c r="G13" s="17">
        <v>30</v>
      </c>
      <c r="H13" s="26"/>
      <c r="I13" s="18">
        <v>0</v>
      </c>
      <c r="J13" s="24">
        <v>19</v>
      </c>
      <c r="K13" s="20">
        <f t="shared" si="0"/>
        <v>0</v>
      </c>
      <c r="L13" s="21" t="str">
        <f t="shared" si="1"/>
        <v/>
      </c>
      <c r="M13" s="50"/>
      <c r="N13" s="50"/>
      <c r="O13" s="142"/>
      <c r="P13" s="25" t="str">
        <f>IF(L13="","",L13)</f>
        <v/>
      </c>
      <c r="Q13" s="47"/>
      <c r="R13" s="50"/>
      <c r="S13" s="53"/>
      <c r="T13" s="56"/>
      <c r="U13" s="50"/>
      <c r="V13" s="36"/>
    </row>
    <row r="14" spans="1:22" ht="27.95" customHeight="1">
      <c r="A14" s="134"/>
      <c r="B14" s="137"/>
      <c r="C14" s="140"/>
      <c r="D14" s="84"/>
      <c r="E14" s="87"/>
      <c r="F14" s="87"/>
      <c r="G14" s="17">
        <v>30</v>
      </c>
      <c r="H14" s="26"/>
      <c r="I14" s="18">
        <v>0</v>
      </c>
      <c r="J14" s="24">
        <v>19</v>
      </c>
      <c r="K14" s="20">
        <f t="shared" si="0"/>
        <v>0</v>
      </c>
      <c r="L14" s="21" t="str">
        <f t="shared" si="1"/>
        <v/>
      </c>
      <c r="M14" s="51"/>
      <c r="N14" s="51"/>
      <c r="O14" s="143"/>
      <c r="P14" s="22" t="str">
        <f t="shared" si="3"/>
        <v/>
      </c>
      <c r="Q14" s="48"/>
      <c r="R14" s="51"/>
      <c r="S14" s="54"/>
      <c r="T14" s="57"/>
      <c r="U14" s="51"/>
      <c r="V14" s="37"/>
    </row>
    <row r="15" spans="1:22" ht="27.95" customHeight="1">
      <c r="A15" s="132">
        <f t="shared" ref="A15" si="4">A10+1</f>
        <v>3</v>
      </c>
      <c r="B15" s="144">
        <v>60121225</v>
      </c>
      <c r="C15" s="147" t="s">
        <v>36</v>
      </c>
      <c r="D15" s="148" t="s">
        <v>37</v>
      </c>
      <c r="E15" s="149" t="s">
        <v>38</v>
      </c>
      <c r="F15" s="85" t="s">
        <v>33</v>
      </c>
      <c r="G15" s="17">
        <v>30</v>
      </c>
      <c r="H15" s="26" t="s">
        <v>39</v>
      </c>
      <c r="I15" s="18">
        <v>29900</v>
      </c>
      <c r="J15" s="24">
        <v>19</v>
      </c>
      <c r="K15" s="20">
        <f t="shared" si="0"/>
        <v>35581</v>
      </c>
      <c r="L15" s="21">
        <f t="shared" si="1"/>
        <v>1067430</v>
      </c>
      <c r="M15" s="49">
        <f t="shared" ref="M15" si="5">IF(L15="","",AVERAGE(L15:L19))</f>
        <v>1125531.75</v>
      </c>
      <c r="N15" s="49">
        <f>IFERROR(HARMEAN(L15:L19),"")</f>
        <v>1122532.4446911428</v>
      </c>
      <c r="O15" s="49">
        <f>IFERROR(MEDIAN(L15:L19),"")</f>
        <v>1125531.75</v>
      </c>
      <c r="P15" s="27">
        <f t="shared" si="3"/>
        <v>1067430</v>
      </c>
      <c r="Q15" s="46">
        <v>2</v>
      </c>
      <c r="R15" s="49">
        <f>IFERROR(_xlfn.STDEV.S(L15:L19),"")</f>
        <v>82168.282847610972</v>
      </c>
      <c r="S15" s="52">
        <f>IFERROR(R15/M15,"")</f>
        <v>7.3003967100538011E-2</v>
      </c>
      <c r="T15" s="152"/>
      <c r="U15" s="49">
        <f>M15</f>
        <v>1125531.75</v>
      </c>
      <c r="V15" s="38"/>
    </row>
    <row r="16" spans="1:22" ht="27.95" customHeight="1">
      <c r="A16" s="133"/>
      <c r="B16" s="145"/>
      <c r="C16" s="59"/>
      <c r="D16" s="68"/>
      <c r="E16" s="150"/>
      <c r="F16" s="86"/>
      <c r="G16" s="17">
        <v>30</v>
      </c>
      <c r="H16" s="26" t="s">
        <v>40</v>
      </c>
      <c r="I16" s="18">
        <v>33155</v>
      </c>
      <c r="J16" s="24">
        <v>19</v>
      </c>
      <c r="K16" s="20">
        <f t="shared" si="0"/>
        <v>39454.449999999997</v>
      </c>
      <c r="L16" s="21">
        <f t="shared" si="1"/>
        <v>1183633.5</v>
      </c>
      <c r="M16" s="50"/>
      <c r="N16" s="50"/>
      <c r="O16" s="50"/>
      <c r="P16" s="27">
        <f t="shared" si="3"/>
        <v>1183633.5</v>
      </c>
      <c r="Q16" s="47"/>
      <c r="R16" s="50"/>
      <c r="S16" s="53"/>
      <c r="T16" s="153"/>
      <c r="U16" s="50"/>
      <c r="V16" s="39"/>
    </row>
    <row r="17" spans="1:22" ht="27.95" customHeight="1">
      <c r="A17" s="133"/>
      <c r="B17" s="145"/>
      <c r="C17" s="59"/>
      <c r="D17" s="68"/>
      <c r="E17" s="150"/>
      <c r="F17" s="86"/>
      <c r="G17" s="17">
        <v>30</v>
      </c>
      <c r="H17" s="26"/>
      <c r="I17" s="18">
        <v>0</v>
      </c>
      <c r="J17" s="24">
        <v>19</v>
      </c>
      <c r="K17" s="20">
        <f t="shared" si="0"/>
        <v>0</v>
      </c>
      <c r="L17" s="21" t="str">
        <f t="shared" si="1"/>
        <v/>
      </c>
      <c r="M17" s="50"/>
      <c r="N17" s="50"/>
      <c r="O17" s="50"/>
      <c r="P17" s="27" t="str">
        <f t="shared" si="3"/>
        <v/>
      </c>
      <c r="Q17" s="47"/>
      <c r="R17" s="50"/>
      <c r="S17" s="53"/>
      <c r="T17" s="153"/>
      <c r="U17" s="50"/>
      <c r="V17" s="36"/>
    </row>
    <row r="18" spans="1:22" ht="27.95" customHeight="1">
      <c r="A18" s="133"/>
      <c r="B18" s="145"/>
      <c r="C18" s="59"/>
      <c r="D18" s="68"/>
      <c r="E18" s="150"/>
      <c r="F18" s="86"/>
      <c r="G18" s="17">
        <v>30</v>
      </c>
      <c r="H18" s="26"/>
      <c r="I18" s="18">
        <v>0</v>
      </c>
      <c r="J18" s="24">
        <v>19</v>
      </c>
      <c r="K18" s="20">
        <f t="shared" si="0"/>
        <v>0</v>
      </c>
      <c r="L18" s="21" t="str">
        <f t="shared" si="1"/>
        <v/>
      </c>
      <c r="M18" s="50"/>
      <c r="N18" s="50"/>
      <c r="O18" s="50"/>
      <c r="P18" s="27" t="str">
        <f t="shared" si="3"/>
        <v/>
      </c>
      <c r="Q18" s="47"/>
      <c r="R18" s="50"/>
      <c r="S18" s="53"/>
      <c r="T18" s="153"/>
      <c r="U18" s="50"/>
      <c r="V18" s="36"/>
    </row>
    <row r="19" spans="1:22" ht="27.95" customHeight="1">
      <c r="A19" s="134"/>
      <c r="B19" s="146"/>
      <c r="C19" s="60"/>
      <c r="D19" s="69"/>
      <c r="E19" s="151"/>
      <c r="F19" s="87"/>
      <c r="G19" s="17">
        <v>30</v>
      </c>
      <c r="H19" s="26"/>
      <c r="I19" s="18">
        <v>0</v>
      </c>
      <c r="J19" s="24">
        <v>19</v>
      </c>
      <c r="K19" s="20">
        <f t="shared" si="0"/>
        <v>0</v>
      </c>
      <c r="L19" s="21" t="str">
        <f t="shared" si="1"/>
        <v/>
      </c>
      <c r="M19" s="51"/>
      <c r="N19" s="51"/>
      <c r="O19" s="51"/>
      <c r="P19" s="27" t="str">
        <f t="shared" si="3"/>
        <v/>
      </c>
      <c r="Q19" s="48"/>
      <c r="R19" s="51"/>
      <c r="S19" s="54"/>
      <c r="T19" s="154"/>
      <c r="U19" s="51"/>
      <c r="V19" s="37"/>
    </row>
    <row r="20" spans="1:22" ht="27.95" customHeight="1">
      <c r="A20" s="132">
        <f t="shared" ref="A20" si="6">A15+1</f>
        <v>4</v>
      </c>
      <c r="B20" s="155">
        <v>31211904</v>
      </c>
      <c r="C20" s="74" t="s">
        <v>41</v>
      </c>
      <c r="D20" s="67" t="s">
        <v>42</v>
      </c>
      <c r="E20" s="149" t="s">
        <v>27</v>
      </c>
      <c r="F20" s="85" t="s">
        <v>28</v>
      </c>
      <c r="G20" s="17">
        <v>10</v>
      </c>
      <c r="H20" s="44" t="s">
        <v>29</v>
      </c>
      <c r="I20" s="18">
        <v>6502.16</v>
      </c>
      <c r="J20" s="24">
        <v>19</v>
      </c>
      <c r="K20" s="20">
        <f t="shared" si="0"/>
        <v>7737.5703999999996</v>
      </c>
      <c r="L20" s="21">
        <f t="shared" si="1"/>
        <v>77375.703999999998</v>
      </c>
      <c r="M20" s="49">
        <f t="shared" ref="M20" si="7">IF(L20="","",AVERAGE(L20:L23))</f>
        <v>86290.053500000009</v>
      </c>
      <c r="N20" s="49">
        <f>IFERROR(HARMEAN(L20:L23),"")</f>
        <v>85369.140558299827</v>
      </c>
      <c r="O20" s="49">
        <f>IFERROR(MEDIAN(L20:L23),"")</f>
        <v>86290.053500000009</v>
      </c>
      <c r="P20" s="27">
        <f t="shared" si="3"/>
        <v>77375.703999999998</v>
      </c>
      <c r="Q20" s="46">
        <f>IFERROR(SUM(P20:P23)/COUNTA(P20:P23),"")</f>
        <v>43145.026750000005</v>
      </c>
      <c r="R20" s="49">
        <f>IFERROR(_xlfn.STDEV.S(L20:L23),"")</f>
        <v>12606.793962633807</v>
      </c>
      <c r="S20" s="52">
        <f>IFERROR(R20/M20,"")</f>
        <v>0.14609788094098011</v>
      </c>
      <c r="T20" s="152"/>
      <c r="U20" s="49">
        <f>M20</f>
        <v>86290.053500000009</v>
      </c>
      <c r="V20" s="38"/>
    </row>
    <row r="21" spans="1:22" ht="27.95" customHeight="1">
      <c r="A21" s="133"/>
      <c r="B21" s="145"/>
      <c r="C21" s="59"/>
      <c r="D21" s="68"/>
      <c r="E21" s="150"/>
      <c r="F21" s="86"/>
      <c r="G21" s="17">
        <v>10</v>
      </c>
      <c r="H21" s="26" t="s">
        <v>43</v>
      </c>
      <c r="I21" s="18">
        <v>8000.37</v>
      </c>
      <c r="J21" s="24">
        <v>19</v>
      </c>
      <c r="K21" s="20">
        <f t="shared" si="0"/>
        <v>9520.4403000000002</v>
      </c>
      <c r="L21" s="21">
        <f t="shared" si="1"/>
        <v>95204.403000000006</v>
      </c>
      <c r="M21" s="50"/>
      <c r="N21" s="50"/>
      <c r="O21" s="50"/>
      <c r="P21" s="27">
        <f t="shared" si="3"/>
        <v>95204.403000000006</v>
      </c>
      <c r="Q21" s="47"/>
      <c r="R21" s="50"/>
      <c r="S21" s="53"/>
      <c r="T21" s="153"/>
      <c r="U21" s="50"/>
      <c r="V21" s="39"/>
    </row>
    <row r="22" spans="1:22" ht="27.95" customHeight="1">
      <c r="A22" s="133"/>
      <c r="B22" s="145"/>
      <c r="C22" s="59"/>
      <c r="D22" s="68"/>
      <c r="E22" s="150"/>
      <c r="F22" s="86"/>
      <c r="G22" s="17">
        <v>10</v>
      </c>
      <c r="H22" s="26"/>
      <c r="I22" s="18">
        <v>0</v>
      </c>
      <c r="J22" s="24">
        <v>19</v>
      </c>
      <c r="K22" s="20">
        <f t="shared" si="0"/>
        <v>0</v>
      </c>
      <c r="L22" s="21" t="str">
        <f t="shared" si="1"/>
        <v/>
      </c>
      <c r="M22" s="50"/>
      <c r="N22" s="50"/>
      <c r="O22" s="50"/>
      <c r="P22" s="27" t="str">
        <f t="shared" si="3"/>
        <v/>
      </c>
      <c r="Q22" s="47"/>
      <c r="R22" s="50"/>
      <c r="S22" s="53"/>
      <c r="T22" s="153"/>
      <c r="U22" s="50"/>
      <c r="V22" s="36"/>
    </row>
    <row r="23" spans="1:22" ht="27.95" customHeight="1">
      <c r="A23" s="134"/>
      <c r="B23" s="146"/>
      <c r="C23" s="60"/>
      <c r="D23" s="69"/>
      <c r="E23" s="151"/>
      <c r="F23" s="87"/>
      <c r="G23" s="17">
        <v>10</v>
      </c>
      <c r="H23" s="26"/>
      <c r="I23" s="18">
        <v>0</v>
      </c>
      <c r="J23" s="24">
        <v>19</v>
      </c>
      <c r="K23" s="20">
        <f t="shared" si="0"/>
        <v>0</v>
      </c>
      <c r="L23" s="21" t="str">
        <f t="shared" si="1"/>
        <v/>
      </c>
      <c r="M23" s="51"/>
      <c r="N23" s="51"/>
      <c r="O23" s="51"/>
      <c r="P23" s="27" t="str">
        <f t="shared" si="3"/>
        <v/>
      </c>
      <c r="Q23" s="48"/>
      <c r="R23" s="51"/>
      <c r="S23" s="54"/>
      <c r="T23" s="154"/>
      <c r="U23" s="51"/>
      <c r="V23" s="37"/>
    </row>
    <row r="24" spans="1:22" ht="27.95" customHeight="1">
      <c r="A24" s="132">
        <f t="shared" ref="A24" si="8">A20+1</f>
        <v>5</v>
      </c>
      <c r="B24" s="155">
        <v>14111500</v>
      </c>
      <c r="C24" s="74" t="s">
        <v>44</v>
      </c>
      <c r="D24" s="67" t="s">
        <v>45</v>
      </c>
      <c r="E24" s="149" t="s">
        <v>38</v>
      </c>
      <c r="F24" s="85" t="s">
        <v>46</v>
      </c>
      <c r="G24" s="17">
        <v>60</v>
      </c>
      <c r="H24" s="26" t="s">
        <v>47</v>
      </c>
      <c r="I24" s="18">
        <v>1700</v>
      </c>
      <c r="J24" s="24">
        <v>19</v>
      </c>
      <c r="K24" s="20">
        <f t="shared" si="0"/>
        <v>2023</v>
      </c>
      <c r="L24" s="21">
        <f t="shared" si="1"/>
        <v>121380</v>
      </c>
      <c r="M24" s="49">
        <f t="shared" ref="M24" si="9">IF(L24="","",AVERAGE(L24:L27))</f>
        <v>128535.351</v>
      </c>
      <c r="N24" s="49">
        <f>IFERROR(HARMEAN(L24:L27),"")</f>
        <v>128137.02441097314</v>
      </c>
      <c r="O24" s="49">
        <f>IFERROR(MEDIAN(L24:L27),"")</f>
        <v>128535.351</v>
      </c>
      <c r="P24" s="27">
        <f t="shared" si="3"/>
        <v>121380</v>
      </c>
      <c r="Q24" s="46">
        <f>IFERROR(SUM(P24:P25)/COUNTA(P24:P25),"")</f>
        <v>128535.351</v>
      </c>
      <c r="R24" s="49">
        <f>IFERROR(_xlfn.STDEV.S(L24:L27),"")</f>
        <v>10119.194427739882</v>
      </c>
      <c r="S24" s="52">
        <f>IFERROR(R24/M24,"")</f>
        <v>7.8726936589918223E-2</v>
      </c>
      <c r="T24" s="152"/>
      <c r="U24" s="49">
        <f>M24</f>
        <v>128535.351</v>
      </c>
      <c r="V24" s="38"/>
    </row>
    <row r="25" spans="1:22" ht="27.95" customHeight="1">
      <c r="A25" s="133"/>
      <c r="B25" s="145"/>
      <c r="C25" s="59"/>
      <c r="D25" s="68"/>
      <c r="E25" s="150"/>
      <c r="F25" s="86"/>
      <c r="G25" s="17">
        <v>60</v>
      </c>
      <c r="H25" s="26" t="s">
        <v>48</v>
      </c>
      <c r="I25" s="18">
        <v>1900.43</v>
      </c>
      <c r="J25" s="24">
        <v>19</v>
      </c>
      <c r="K25" s="20">
        <f t="shared" si="0"/>
        <v>2261.5117</v>
      </c>
      <c r="L25" s="21">
        <f t="shared" si="1"/>
        <v>135690.70199999999</v>
      </c>
      <c r="M25" s="50"/>
      <c r="N25" s="50"/>
      <c r="O25" s="50"/>
      <c r="P25" s="27">
        <f t="shared" si="3"/>
        <v>135690.70199999999</v>
      </c>
      <c r="Q25" s="47"/>
      <c r="R25" s="50"/>
      <c r="S25" s="53"/>
      <c r="T25" s="153"/>
      <c r="U25" s="50"/>
      <c r="V25" s="39"/>
    </row>
    <row r="26" spans="1:22" ht="27.95" customHeight="1">
      <c r="A26" s="133"/>
      <c r="B26" s="145"/>
      <c r="C26" s="59"/>
      <c r="D26" s="68"/>
      <c r="E26" s="150"/>
      <c r="F26" s="86"/>
      <c r="G26" s="17">
        <v>60</v>
      </c>
      <c r="H26" s="26"/>
      <c r="I26" s="18">
        <v>0</v>
      </c>
      <c r="J26" s="24">
        <v>19</v>
      </c>
      <c r="K26" s="20">
        <f t="shared" si="0"/>
        <v>0</v>
      </c>
      <c r="L26" s="21" t="str">
        <f t="shared" si="1"/>
        <v/>
      </c>
      <c r="M26" s="50"/>
      <c r="N26" s="50"/>
      <c r="O26" s="50"/>
      <c r="P26" s="27" t="str">
        <f t="shared" si="3"/>
        <v/>
      </c>
      <c r="Q26" s="47"/>
      <c r="R26" s="50"/>
      <c r="S26" s="53"/>
      <c r="T26" s="153"/>
      <c r="U26" s="50"/>
      <c r="V26" s="36"/>
    </row>
    <row r="27" spans="1:22" ht="27.95" customHeight="1">
      <c r="A27" s="134"/>
      <c r="B27" s="146"/>
      <c r="C27" s="60"/>
      <c r="D27" s="69"/>
      <c r="E27" s="151"/>
      <c r="F27" s="87"/>
      <c r="G27" s="17">
        <v>60</v>
      </c>
      <c r="H27" s="26"/>
      <c r="I27" s="18">
        <v>0</v>
      </c>
      <c r="J27" s="24">
        <v>19</v>
      </c>
      <c r="K27" s="20">
        <f>(I27*0.19)+I27</f>
        <v>0</v>
      </c>
      <c r="L27" s="21" t="str">
        <f t="shared" si="1"/>
        <v/>
      </c>
      <c r="M27" s="51"/>
      <c r="N27" s="51"/>
      <c r="O27" s="51"/>
      <c r="P27" s="27" t="str">
        <f t="shared" si="3"/>
        <v/>
      </c>
      <c r="Q27" s="48"/>
      <c r="R27" s="51"/>
      <c r="S27" s="54"/>
      <c r="T27" s="154"/>
      <c r="U27" s="51"/>
      <c r="V27" s="37"/>
    </row>
    <row r="28" spans="1:22" ht="27.95" customHeight="1">
      <c r="A28" s="132">
        <f t="shared" ref="A28" si="10">A24+1</f>
        <v>6</v>
      </c>
      <c r="B28" s="155">
        <v>31201610</v>
      </c>
      <c r="C28" s="74" t="s">
        <v>49</v>
      </c>
      <c r="D28" s="67" t="s">
        <v>50</v>
      </c>
      <c r="E28" s="149" t="s">
        <v>51</v>
      </c>
      <c r="F28" s="85" t="s">
        <v>28</v>
      </c>
      <c r="G28" s="17">
        <v>15</v>
      </c>
      <c r="H28" s="26" t="s">
        <v>52</v>
      </c>
      <c r="I28" s="18">
        <v>23899.96</v>
      </c>
      <c r="J28" s="24">
        <v>19</v>
      </c>
      <c r="K28" s="20">
        <f t="shared" si="0"/>
        <v>28440.952399999998</v>
      </c>
      <c r="L28" s="21">
        <f t="shared" si="1"/>
        <v>426614.28599999996</v>
      </c>
      <c r="M28" s="49">
        <f t="shared" ref="M28" si="11">IF(L28="","",AVERAGE(L28:L31))</f>
        <v>390917.94524999999</v>
      </c>
      <c r="N28" s="49">
        <f>IFERROR(HARMEAN(L28:L31),"")</f>
        <v>387658.36415779602</v>
      </c>
      <c r="O28" s="49">
        <f>IFERROR(MEDIAN(L28:L31),"")</f>
        <v>390917.94524999999</v>
      </c>
      <c r="P28" s="27">
        <f t="shared" si="3"/>
        <v>426614.28599999996</v>
      </c>
      <c r="Q28" s="46">
        <f>IFERROR(SUM(P28:P31)/COUNTA(P28:P31),"")</f>
        <v>195458.97262499999</v>
      </c>
      <c r="R28" s="49">
        <f>IFERROR(_xlfn.STDEV.S(L28:L31),"")</f>
        <v>50482.24921574138</v>
      </c>
      <c r="S28" s="52">
        <f>IFERROR(R28/M28,"")</f>
        <v>0.12913771247686506</v>
      </c>
      <c r="T28" s="152"/>
      <c r="U28" s="49">
        <f>M28</f>
        <v>390917.94524999999</v>
      </c>
      <c r="V28" s="40"/>
    </row>
    <row r="29" spans="1:22" ht="27.95" customHeight="1">
      <c r="A29" s="133"/>
      <c r="B29" s="145"/>
      <c r="C29" s="59"/>
      <c r="D29" s="68"/>
      <c r="E29" s="150"/>
      <c r="F29" s="86"/>
      <c r="G29" s="17">
        <v>15</v>
      </c>
      <c r="H29" s="26" t="s">
        <v>53</v>
      </c>
      <c r="I29" s="18">
        <v>19900.37</v>
      </c>
      <c r="J29" s="24">
        <v>19</v>
      </c>
      <c r="K29" s="20">
        <f t="shared" si="0"/>
        <v>23681.440299999998</v>
      </c>
      <c r="L29" s="21">
        <f t="shared" si="1"/>
        <v>355221.60449999996</v>
      </c>
      <c r="M29" s="50"/>
      <c r="N29" s="50"/>
      <c r="O29" s="50"/>
      <c r="P29" s="27">
        <f t="shared" si="3"/>
        <v>355221.60449999996</v>
      </c>
      <c r="Q29" s="47"/>
      <c r="R29" s="50"/>
      <c r="S29" s="53"/>
      <c r="T29" s="153"/>
      <c r="U29" s="50"/>
      <c r="V29" s="41"/>
    </row>
    <row r="30" spans="1:22" ht="27.95" customHeight="1">
      <c r="A30" s="133"/>
      <c r="B30" s="145"/>
      <c r="C30" s="59"/>
      <c r="D30" s="68"/>
      <c r="E30" s="150"/>
      <c r="F30" s="86"/>
      <c r="G30" s="17">
        <v>15</v>
      </c>
      <c r="H30" s="26"/>
      <c r="I30" s="18">
        <v>0</v>
      </c>
      <c r="J30" s="24">
        <v>19</v>
      </c>
      <c r="K30" s="20">
        <f t="shared" si="0"/>
        <v>0</v>
      </c>
      <c r="L30" s="21" t="str">
        <f t="shared" si="1"/>
        <v/>
      </c>
      <c r="M30" s="50"/>
      <c r="N30" s="50"/>
      <c r="O30" s="50"/>
      <c r="P30" s="27" t="str">
        <f t="shared" si="3"/>
        <v/>
      </c>
      <c r="Q30" s="47"/>
      <c r="R30" s="50"/>
      <c r="S30" s="53"/>
      <c r="T30" s="153"/>
      <c r="U30" s="50"/>
      <c r="V30" s="36"/>
    </row>
    <row r="31" spans="1:22" ht="30.75" customHeight="1">
      <c r="A31" s="134"/>
      <c r="B31" s="146"/>
      <c r="C31" s="60"/>
      <c r="D31" s="69"/>
      <c r="E31" s="151"/>
      <c r="F31" s="87"/>
      <c r="G31" s="17">
        <v>15</v>
      </c>
      <c r="H31" s="26"/>
      <c r="I31" s="18">
        <v>0</v>
      </c>
      <c r="J31" s="24">
        <v>19</v>
      </c>
      <c r="K31" s="20">
        <f t="shared" si="0"/>
        <v>0</v>
      </c>
      <c r="L31" s="21" t="str">
        <f t="shared" si="1"/>
        <v/>
      </c>
      <c r="M31" s="51"/>
      <c r="N31" s="51"/>
      <c r="O31" s="51"/>
      <c r="P31" s="27" t="str">
        <f t="shared" si="3"/>
        <v/>
      </c>
      <c r="Q31" s="48"/>
      <c r="R31" s="51"/>
      <c r="S31" s="54"/>
      <c r="T31" s="154"/>
      <c r="U31" s="51"/>
      <c r="V31" s="37"/>
    </row>
    <row r="32" spans="1:22" ht="27.95" customHeight="1">
      <c r="A32" s="132">
        <v>7</v>
      </c>
      <c r="B32" s="155">
        <v>60121201</v>
      </c>
      <c r="C32" s="74" t="s">
        <v>54</v>
      </c>
      <c r="D32" s="67" t="s">
        <v>55</v>
      </c>
      <c r="E32" s="149" t="s">
        <v>56</v>
      </c>
      <c r="F32" s="85" t="s">
        <v>33</v>
      </c>
      <c r="G32" s="17">
        <v>30</v>
      </c>
      <c r="H32" s="26" t="s">
        <v>57</v>
      </c>
      <c r="I32" s="18">
        <v>3199.91</v>
      </c>
      <c r="J32" s="24">
        <v>19</v>
      </c>
      <c r="K32" s="20">
        <f t="shared" si="0"/>
        <v>3807.8928999999998</v>
      </c>
      <c r="L32" s="21">
        <f t="shared" si="1"/>
        <v>114236.787</v>
      </c>
      <c r="M32" s="49">
        <f t="shared" ref="M32" si="12">IF(L32="","",AVERAGE(L32:L36))</f>
        <v>142445.49899999998</v>
      </c>
      <c r="N32" s="49">
        <f>IFERROR(HARMEAN(L32:L36),"")</f>
        <v>136859.28224843423</v>
      </c>
      <c r="O32" s="49">
        <f>IFERROR(MEDIAN(L32:L36),"")</f>
        <v>142445.49899999998</v>
      </c>
      <c r="P32" s="27">
        <f t="shared" si="3"/>
        <v>114236.787</v>
      </c>
      <c r="Q32" s="46">
        <f>IFERROR(SUM(P32:P36)/COUNTA(P32:P36),"")</f>
        <v>56978.199599999993</v>
      </c>
      <c r="R32" s="49">
        <f>IFERROR(_xlfn.STDEV.S(L32:L36),"")</f>
        <v>39893.143087476674</v>
      </c>
      <c r="S32" s="52">
        <f>IFERROR(R32/M32,"")</f>
        <v>0.28005899356270064</v>
      </c>
      <c r="T32" s="55"/>
      <c r="U32" s="49">
        <f>M32</f>
        <v>142445.49899999998</v>
      </c>
      <c r="V32" s="40"/>
    </row>
    <row r="33" spans="1:22" ht="27.95" customHeight="1">
      <c r="A33" s="133"/>
      <c r="B33" s="145"/>
      <c r="C33" s="59"/>
      <c r="D33" s="68"/>
      <c r="E33" s="150"/>
      <c r="F33" s="86"/>
      <c r="G33" s="17">
        <v>30</v>
      </c>
      <c r="H33" s="26" t="s">
        <v>52</v>
      </c>
      <c r="I33" s="18">
        <v>4780.2299999999996</v>
      </c>
      <c r="J33" s="24">
        <v>19</v>
      </c>
      <c r="K33" s="20">
        <f t="shared" si="0"/>
        <v>5688.4736999999996</v>
      </c>
      <c r="L33" s="21">
        <f t="shared" si="1"/>
        <v>170654.21099999998</v>
      </c>
      <c r="M33" s="50"/>
      <c r="N33" s="50"/>
      <c r="O33" s="50"/>
      <c r="P33" s="27">
        <f t="shared" si="3"/>
        <v>170654.21099999998</v>
      </c>
      <c r="Q33" s="47"/>
      <c r="R33" s="50"/>
      <c r="S33" s="53"/>
      <c r="T33" s="56"/>
      <c r="U33" s="50"/>
      <c r="V33" s="41"/>
    </row>
    <row r="34" spans="1:22" ht="27.95" customHeight="1">
      <c r="A34" s="133"/>
      <c r="B34" s="145"/>
      <c r="C34" s="59"/>
      <c r="D34" s="68"/>
      <c r="E34" s="150"/>
      <c r="F34" s="86"/>
      <c r="G34" s="17">
        <v>30</v>
      </c>
      <c r="H34" s="26"/>
      <c r="I34" s="18">
        <v>0</v>
      </c>
      <c r="J34" s="24">
        <v>19</v>
      </c>
      <c r="K34" s="20">
        <f t="shared" si="0"/>
        <v>0</v>
      </c>
      <c r="L34" s="21" t="str">
        <f t="shared" si="1"/>
        <v/>
      </c>
      <c r="M34" s="50"/>
      <c r="N34" s="50"/>
      <c r="O34" s="50"/>
      <c r="P34" s="27" t="str">
        <f t="shared" si="3"/>
        <v/>
      </c>
      <c r="Q34" s="47"/>
      <c r="R34" s="50"/>
      <c r="S34" s="53"/>
      <c r="T34" s="56"/>
      <c r="U34" s="50"/>
      <c r="V34" s="36"/>
    </row>
    <row r="35" spans="1:22" ht="27.95" customHeight="1">
      <c r="A35" s="133"/>
      <c r="B35" s="145"/>
      <c r="C35" s="59"/>
      <c r="D35" s="68"/>
      <c r="E35" s="150"/>
      <c r="F35" s="86"/>
      <c r="G35" s="17">
        <v>30</v>
      </c>
      <c r="H35" s="26"/>
      <c r="I35" s="18">
        <v>0</v>
      </c>
      <c r="J35" s="24">
        <v>19</v>
      </c>
      <c r="K35" s="20">
        <f t="shared" si="0"/>
        <v>0</v>
      </c>
      <c r="L35" s="21" t="str">
        <f t="shared" si="1"/>
        <v/>
      </c>
      <c r="M35" s="50"/>
      <c r="N35" s="50"/>
      <c r="O35" s="50"/>
      <c r="P35" s="27" t="str">
        <f t="shared" si="3"/>
        <v/>
      </c>
      <c r="Q35" s="47"/>
      <c r="R35" s="50"/>
      <c r="S35" s="53"/>
      <c r="T35" s="56"/>
      <c r="U35" s="50"/>
      <c r="V35" s="36"/>
    </row>
    <row r="36" spans="1:22" ht="27.95" customHeight="1">
      <c r="A36" s="134"/>
      <c r="B36" s="146"/>
      <c r="C36" s="60"/>
      <c r="D36" s="69"/>
      <c r="E36" s="151"/>
      <c r="F36" s="87"/>
      <c r="G36" s="17">
        <v>30</v>
      </c>
      <c r="H36" s="26"/>
      <c r="I36" s="18">
        <v>0</v>
      </c>
      <c r="J36" s="24">
        <v>19</v>
      </c>
      <c r="K36" s="20">
        <f t="shared" si="0"/>
        <v>0</v>
      </c>
      <c r="L36" s="21" t="str">
        <f t="shared" si="1"/>
        <v/>
      </c>
      <c r="M36" s="51"/>
      <c r="N36" s="51"/>
      <c r="O36" s="51"/>
      <c r="P36" s="27" t="str">
        <f t="shared" si="3"/>
        <v/>
      </c>
      <c r="Q36" s="48"/>
      <c r="R36" s="51"/>
      <c r="S36" s="54"/>
      <c r="T36" s="57"/>
      <c r="U36" s="51"/>
      <c r="V36" s="37"/>
    </row>
    <row r="37" spans="1:22" ht="27.95" customHeight="1">
      <c r="A37" s="132">
        <f t="shared" ref="A37" si="13">A32+1</f>
        <v>8</v>
      </c>
      <c r="B37" s="155">
        <v>31211507</v>
      </c>
      <c r="C37" s="74" t="s">
        <v>58</v>
      </c>
      <c r="D37" s="67" t="s">
        <v>59</v>
      </c>
      <c r="E37" s="149" t="s">
        <v>27</v>
      </c>
      <c r="F37" s="85" t="s">
        <v>28</v>
      </c>
      <c r="G37" s="17">
        <v>15</v>
      </c>
      <c r="H37" s="26" t="s">
        <v>60</v>
      </c>
      <c r="I37" s="18">
        <v>11700</v>
      </c>
      <c r="J37" s="24">
        <v>19</v>
      </c>
      <c r="K37" s="20">
        <f t="shared" si="0"/>
        <v>13923</v>
      </c>
      <c r="L37" s="21">
        <f t="shared" si="1"/>
        <v>208845</v>
      </c>
      <c r="M37" s="49">
        <f t="shared" ref="M37" si="14">IF(L37="","",AVERAGE(L37:L40))</f>
        <v>215982.85800000001</v>
      </c>
      <c r="N37" s="49">
        <f>IFERROR(HARMEAN(L37:L40),"")</f>
        <v>215746.96420129787</v>
      </c>
      <c r="O37" s="49">
        <f>IFERROR(MEDIAN(L37:L40),"")</f>
        <v>215982.85800000001</v>
      </c>
      <c r="P37" s="27">
        <f t="shared" si="3"/>
        <v>208845</v>
      </c>
      <c r="Q37" s="46">
        <f>IFERROR(SUM(P37:P40)/COUNTA(P37:P40),"")</f>
        <v>107991.429</v>
      </c>
      <c r="R37" s="49">
        <f>IFERROR(_xlfn.STDEV.S(L37:L40),"")</f>
        <v>10094.455589893307</v>
      </c>
      <c r="S37" s="52">
        <f>IFERROR(R37/M37,"")</f>
        <v>4.6737299817994384E-2</v>
      </c>
      <c r="T37" s="55"/>
      <c r="U37" s="49">
        <f>M37</f>
        <v>215982.85800000001</v>
      </c>
      <c r="V37" s="40"/>
    </row>
    <row r="38" spans="1:22" ht="27.95" customHeight="1">
      <c r="A38" s="133"/>
      <c r="B38" s="145"/>
      <c r="C38" s="59"/>
      <c r="D38" s="68"/>
      <c r="E38" s="150"/>
      <c r="F38" s="86"/>
      <c r="G38" s="17">
        <v>15</v>
      </c>
      <c r="H38" s="26" t="s">
        <v>52</v>
      </c>
      <c r="I38" s="18">
        <v>12499.76</v>
      </c>
      <c r="J38" s="24">
        <v>19</v>
      </c>
      <c r="K38" s="20">
        <f t="shared" si="0"/>
        <v>14874.714400000001</v>
      </c>
      <c r="L38" s="21">
        <f t="shared" si="1"/>
        <v>223120.71600000001</v>
      </c>
      <c r="M38" s="50"/>
      <c r="N38" s="50"/>
      <c r="O38" s="50"/>
      <c r="P38" s="27">
        <f t="shared" si="3"/>
        <v>223120.71600000001</v>
      </c>
      <c r="Q38" s="47"/>
      <c r="R38" s="50"/>
      <c r="S38" s="53"/>
      <c r="T38" s="56"/>
      <c r="U38" s="50"/>
      <c r="V38" s="41"/>
    </row>
    <row r="39" spans="1:22" ht="27.95" customHeight="1">
      <c r="A39" s="133"/>
      <c r="B39" s="145"/>
      <c r="C39" s="59"/>
      <c r="D39" s="68"/>
      <c r="E39" s="150"/>
      <c r="F39" s="86"/>
      <c r="G39" s="17">
        <v>15</v>
      </c>
      <c r="H39" s="26"/>
      <c r="I39" s="18">
        <v>0</v>
      </c>
      <c r="J39" s="24">
        <v>19</v>
      </c>
      <c r="K39" s="20">
        <f t="shared" si="0"/>
        <v>0</v>
      </c>
      <c r="L39" s="21" t="str">
        <f t="shared" si="1"/>
        <v/>
      </c>
      <c r="M39" s="50"/>
      <c r="N39" s="50"/>
      <c r="O39" s="50"/>
      <c r="P39" s="27" t="str">
        <f t="shared" si="3"/>
        <v/>
      </c>
      <c r="Q39" s="47"/>
      <c r="R39" s="50"/>
      <c r="S39" s="53"/>
      <c r="T39" s="56"/>
      <c r="U39" s="50"/>
      <c r="V39" s="36"/>
    </row>
    <row r="40" spans="1:22" ht="27.95" customHeight="1">
      <c r="A40" s="134"/>
      <c r="B40" s="146"/>
      <c r="C40" s="60"/>
      <c r="D40" s="69"/>
      <c r="E40" s="151"/>
      <c r="F40" s="87"/>
      <c r="G40" s="17">
        <v>15</v>
      </c>
      <c r="H40" s="26"/>
      <c r="I40" s="18">
        <v>0</v>
      </c>
      <c r="J40" s="24">
        <v>19</v>
      </c>
      <c r="K40" s="20">
        <f t="shared" si="0"/>
        <v>0</v>
      </c>
      <c r="L40" s="21" t="str">
        <f t="shared" si="1"/>
        <v/>
      </c>
      <c r="M40" s="51"/>
      <c r="N40" s="51"/>
      <c r="O40" s="51"/>
      <c r="P40" s="27" t="str">
        <f t="shared" si="3"/>
        <v/>
      </c>
      <c r="Q40" s="48"/>
      <c r="R40" s="51"/>
      <c r="S40" s="54"/>
      <c r="T40" s="57"/>
      <c r="U40" s="51"/>
      <c r="V40" s="37"/>
    </row>
    <row r="41" spans="1:22" ht="27.95" customHeight="1">
      <c r="A41" s="132">
        <f t="shared" ref="A41" si="15">A37+1</f>
        <v>9</v>
      </c>
      <c r="B41" s="155">
        <v>60124311</v>
      </c>
      <c r="C41" s="74" t="s">
        <v>61</v>
      </c>
      <c r="D41" s="67" t="s">
        <v>62</v>
      </c>
      <c r="E41" s="149" t="s">
        <v>38</v>
      </c>
      <c r="F41" s="85" t="s">
        <v>33</v>
      </c>
      <c r="G41" s="17">
        <v>5</v>
      </c>
      <c r="H41" s="26" t="s">
        <v>52</v>
      </c>
      <c r="I41" s="18">
        <v>27999.510000000002</v>
      </c>
      <c r="J41" s="24">
        <v>19</v>
      </c>
      <c r="K41" s="20">
        <f t="shared" si="0"/>
        <v>33319.416900000004</v>
      </c>
      <c r="L41" s="21">
        <f t="shared" si="1"/>
        <v>166597.08450000003</v>
      </c>
      <c r="M41" s="49">
        <f t="shared" ref="M41" si="16">IF(L41="","",AVERAGE(L41:L45))</f>
        <v>156781.04225</v>
      </c>
      <c r="N41" s="49">
        <f>IFERROR(HARMEAN(L41:L45),"")</f>
        <v>156166.46102212337</v>
      </c>
      <c r="O41" s="49">
        <f>IFERROR(MEDIAN(L41:L45),"")</f>
        <v>156781.04225</v>
      </c>
      <c r="P41" s="27">
        <f t="shared" si="3"/>
        <v>166597.08450000003</v>
      </c>
      <c r="Q41" s="46">
        <f>IFERROR(SUM(P41:P45)/COUNTA(P41:P45),"")</f>
        <v>62712.416899999997</v>
      </c>
      <c r="R41" s="49">
        <f>IFERROR(_xlfn.STDEV.S(L41:L45),"")</f>
        <v>13881.980078777331</v>
      </c>
      <c r="S41" s="52">
        <f>IFERROR(R41/M41,"")</f>
        <v>8.8543741510796928E-2</v>
      </c>
      <c r="T41" s="55"/>
      <c r="U41" s="49">
        <f>M41</f>
        <v>156781.04225</v>
      </c>
      <c r="V41" s="40"/>
    </row>
    <row r="42" spans="1:22" ht="27.95" customHeight="1">
      <c r="A42" s="133"/>
      <c r="B42" s="145"/>
      <c r="C42" s="59"/>
      <c r="D42" s="68"/>
      <c r="E42" s="150"/>
      <c r="F42" s="86"/>
      <c r="G42" s="17">
        <v>5</v>
      </c>
      <c r="H42" s="26" t="s">
        <v>52</v>
      </c>
      <c r="I42" s="18">
        <v>24700</v>
      </c>
      <c r="J42" s="24">
        <v>19</v>
      </c>
      <c r="K42" s="20">
        <f t="shared" si="0"/>
        <v>29393</v>
      </c>
      <c r="L42" s="21">
        <f t="shared" si="1"/>
        <v>146965</v>
      </c>
      <c r="M42" s="50"/>
      <c r="N42" s="50"/>
      <c r="O42" s="50"/>
      <c r="P42" s="27">
        <f t="shared" si="3"/>
        <v>146965</v>
      </c>
      <c r="Q42" s="47"/>
      <c r="R42" s="50"/>
      <c r="S42" s="53"/>
      <c r="T42" s="56"/>
      <c r="U42" s="50"/>
      <c r="V42" s="41"/>
    </row>
    <row r="43" spans="1:22" ht="27.95" customHeight="1">
      <c r="A43" s="133"/>
      <c r="B43" s="145"/>
      <c r="C43" s="59"/>
      <c r="D43" s="68"/>
      <c r="E43" s="150"/>
      <c r="F43" s="86"/>
      <c r="G43" s="17">
        <v>5</v>
      </c>
      <c r="H43" s="26"/>
      <c r="I43" s="18">
        <v>0</v>
      </c>
      <c r="J43" s="24">
        <v>19</v>
      </c>
      <c r="K43" s="20">
        <f t="shared" si="0"/>
        <v>0</v>
      </c>
      <c r="L43" s="21" t="str">
        <f t="shared" si="1"/>
        <v/>
      </c>
      <c r="M43" s="50"/>
      <c r="N43" s="50"/>
      <c r="O43" s="50"/>
      <c r="P43" s="27" t="str">
        <f t="shared" si="3"/>
        <v/>
      </c>
      <c r="Q43" s="47"/>
      <c r="R43" s="50"/>
      <c r="S43" s="53"/>
      <c r="T43" s="56"/>
      <c r="U43" s="50"/>
      <c r="V43" s="36"/>
    </row>
    <row r="44" spans="1:22" ht="27.95" customHeight="1">
      <c r="A44" s="133"/>
      <c r="B44" s="145"/>
      <c r="C44" s="59"/>
      <c r="D44" s="68"/>
      <c r="E44" s="150"/>
      <c r="F44" s="86"/>
      <c r="G44" s="17">
        <v>5</v>
      </c>
      <c r="H44" s="26"/>
      <c r="I44" s="18">
        <v>0</v>
      </c>
      <c r="J44" s="24">
        <v>19</v>
      </c>
      <c r="K44" s="20">
        <f t="shared" si="0"/>
        <v>0</v>
      </c>
      <c r="L44" s="21" t="str">
        <f t="shared" si="1"/>
        <v/>
      </c>
      <c r="M44" s="50"/>
      <c r="N44" s="50"/>
      <c r="O44" s="50"/>
      <c r="P44" s="27" t="str">
        <f t="shared" si="3"/>
        <v/>
      </c>
      <c r="Q44" s="47"/>
      <c r="R44" s="50"/>
      <c r="S44" s="53"/>
      <c r="T44" s="56"/>
      <c r="U44" s="50"/>
      <c r="V44" s="36"/>
    </row>
    <row r="45" spans="1:22" ht="27.95" customHeight="1">
      <c r="A45" s="134"/>
      <c r="B45" s="146"/>
      <c r="C45" s="60"/>
      <c r="D45" s="69"/>
      <c r="E45" s="151"/>
      <c r="F45" s="87"/>
      <c r="G45" s="17">
        <v>5</v>
      </c>
      <c r="H45" s="26"/>
      <c r="I45" s="18">
        <v>0</v>
      </c>
      <c r="J45" s="24">
        <v>19</v>
      </c>
      <c r="K45" s="20">
        <f t="shared" si="0"/>
        <v>0</v>
      </c>
      <c r="L45" s="21" t="str">
        <f t="shared" si="1"/>
        <v/>
      </c>
      <c r="M45" s="51"/>
      <c r="N45" s="51"/>
      <c r="O45" s="51"/>
      <c r="P45" s="27" t="str">
        <f t="shared" si="3"/>
        <v/>
      </c>
      <c r="Q45" s="48"/>
      <c r="R45" s="51"/>
      <c r="S45" s="54"/>
      <c r="T45" s="57"/>
      <c r="U45" s="51"/>
      <c r="V45" s="37"/>
    </row>
    <row r="46" spans="1:22" ht="27.95" customHeight="1">
      <c r="A46" s="132">
        <f t="shared" ref="A46" si="17">A41+1</f>
        <v>10</v>
      </c>
      <c r="B46" s="155">
        <v>60121221</v>
      </c>
      <c r="C46" s="74" t="s">
        <v>63</v>
      </c>
      <c r="D46" s="67" t="s">
        <v>64</v>
      </c>
      <c r="E46" s="149" t="s">
        <v>33</v>
      </c>
      <c r="F46" s="85" t="s">
        <v>65</v>
      </c>
      <c r="G46" s="17">
        <v>30</v>
      </c>
      <c r="H46" s="26" t="s">
        <v>53</v>
      </c>
      <c r="I46" s="18">
        <v>10900.4</v>
      </c>
      <c r="J46" s="24">
        <v>19</v>
      </c>
      <c r="K46" s="20">
        <f t="shared" si="0"/>
        <v>12971.475999999999</v>
      </c>
      <c r="L46" s="21">
        <f t="shared" si="1"/>
        <v>389144.27999999997</v>
      </c>
      <c r="M46" s="49">
        <f t="shared" ref="M46" si="18">IF(L46="","",AVERAGE(L46:L50))</f>
        <v>389144.27999999997</v>
      </c>
      <c r="N46" s="49">
        <f>IFERROR(HARMEAN(L46:L50),"")</f>
        <v>389144.27999999997</v>
      </c>
      <c r="O46" s="49">
        <f>IFERROR(MEDIAN(L46:L50),"")</f>
        <v>389144.27999999997</v>
      </c>
      <c r="P46" s="27">
        <f t="shared" si="3"/>
        <v>389144.27999999997</v>
      </c>
      <c r="Q46" s="46">
        <f>IFERROR(SUM(P46:P50)/COUNTA(P46:P50),"")</f>
        <v>155657.712</v>
      </c>
      <c r="R46" s="49">
        <f>IFERROR(_xlfn.STDEV.S(L46:L50),"")</f>
        <v>0</v>
      </c>
      <c r="S46" s="52">
        <f>IFERROR(R46/M46,"")</f>
        <v>0</v>
      </c>
      <c r="T46" s="55"/>
      <c r="U46" s="49">
        <f>M46</f>
        <v>389144.27999999997</v>
      </c>
      <c r="V46" s="40"/>
    </row>
    <row r="47" spans="1:22" ht="27.95" customHeight="1">
      <c r="A47" s="133"/>
      <c r="B47" s="145"/>
      <c r="C47" s="59"/>
      <c r="D47" s="68"/>
      <c r="E47" s="150"/>
      <c r="F47" s="86"/>
      <c r="G47" s="17">
        <v>30</v>
      </c>
      <c r="H47" s="26" t="s">
        <v>48</v>
      </c>
      <c r="I47" s="18">
        <v>10900.4</v>
      </c>
      <c r="J47" s="24">
        <v>19</v>
      </c>
      <c r="K47" s="20">
        <f t="shared" si="0"/>
        <v>12971.475999999999</v>
      </c>
      <c r="L47" s="21">
        <f t="shared" si="1"/>
        <v>389144.27999999997</v>
      </c>
      <c r="M47" s="50"/>
      <c r="N47" s="50"/>
      <c r="O47" s="50"/>
      <c r="P47" s="27">
        <f t="shared" si="3"/>
        <v>389144.27999999997</v>
      </c>
      <c r="Q47" s="47"/>
      <c r="R47" s="50"/>
      <c r="S47" s="53"/>
      <c r="T47" s="56"/>
      <c r="U47" s="50"/>
      <c r="V47" s="42"/>
    </row>
    <row r="48" spans="1:22" ht="27.95" customHeight="1">
      <c r="A48" s="133"/>
      <c r="B48" s="145"/>
      <c r="C48" s="59"/>
      <c r="D48" s="68"/>
      <c r="E48" s="150"/>
      <c r="F48" s="86"/>
      <c r="G48" s="17">
        <v>30</v>
      </c>
      <c r="H48" s="26"/>
      <c r="I48" s="18">
        <v>0</v>
      </c>
      <c r="J48" s="24">
        <v>19</v>
      </c>
      <c r="K48" s="20">
        <f t="shared" si="0"/>
        <v>0</v>
      </c>
      <c r="L48" s="21" t="str">
        <f t="shared" si="1"/>
        <v/>
      </c>
      <c r="M48" s="50"/>
      <c r="N48" s="50"/>
      <c r="O48" s="50"/>
      <c r="P48" s="27" t="str">
        <f t="shared" si="3"/>
        <v/>
      </c>
      <c r="Q48" s="47"/>
      <c r="R48" s="50"/>
      <c r="S48" s="53"/>
      <c r="T48" s="56"/>
      <c r="U48" s="50"/>
      <c r="V48" s="36"/>
    </row>
    <row r="49" spans="1:22" ht="27.95" customHeight="1">
      <c r="A49" s="133"/>
      <c r="B49" s="145"/>
      <c r="C49" s="59"/>
      <c r="D49" s="68"/>
      <c r="E49" s="150"/>
      <c r="F49" s="86"/>
      <c r="G49" s="17">
        <v>30</v>
      </c>
      <c r="H49" s="26"/>
      <c r="I49" s="18">
        <v>0</v>
      </c>
      <c r="J49" s="24">
        <v>19</v>
      </c>
      <c r="K49" s="20">
        <f t="shared" si="0"/>
        <v>0</v>
      </c>
      <c r="L49" s="21" t="str">
        <f t="shared" si="1"/>
        <v/>
      </c>
      <c r="M49" s="50"/>
      <c r="N49" s="50"/>
      <c r="O49" s="50"/>
      <c r="P49" s="27" t="str">
        <f t="shared" si="3"/>
        <v/>
      </c>
      <c r="Q49" s="47"/>
      <c r="R49" s="50"/>
      <c r="S49" s="53"/>
      <c r="T49" s="56"/>
      <c r="U49" s="50"/>
      <c r="V49" s="36"/>
    </row>
    <row r="50" spans="1:22" ht="27.95" customHeight="1">
      <c r="A50" s="134"/>
      <c r="B50" s="156"/>
      <c r="C50" s="157"/>
      <c r="D50" s="69"/>
      <c r="E50" s="151"/>
      <c r="F50" s="87"/>
      <c r="G50" s="17">
        <v>30</v>
      </c>
      <c r="H50" s="26"/>
      <c r="I50" s="18">
        <v>0</v>
      </c>
      <c r="J50" s="24">
        <v>19</v>
      </c>
      <c r="K50" s="20">
        <f t="shared" si="0"/>
        <v>0</v>
      </c>
      <c r="L50" s="21" t="str">
        <f t="shared" si="1"/>
        <v/>
      </c>
      <c r="M50" s="51"/>
      <c r="N50" s="51"/>
      <c r="O50" s="51"/>
      <c r="P50" s="27" t="str">
        <f t="shared" si="3"/>
        <v/>
      </c>
      <c r="Q50" s="48"/>
      <c r="R50" s="51"/>
      <c r="S50" s="54"/>
      <c r="T50" s="57"/>
      <c r="U50" s="51"/>
      <c r="V50" s="37"/>
    </row>
    <row r="51" spans="1:22" ht="27.95" customHeight="1">
      <c r="A51" s="132">
        <f t="shared" ref="A51" si="19">A46+1</f>
        <v>11</v>
      </c>
      <c r="B51" s="135">
        <v>60121211</v>
      </c>
      <c r="C51" s="138" t="s">
        <v>66</v>
      </c>
      <c r="D51" s="160" t="s">
        <v>67</v>
      </c>
      <c r="E51" s="85" t="s">
        <v>38</v>
      </c>
      <c r="F51" s="85" t="s">
        <v>38</v>
      </c>
      <c r="G51" s="17">
        <v>30</v>
      </c>
      <c r="H51" s="26" t="s">
        <v>53</v>
      </c>
      <c r="I51" s="18">
        <v>4599.9449999999997</v>
      </c>
      <c r="J51" s="24">
        <v>19</v>
      </c>
      <c r="K51" s="20">
        <f t="shared" si="0"/>
        <v>5473.9345499999999</v>
      </c>
      <c r="L51" s="21">
        <f t="shared" si="1"/>
        <v>164218.03649999999</v>
      </c>
      <c r="M51" s="49">
        <f>IF(L51="","",AVERAGE(L51:L54))</f>
        <v>141011.69774999999</v>
      </c>
      <c r="N51" s="49">
        <f>IFERROR(HARMEAN(L51:L54),"")</f>
        <v>137192.62339820742</v>
      </c>
      <c r="O51" s="49">
        <f>IFERROR(MEDIAN(L51:L54),"")</f>
        <v>141011.69774999999</v>
      </c>
      <c r="P51" s="27">
        <f t="shared" si="3"/>
        <v>164218.03649999999</v>
      </c>
      <c r="Q51" s="46">
        <f>IFERROR(SUM(P51:P54)/COUNTA(P51:P54),"")</f>
        <v>70505.848874999996</v>
      </c>
      <c r="R51" s="49">
        <f>IFERROR(_xlfn.STDEV.S(L51:L54),"")</f>
        <v>32818.71899327432</v>
      </c>
      <c r="S51" s="52">
        <f>IFERROR(R51/M51,"")</f>
        <v>0.23273756374069557</v>
      </c>
      <c r="T51" s="55"/>
      <c r="U51" s="49">
        <f>M51</f>
        <v>141011.69774999999</v>
      </c>
      <c r="V51" s="43"/>
    </row>
    <row r="52" spans="1:22" ht="27.95" customHeight="1">
      <c r="A52" s="133"/>
      <c r="B52" s="136"/>
      <c r="C52" s="139"/>
      <c r="D52" s="83"/>
      <c r="E52" s="86"/>
      <c r="F52" s="86"/>
      <c r="G52" s="17">
        <v>30</v>
      </c>
      <c r="H52" s="26" t="s">
        <v>68</v>
      </c>
      <c r="I52" s="18">
        <v>3299.87</v>
      </c>
      <c r="J52" s="24">
        <v>20</v>
      </c>
      <c r="K52" s="20">
        <f t="shared" si="0"/>
        <v>3926.8453</v>
      </c>
      <c r="L52" s="21">
        <f t="shared" si="1"/>
        <v>117805.359</v>
      </c>
      <c r="M52" s="50"/>
      <c r="N52" s="50"/>
      <c r="O52" s="50"/>
      <c r="P52" s="27">
        <f t="shared" si="3"/>
        <v>117805.359</v>
      </c>
      <c r="Q52" s="47"/>
      <c r="R52" s="50"/>
      <c r="S52" s="53"/>
      <c r="T52" s="56"/>
      <c r="U52" s="50"/>
      <c r="V52" s="41"/>
    </row>
    <row r="53" spans="1:22" ht="27.95" customHeight="1">
      <c r="A53" s="133"/>
      <c r="B53" s="136"/>
      <c r="C53" s="139"/>
      <c r="D53" s="83"/>
      <c r="E53" s="86"/>
      <c r="F53" s="86"/>
      <c r="G53" s="17">
        <v>30</v>
      </c>
      <c r="H53" s="26"/>
      <c r="I53" s="18">
        <v>0</v>
      </c>
      <c r="J53" s="24">
        <v>19</v>
      </c>
      <c r="K53" s="20">
        <f t="shared" si="0"/>
        <v>0</v>
      </c>
      <c r="L53" s="21" t="str">
        <f t="shared" si="1"/>
        <v/>
      </c>
      <c r="M53" s="50"/>
      <c r="N53" s="50"/>
      <c r="O53" s="50"/>
      <c r="P53" s="27" t="str">
        <f t="shared" si="3"/>
        <v/>
      </c>
      <c r="Q53" s="47"/>
      <c r="R53" s="50"/>
      <c r="S53" s="53"/>
      <c r="T53" s="56"/>
      <c r="U53" s="50"/>
      <c r="V53" s="36"/>
    </row>
    <row r="54" spans="1:22" ht="27.95" customHeight="1">
      <c r="A54" s="134"/>
      <c r="B54" s="158"/>
      <c r="C54" s="159"/>
      <c r="D54" s="161"/>
      <c r="E54" s="87"/>
      <c r="F54" s="87"/>
      <c r="G54" s="17">
        <v>30</v>
      </c>
      <c r="H54" s="26"/>
      <c r="I54" s="18">
        <v>0</v>
      </c>
      <c r="J54" s="24">
        <v>19</v>
      </c>
      <c r="K54" s="20">
        <f t="shared" si="0"/>
        <v>0</v>
      </c>
      <c r="L54" s="21" t="str">
        <f t="shared" si="1"/>
        <v/>
      </c>
      <c r="M54" s="51"/>
      <c r="N54" s="51"/>
      <c r="O54" s="51"/>
      <c r="P54" s="27" t="str">
        <f t="shared" si="3"/>
        <v/>
      </c>
      <c r="Q54" s="48"/>
      <c r="R54" s="51"/>
      <c r="S54" s="54"/>
      <c r="T54" s="57"/>
      <c r="U54" s="51"/>
      <c r="V54" s="37"/>
    </row>
    <row r="55" spans="1:22" ht="27.95" customHeight="1">
      <c r="A55" s="132">
        <f>A51+1</f>
        <v>12</v>
      </c>
      <c r="B55" s="155">
        <v>60121213</v>
      </c>
      <c r="C55" s="74" t="s">
        <v>69</v>
      </c>
      <c r="D55" s="67" t="s">
        <v>70</v>
      </c>
      <c r="E55" s="149" t="s">
        <v>38</v>
      </c>
      <c r="F55" s="85" t="s">
        <v>38</v>
      </c>
      <c r="G55" s="17">
        <v>15</v>
      </c>
      <c r="H55" s="26" t="s">
        <v>53</v>
      </c>
      <c r="I55" s="18">
        <v>11900</v>
      </c>
      <c r="J55" s="24">
        <v>19</v>
      </c>
      <c r="K55" s="20">
        <f t="shared" si="0"/>
        <v>14161</v>
      </c>
      <c r="L55" s="21">
        <f t="shared" si="1"/>
        <v>212415</v>
      </c>
      <c r="M55" s="49">
        <f t="shared" ref="M55" si="20">IF(L55="","",AVERAGE(L55:L59))</f>
        <v>248111.34075</v>
      </c>
      <c r="N55" s="49">
        <f>IFERROR(HARMEAN(L55:L59),"")</f>
        <v>242975.62732759726</v>
      </c>
      <c r="O55" s="49">
        <f>IFERROR(MEDIAN(L55:L59),"")</f>
        <v>248111.34075</v>
      </c>
      <c r="P55" s="27">
        <f t="shared" si="3"/>
        <v>212415</v>
      </c>
      <c r="Q55" s="46">
        <f>IFERROR(SUM(P55:P59)/COUNTA(P55:P59),"")</f>
        <v>99244.536300000007</v>
      </c>
      <c r="R55" s="49">
        <f>IFERROR(_xlfn.STDEV.S(L55:L59),"")</f>
        <v>50482.249215741351</v>
      </c>
      <c r="S55" s="52">
        <f>IFERROR(R55/M55,"")</f>
        <v>0.2034661094617512</v>
      </c>
      <c r="T55" s="55"/>
      <c r="U55" s="49">
        <f>M55</f>
        <v>248111.34075</v>
      </c>
      <c r="V55" s="43"/>
    </row>
    <row r="56" spans="1:22" ht="27.95" customHeight="1">
      <c r="A56" s="133"/>
      <c r="B56" s="145"/>
      <c r="C56" s="59"/>
      <c r="D56" s="68"/>
      <c r="E56" s="150"/>
      <c r="F56" s="86"/>
      <c r="G56" s="17">
        <v>15</v>
      </c>
      <c r="H56" s="26" t="s">
        <v>60</v>
      </c>
      <c r="I56" s="18">
        <v>15899.59</v>
      </c>
      <c r="J56" s="24">
        <v>19</v>
      </c>
      <c r="K56" s="20">
        <f t="shared" si="0"/>
        <v>18920.5121</v>
      </c>
      <c r="L56" s="21">
        <f t="shared" si="1"/>
        <v>283807.68150000001</v>
      </c>
      <c r="M56" s="50"/>
      <c r="N56" s="50"/>
      <c r="O56" s="50"/>
      <c r="P56" s="27">
        <f t="shared" si="3"/>
        <v>283807.68150000001</v>
      </c>
      <c r="Q56" s="47"/>
      <c r="R56" s="50"/>
      <c r="S56" s="53"/>
      <c r="T56" s="56"/>
      <c r="U56" s="50"/>
      <c r="V56" s="42"/>
    </row>
    <row r="57" spans="1:22" ht="27.95" customHeight="1">
      <c r="A57" s="133"/>
      <c r="B57" s="145"/>
      <c r="C57" s="59"/>
      <c r="D57" s="68"/>
      <c r="E57" s="150"/>
      <c r="F57" s="86"/>
      <c r="G57" s="17">
        <v>15</v>
      </c>
      <c r="H57" s="26"/>
      <c r="I57" s="18">
        <v>0</v>
      </c>
      <c r="J57" s="24">
        <v>19</v>
      </c>
      <c r="K57" s="20">
        <f t="shared" si="0"/>
        <v>0</v>
      </c>
      <c r="L57" s="21" t="str">
        <f t="shared" si="1"/>
        <v/>
      </c>
      <c r="M57" s="50"/>
      <c r="N57" s="50"/>
      <c r="O57" s="50"/>
      <c r="P57" s="27" t="str">
        <f t="shared" si="3"/>
        <v/>
      </c>
      <c r="Q57" s="47"/>
      <c r="R57" s="50"/>
      <c r="S57" s="53"/>
      <c r="T57" s="56"/>
      <c r="U57" s="50"/>
      <c r="V57" s="36"/>
    </row>
    <row r="58" spans="1:22" ht="27.95" customHeight="1">
      <c r="A58" s="133"/>
      <c r="B58" s="145"/>
      <c r="C58" s="59"/>
      <c r="D58" s="68"/>
      <c r="E58" s="150"/>
      <c r="F58" s="86"/>
      <c r="G58" s="17">
        <v>15</v>
      </c>
      <c r="H58" s="26"/>
      <c r="I58" s="18">
        <v>0</v>
      </c>
      <c r="J58" s="24">
        <v>19</v>
      </c>
      <c r="K58" s="20">
        <f t="shared" si="0"/>
        <v>0</v>
      </c>
      <c r="L58" s="21" t="str">
        <f t="shared" si="1"/>
        <v/>
      </c>
      <c r="M58" s="50"/>
      <c r="N58" s="50"/>
      <c r="O58" s="50"/>
      <c r="P58" s="27" t="str">
        <f t="shared" si="3"/>
        <v/>
      </c>
      <c r="Q58" s="47"/>
      <c r="R58" s="50"/>
      <c r="S58" s="53"/>
      <c r="T58" s="56"/>
      <c r="U58" s="50"/>
      <c r="V58" s="36"/>
    </row>
    <row r="59" spans="1:22" ht="27.95" customHeight="1">
      <c r="A59" s="134"/>
      <c r="B59" s="146"/>
      <c r="C59" s="60"/>
      <c r="D59" s="69"/>
      <c r="E59" s="151"/>
      <c r="F59" s="87"/>
      <c r="G59" s="17">
        <v>15</v>
      </c>
      <c r="H59" s="26"/>
      <c r="I59" s="18">
        <v>0</v>
      </c>
      <c r="J59" s="24">
        <v>19</v>
      </c>
      <c r="K59" s="20">
        <f t="shared" si="0"/>
        <v>0</v>
      </c>
      <c r="L59" s="21" t="str">
        <f t="shared" si="1"/>
        <v/>
      </c>
      <c r="M59" s="51"/>
      <c r="N59" s="51"/>
      <c r="O59" s="51"/>
      <c r="P59" s="27" t="str">
        <f t="shared" si="3"/>
        <v/>
      </c>
      <c r="Q59" s="48"/>
      <c r="R59" s="51"/>
      <c r="S59" s="54"/>
      <c r="T59" s="57"/>
      <c r="U59" s="51"/>
      <c r="V59" s="37"/>
    </row>
    <row r="60" spans="1:22" ht="27.95" customHeight="1">
      <c r="A60" s="132">
        <f t="shared" ref="A60" si="21">A55+1</f>
        <v>13</v>
      </c>
      <c r="B60" s="155">
        <v>40101811</v>
      </c>
      <c r="C60" s="74" t="s">
        <v>71</v>
      </c>
      <c r="D60" s="67" t="s">
        <v>72</v>
      </c>
      <c r="E60" s="149" t="s">
        <v>38</v>
      </c>
      <c r="F60" s="85" t="s">
        <v>38</v>
      </c>
      <c r="G60" s="17">
        <v>5</v>
      </c>
      <c r="H60" s="26" t="s">
        <v>53</v>
      </c>
      <c r="I60" s="18">
        <v>84899.955000000002</v>
      </c>
      <c r="J60" s="24">
        <v>19</v>
      </c>
      <c r="K60" s="20">
        <f t="shared" si="0"/>
        <v>101030.94645</v>
      </c>
      <c r="L60" s="21">
        <f t="shared" si="1"/>
        <v>505154.73225</v>
      </c>
      <c r="M60" s="49">
        <f t="shared" ref="M60" si="22">IF(L60="","",AVERAGE(L60:L63))</f>
        <v>490280.37187500001</v>
      </c>
      <c r="N60" s="49">
        <f>IFERROR(HARMEAN(L60:L63),"")</f>
        <v>489829.10641699436</v>
      </c>
      <c r="O60" s="49">
        <f>IFERROR(MEDIAN(L60:L63),"")</f>
        <v>490280.37187500001</v>
      </c>
      <c r="P60" s="27">
        <f t="shared" si="3"/>
        <v>505154.73225</v>
      </c>
      <c r="Q60" s="46">
        <f>IFERROR(SUM(P60:P63)/COUNTA(P60:P63),"")</f>
        <v>245140.18593750001</v>
      </c>
      <c r="R60" s="49">
        <f>IFERROR(_xlfn.STDEV.S(L60:L63),"")</f>
        <v>21035.522173949939</v>
      </c>
      <c r="S60" s="52">
        <f>IFERROR(R60/M60,"")</f>
        <v>4.2905087335034238E-2</v>
      </c>
      <c r="T60" s="55"/>
      <c r="U60" s="49">
        <f>M60</f>
        <v>490280.37187500001</v>
      </c>
      <c r="V60" s="43"/>
    </row>
    <row r="61" spans="1:22" ht="27.95" customHeight="1">
      <c r="A61" s="133"/>
      <c r="B61" s="145"/>
      <c r="C61" s="59"/>
      <c r="D61" s="68"/>
      <c r="E61" s="150"/>
      <c r="F61" s="86"/>
      <c r="G61" s="17">
        <v>5</v>
      </c>
      <c r="H61" s="26" t="s">
        <v>60</v>
      </c>
      <c r="I61" s="18">
        <v>79900.17</v>
      </c>
      <c r="J61" s="24">
        <v>19</v>
      </c>
      <c r="K61" s="20">
        <f t="shared" si="0"/>
        <v>95081.202300000004</v>
      </c>
      <c r="L61" s="21">
        <f t="shared" si="1"/>
        <v>475406.01150000002</v>
      </c>
      <c r="M61" s="50"/>
      <c r="N61" s="50"/>
      <c r="O61" s="50"/>
      <c r="P61" s="27">
        <f t="shared" si="3"/>
        <v>475406.01150000002</v>
      </c>
      <c r="Q61" s="47"/>
      <c r="R61" s="50"/>
      <c r="S61" s="53"/>
      <c r="T61" s="56"/>
      <c r="U61" s="50"/>
      <c r="V61" s="43"/>
    </row>
    <row r="62" spans="1:22" ht="27.95" customHeight="1">
      <c r="A62" s="133"/>
      <c r="B62" s="145"/>
      <c r="C62" s="59"/>
      <c r="D62" s="68"/>
      <c r="E62" s="150"/>
      <c r="F62" s="86"/>
      <c r="G62" s="17">
        <v>5</v>
      </c>
      <c r="H62" s="26"/>
      <c r="I62" s="18">
        <v>0</v>
      </c>
      <c r="J62" s="24">
        <v>19</v>
      </c>
      <c r="K62" s="20">
        <f t="shared" si="0"/>
        <v>0</v>
      </c>
      <c r="L62" s="21" t="str">
        <f t="shared" si="1"/>
        <v/>
      </c>
      <c r="M62" s="50"/>
      <c r="N62" s="50"/>
      <c r="O62" s="50"/>
      <c r="P62" s="27" t="str">
        <f t="shared" si="3"/>
        <v/>
      </c>
      <c r="Q62" s="47"/>
      <c r="R62" s="50"/>
      <c r="S62" s="53"/>
      <c r="T62" s="56"/>
      <c r="U62" s="50"/>
      <c r="V62" s="36"/>
    </row>
    <row r="63" spans="1:22" ht="27.95" customHeight="1">
      <c r="A63" s="134"/>
      <c r="B63" s="146"/>
      <c r="C63" s="60"/>
      <c r="D63" s="69"/>
      <c r="E63" s="151"/>
      <c r="F63" s="87"/>
      <c r="G63" s="17">
        <v>5</v>
      </c>
      <c r="H63" s="26"/>
      <c r="I63" s="18">
        <v>0</v>
      </c>
      <c r="J63" s="24">
        <v>19</v>
      </c>
      <c r="K63" s="20">
        <f t="shared" si="0"/>
        <v>0</v>
      </c>
      <c r="L63" s="21" t="str">
        <f t="shared" si="1"/>
        <v/>
      </c>
      <c r="M63" s="51"/>
      <c r="N63" s="51"/>
      <c r="O63" s="51"/>
      <c r="P63" s="27" t="str">
        <f t="shared" si="3"/>
        <v/>
      </c>
      <c r="Q63" s="48"/>
      <c r="R63" s="51"/>
      <c r="S63" s="54"/>
      <c r="T63" s="57"/>
      <c r="U63" s="51"/>
      <c r="V63" s="37"/>
    </row>
    <row r="64" spans="1:22" ht="27.95" customHeight="1">
      <c r="A64" s="132">
        <f t="shared" ref="A64" si="23">A60+1</f>
        <v>14</v>
      </c>
      <c r="B64" s="155">
        <v>31201503</v>
      </c>
      <c r="C64" s="74" t="s">
        <v>73</v>
      </c>
      <c r="D64" s="67" t="s">
        <v>74</v>
      </c>
      <c r="E64" s="149" t="s">
        <v>38</v>
      </c>
      <c r="F64" s="85" t="s">
        <v>38</v>
      </c>
      <c r="G64" s="17">
        <v>10</v>
      </c>
      <c r="H64" s="26" t="s">
        <v>52</v>
      </c>
      <c r="I64" s="18">
        <v>11305</v>
      </c>
      <c r="J64" s="24">
        <v>19</v>
      </c>
      <c r="K64" s="20">
        <f t="shared" si="0"/>
        <v>13452.95</v>
      </c>
      <c r="L64" s="21">
        <f t="shared" si="1"/>
        <v>134529.5</v>
      </c>
      <c r="M64" s="49">
        <f t="shared" ref="M64" si="24">IF(L64="","",AVERAGE(L64:L67))</f>
        <v>146994.72025000001</v>
      </c>
      <c r="N64" s="49">
        <f>IFERROR(HARMEAN(L64:L67),"")</f>
        <v>145937.6638086751</v>
      </c>
      <c r="O64" s="49">
        <f>IFERROR(MEDIAN(L64:L67),"")</f>
        <v>146994.72025000001</v>
      </c>
      <c r="P64" s="27">
        <f t="shared" si="3"/>
        <v>134529.5</v>
      </c>
      <c r="Q64" s="46">
        <f>IFERROR(SUM(P64:P67)/COUNTA(P64:P67),"")</f>
        <v>73497.360125000007</v>
      </c>
      <c r="R64" s="49">
        <f>IFERROR(_xlfn.STDEV.S(L64:L67),"")</f>
        <v>17628.483535517742</v>
      </c>
      <c r="S64" s="52">
        <f>IFERROR(R64/M64,"")</f>
        <v>0.1199259640450776</v>
      </c>
      <c r="T64" s="55"/>
      <c r="U64" s="49">
        <f>M64</f>
        <v>146994.72025000001</v>
      </c>
      <c r="V64" s="43"/>
    </row>
    <row r="65" spans="1:22" ht="27.95" customHeight="1">
      <c r="A65" s="133"/>
      <c r="B65" s="145"/>
      <c r="C65" s="59"/>
      <c r="D65" s="68"/>
      <c r="E65" s="150"/>
      <c r="F65" s="86"/>
      <c r="G65" s="17">
        <v>10</v>
      </c>
      <c r="H65" s="26" t="s">
        <v>75</v>
      </c>
      <c r="I65" s="18">
        <v>13399.994999999999</v>
      </c>
      <c r="J65" s="24">
        <v>20</v>
      </c>
      <c r="K65" s="20">
        <f t="shared" ref="K65:K128" si="25">(I65*0.19)+I65</f>
        <v>15945.994049999999</v>
      </c>
      <c r="L65" s="21">
        <f t="shared" si="1"/>
        <v>159459.9405</v>
      </c>
      <c r="M65" s="50"/>
      <c r="N65" s="50"/>
      <c r="O65" s="50"/>
      <c r="P65" s="27">
        <f t="shared" si="3"/>
        <v>159459.9405</v>
      </c>
      <c r="Q65" s="47"/>
      <c r="R65" s="50"/>
      <c r="S65" s="53"/>
      <c r="T65" s="56"/>
      <c r="U65" s="50"/>
      <c r="V65" s="42"/>
    </row>
    <row r="66" spans="1:22" ht="27.95" customHeight="1">
      <c r="A66" s="133"/>
      <c r="B66" s="145"/>
      <c r="C66" s="59"/>
      <c r="D66" s="68"/>
      <c r="E66" s="150"/>
      <c r="F66" s="86"/>
      <c r="G66" s="17">
        <v>10</v>
      </c>
      <c r="H66" s="26"/>
      <c r="I66" s="18">
        <v>0</v>
      </c>
      <c r="J66" s="24">
        <v>19</v>
      </c>
      <c r="K66" s="20">
        <f t="shared" si="25"/>
        <v>0</v>
      </c>
      <c r="L66" s="21" t="str">
        <f t="shared" si="1"/>
        <v/>
      </c>
      <c r="M66" s="50"/>
      <c r="N66" s="50"/>
      <c r="O66" s="50"/>
      <c r="P66" s="27" t="str">
        <f t="shared" si="3"/>
        <v/>
      </c>
      <c r="Q66" s="47"/>
      <c r="R66" s="50"/>
      <c r="S66" s="53"/>
      <c r="T66" s="56"/>
      <c r="U66" s="50"/>
      <c r="V66" s="36"/>
    </row>
    <row r="67" spans="1:22" ht="27.95" customHeight="1">
      <c r="A67" s="134"/>
      <c r="B67" s="146"/>
      <c r="C67" s="60"/>
      <c r="D67" s="69"/>
      <c r="E67" s="151"/>
      <c r="F67" s="87"/>
      <c r="G67" s="17">
        <v>10</v>
      </c>
      <c r="H67" s="26"/>
      <c r="I67" s="18">
        <v>0</v>
      </c>
      <c r="J67" s="24">
        <v>19</v>
      </c>
      <c r="K67" s="20">
        <f t="shared" si="25"/>
        <v>0</v>
      </c>
      <c r="L67" s="21" t="str">
        <f t="shared" si="1"/>
        <v/>
      </c>
      <c r="M67" s="51"/>
      <c r="N67" s="51"/>
      <c r="O67" s="51"/>
      <c r="P67" s="27" t="str">
        <f t="shared" si="3"/>
        <v/>
      </c>
      <c r="Q67" s="48"/>
      <c r="R67" s="51"/>
      <c r="S67" s="54"/>
      <c r="T67" s="57"/>
      <c r="U67" s="51"/>
      <c r="V67" s="37"/>
    </row>
    <row r="68" spans="1:22" ht="27.95" customHeight="1">
      <c r="A68" s="132">
        <f t="shared" ref="A68" si="26">A64+1</f>
        <v>15</v>
      </c>
      <c r="B68" s="155">
        <v>60121223</v>
      </c>
      <c r="C68" s="74" t="s">
        <v>76</v>
      </c>
      <c r="D68" s="67" t="s">
        <v>77</v>
      </c>
      <c r="E68" s="149" t="s">
        <v>38</v>
      </c>
      <c r="F68" s="85" t="s">
        <v>38</v>
      </c>
      <c r="G68" s="17">
        <v>15</v>
      </c>
      <c r="H68" s="26" t="s">
        <v>75</v>
      </c>
      <c r="I68" s="18">
        <v>29900</v>
      </c>
      <c r="J68" s="24">
        <v>19</v>
      </c>
      <c r="K68" s="20">
        <f t="shared" si="25"/>
        <v>35581</v>
      </c>
      <c r="L68" s="21">
        <f t="shared" si="1"/>
        <v>533715</v>
      </c>
      <c r="M68" s="49">
        <f t="shared" ref="M68" si="27">IF(L68="","",AVERAGE(L68:L71))</f>
        <v>667589.01824999996</v>
      </c>
      <c r="N68" s="49">
        <f>IFERROR(HARMEAN(L68:L71),"")</f>
        <v>640742.78160970553</v>
      </c>
      <c r="O68" s="49">
        <f>IFERROR(MEDIAN(L68:L71),"")</f>
        <v>667589.01824999996</v>
      </c>
      <c r="P68" s="27">
        <f t="shared" si="3"/>
        <v>533715</v>
      </c>
      <c r="Q68" s="46">
        <f>IFERROR(SUM(P68:P71)/COUNTA(P68:P71),"")</f>
        <v>333794.50912499998</v>
      </c>
      <c r="R68" s="49">
        <f>IFERROR(_xlfn.STDEV.S(L68:L71),"")</f>
        <v>189326.4522585331</v>
      </c>
      <c r="S68" s="52">
        <f>IFERROR(R68/M68,"")</f>
        <v>0.28359731374076286</v>
      </c>
      <c r="T68" s="55"/>
      <c r="U68" s="49">
        <f>M68</f>
        <v>667589.01824999996</v>
      </c>
      <c r="V68" s="38"/>
    </row>
    <row r="69" spans="1:22" ht="27.95" customHeight="1">
      <c r="A69" s="133"/>
      <c r="B69" s="145"/>
      <c r="C69" s="59"/>
      <c r="D69" s="68"/>
      <c r="E69" s="150"/>
      <c r="F69" s="86"/>
      <c r="G69" s="17">
        <v>15</v>
      </c>
      <c r="H69" s="26" t="s">
        <v>53</v>
      </c>
      <c r="I69" s="18">
        <v>44899.89</v>
      </c>
      <c r="J69" s="24">
        <v>20</v>
      </c>
      <c r="K69" s="20">
        <f t="shared" si="25"/>
        <v>53430.869099999996</v>
      </c>
      <c r="L69" s="21">
        <f t="shared" si="1"/>
        <v>801463.03649999993</v>
      </c>
      <c r="M69" s="50"/>
      <c r="N69" s="50"/>
      <c r="O69" s="50"/>
      <c r="P69" s="27">
        <f t="shared" ref="P69:P91" si="28">IF(L69="","",L69)</f>
        <v>801463.03649999993</v>
      </c>
      <c r="Q69" s="47"/>
      <c r="R69" s="50"/>
      <c r="S69" s="53"/>
      <c r="T69" s="56"/>
      <c r="U69" s="50"/>
      <c r="V69" s="39"/>
    </row>
    <row r="70" spans="1:22" ht="27.95" customHeight="1">
      <c r="A70" s="133"/>
      <c r="B70" s="145"/>
      <c r="C70" s="59"/>
      <c r="D70" s="68"/>
      <c r="E70" s="150"/>
      <c r="F70" s="86"/>
      <c r="G70" s="17">
        <v>15</v>
      </c>
      <c r="H70" s="26"/>
      <c r="I70" s="18">
        <v>0</v>
      </c>
      <c r="J70" s="24">
        <v>19</v>
      </c>
      <c r="K70" s="20">
        <f t="shared" si="25"/>
        <v>0</v>
      </c>
      <c r="L70" s="21" t="str">
        <f t="shared" ref="L70:L133" si="29">IF(I70=0,"",(K70)*$G70)</f>
        <v/>
      </c>
      <c r="M70" s="50"/>
      <c r="N70" s="50"/>
      <c r="O70" s="50"/>
      <c r="P70" s="27" t="str">
        <f t="shared" si="28"/>
        <v/>
      </c>
      <c r="Q70" s="47"/>
      <c r="R70" s="50"/>
      <c r="S70" s="53"/>
      <c r="T70" s="56"/>
      <c r="U70" s="50"/>
      <c r="V70" s="36"/>
    </row>
    <row r="71" spans="1:22" ht="27.95" customHeight="1">
      <c r="A71" s="134"/>
      <c r="B71" s="146"/>
      <c r="C71" s="60"/>
      <c r="D71" s="69"/>
      <c r="E71" s="151"/>
      <c r="F71" s="87"/>
      <c r="G71" s="17">
        <v>15</v>
      </c>
      <c r="H71" s="26"/>
      <c r="I71" s="18">
        <v>0</v>
      </c>
      <c r="J71" s="24">
        <v>19</v>
      </c>
      <c r="K71" s="20">
        <f t="shared" si="25"/>
        <v>0</v>
      </c>
      <c r="L71" s="21" t="str">
        <f t="shared" si="29"/>
        <v/>
      </c>
      <c r="M71" s="51"/>
      <c r="N71" s="51"/>
      <c r="O71" s="51"/>
      <c r="P71" s="27" t="str">
        <f t="shared" si="28"/>
        <v/>
      </c>
      <c r="Q71" s="48"/>
      <c r="R71" s="51"/>
      <c r="S71" s="54"/>
      <c r="T71" s="57"/>
      <c r="U71" s="51"/>
      <c r="V71" s="37"/>
    </row>
    <row r="72" spans="1:22" ht="27.95" customHeight="1">
      <c r="A72" s="132">
        <f t="shared" ref="A72" si="30">A68+1</f>
        <v>16</v>
      </c>
      <c r="B72" s="155">
        <v>47131502</v>
      </c>
      <c r="C72" s="74" t="s">
        <v>78</v>
      </c>
      <c r="D72" s="67" t="s">
        <v>79</v>
      </c>
      <c r="E72" s="149" t="s">
        <v>38</v>
      </c>
      <c r="F72" s="85" t="s">
        <v>38</v>
      </c>
      <c r="G72" s="17">
        <v>50</v>
      </c>
      <c r="H72" s="26" t="s">
        <v>80</v>
      </c>
      <c r="I72" s="18">
        <v>22585.010000000002</v>
      </c>
      <c r="J72" s="24">
        <v>19</v>
      </c>
      <c r="K72" s="20">
        <f t="shared" si="25"/>
        <v>26876.161900000003</v>
      </c>
      <c r="L72" s="21">
        <f t="shared" si="29"/>
        <v>1343808.0950000002</v>
      </c>
      <c r="M72" s="49">
        <f t="shared" ref="M72" si="31">IF(L72="","",AVERAGE(L72:L75))</f>
        <v>1415356.5475000001</v>
      </c>
      <c r="N72" s="49">
        <f>IFERROR(HARMEAN(L72:L75),"")</f>
        <v>1411739.6630731134</v>
      </c>
      <c r="O72" s="49">
        <f>IFERROR(MEDIAN(L72:L75),"")</f>
        <v>1415356.5475000001</v>
      </c>
      <c r="P72" s="27">
        <f t="shared" si="28"/>
        <v>1343808.0950000002</v>
      </c>
      <c r="Q72" s="46">
        <f>IFERROR(SUM(P72:P75)/COUNTA(P72:P75),"")</f>
        <v>707678.27375000005</v>
      </c>
      <c r="R72" s="49">
        <f>IFERROR(_xlfn.STDEV.S(L72:L75),"")</f>
        <v>101184.79189230704</v>
      </c>
      <c r="S72" s="52">
        <f>IFERROR(R72/M72,"")</f>
        <v>7.1490672842142652E-2</v>
      </c>
      <c r="T72" s="55"/>
      <c r="U72" s="49">
        <f>M72</f>
        <v>1415356.5475000001</v>
      </c>
      <c r="V72" s="38"/>
    </row>
    <row r="73" spans="1:22" ht="27.95" customHeight="1">
      <c r="A73" s="133"/>
      <c r="B73" s="145"/>
      <c r="C73" s="59"/>
      <c r="D73" s="68"/>
      <c r="E73" s="150"/>
      <c r="F73" s="86"/>
      <c r="G73" s="17">
        <v>50</v>
      </c>
      <c r="H73" s="26" t="s">
        <v>81</v>
      </c>
      <c r="I73" s="18">
        <v>24990</v>
      </c>
      <c r="J73" s="24">
        <v>19</v>
      </c>
      <c r="K73" s="20">
        <f t="shared" si="25"/>
        <v>29738.1</v>
      </c>
      <c r="L73" s="21">
        <f t="shared" si="29"/>
        <v>1486905</v>
      </c>
      <c r="M73" s="50"/>
      <c r="N73" s="50"/>
      <c r="O73" s="50"/>
      <c r="P73" s="27">
        <f t="shared" si="28"/>
        <v>1486905</v>
      </c>
      <c r="Q73" s="47"/>
      <c r="R73" s="50"/>
      <c r="S73" s="53"/>
      <c r="T73" s="56"/>
      <c r="U73" s="50"/>
      <c r="V73" s="39"/>
    </row>
    <row r="74" spans="1:22" ht="27.95" customHeight="1">
      <c r="A74" s="133"/>
      <c r="B74" s="145"/>
      <c r="C74" s="59"/>
      <c r="D74" s="68"/>
      <c r="E74" s="150"/>
      <c r="F74" s="86"/>
      <c r="G74" s="17">
        <v>50</v>
      </c>
      <c r="H74" s="26"/>
      <c r="I74" s="18">
        <v>0</v>
      </c>
      <c r="J74" s="24">
        <v>19</v>
      </c>
      <c r="K74" s="20">
        <f t="shared" si="25"/>
        <v>0</v>
      </c>
      <c r="L74" s="21" t="str">
        <f t="shared" si="29"/>
        <v/>
      </c>
      <c r="M74" s="50"/>
      <c r="N74" s="50"/>
      <c r="O74" s="50"/>
      <c r="P74" s="27" t="str">
        <f t="shared" si="28"/>
        <v/>
      </c>
      <c r="Q74" s="47"/>
      <c r="R74" s="50"/>
      <c r="S74" s="53"/>
      <c r="T74" s="56"/>
      <c r="U74" s="50"/>
      <c r="V74" s="36"/>
    </row>
    <row r="75" spans="1:22" ht="27.95" customHeight="1">
      <c r="A75" s="134"/>
      <c r="B75" s="146"/>
      <c r="C75" s="60"/>
      <c r="D75" s="69"/>
      <c r="E75" s="151"/>
      <c r="F75" s="87"/>
      <c r="G75" s="17">
        <v>50</v>
      </c>
      <c r="H75" s="26"/>
      <c r="I75" s="18">
        <v>0</v>
      </c>
      <c r="J75" s="24">
        <v>19</v>
      </c>
      <c r="K75" s="20">
        <f t="shared" si="25"/>
        <v>0</v>
      </c>
      <c r="L75" s="21" t="str">
        <f t="shared" si="29"/>
        <v/>
      </c>
      <c r="M75" s="51"/>
      <c r="N75" s="51"/>
      <c r="O75" s="51"/>
      <c r="P75" s="27" t="str">
        <f t="shared" si="28"/>
        <v/>
      </c>
      <c r="Q75" s="48"/>
      <c r="R75" s="51"/>
      <c r="S75" s="54"/>
      <c r="T75" s="57"/>
      <c r="U75" s="51"/>
      <c r="V75" s="37"/>
    </row>
    <row r="76" spans="1:22" ht="27.95" customHeight="1">
      <c r="A76" s="132">
        <f t="shared" ref="A76" si="32">A72+1</f>
        <v>17</v>
      </c>
      <c r="B76" s="155">
        <v>24141510</v>
      </c>
      <c r="C76" s="74" t="s">
        <v>82</v>
      </c>
      <c r="D76" s="67" t="s">
        <v>83</v>
      </c>
      <c r="E76" s="149" t="s">
        <v>84</v>
      </c>
      <c r="F76" s="85" t="s">
        <v>84</v>
      </c>
      <c r="G76" s="17">
        <v>15</v>
      </c>
      <c r="H76" s="26" t="s">
        <v>85</v>
      </c>
      <c r="I76" s="18">
        <v>18899.580000000002</v>
      </c>
      <c r="J76" s="24">
        <v>19</v>
      </c>
      <c r="K76" s="20">
        <f t="shared" si="25"/>
        <v>22490.500200000002</v>
      </c>
      <c r="L76" s="21">
        <f t="shared" si="29"/>
        <v>337357.50300000003</v>
      </c>
      <c r="M76" s="49">
        <f t="shared" ref="M76" si="33">IF(L76="","",AVERAGE(L76:L79))</f>
        <v>302553.30524999998</v>
      </c>
      <c r="N76" s="49">
        <f>IFERROR(HARMEAN(L76:L79),"")</f>
        <v>298549.60686032224</v>
      </c>
      <c r="O76" s="49">
        <f>IFERROR(MEDIAN(L76:L79),"")</f>
        <v>302553.30524999998</v>
      </c>
      <c r="P76" s="27">
        <f t="shared" si="28"/>
        <v>337357.50300000003</v>
      </c>
      <c r="Q76" s="46">
        <f>IFERROR(SUM(P76:P79)/COUNTA(P76:P79),"")</f>
        <v>151276.65262499999</v>
      </c>
      <c r="R76" s="49">
        <f>IFERROR(_xlfn.STDEV.S(L76:L79),"")</f>
        <v>49220.568485565738</v>
      </c>
      <c r="S76" s="52">
        <f>IFERROR(R76/M76,"")</f>
        <v>0.1626839556252567</v>
      </c>
      <c r="T76" s="55"/>
      <c r="U76" s="49">
        <f>M76</f>
        <v>302553.30524999998</v>
      </c>
      <c r="V76" s="38"/>
    </row>
    <row r="77" spans="1:22" ht="27.95" customHeight="1">
      <c r="A77" s="133"/>
      <c r="B77" s="145"/>
      <c r="C77" s="59"/>
      <c r="D77" s="68"/>
      <c r="E77" s="150"/>
      <c r="F77" s="86"/>
      <c r="G77" s="17">
        <v>15</v>
      </c>
      <c r="H77" s="26" t="s">
        <v>86</v>
      </c>
      <c r="I77" s="18">
        <v>14999.95</v>
      </c>
      <c r="J77" s="24">
        <v>19</v>
      </c>
      <c r="K77" s="20">
        <f t="shared" si="25"/>
        <v>17849.940500000001</v>
      </c>
      <c r="L77" s="21">
        <f t="shared" si="29"/>
        <v>267749.10749999998</v>
      </c>
      <c r="M77" s="50"/>
      <c r="N77" s="50"/>
      <c r="O77" s="50"/>
      <c r="P77" s="27">
        <f t="shared" si="28"/>
        <v>267749.10749999998</v>
      </c>
      <c r="Q77" s="47"/>
      <c r="R77" s="50"/>
      <c r="S77" s="53"/>
      <c r="T77" s="56"/>
      <c r="U77" s="50"/>
      <c r="V77" s="39"/>
    </row>
    <row r="78" spans="1:22" ht="27.95" customHeight="1">
      <c r="A78" s="133"/>
      <c r="B78" s="145"/>
      <c r="C78" s="59"/>
      <c r="D78" s="68"/>
      <c r="E78" s="150"/>
      <c r="F78" s="86"/>
      <c r="G78" s="17">
        <v>15</v>
      </c>
      <c r="H78" s="26"/>
      <c r="I78" s="18">
        <v>0</v>
      </c>
      <c r="J78" s="24">
        <v>19</v>
      </c>
      <c r="K78" s="20">
        <f t="shared" si="25"/>
        <v>0</v>
      </c>
      <c r="L78" s="21" t="str">
        <f t="shared" si="29"/>
        <v/>
      </c>
      <c r="M78" s="50"/>
      <c r="N78" s="50"/>
      <c r="O78" s="50"/>
      <c r="P78" s="27" t="str">
        <f t="shared" si="28"/>
        <v/>
      </c>
      <c r="Q78" s="47"/>
      <c r="R78" s="50"/>
      <c r="S78" s="53"/>
      <c r="T78" s="56"/>
      <c r="U78" s="50"/>
      <c r="V78" s="36"/>
    </row>
    <row r="79" spans="1:22" ht="27.95" customHeight="1">
      <c r="A79" s="134"/>
      <c r="B79" s="146"/>
      <c r="C79" s="60"/>
      <c r="D79" s="69"/>
      <c r="E79" s="151"/>
      <c r="F79" s="87"/>
      <c r="G79" s="17">
        <v>15</v>
      </c>
      <c r="H79" s="26"/>
      <c r="I79" s="18">
        <v>0</v>
      </c>
      <c r="J79" s="24">
        <v>19</v>
      </c>
      <c r="K79" s="20">
        <f t="shared" si="25"/>
        <v>0</v>
      </c>
      <c r="L79" s="21" t="str">
        <f t="shared" si="29"/>
        <v/>
      </c>
      <c r="M79" s="51"/>
      <c r="N79" s="51"/>
      <c r="O79" s="51"/>
      <c r="P79" s="27" t="str">
        <f t="shared" si="28"/>
        <v/>
      </c>
      <c r="Q79" s="48"/>
      <c r="R79" s="51"/>
      <c r="S79" s="54"/>
      <c r="T79" s="57"/>
      <c r="U79" s="51"/>
      <c r="V79" s="37"/>
    </row>
    <row r="80" spans="1:22" ht="27.95" customHeight="1">
      <c r="A80" s="132">
        <f t="shared" ref="A80" si="34">A76+1</f>
        <v>18</v>
      </c>
      <c r="B80" s="155">
        <v>41111604</v>
      </c>
      <c r="C80" s="74" t="s">
        <v>87</v>
      </c>
      <c r="D80" s="67" t="s">
        <v>88</v>
      </c>
      <c r="E80" s="149" t="s">
        <v>56</v>
      </c>
      <c r="F80" s="85" t="s">
        <v>38</v>
      </c>
      <c r="G80" s="17">
        <v>15</v>
      </c>
      <c r="H80" s="26" t="s">
        <v>53</v>
      </c>
      <c r="I80" s="18">
        <v>27899.55</v>
      </c>
      <c r="J80" s="24">
        <v>19</v>
      </c>
      <c r="K80" s="20">
        <f t="shared" si="25"/>
        <v>33200.464500000002</v>
      </c>
      <c r="L80" s="21">
        <f t="shared" si="29"/>
        <v>498006.96750000003</v>
      </c>
      <c r="M80" s="49">
        <f t="shared" ref="M80" si="35">IF(L80="","",AVERAGE(L80:L83))</f>
        <v>340841.109</v>
      </c>
      <c r="N80" s="49">
        <f>IFERROR(HARMEAN(L80:L83),"")</f>
        <v>268370.07652826252</v>
      </c>
      <c r="O80" s="49">
        <f>IFERROR(MEDIAN(L80:L83),"")</f>
        <v>340841.10900000005</v>
      </c>
      <c r="P80" s="27">
        <f t="shared" si="28"/>
        <v>498006.96750000003</v>
      </c>
      <c r="Q80" s="46">
        <f>IFERROR(SUM(P80:P83)/COUNTA(P80:P83),"")</f>
        <v>170420.5545</v>
      </c>
      <c r="R80" s="49">
        <f>IFERROR(_xlfn.STDEV.S(L80:L83),"")</f>
        <v>222266.08863271077</v>
      </c>
      <c r="S80" s="52">
        <f>IFERROR(R80/M80,"")</f>
        <v>0.65211056637158982</v>
      </c>
      <c r="T80" s="55"/>
      <c r="U80" s="49">
        <f>M80</f>
        <v>340841.109</v>
      </c>
      <c r="V80" s="39"/>
    </row>
    <row r="81" spans="1:22" ht="27.95" customHeight="1">
      <c r="A81" s="133"/>
      <c r="B81" s="145"/>
      <c r="C81" s="59"/>
      <c r="D81" s="68"/>
      <c r="E81" s="150"/>
      <c r="F81" s="86"/>
      <c r="G81" s="17">
        <v>15</v>
      </c>
      <c r="H81" s="26" t="s">
        <v>81</v>
      </c>
      <c r="I81" s="18">
        <v>10289.93</v>
      </c>
      <c r="J81" s="24">
        <v>19</v>
      </c>
      <c r="K81" s="20">
        <f t="shared" si="25"/>
        <v>12245.0167</v>
      </c>
      <c r="L81" s="21">
        <f t="shared" si="29"/>
        <v>183675.25049999999</v>
      </c>
      <c r="M81" s="50"/>
      <c r="N81" s="50"/>
      <c r="O81" s="50"/>
      <c r="P81" s="27">
        <f t="shared" si="28"/>
        <v>183675.25049999999</v>
      </c>
      <c r="Q81" s="47"/>
      <c r="R81" s="50"/>
      <c r="S81" s="53"/>
      <c r="T81" s="56"/>
      <c r="U81" s="50"/>
      <c r="V81" s="38"/>
    </row>
    <row r="82" spans="1:22" ht="27.95" customHeight="1">
      <c r="A82" s="133"/>
      <c r="B82" s="145"/>
      <c r="C82" s="59"/>
      <c r="D82" s="68"/>
      <c r="E82" s="150"/>
      <c r="F82" s="86"/>
      <c r="G82" s="17">
        <v>15</v>
      </c>
      <c r="H82" s="26"/>
      <c r="I82" s="18">
        <v>0</v>
      </c>
      <c r="J82" s="24">
        <v>19</v>
      </c>
      <c r="K82" s="20">
        <f t="shared" si="25"/>
        <v>0</v>
      </c>
      <c r="L82" s="21" t="str">
        <f t="shared" si="29"/>
        <v/>
      </c>
      <c r="M82" s="50"/>
      <c r="N82" s="50"/>
      <c r="O82" s="50"/>
      <c r="P82" s="27" t="str">
        <f t="shared" si="28"/>
        <v/>
      </c>
      <c r="Q82" s="47"/>
      <c r="R82" s="50"/>
      <c r="S82" s="53"/>
      <c r="T82" s="56"/>
      <c r="U82" s="50"/>
    </row>
    <row r="83" spans="1:22" ht="27.95" customHeight="1">
      <c r="A83" s="134"/>
      <c r="B83" s="146"/>
      <c r="C83" s="60"/>
      <c r="D83" s="69"/>
      <c r="E83" s="151"/>
      <c r="F83" s="87"/>
      <c r="G83" s="17">
        <v>15</v>
      </c>
      <c r="H83" s="26"/>
      <c r="I83" s="18">
        <v>0</v>
      </c>
      <c r="J83" s="24">
        <v>19</v>
      </c>
      <c r="K83" s="20">
        <f t="shared" si="25"/>
        <v>0</v>
      </c>
      <c r="L83" s="21" t="str">
        <f t="shared" si="29"/>
        <v/>
      </c>
      <c r="M83" s="51"/>
      <c r="N83" s="51"/>
      <c r="O83" s="51"/>
      <c r="P83" s="27" t="str">
        <f t="shared" si="28"/>
        <v/>
      </c>
      <c r="Q83" s="48"/>
      <c r="R83" s="51"/>
      <c r="S83" s="54"/>
      <c r="T83" s="57"/>
      <c r="U83" s="51"/>
      <c r="V83" s="37"/>
    </row>
    <row r="84" spans="1:22" ht="27.95" customHeight="1">
      <c r="A84" s="132">
        <f t="shared" ref="A84" si="36">A80+1</f>
        <v>19</v>
      </c>
      <c r="B84" s="155">
        <v>14111516</v>
      </c>
      <c r="C84" s="74" t="s">
        <v>89</v>
      </c>
      <c r="D84" s="67" t="s">
        <v>90</v>
      </c>
      <c r="E84" s="149" t="s">
        <v>56</v>
      </c>
      <c r="F84" s="85" t="s">
        <v>38</v>
      </c>
      <c r="G84" s="17">
        <v>30</v>
      </c>
      <c r="H84" s="26" t="s">
        <v>91</v>
      </c>
      <c r="I84" s="18">
        <v>40400.5</v>
      </c>
      <c r="J84" s="24">
        <v>19</v>
      </c>
      <c r="K84" s="20">
        <f t="shared" si="25"/>
        <v>48076.595000000001</v>
      </c>
      <c r="L84" s="21">
        <f t="shared" si="29"/>
        <v>1442297.85</v>
      </c>
      <c r="M84" s="49">
        <f t="shared" ref="M84" si="37">IF(L84="","",AVERAGE(L84:L87))</f>
        <v>1145978.925</v>
      </c>
      <c r="N84" s="49">
        <f>IFERROR(HARMEAN(L84:L87),"")</f>
        <v>1069358.9249304913</v>
      </c>
      <c r="O84" s="49">
        <f>IFERROR(MEDIAN(L84:L87),"")</f>
        <v>1145978.925</v>
      </c>
      <c r="P84" s="27">
        <f t="shared" si="28"/>
        <v>1442297.85</v>
      </c>
      <c r="Q84" s="46">
        <f>IFERROR(SUM(P84:P87)/COUNTA(P84:P87),"")</f>
        <v>572989.46250000002</v>
      </c>
      <c r="R84" s="49">
        <f>IFERROR(_xlfn.STDEV.S(L84:L87),"")</f>
        <v>419058.24252281629</v>
      </c>
      <c r="S84" s="52">
        <f>IFERROR(R84/M84,"")</f>
        <v>0.3656770935144521</v>
      </c>
      <c r="T84" s="55"/>
      <c r="U84" s="49">
        <f>M84</f>
        <v>1145978.925</v>
      </c>
      <c r="V84" s="38"/>
    </row>
    <row r="85" spans="1:22" ht="27.95" customHeight="1">
      <c r="A85" s="133"/>
      <c r="B85" s="145"/>
      <c r="C85" s="59"/>
      <c r="D85" s="68"/>
      <c r="E85" s="150"/>
      <c r="F85" s="86"/>
      <c r="G85" s="17">
        <v>30</v>
      </c>
      <c r="H85" s="26" t="s">
        <v>92</v>
      </c>
      <c r="I85" s="18">
        <v>23800</v>
      </c>
      <c r="J85" s="24">
        <v>19</v>
      </c>
      <c r="K85" s="20">
        <f t="shared" si="25"/>
        <v>28322</v>
      </c>
      <c r="L85" s="21">
        <f t="shared" si="29"/>
        <v>849660</v>
      </c>
      <c r="M85" s="50"/>
      <c r="N85" s="50"/>
      <c r="O85" s="50"/>
      <c r="P85" s="27">
        <f t="shared" si="28"/>
        <v>849660</v>
      </c>
      <c r="Q85" s="47"/>
      <c r="R85" s="50"/>
      <c r="S85" s="53"/>
      <c r="T85" s="56"/>
      <c r="U85" s="50"/>
      <c r="V85" s="39"/>
    </row>
    <row r="86" spans="1:22" ht="27.95" customHeight="1">
      <c r="A86" s="133"/>
      <c r="B86" s="145"/>
      <c r="C86" s="59"/>
      <c r="D86" s="68"/>
      <c r="E86" s="150"/>
      <c r="F86" s="86"/>
      <c r="G86" s="17">
        <v>30</v>
      </c>
      <c r="H86" s="26"/>
      <c r="I86" s="18">
        <v>0</v>
      </c>
      <c r="J86" s="24">
        <v>19</v>
      </c>
      <c r="K86" s="20">
        <f t="shared" si="25"/>
        <v>0</v>
      </c>
      <c r="L86" s="21" t="str">
        <f t="shared" si="29"/>
        <v/>
      </c>
      <c r="M86" s="50"/>
      <c r="N86" s="50"/>
      <c r="O86" s="50"/>
      <c r="P86" s="27" t="str">
        <f t="shared" si="28"/>
        <v/>
      </c>
      <c r="Q86" s="47"/>
      <c r="R86" s="50"/>
      <c r="S86" s="53"/>
      <c r="T86" s="56"/>
      <c r="U86" s="50"/>
      <c r="V86" s="36"/>
    </row>
    <row r="87" spans="1:22" ht="27.95" customHeight="1">
      <c r="A87" s="162"/>
      <c r="B87" s="146"/>
      <c r="C87" s="60"/>
      <c r="D87" s="69"/>
      <c r="E87" s="163"/>
      <c r="F87" s="164"/>
      <c r="G87" s="17">
        <v>30</v>
      </c>
      <c r="H87" s="32"/>
      <c r="I87" s="28">
        <v>0</v>
      </c>
      <c r="J87" s="24">
        <v>19</v>
      </c>
      <c r="K87" s="20">
        <f t="shared" si="25"/>
        <v>0</v>
      </c>
      <c r="L87" s="21" t="str">
        <f t="shared" si="29"/>
        <v/>
      </c>
      <c r="M87" s="51"/>
      <c r="N87" s="51"/>
      <c r="O87" s="51"/>
      <c r="P87" s="27" t="str">
        <f t="shared" si="28"/>
        <v/>
      </c>
      <c r="Q87" s="48"/>
      <c r="R87" s="51"/>
      <c r="S87" s="54"/>
      <c r="T87" s="57"/>
      <c r="U87" s="51"/>
      <c r="V87" s="37"/>
    </row>
    <row r="88" spans="1:22" ht="36.75" customHeight="1">
      <c r="A88" s="165">
        <f>A84+1</f>
        <v>20</v>
      </c>
      <c r="B88" s="64">
        <v>44121706</v>
      </c>
      <c r="C88" s="74" t="s">
        <v>93</v>
      </c>
      <c r="D88" s="67" t="s">
        <v>94</v>
      </c>
      <c r="E88" s="70" t="s">
        <v>38</v>
      </c>
      <c r="F88" s="70" t="s">
        <v>38</v>
      </c>
      <c r="G88" s="29">
        <v>90</v>
      </c>
      <c r="H88" s="34" t="s">
        <v>95</v>
      </c>
      <c r="I88" s="18">
        <v>2300.27</v>
      </c>
      <c r="J88" s="30">
        <v>19</v>
      </c>
      <c r="K88" s="33">
        <f t="shared" si="25"/>
        <v>2737.3213000000001</v>
      </c>
      <c r="L88" s="21">
        <f t="shared" si="29"/>
        <v>246358.91700000002</v>
      </c>
      <c r="M88" s="49">
        <f>IF(L89="","",AVERAGE(L89:L91))</f>
        <v>60618.6</v>
      </c>
      <c r="N88" s="49">
        <f>IFERROR(HARMEAN(L89:L91),"")</f>
        <v>60618.600000000006</v>
      </c>
      <c r="O88" s="49">
        <f>IFERROR(MEDIAN(L89:L91),"")</f>
        <v>60618.6</v>
      </c>
      <c r="P88" s="31">
        <f t="shared" si="28"/>
        <v>246358.91700000002</v>
      </c>
      <c r="Q88" s="46">
        <f>IFERROR(SUM(P89:P91)/COUNTA(P89:P91),"")</f>
        <v>20206.2</v>
      </c>
      <c r="R88" s="49" t="str">
        <f>IFERROR(_xlfn.STDEV.S(L89:L91),"")</f>
        <v/>
      </c>
      <c r="S88" s="52" t="str">
        <f>IFERROR(R88/M88,"")</f>
        <v/>
      </c>
      <c r="T88" s="55"/>
      <c r="U88" s="49">
        <f>M88</f>
        <v>60618.6</v>
      </c>
      <c r="V88" s="38"/>
    </row>
    <row r="89" spans="1:22" ht="27.95" customHeight="1">
      <c r="A89" s="166"/>
      <c r="B89" s="65"/>
      <c r="C89" s="59"/>
      <c r="D89" s="68"/>
      <c r="E89" s="71"/>
      <c r="F89" s="71"/>
      <c r="G89" s="29">
        <v>90</v>
      </c>
      <c r="H89" s="34" t="s">
        <v>96</v>
      </c>
      <c r="I89" s="18">
        <v>566</v>
      </c>
      <c r="J89" s="30">
        <v>19</v>
      </c>
      <c r="K89" s="33">
        <f t="shared" si="25"/>
        <v>673.54</v>
      </c>
      <c r="L89" s="21">
        <f t="shared" si="29"/>
        <v>60618.6</v>
      </c>
      <c r="M89" s="50"/>
      <c r="N89" s="50"/>
      <c r="O89" s="50"/>
      <c r="P89" s="31">
        <f t="shared" si="28"/>
        <v>60618.6</v>
      </c>
      <c r="Q89" s="47"/>
      <c r="R89" s="50"/>
      <c r="S89" s="53"/>
      <c r="T89" s="56"/>
      <c r="U89" s="50"/>
      <c r="V89" s="39"/>
    </row>
    <row r="90" spans="1:22" ht="27.95" customHeight="1">
      <c r="A90" s="166"/>
      <c r="B90" s="65"/>
      <c r="C90" s="59"/>
      <c r="D90" s="68"/>
      <c r="E90" s="71"/>
      <c r="F90" s="71"/>
      <c r="G90" s="29">
        <v>30</v>
      </c>
      <c r="H90" s="34"/>
      <c r="I90" s="18">
        <v>0</v>
      </c>
      <c r="J90" s="30">
        <v>19</v>
      </c>
      <c r="K90" s="33">
        <f t="shared" si="25"/>
        <v>0</v>
      </c>
      <c r="L90" s="21" t="str">
        <f t="shared" si="29"/>
        <v/>
      </c>
      <c r="M90" s="50"/>
      <c r="N90" s="50"/>
      <c r="O90" s="50"/>
      <c r="P90" s="31" t="str">
        <f t="shared" si="28"/>
        <v/>
      </c>
      <c r="Q90" s="47"/>
      <c r="R90" s="50"/>
      <c r="S90" s="53"/>
      <c r="T90" s="56"/>
      <c r="U90" s="50"/>
      <c r="V90" s="36"/>
    </row>
    <row r="91" spans="1:22" ht="27.95" customHeight="1">
      <c r="A91" s="167"/>
      <c r="B91" s="66"/>
      <c r="C91" s="60"/>
      <c r="D91" s="69"/>
      <c r="E91" s="72"/>
      <c r="F91" s="72"/>
      <c r="G91" s="29">
        <v>30</v>
      </c>
      <c r="H91" s="34"/>
      <c r="I91" s="18">
        <v>0</v>
      </c>
      <c r="J91" s="30">
        <v>19</v>
      </c>
      <c r="K91" s="33">
        <f t="shared" si="25"/>
        <v>0</v>
      </c>
      <c r="L91" s="21" t="str">
        <f t="shared" si="29"/>
        <v/>
      </c>
      <c r="M91" s="51"/>
      <c r="N91" s="51"/>
      <c r="O91" s="51"/>
      <c r="P91" s="31" t="str">
        <f t="shared" si="28"/>
        <v/>
      </c>
      <c r="Q91" s="48"/>
      <c r="R91" s="51"/>
      <c r="S91" s="54"/>
      <c r="T91" s="57"/>
      <c r="U91" s="51"/>
      <c r="V91" s="37"/>
    </row>
    <row r="92" spans="1:22" ht="27.95" customHeight="1">
      <c r="A92" s="61">
        <f>A88+1</f>
        <v>21</v>
      </c>
      <c r="B92" s="64">
        <v>31211904</v>
      </c>
      <c r="C92" s="74" t="s">
        <v>97</v>
      </c>
      <c r="D92" s="67" t="s">
        <v>98</v>
      </c>
      <c r="E92" s="70" t="s">
        <v>27</v>
      </c>
      <c r="F92" s="70" t="s">
        <v>38</v>
      </c>
      <c r="G92" s="29">
        <v>20</v>
      </c>
      <c r="H92" s="34" t="s">
        <v>99</v>
      </c>
      <c r="I92" s="18">
        <v>76000</v>
      </c>
      <c r="J92" s="30">
        <v>19</v>
      </c>
      <c r="K92" s="33">
        <f t="shared" si="25"/>
        <v>90440</v>
      </c>
      <c r="L92" s="21">
        <f t="shared" si="29"/>
        <v>1808800</v>
      </c>
      <c r="M92" s="49">
        <f>IF(L93="","",AVERAGE(L93:L95))</f>
        <v>2332400</v>
      </c>
      <c r="N92" s="49">
        <f>IFERROR(HARMEAN(L93:L95),"")</f>
        <v>2332400</v>
      </c>
      <c r="O92" s="49">
        <f>IFERROR(MEDIAN(L93:L95),"")</f>
        <v>2332400</v>
      </c>
      <c r="P92" s="31">
        <f t="shared" ref="P92:P95" si="38">IF(L92="","",L92)</f>
        <v>1808800</v>
      </c>
      <c r="Q92" s="46">
        <f>IFERROR(SUM(P93:P95)/COUNTA(P93:P95),"")</f>
        <v>777466.66666666663</v>
      </c>
      <c r="R92" s="49" t="str">
        <f>IFERROR(_xlfn.STDEV.S(L93:L95),"")</f>
        <v/>
      </c>
      <c r="S92" s="52" t="str">
        <f>IFERROR(R92/M92,"")</f>
        <v/>
      </c>
      <c r="T92" s="55"/>
      <c r="U92" s="49">
        <f>M92</f>
        <v>2332400</v>
      </c>
      <c r="V92" s="35"/>
    </row>
    <row r="93" spans="1:22">
      <c r="A93" s="62"/>
      <c r="B93" s="65"/>
      <c r="C93" s="59"/>
      <c r="D93" s="68"/>
      <c r="E93" s="71"/>
      <c r="F93" s="71"/>
      <c r="G93" s="29">
        <v>20</v>
      </c>
      <c r="H93" s="34" t="s">
        <v>43</v>
      </c>
      <c r="I93" s="18">
        <v>98000</v>
      </c>
      <c r="J93" s="30">
        <v>19</v>
      </c>
      <c r="K93" s="33">
        <f t="shared" si="25"/>
        <v>116620</v>
      </c>
      <c r="L93" s="21">
        <f t="shared" si="29"/>
        <v>2332400</v>
      </c>
      <c r="M93" s="50"/>
      <c r="N93" s="50"/>
      <c r="O93" s="50"/>
      <c r="P93" s="31">
        <f t="shared" si="38"/>
        <v>2332400</v>
      </c>
      <c r="Q93" s="47"/>
      <c r="R93" s="50"/>
      <c r="S93" s="53"/>
      <c r="T93" s="56"/>
      <c r="U93" s="50"/>
      <c r="V93" s="36"/>
    </row>
    <row r="94" spans="1:22">
      <c r="A94" s="62"/>
      <c r="B94" s="65"/>
      <c r="C94" s="59"/>
      <c r="D94" s="68"/>
      <c r="E94" s="71"/>
      <c r="F94" s="71"/>
      <c r="G94" s="29"/>
      <c r="H94" s="34"/>
      <c r="I94" s="18">
        <v>0</v>
      </c>
      <c r="J94" s="30">
        <v>19</v>
      </c>
      <c r="K94" s="33">
        <f t="shared" si="25"/>
        <v>0</v>
      </c>
      <c r="L94" s="21" t="str">
        <f t="shared" si="29"/>
        <v/>
      </c>
      <c r="M94" s="50"/>
      <c r="N94" s="50"/>
      <c r="O94" s="50"/>
      <c r="P94" s="31" t="str">
        <f t="shared" si="38"/>
        <v/>
      </c>
      <c r="Q94" s="47"/>
      <c r="R94" s="50"/>
      <c r="S94" s="53"/>
      <c r="T94" s="56"/>
      <c r="U94" s="50"/>
      <c r="V94" s="36"/>
    </row>
    <row r="95" spans="1:22">
      <c r="A95" s="63"/>
      <c r="B95" s="66"/>
      <c r="C95" s="60"/>
      <c r="D95" s="69"/>
      <c r="E95" s="72"/>
      <c r="F95" s="72"/>
      <c r="G95" s="29"/>
      <c r="H95" s="34"/>
      <c r="I95" s="18">
        <v>0</v>
      </c>
      <c r="J95" s="30">
        <v>19</v>
      </c>
      <c r="K95" s="33">
        <f t="shared" si="25"/>
        <v>0</v>
      </c>
      <c r="L95" s="21" t="str">
        <f t="shared" si="29"/>
        <v/>
      </c>
      <c r="M95" s="51"/>
      <c r="N95" s="51"/>
      <c r="O95" s="51"/>
      <c r="P95" s="31" t="str">
        <f t="shared" si="38"/>
        <v/>
      </c>
      <c r="Q95" s="48"/>
      <c r="R95" s="51"/>
      <c r="S95" s="54"/>
      <c r="T95" s="57"/>
      <c r="U95" s="51"/>
      <c r="V95" s="37"/>
    </row>
    <row r="96" spans="1:22">
      <c r="A96" s="61">
        <f>A92+1</f>
        <v>22</v>
      </c>
      <c r="B96" s="64">
        <v>14111500</v>
      </c>
      <c r="C96" s="74" t="s">
        <v>100</v>
      </c>
      <c r="D96" s="67" t="s">
        <v>101</v>
      </c>
      <c r="E96" s="70" t="s">
        <v>38</v>
      </c>
      <c r="F96" s="70" t="s">
        <v>102</v>
      </c>
      <c r="G96" s="29">
        <v>40</v>
      </c>
      <c r="H96" s="34" t="s">
        <v>103</v>
      </c>
      <c r="I96" s="18">
        <v>936</v>
      </c>
      <c r="J96" s="30">
        <v>19</v>
      </c>
      <c r="K96" s="33">
        <f t="shared" si="25"/>
        <v>1113.8399999999999</v>
      </c>
      <c r="L96" s="21">
        <f t="shared" si="29"/>
        <v>44553.599999999999</v>
      </c>
      <c r="M96" s="49">
        <f>IF(L97="","",AVERAGE(L97:L99))</f>
        <v>55263.6</v>
      </c>
      <c r="N96" s="49">
        <f>IFERROR(HARMEAN(L97:L99),"")</f>
        <v>55229.119724375538</v>
      </c>
      <c r="O96" s="49">
        <f>IFERROR(MEDIAN(L97:L99),"")</f>
        <v>55263.6</v>
      </c>
      <c r="P96" s="31">
        <f t="shared" ref="P96:P111" si="39">IF(L96="","",L96)</f>
        <v>44553.599999999999</v>
      </c>
      <c r="Q96" s="46">
        <f>IFERROR(SUM(P97:P99)/COUNTA(P97:P99),"")</f>
        <v>36842.400000000001</v>
      </c>
      <c r="R96" s="49">
        <f>IFERROR(_xlfn.STDEV.S(L97:L99),"")</f>
        <v>1952.1804014998224</v>
      </c>
      <c r="S96" s="52">
        <f>IFERROR(R96/M96,"")</f>
        <v>3.532488657090422E-2</v>
      </c>
      <c r="T96" s="55"/>
      <c r="U96" s="49">
        <f>M96</f>
        <v>55263.6</v>
      </c>
      <c r="V96" s="35"/>
    </row>
    <row r="97" spans="1:22">
      <c r="A97" s="62"/>
      <c r="B97" s="65"/>
      <c r="C97" s="59"/>
      <c r="D97" s="68"/>
      <c r="E97" s="71"/>
      <c r="F97" s="71"/>
      <c r="G97" s="29">
        <v>40</v>
      </c>
      <c r="H97" s="34" t="s">
        <v>104</v>
      </c>
      <c r="I97" s="18">
        <v>1190</v>
      </c>
      <c r="J97" s="30">
        <v>19</v>
      </c>
      <c r="K97" s="33">
        <f t="shared" si="25"/>
        <v>1416.1</v>
      </c>
      <c r="L97" s="21">
        <f t="shared" si="29"/>
        <v>56644</v>
      </c>
      <c r="M97" s="50"/>
      <c r="N97" s="50"/>
      <c r="O97" s="50"/>
      <c r="P97" s="31">
        <f t="shared" si="39"/>
        <v>56644</v>
      </c>
      <c r="Q97" s="47"/>
      <c r="R97" s="50"/>
      <c r="S97" s="53"/>
      <c r="T97" s="56"/>
      <c r="U97" s="50"/>
      <c r="V97" s="36"/>
    </row>
    <row r="98" spans="1:22">
      <c r="A98" s="62"/>
      <c r="B98" s="65"/>
      <c r="C98" s="59"/>
      <c r="D98" s="68"/>
      <c r="E98" s="71"/>
      <c r="F98" s="71"/>
      <c r="G98" s="29">
        <v>40</v>
      </c>
      <c r="H98" s="34" t="s">
        <v>105</v>
      </c>
      <c r="I98" s="18">
        <v>1132</v>
      </c>
      <c r="J98" s="30">
        <v>19</v>
      </c>
      <c r="K98" s="33">
        <f t="shared" si="25"/>
        <v>1347.08</v>
      </c>
      <c r="L98" s="21">
        <f t="shared" si="29"/>
        <v>53883.199999999997</v>
      </c>
      <c r="M98" s="50"/>
      <c r="N98" s="50"/>
      <c r="O98" s="50"/>
      <c r="P98" s="31">
        <f t="shared" si="39"/>
        <v>53883.199999999997</v>
      </c>
      <c r="Q98" s="47"/>
      <c r="R98" s="50"/>
      <c r="S98" s="53"/>
      <c r="T98" s="56"/>
      <c r="U98" s="50"/>
      <c r="V98" s="36"/>
    </row>
    <row r="99" spans="1:22">
      <c r="A99" s="63"/>
      <c r="B99" s="66"/>
      <c r="C99" s="60"/>
      <c r="D99" s="69"/>
      <c r="E99" s="72"/>
      <c r="F99" s="72"/>
      <c r="G99" s="29"/>
      <c r="H99" s="34"/>
      <c r="I99" s="18">
        <v>0</v>
      </c>
      <c r="J99" s="30">
        <v>19</v>
      </c>
      <c r="K99" s="33">
        <f t="shared" si="25"/>
        <v>0</v>
      </c>
      <c r="L99" s="21" t="str">
        <f t="shared" si="29"/>
        <v/>
      </c>
      <c r="M99" s="51"/>
      <c r="N99" s="51"/>
      <c r="O99" s="51"/>
      <c r="P99" s="31" t="str">
        <f t="shared" si="39"/>
        <v/>
      </c>
      <c r="Q99" s="48"/>
      <c r="R99" s="51"/>
      <c r="S99" s="54"/>
      <c r="T99" s="57"/>
      <c r="U99" s="51"/>
      <c r="V99" s="37"/>
    </row>
    <row r="100" spans="1:22">
      <c r="A100" s="61">
        <f>A96+1</f>
        <v>23</v>
      </c>
      <c r="B100" s="64">
        <v>31211507</v>
      </c>
      <c r="C100" s="74" t="s">
        <v>106</v>
      </c>
      <c r="D100" s="67" t="s">
        <v>107</v>
      </c>
      <c r="E100" s="70" t="s">
        <v>38</v>
      </c>
      <c r="F100" s="70" t="s">
        <v>38</v>
      </c>
      <c r="G100" s="29">
        <v>50</v>
      </c>
      <c r="H100" s="34" t="s">
        <v>108</v>
      </c>
      <c r="I100" s="18">
        <v>3273</v>
      </c>
      <c r="J100" s="30">
        <v>19</v>
      </c>
      <c r="K100" s="33">
        <f t="shared" si="25"/>
        <v>3894.87</v>
      </c>
      <c r="L100" s="21">
        <f t="shared" si="29"/>
        <v>194743.5</v>
      </c>
      <c r="M100" s="49">
        <f>IF(L101="","",AVERAGE(L101:L103))</f>
        <v>220150</v>
      </c>
      <c r="N100" s="49">
        <f>IFERROR(HARMEAN(L101:L103),"")</f>
        <v>219989.18918918923</v>
      </c>
      <c r="O100" s="49">
        <f>IFERROR(MEDIAN(L101:L103),"")</f>
        <v>220150</v>
      </c>
      <c r="P100" s="31">
        <f t="shared" si="39"/>
        <v>194743.5</v>
      </c>
      <c r="Q100" s="46">
        <f>IFERROR(SUM(P101:P103)/COUNTA(P101:P103),"")</f>
        <v>146766.66666666666</v>
      </c>
      <c r="R100" s="49">
        <f>IFERROR(_xlfn.STDEV.S(L101:L103),"")</f>
        <v>8414.5706961199157</v>
      </c>
      <c r="S100" s="52">
        <f>IFERROR(R100/M100,"")</f>
        <v>3.8221988172245813E-2</v>
      </c>
      <c r="T100" s="55"/>
      <c r="U100" s="49">
        <f>M100</f>
        <v>220150</v>
      </c>
      <c r="V100" s="35"/>
    </row>
    <row r="101" spans="1:22">
      <c r="A101" s="62"/>
      <c r="B101" s="65"/>
      <c r="C101" s="59"/>
      <c r="D101" s="68"/>
      <c r="E101" s="71"/>
      <c r="F101" s="71"/>
      <c r="G101" s="29">
        <v>50</v>
      </c>
      <c r="H101" s="34" t="s">
        <v>109</v>
      </c>
      <c r="I101" s="18">
        <v>3800</v>
      </c>
      <c r="J101" s="30">
        <v>19</v>
      </c>
      <c r="K101" s="33">
        <f t="shared" si="25"/>
        <v>4522</v>
      </c>
      <c r="L101" s="21">
        <f t="shared" si="29"/>
        <v>226100</v>
      </c>
      <c r="M101" s="50"/>
      <c r="N101" s="50"/>
      <c r="O101" s="50"/>
      <c r="P101" s="31">
        <f t="shared" si="39"/>
        <v>226100</v>
      </c>
      <c r="Q101" s="47"/>
      <c r="R101" s="50"/>
      <c r="S101" s="53"/>
      <c r="T101" s="56"/>
      <c r="U101" s="50"/>
      <c r="V101" s="36"/>
    </row>
    <row r="102" spans="1:22">
      <c r="A102" s="62"/>
      <c r="B102" s="65"/>
      <c r="C102" s="59"/>
      <c r="D102" s="68"/>
      <c r="E102" s="71"/>
      <c r="F102" s="71"/>
      <c r="G102" s="29">
        <v>50</v>
      </c>
      <c r="H102" s="34" t="s">
        <v>110</v>
      </c>
      <c r="I102" s="18">
        <v>3600</v>
      </c>
      <c r="J102" s="30">
        <v>19</v>
      </c>
      <c r="K102" s="33">
        <f t="shared" si="25"/>
        <v>4284</v>
      </c>
      <c r="L102" s="21">
        <f t="shared" si="29"/>
        <v>214200</v>
      </c>
      <c r="M102" s="50"/>
      <c r="N102" s="50"/>
      <c r="O102" s="50"/>
      <c r="P102" s="31">
        <f t="shared" si="39"/>
        <v>214200</v>
      </c>
      <c r="Q102" s="47"/>
      <c r="R102" s="50"/>
      <c r="S102" s="53"/>
      <c r="T102" s="56"/>
      <c r="U102" s="50"/>
      <c r="V102" s="36"/>
    </row>
    <row r="103" spans="1:22">
      <c r="A103" s="63"/>
      <c r="B103" s="66"/>
      <c r="C103" s="60"/>
      <c r="D103" s="69"/>
      <c r="E103" s="72"/>
      <c r="F103" s="72"/>
      <c r="G103" s="29"/>
      <c r="H103" s="34"/>
      <c r="I103" s="18">
        <v>0</v>
      </c>
      <c r="J103" s="30">
        <v>19</v>
      </c>
      <c r="K103" s="33">
        <f t="shared" si="25"/>
        <v>0</v>
      </c>
      <c r="L103" s="21" t="str">
        <f t="shared" si="29"/>
        <v/>
      </c>
      <c r="M103" s="51"/>
      <c r="N103" s="51"/>
      <c r="O103" s="51"/>
      <c r="P103" s="31" t="str">
        <f t="shared" si="39"/>
        <v/>
      </c>
      <c r="Q103" s="48"/>
      <c r="R103" s="51"/>
      <c r="S103" s="54"/>
      <c r="T103" s="57"/>
      <c r="U103" s="51"/>
      <c r="V103" s="37"/>
    </row>
    <row r="104" spans="1:22">
      <c r="A104" s="61">
        <f>A100+1</f>
        <v>24</v>
      </c>
      <c r="B104" s="64">
        <v>26101105</v>
      </c>
      <c r="C104" s="74" t="s">
        <v>111</v>
      </c>
      <c r="D104" s="67" t="s">
        <v>112</v>
      </c>
      <c r="E104" s="70" t="s">
        <v>38</v>
      </c>
      <c r="F104" s="70" t="s">
        <v>38</v>
      </c>
      <c r="G104" s="29">
        <v>50</v>
      </c>
      <c r="H104" s="34" t="s">
        <v>113</v>
      </c>
      <c r="I104" s="18">
        <v>5730</v>
      </c>
      <c r="J104" s="30">
        <v>19</v>
      </c>
      <c r="K104" s="33">
        <f t="shared" si="25"/>
        <v>6818.7</v>
      </c>
      <c r="L104" s="21">
        <f t="shared" si="29"/>
        <v>340935</v>
      </c>
      <c r="M104" s="49">
        <f>IF(L105="","",AVERAGE(L105:L107))</f>
        <v>351615.25</v>
      </c>
      <c r="N104" s="49">
        <f>IFERROR(HARMEAN(L105:L107),"")</f>
        <v>343286.65707758692</v>
      </c>
      <c r="O104" s="49">
        <f>IFERROR(MEDIAN(L105:L107),"")</f>
        <v>351615.25</v>
      </c>
      <c r="P104" s="31">
        <f t="shared" si="39"/>
        <v>340935</v>
      </c>
      <c r="Q104" s="46">
        <f>IFERROR(SUM(P105:P107)/COUNTA(P105:P107),"")</f>
        <v>234410.16666666666</v>
      </c>
      <c r="R104" s="49">
        <f>IFERROR(_xlfn.STDEV.S(L105:L107),"")</f>
        <v>76530.520481210639</v>
      </c>
      <c r="S104" s="52">
        <f>IFERROR(R104/M104,"")</f>
        <v>0.21765415601630089</v>
      </c>
      <c r="T104" s="55"/>
      <c r="U104" s="49">
        <f>M104</f>
        <v>351615.25</v>
      </c>
      <c r="V104" s="35"/>
    </row>
    <row r="105" spans="1:22">
      <c r="A105" s="62"/>
      <c r="B105" s="65"/>
      <c r="C105" s="59"/>
      <c r="D105" s="68"/>
      <c r="E105" s="71"/>
      <c r="F105" s="71"/>
      <c r="G105" s="29">
        <v>50</v>
      </c>
      <c r="H105" s="34" t="s">
        <v>114</v>
      </c>
      <c r="I105" s="18">
        <v>6819</v>
      </c>
      <c r="J105" s="30">
        <v>19</v>
      </c>
      <c r="K105" s="33">
        <f t="shared" si="25"/>
        <v>8114.6100000000006</v>
      </c>
      <c r="L105" s="21">
        <f t="shared" si="29"/>
        <v>405730.5</v>
      </c>
      <c r="M105" s="50"/>
      <c r="N105" s="50"/>
      <c r="O105" s="50"/>
      <c r="P105" s="31">
        <f t="shared" si="39"/>
        <v>405730.5</v>
      </c>
      <c r="Q105" s="47"/>
      <c r="R105" s="50"/>
      <c r="S105" s="53"/>
      <c r="T105" s="56"/>
      <c r="U105" s="50"/>
      <c r="V105" s="36"/>
    </row>
    <row r="106" spans="1:22">
      <c r="A106" s="62"/>
      <c r="B106" s="65"/>
      <c r="C106" s="59"/>
      <c r="D106" s="68"/>
      <c r="E106" s="71"/>
      <c r="F106" s="71"/>
      <c r="G106" s="29">
        <v>50</v>
      </c>
      <c r="H106" s="34" t="s">
        <v>109</v>
      </c>
      <c r="I106" s="18">
        <v>5000</v>
      </c>
      <c r="J106" s="30">
        <v>19</v>
      </c>
      <c r="K106" s="33">
        <f t="shared" si="25"/>
        <v>5950</v>
      </c>
      <c r="L106" s="21">
        <f t="shared" si="29"/>
        <v>297500</v>
      </c>
      <c r="M106" s="50"/>
      <c r="N106" s="50"/>
      <c r="O106" s="50"/>
      <c r="P106" s="31">
        <f t="shared" si="39"/>
        <v>297500</v>
      </c>
      <c r="Q106" s="47"/>
      <c r="R106" s="50"/>
      <c r="S106" s="53"/>
      <c r="T106" s="56"/>
      <c r="U106" s="50"/>
      <c r="V106" s="36"/>
    </row>
    <row r="107" spans="1:22">
      <c r="A107" s="63"/>
      <c r="B107" s="66"/>
      <c r="C107" s="60"/>
      <c r="D107" s="69"/>
      <c r="E107" s="72"/>
      <c r="F107" s="72"/>
      <c r="G107" s="29"/>
      <c r="H107" s="34"/>
      <c r="I107" s="18">
        <v>0</v>
      </c>
      <c r="J107" s="30">
        <v>19</v>
      </c>
      <c r="K107" s="33">
        <f t="shared" si="25"/>
        <v>0</v>
      </c>
      <c r="L107" s="21" t="str">
        <f t="shared" si="29"/>
        <v/>
      </c>
      <c r="M107" s="51"/>
      <c r="N107" s="51"/>
      <c r="O107" s="51"/>
      <c r="P107" s="31" t="str">
        <f t="shared" si="39"/>
        <v/>
      </c>
      <c r="Q107" s="48"/>
      <c r="R107" s="51"/>
      <c r="S107" s="54"/>
      <c r="T107" s="57"/>
      <c r="U107" s="51"/>
      <c r="V107" s="37"/>
    </row>
    <row r="108" spans="1:22">
      <c r="A108" s="61">
        <f>A104+1</f>
        <v>25</v>
      </c>
      <c r="B108" s="171" t="s">
        <v>115</v>
      </c>
      <c r="C108" s="74" t="s">
        <v>116</v>
      </c>
      <c r="D108" s="168" t="s">
        <v>117</v>
      </c>
      <c r="E108" s="70" t="s">
        <v>38</v>
      </c>
      <c r="F108" s="70" t="s">
        <v>38</v>
      </c>
      <c r="G108" s="29">
        <v>50</v>
      </c>
      <c r="H108" s="34" t="s">
        <v>118</v>
      </c>
      <c r="I108" s="18">
        <v>9000</v>
      </c>
      <c r="J108" s="30">
        <v>19</v>
      </c>
      <c r="K108" s="33">
        <f t="shared" si="25"/>
        <v>10710</v>
      </c>
      <c r="L108" s="21">
        <f t="shared" si="29"/>
        <v>535500</v>
      </c>
      <c r="M108" s="49">
        <f>IF(L109="","",AVERAGE(L109:L111))</f>
        <v>493850</v>
      </c>
      <c r="N108" s="49">
        <f>IFERROR(HARMEAN(L109:L111),"")</f>
        <v>493204.81927710836</v>
      </c>
      <c r="O108" s="49">
        <f>IFERROR(MEDIAN(L109:L111),"")</f>
        <v>493850</v>
      </c>
      <c r="P108" s="31">
        <f t="shared" si="39"/>
        <v>535500</v>
      </c>
      <c r="Q108" s="46">
        <f>IFERROR(SUM(P109:P111)/COUNTA(P109:P111),"")</f>
        <v>329233.33333333331</v>
      </c>
      <c r="R108" s="49">
        <f>IFERROR(_xlfn.STDEV.S(L109:L111),"")</f>
        <v>25243.712088359745</v>
      </c>
      <c r="S108" s="52">
        <f>IFERROR(R108/M108,"")</f>
        <v>5.1116152856858853E-2</v>
      </c>
      <c r="T108" s="55"/>
      <c r="U108" s="49">
        <f>M108</f>
        <v>493850</v>
      </c>
      <c r="V108" s="35"/>
    </row>
    <row r="109" spans="1:22">
      <c r="A109" s="62"/>
      <c r="B109" s="172"/>
      <c r="C109" s="59"/>
      <c r="D109" s="169"/>
      <c r="E109" s="71"/>
      <c r="F109" s="71"/>
      <c r="G109" s="29">
        <v>50</v>
      </c>
      <c r="H109" s="34" t="s">
        <v>119</v>
      </c>
      <c r="I109" s="18">
        <v>8000</v>
      </c>
      <c r="J109" s="30">
        <v>19</v>
      </c>
      <c r="K109" s="33">
        <f t="shared" si="25"/>
        <v>9520</v>
      </c>
      <c r="L109" s="21">
        <f t="shared" si="29"/>
        <v>476000</v>
      </c>
      <c r="M109" s="50"/>
      <c r="N109" s="50"/>
      <c r="O109" s="50"/>
      <c r="P109" s="31">
        <f t="shared" si="39"/>
        <v>476000</v>
      </c>
      <c r="Q109" s="47"/>
      <c r="R109" s="50"/>
      <c r="S109" s="53"/>
      <c r="T109" s="56"/>
      <c r="U109" s="50"/>
      <c r="V109" s="36"/>
    </row>
    <row r="110" spans="1:22">
      <c r="A110" s="62"/>
      <c r="B110" s="172"/>
      <c r="C110" s="59"/>
      <c r="D110" s="169"/>
      <c r="E110" s="71"/>
      <c r="F110" s="71"/>
      <c r="G110" s="29">
        <v>50</v>
      </c>
      <c r="H110" s="34" t="s">
        <v>120</v>
      </c>
      <c r="I110" s="18">
        <v>8600</v>
      </c>
      <c r="J110" s="30">
        <v>19</v>
      </c>
      <c r="K110" s="33">
        <f t="shared" si="25"/>
        <v>10234</v>
      </c>
      <c r="L110" s="21">
        <f t="shared" si="29"/>
        <v>511700</v>
      </c>
      <c r="M110" s="50"/>
      <c r="N110" s="50"/>
      <c r="O110" s="50"/>
      <c r="P110" s="31">
        <f t="shared" si="39"/>
        <v>511700</v>
      </c>
      <c r="Q110" s="47"/>
      <c r="R110" s="50"/>
      <c r="S110" s="53"/>
      <c r="T110" s="56"/>
      <c r="U110" s="50"/>
      <c r="V110" s="36"/>
    </row>
    <row r="111" spans="1:22">
      <c r="A111" s="63"/>
      <c r="B111" s="173"/>
      <c r="C111" s="60"/>
      <c r="D111" s="170"/>
      <c r="E111" s="72"/>
      <c r="F111" s="72"/>
      <c r="G111" s="29"/>
      <c r="H111" s="34"/>
      <c r="I111" s="18">
        <v>0</v>
      </c>
      <c r="J111" s="30">
        <v>19</v>
      </c>
      <c r="K111" s="33">
        <f t="shared" si="25"/>
        <v>0</v>
      </c>
      <c r="L111" s="21" t="str">
        <f t="shared" si="29"/>
        <v/>
      </c>
      <c r="M111" s="51"/>
      <c r="N111" s="51"/>
      <c r="O111" s="51"/>
      <c r="P111" s="31" t="str">
        <f t="shared" si="39"/>
        <v/>
      </c>
      <c r="Q111" s="48"/>
      <c r="R111" s="51"/>
      <c r="S111" s="54"/>
      <c r="T111" s="57"/>
      <c r="U111" s="51"/>
      <c r="V111" s="37"/>
    </row>
    <row r="112" spans="1:22">
      <c r="A112" s="61">
        <f>A108+1</f>
        <v>26</v>
      </c>
      <c r="B112" s="64">
        <v>60124305</v>
      </c>
      <c r="C112" s="58" t="s">
        <v>121</v>
      </c>
      <c r="D112" s="67" t="s">
        <v>122</v>
      </c>
      <c r="E112" s="70" t="s">
        <v>38</v>
      </c>
      <c r="F112" s="70" t="s">
        <v>38</v>
      </c>
      <c r="G112" s="29">
        <v>50</v>
      </c>
      <c r="H112" s="34" t="s">
        <v>118</v>
      </c>
      <c r="I112" s="18">
        <v>22000</v>
      </c>
      <c r="J112" s="30">
        <v>19</v>
      </c>
      <c r="K112" s="33">
        <f t="shared" si="25"/>
        <v>26180</v>
      </c>
      <c r="L112" s="21">
        <f t="shared" si="29"/>
        <v>1309000</v>
      </c>
      <c r="M112" s="49">
        <f>IF(L113="","",AVERAGE(L113:L115))</f>
        <v>1838550</v>
      </c>
      <c r="N112" s="49">
        <f>IFERROR(HARMEAN(L113:L115),"")</f>
        <v>1712213.5922330096</v>
      </c>
      <c r="O112" s="49">
        <f>IFERROR(MEDIAN(L113:L115),"")</f>
        <v>1838550</v>
      </c>
      <c r="P112" s="31">
        <f t="shared" ref="P112:P115" si="40">IF(L112="","",L112)</f>
        <v>1309000</v>
      </c>
      <c r="Q112" s="46">
        <f>IFERROR(SUM(P113:P115)/COUNTA(P113:P115),"")</f>
        <v>1225700</v>
      </c>
      <c r="R112" s="49">
        <f>IFERROR(_xlfn.STDEV.S(L113:L115),"")</f>
        <v>681580.22638571321</v>
      </c>
      <c r="S112" s="52">
        <f>IFERROR(R112/M112,"")</f>
        <v>0.37071617654440359</v>
      </c>
      <c r="T112" s="55"/>
      <c r="U112" s="49">
        <f>M112</f>
        <v>1838550</v>
      </c>
      <c r="V112" s="35"/>
    </row>
    <row r="113" spans="1:22">
      <c r="A113" s="62"/>
      <c r="B113" s="65"/>
      <c r="C113" s="59"/>
      <c r="D113" s="68"/>
      <c r="E113" s="71"/>
      <c r="F113" s="71"/>
      <c r="G113" s="29">
        <v>50</v>
      </c>
      <c r="H113" s="34" t="s">
        <v>109</v>
      </c>
      <c r="I113" s="18">
        <v>39000</v>
      </c>
      <c r="J113" s="30">
        <v>19</v>
      </c>
      <c r="K113" s="33">
        <f t="shared" si="25"/>
        <v>46410</v>
      </c>
      <c r="L113" s="21">
        <f t="shared" si="29"/>
        <v>2320500</v>
      </c>
      <c r="M113" s="50"/>
      <c r="N113" s="50"/>
      <c r="O113" s="50"/>
      <c r="P113" s="31">
        <f t="shared" si="40"/>
        <v>2320500</v>
      </c>
      <c r="Q113" s="47"/>
      <c r="R113" s="50"/>
      <c r="S113" s="53"/>
      <c r="T113" s="56"/>
      <c r="U113" s="50"/>
      <c r="V113" s="36"/>
    </row>
    <row r="114" spans="1:22">
      <c r="A114" s="62"/>
      <c r="B114" s="65"/>
      <c r="C114" s="59"/>
      <c r="D114" s="68"/>
      <c r="E114" s="71"/>
      <c r="F114" s="71"/>
      <c r="G114" s="29">
        <v>50</v>
      </c>
      <c r="H114" s="34" t="s">
        <v>120</v>
      </c>
      <c r="I114" s="18">
        <v>22800</v>
      </c>
      <c r="J114" s="30">
        <v>19</v>
      </c>
      <c r="K114" s="33">
        <f t="shared" si="25"/>
        <v>27132</v>
      </c>
      <c r="L114" s="21">
        <f t="shared" si="29"/>
        <v>1356600</v>
      </c>
      <c r="M114" s="50"/>
      <c r="N114" s="50"/>
      <c r="O114" s="50"/>
      <c r="P114" s="31">
        <f t="shared" si="40"/>
        <v>1356600</v>
      </c>
      <c r="Q114" s="47"/>
      <c r="R114" s="50"/>
      <c r="S114" s="53"/>
      <c r="T114" s="56"/>
      <c r="U114" s="50"/>
      <c r="V114" s="36"/>
    </row>
    <row r="115" spans="1:22">
      <c r="A115" s="63"/>
      <c r="B115" s="66"/>
      <c r="C115" s="60"/>
      <c r="D115" s="69"/>
      <c r="E115" s="72"/>
      <c r="F115" s="72"/>
      <c r="G115" s="29"/>
      <c r="H115" s="34"/>
      <c r="I115" s="18">
        <v>0</v>
      </c>
      <c r="J115" s="30">
        <v>19</v>
      </c>
      <c r="K115" s="33">
        <f t="shared" si="25"/>
        <v>0</v>
      </c>
      <c r="L115" s="21" t="str">
        <f t="shared" si="29"/>
        <v/>
      </c>
      <c r="M115" s="51"/>
      <c r="N115" s="51"/>
      <c r="O115" s="51"/>
      <c r="P115" s="31" t="str">
        <f t="shared" si="40"/>
        <v/>
      </c>
      <c r="Q115" s="48"/>
      <c r="R115" s="51"/>
      <c r="S115" s="54"/>
      <c r="T115" s="57"/>
      <c r="U115" s="51"/>
      <c r="V115" s="37"/>
    </row>
    <row r="116" spans="1:22">
      <c r="A116" s="61">
        <f>A112+1</f>
        <v>27</v>
      </c>
      <c r="B116" s="67" t="s">
        <v>123</v>
      </c>
      <c r="C116" s="74" t="s">
        <v>124</v>
      </c>
      <c r="D116" s="67" t="s">
        <v>125</v>
      </c>
      <c r="E116" s="70" t="s">
        <v>38</v>
      </c>
      <c r="F116" s="70" t="s">
        <v>38</v>
      </c>
      <c r="G116" s="29">
        <v>25</v>
      </c>
      <c r="H116" s="34" t="s">
        <v>120</v>
      </c>
      <c r="I116" s="18">
        <v>10000</v>
      </c>
      <c r="J116" s="30">
        <v>19</v>
      </c>
      <c r="K116" s="33">
        <f t="shared" si="25"/>
        <v>11900</v>
      </c>
      <c r="L116" s="21">
        <f t="shared" si="29"/>
        <v>297500</v>
      </c>
      <c r="M116" s="49">
        <f>IF(L117="","",AVERAGE(L117:L119))</f>
        <v>212712.5</v>
      </c>
      <c r="N116" s="49">
        <f>IFERROR(HARMEAN(L117:L119),"")</f>
        <v>212712.5</v>
      </c>
      <c r="O116" s="49">
        <f>IFERROR(MEDIAN(L117:L119),"")</f>
        <v>212712.5</v>
      </c>
      <c r="P116" s="31">
        <f t="shared" ref="P116:P119" si="41">IF(L116="","",L116)</f>
        <v>297500</v>
      </c>
      <c r="Q116" s="46">
        <f>IFERROR(SUM(P117:P119)/COUNTA(P117:P119),"")</f>
        <v>70904.166666666672</v>
      </c>
      <c r="R116" s="49" t="str">
        <f>IFERROR(_xlfn.STDEV.S(L117:L119),"")</f>
        <v/>
      </c>
      <c r="S116" s="52" t="str">
        <f>IFERROR(R116/M116,"")</f>
        <v/>
      </c>
      <c r="T116" s="55"/>
      <c r="U116" s="49">
        <f>M116</f>
        <v>212712.5</v>
      </c>
      <c r="V116" s="35"/>
    </row>
    <row r="117" spans="1:22">
      <c r="A117" s="62"/>
      <c r="B117" s="65"/>
      <c r="C117" s="59"/>
      <c r="D117" s="68"/>
      <c r="E117" s="71"/>
      <c r="F117" s="71"/>
      <c r="G117" s="29">
        <v>25</v>
      </c>
      <c r="H117" s="34" t="s">
        <v>109</v>
      </c>
      <c r="I117" s="18">
        <v>7150</v>
      </c>
      <c r="J117" s="30">
        <v>19</v>
      </c>
      <c r="K117" s="33">
        <f t="shared" si="25"/>
        <v>8508.5</v>
      </c>
      <c r="L117" s="21">
        <f t="shared" si="29"/>
        <v>212712.5</v>
      </c>
      <c r="M117" s="50"/>
      <c r="N117" s="50"/>
      <c r="O117" s="50"/>
      <c r="P117" s="31">
        <f t="shared" si="41"/>
        <v>212712.5</v>
      </c>
      <c r="Q117" s="47"/>
      <c r="R117" s="50"/>
      <c r="S117" s="53"/>
      <c r="T117" s="56"/>
      <c r="U117" s="50"/>
      <c r="V117" s="36"/>
    </row>
    <row r="118" spans="1:22">
      <c r="A118" s="62"/>
      <c r="B118" s="65"/>
      <c r="C118" s="59"/>
      <c r="D118" s="68"/>
      <c r="E118" s="71"/>
      <c r="F118" s="71"/>
      <c r="G118" s="29"/>
      <c r="H118" s="34"/>
      <c r="I118" s="18">
        <v>0</v>
      </c>
      <c r="J118" s="30">
        <v>19</v>
      </c>
      <c r="K118" s="33">
        <f t="shared" si="25"/>
        <v>0</v>
      </c>
      <c r="L118" s="21" t="str">
        <f t="shared" si="29"/>
        <v/>
      </c>
      <c r="M118" s="50"/>
      <c r="N118" s="50"/>
      <c r="O118" s="50"/>
      <c r="P118" s="31" t="str">
        <f t="shared" si="41"/>
        <v/>
      </c>
      <c r="Q118" s="47"/>
      <c r="R118" s="50"/>
      <c r="S118" s="53"/>
      <c r="T118" s="56"/>
      <c r="U118" s="50"/>
      <c r="V118" s="36"/>
    </row>
    <row r="119" spans="1:22">
      <c r="A119" s="63"/>
      <c r="B119" s="66"/>
      <c r="C119" s="60"/>
      <c r="D119" s="69"/>
      <c r="E119" s="72"/>
      <c r="F119" s="72"/>
      <c r="G119" s="29"/>
      <c r="H119" s="34"/>
      <c r="I119" s="18">
        <v>0</v>
      </c>
      <c r="J119" s="30">
        <v>19</v>
      </c>
      <c r="K119" s="33">
        <f t="shared" si="25"/>
        <v>0</v>
      </c>
      <c r="L119" s="21" t="str">
        <f t="shared" si="29"/>
        <v/>
      </c>
      <c r="M119" s="51"/>
      <c r="N119" s="51"/>
      <c r="O119" s="51"/>
      <c r="P119" s="31" t="str">
        <f t="shared" si="41"/>
        <v/>
      </c>
      <c r="Q119" s="48"/>
      <c r="R119" s="51"/>
      <c r="S119" s="54"/>
      <c r="T119" s="57"/>
      <c r="U119" s="51"/>
      <c r="V119" s="37"/>
    </row>
    <row r="120" spans="1:22">
      <c r="A120" s="61">
        <f>A116+1</f>
        <v>28</v>
      </c>
      <c r="B120" s="64">
        <v>60124305</v>
      </c>
      <c r="C120" s="74" t="s">
        <v>126</v>
      </c>
      <c r="D120" s="67" t="s">
        <v>127</v>
      </c>
      <c r="E120" s="70" t="s">
        <v>38</v>
      </c>
      <c r="F120" s="70" t="s">
        <v>38</v>
      </c>
      <c r="G120" s="29">
        <v>30</v>
      </c>
      <c r="H120" s="34" t="s">
        <v>120</v>
      </c>
      <c r="I120" s="18">
        <v>7850</v>
      </c>
      <c r="J120" s="30">
        <v>19</v>
      </c>
      <c r="K120" s="33">
        <f t="shared" si="25"/>
        <v>9341.5</v>
      </c>
      <c r="L120" s="21">
        <f t="shared" si="29"/>
        <v>280245</v>
      </c>
      <c r="M120" s="49">
        <f>IF(L121="","",AVERAGE(L121:L123))</f>
        <v>499800</v>
      </c>
      <c r="N120" s="49">
        <f>IFERROR(HARMEAN(L121:L123),"")</f>
        <v>448162.49999999994</v>
      </c>
      <c r="O120" s="49">
        <f>IFERROR(MEDIAN(L121:L123),"")</f>
        <v>499800</v>
      </c>
      <c r="P120" s="31">
        <f t="shared" ref="P120:P183" si="42">IF(L120="","",L120)</f>
        <v>280245</v>
      </c>
      <c r="Q120" s="46">
        <f>IFERROR(SUM(P121:P123)/COUNTA(P121:P123),"")</f>
        <v>333200</v>
      </c>
      <c r="R120" s="49">
        <f>IFERROR(_xlfn.STDEV.S(L121:L123),"")</f>
        <v>227193.40879523772</v>
      </c>
      <c r="S120" s="52">
        <f>IFERROR(R120/M120,"")</f>
        <v>0.45456864504849481</v>
      </c>
      <c r="T120" s="55"/>
      <c r="U120" s="49">
        <f>M120</f>
        <v>499800</v>
      </c>
      <c r="V120" s="35"/>
    </row>
    <row r="121" spans="1:22">
      <c r="A121" s="62"/>
      <c r="B121" s="65"/>
      <c r="C121" s="59"/>
      <c r="D121" s="68"/>
      <c r="E121" s="71"/>
      <c r="F121" s="71"/>
      <c r="G121" s="29">
        <v>30</v>
      </c>
      <c r="H121" s="34" t="s">
        <v>118</v>
      </c>
      <c r="I121" s="18">
        <v>18500</v>
      </c>
      <c r="J121" s="30">
        <v>19</v>
      </c>
      <c r="K121" s="33">
        <f t="shared" si="25"/>
        <v>22015</v>
      </c>
      <c r="L121" s="21">
        <f t="shared" si="29"/>
        <v>660450</v>
      </c>
      <c r="M121" s="50"/>
      <c r="N121" s="50"/>
      <c r="O121" s="50"/>
      <c r="P121" s="31">
        <f t="shared" si="42"/>
        <v>660450</v>
      </c>
      <c r="Q121" s="47"/>
      <c r="R121" s="50"/>
      <c r="S121" s="53"/>
      <c r="T121" s="56"/>
      <c r="U121" s="50"/>
      <c r="V121" s="36"/>
    </row>
    <row r="122" spans="1:22">
      <c r="A122" s="62"/>
      <c r="B122" s="65"/>
      <c r="C122" s="59"/>
      <c r="D122" s="68"/>
      <c r="E122" s="71"/>
      <c r="F122" s="71"/>
      <c r="G122" s="29">
        <v>30</v>
      </c>
      <c r="H122" s="34" t="s">
        <v>119</v>
      </c>
      <c r="I122" s="18">
        <v>9500</v>
      </c>
      <c r="J122" s="30">
        <v>19</v>
      </c>
      <c r="K122" s="33">
        <f t="shared" si="25"/>
        <v>11305</v>
      </c>
      <c r="L122" s="21">
        <f t="shared" si="29"/>
        <v>339150</v>
      </c>
      <c r="M122" s="50"/>
      <c r="N122" s="50"/>
      <c r="O122" s="50"/>
      <c r="P122" s="31">
        <f t="shared" si="42"/>
        <v>339150</v>
      </c>
      <c r="Q122" s="47"/>
      <c r="R122" s="50"/>
      <c r="S122" s="53"/>
      <c r="T122" s="56"/>
      <c r="U122" s="50"/>
      <c r="V122" s="36"/>
    </row>
    <row r="123" spans="1:22">
      <c r="A123" s="63"/>
      <c r="B123" s="66"/>
      <c r="C123" s="60"/>
      <c r="D123" s="69"/>
      <c r="E123" s="72"/>
      <c r="F123" s="72"/>
      <c r="G123" s="29"/>
      <c r="H123" s="34"/>
      <c r="I123" s="18">
        <v>0</v>
      </c>
      <c r="J123" s="30">
        <v>19</v>
      </c>
      <c r="K123" s="33">
        <f t="shared" si="25"/>
        <v>0</v>
      </c>
      <c r="L123" s="21" t="str">
        <f t="shared" si="29"/>
        <v/>
      </c>
      <c r="M123" s="51"/>
      <c r="N123" s="51"/>
      <c r="O123" s="51"/>
      <c r="P123" s="31" t="str">
        <f t="shared" si="42"/>
        <v/>
      </c>
      <c r="Q123" s="48"/>
      <c r="R123" s="51"/>
      <c r="S123" s="54"/>
      <c r="T123" s="57"/>
      <c r="U123" s="51"/>
      <c r="V123" s="37"/>
    </row>
    <row r="124" spans="1:22">
      <c r="A124" s="61">
        <f>A120+1</f>
        <v>29</v>
      </c>
      <c r="B124" s="64">
        <v>60124305</v>
      </c>
      <c r="C124" s="58" t="s">
        <v>128</v>
      </c>
      <c r="D124" s="67" t="s">
        <v>129</v>
      </c>
      <c r="E124" s="70" t="s">
        <v>38</v>
      </c>
      <c r="F124" s="70" t="s">
        <v>38</v>
      </c>
      <c r="G124" s="29">
        <v>30</v>
      </c>
      <c r="H124" s="34" t="s">
        <v>109</v>
      </c>
      <c r="I124" s="18">
        <v>24100</v>
      </c>
      <c r="J124" s="30">
        <v>19</v>
      </c>
      <c r="K124" s="33">
        <f t="shared" si="25"/>
        <v>28679</v>
      </c>
      <c r="L124" s="21">
        <f t="shared" si="29"/>
        <v>860370</v>
      </c>
      <c r="M124" s="49">
        <f>IF(L125="","",AVERAGE(L125:L127))</f>
        <v>1527960</v>
      </c>
      <c r="N124" s="49">
        <f>IFERROR(HARMEAN(L125:L127),"")</f>
        <v>1484719.6261682243</v>
      </c>
      <c r="O124" s="49">
        <f>IFERROR(MEDIAN(L125:L127),"")</f>
        <v>1527960</v>
      </c>
      <c r="P124" s="31">
        <f t="shared" si="42"/>
        <v>860370</v>
      </c>
      <c r="Q124" s="46">
        <f>IFERROR(SUM(P125:P127)/COUNTA(P125:P127),"")</f>
        <v>1018640</v>
      </c>
      <c r="R124" s="49">
        <f>IFERROR(_xlfn.STDEV.S(L125:L127),"")</f>
        <v>363509.45407238038</v>
      </c>
      <c r="S124" s="52">
        <f>IFERROR(R124/M124,"")</f>
        <v>0.23790508525902535</v>
      </c>
      <c r="T124" s="55"/>
      <c r="U124" s="49">
        <f>M124</f>
        <v>1527960</v>
      </c>
      <c r="V124" s="35"/>
    </row>
    <row r="125" spans="1:22">
      <c r="A125" s="62"/>
      <c r="B125" s="65"/>
      <c r="C125" s="59"/>
      <c r="D125" s="68"/>
      <c r="E125" s="71"/>
      <c r="F125" s="71"/>
      <c r="G125" s="29">
        <v>30</v>
      </c>
      <c r="H125" s="34" t="s">
        <v>120</v>
      </c>
      <c r="I125" s="18">
        <v>35600</v>
      </c>
      <c r="J125" s="30">
        <v>19</v>
      </c>
      <c r="K125" s="33">
        <f t="shared" si="25"/>
        <v>42364</v>
      </c>
      <c r="L125" s="21">
        <f t="shared" si="29"/>
        <v>1270920</v>
      </c>
      <c r="M125" s="50"/>
      <c r="N125" s="50"/>
      <c r="O125" s="50"/>
      <c r="P125" s="31">
        <f t="shared" si="42"/>
        <v>1270920</v>
      </c>
      <c r="Q125" s="47"/>
      <c r="R125" s="50"/>
      <c r="S125" s="53"/>
      <c r="T125" s="56"/>
      <c r="U125" s="50"/>
      <c r="V125" s="36"/>
    </row>
    <row r="126" spans="1:22">
      <c r="A126" s="62"/>
      <c r="B126" s="65"/>
      <c r="C126" s="59"/>
      <c r="D126" s="68"/>
      <c r="E126" s="71"/>
      <c r="F126" s="71"/>
      <c r="G126" s="29">
        <v>30</v>
      </c>
      <c r="H126" s="34" t="s">
        <v>130</v>
      </c>
      <c r="I126" s="18">
        <v>50000</v>
      </c>
      <c r="J126" s="30">
        <v>19</v>
      </c>
      <c r="K126" s="33">
        <f t="shared" si="25"/>
        <v>59500</v>
      </c>
      <c r="L126" s="21">
        <f t="shared" si="29"/>
        <v>1785000</v>
      </c>
      <c r="M126" s="50"/>
      <c r="N126" s="50"/>
      <c r="O126" s="50"/>
      <c r="P126" s="31">
        <f t="shared" si="42"/>
        <v>1785000</v>
      </c>
      <c r="Q126" s="47"/>
      <c r="R126" s="50"/>
      <c r="S126" s="53"/>
      <c r="T126" s="56"/>
      <c r="U126" s="50"/>
      <c r="V126" s="36"/>
    </row>
    <row r="127" spans="1:22">
      <c r="A127" s="63"/>
      <c r="B127" s="66"/>
      <c r="C127" s="60"/>
      <c r="D127" s="69"/>
      <c r="E127" s="72"/>
      <c r="F127" s="72"/>
      <c r="G127" s="29"/>
      <c r="H127" s="34"/>
      <c r="I127" s="18">
        <v>0</v>
      </c>
      <c r="J127" s="30">
        <v>19</v>
      </c>
      <c r="K127" s="33">
        <f t="shared" si="25"/>
        <v>0</v>
      </c>
      <c r="L127" s="21" t="str">
        <f t="shared" si="29"/>
        <v/>
      </c>
      <c r="M127" s="51"/>
      <c r="N127" s="51"/>
      <c r="O127" s="51"/>
      <c r="P127" s="31" t="str">
        <f t="shared" si="42"/>
        <v/>
      </c>
      <c r="Q127" s="48"/>
      <c r="R127" s="51"/>
      <c r="S127" s="54"/>
      <c r="T127" s="57"/>
      <c r="U127" s="51"/>
      <c r="V127" s="37"/>
    </row>
    <row r="128" spans="1:22">
      <c r="A128" s="61">
        <f>A124+1</f>
        <v>30</v>
      </c>
      <c r="B128" s="64">
        <v>60124305</v>
      </c>
      <c r="C128" s="58" t="s">
        <v>131</v>
      </c>
      <c r="D128" s="67" t="s">
        <v>132</v>
      </c>
      <c r="E128" s="70" t="s">
        <v>38</v>
      </c>
      <c r="F128" s="70" t="s">
        <v>38</v>
      </c>
      <c r="G128" s="29">
        <v>30</v>
      </c>
      <c r="H128" s="34" t="s">
        <v>120</v>
      </c>
      <c r="I128" s="18">
        <v>21500</v>
      </c>
      <c r="J128" s="30">
        <v>19</v>
      </c>
      <c r="K128" s="33">
        <f t="shared" si="25"/>
        <v>25585</v>
      </c>
      <c r="L128" s="21">
        <f t="shared" si="29"/>
        <v>767550</v>
      </c>
      <c r="M128" s="49">
        <f>IF(L129="","",AVERAGE(L129:L131))</f>
        <v>785400</v>
      </c>
      <c r="N128" s="49">
        <f>IFERROR(HARMEAN(L129:L131),"")</f>
        <v>785400</v>
      </c>
      <c r="O128" s="49">
        <f>IFERROR(MEDIAN(L129:L131),"")</f>
        <v>785400</v>
      </c>
      <c r="P128" s="31">
        <f t="shared" si="42"/>
        <v>767550</v>
      </c>
      <c r="Q128" s="46">
        <f>IFERROR(SUM(P129:P131)/COUNTA(P129:P131),"")</f>
        <v>261800</v>
      </c>
      <c r="R128" s="49" t="str">
        <f>IFERROR(_xlfn.STDEV.S(L129:L131),"")</f>
        <v/>
      </c>
      <c r="S128" s="52" t="str">
        <f>IFERROR(R128/M128,"")</f>
        <v/>
      </c>
      <c r="T128" s="55"/>
      <c r="U128" s="49">
        <f>M128</f>
        <v>785400</v>
      </c>
      <c r="V128" s="35"/>
    </row>
    <row r="129" spans="1:22">
      <c r="A129" s="62"/>
      <c r="B129" s="65"/>
      <c r="C129" s="59"/>
      <c r="D129" s="68"/>
      <c r="E129" s="71"/>
      <c r="F129" s="71"/>
      <c r="G129" s="29">
        <v>30</v>
      </c>
      <c r="H129" s="34" t="s">
        <v>133</v>
      </c>
      <c r="I129" s="18">
        <v>22000</v>
      </c>
      <c r="J129" s="30">
        <v>19</v>
      </c>
      <c r="K129" s="33">
        <f t="shared" ref="K129:K192" si="43">(I129*0.19)+I129</f>
        <v>26180</v>
      </c>
      <c r="L129" s="21">
        <f t="shared" si="29"/>
        <v>785400</v>
      </c>
      <c r="M129" s="50"/>
      <c r="N129" s="50"/>
      <c r="O129" s="50"/>
      <c r="P129" s="31">
        <f t="shared" si="42"/>
        <v>785400</v>
      </c>
      <c r="Q129" s="47"/>
      <c r="R129" s="50"/>
      <c r="S129" s="53"/>
      <c r="T129" s="56"/>
      <c r="U129" s="50"/>
      <c r="V129" s="36"/>
    </row>
    <row r="130" spans="1:22">
      <c r="A130" s="62"/>
      <c r="B130" s="65"/>
      <c r="C130" s="59"/>
      <c r="D130" s="68"/>
      <c r="E130" s="71"/>
      <c r="F130" s="71"/>
      <c r="G130" s="29"/>
      <c r="H130" s="34"/>
      <c r="I130" s="18">
        <v>0</v>
      </c>
      <c r="J130" s="30">
        <v>19</v>
      </c>
      <c r="K130" s="33">
        <f t="shared" si="43"/>
        <v>0</v>
      </c>
      <c r="L130" s="21" t="str">
        <f t="shared" si="29"/>
        <v/>
      </c>
      <c r="M130" s="50"/>
      <c r="N130" s="50"/>
      <c r="O130" s="50"/>
      <c r="P130" s="31" t="str">
        <f t="shared" si="42"/>
        <v/>
      </c>
      <c r="Q130" s="47"/>
      <c r="R130" s="50"/>
      <c r="S130" s="53"/>
      <c r="T130" s="56"/>
      <c r="U130" s="50"/>
      <c r="V130" s="36"/>
    </row>
    <row r="131" spans="1:22">
      <c r="A131" s="63"/>
      <c r="B131" s="66"/>
      <c r="C131" s="60"/>
      <c r="D131" s="69"/>
      <c r="E131" s="72"/>
      <c r="F131" s="72"/>
      <c r="G131" s="29"/>
      <c r="H131" s="34"/>
      <c r="I131" s="18">
        <v>0</v>
      </c>
      <c r="J131" s="30">
        <v>19</v>
      </c>
      <c r="K131" s="33">
        <f t="shared" si="43"/>
        <v>0</v>
      </c>
      <c r="L131" s="21" t="str">
        <f t="shared" si="29"/>
        <v/>
      </c>
      <c r="M131" s="51"/>
      <c r="N131" s="51"/>
      <c r="O131" s="51"/>
      <c r="P131" s="31" t="str">
        <f t="shared" si="42"/>
        <v/>
      </c>
      <c r="Q131" s="48"/>
      <c r="R131" s="51"/>
      <c r="S131" s="54"/>
      <c r="T131" s="57"/>
      <c r="U131" s="51"/>
      <c r="V131" s="37"/>
    </row>
    <row r="132" spans="1:22">
      <c r="A132" s="61">
        <f>A128+1</f>
        <v>31</v>
      </c>
      <c r="B132" s="64">
        <v>39121440</v>
      </c>
      <c r="C132" s="58" t="s">
        <v>134</v>
      </c>
      <c r="D132" s="79" t="s">
        <v>135</v>
      </c>
      <c r="E132" s="70" t="s">
        <v>38</v>
      </c>
      <c r="F132" s="70" t="s">
        <v>136</v>
      </c>
      <c r="G132" s="29">
        <v>10</v>
      </c>
      <c r="H132" s="34" t="s">
        <v>105</v>
      </c>
      <c r="I132" s="18">
        <v>34130</v>
      </c>
      <c r="J132" s="30">
        <v>19</v>
      </c>
      <c r="K132" s="33">
        <f t="shared" si="43"/>
        <v>40614.699999999997</v>
      </c>
      <c r="L132" s="21">
        <f t="shared" si="29"/>
        <v>406147</v>
      </c>
      <c r="M132" s="49">
        <f>IF(L133="","",AVERAGE(L133:L135))</f>
        <v>804440</v>
      </c>
      <c r="N132" s="49">
        <f>IFERROR(HARMEAN(L133:L135),"")</f>
        <v>620783.92011834309</v>
      </c>
      <c r="O132" s="49">
        <f>IFERROR(MEDIAN(L133:L135),"")</f>
        <v>804440</v>
      </c>
      <c r="P132" s="31">
        <f t="shared" si="42"/>
        <v>406147</v>
      </c>
      <c r="Q132" s="46">
        <f>IFERROR(SUM(P133:P135)/COUNTA(P133:P135),"")</f>
        <v>536293.33333333337</v>
      </c>
      <c r="R132" s="49">
        <f>IFERROR(_xlfn.STDEV.S(L133:L135),"")</f>
        <v>543581.26696934656</v>
      </c>
      <c r="S132" s="52">
        <f>IFERROR(R132/M132,"")</f>
        <v>0.67572630273152323</v>
      </c>
      <c r="T132" s="55"/>
      <c r="U132" s="49">
        <f>M132</f>
        <v>804440</v>
      </c>
      <c r="V132" s="35"/>
    </row>
    <row r="133" spans="1:22">
      <c r="A133" s="62"/>
      <c r="B133" s="65"/>
      <c r="C133" s="59"/>
      <c r="D133" s="80"/>
      <c r="E133" s="71"/>
      <c r="F133" s="71"/>
      <c r="G133" s="29">
        <v>10</v>
      </c>
      <c r="H133" s="34" t="s">
        <v>137</v>
      </c>
      <c r="I133" s="18">
        <v>35300</v>
      </c>
      <c r="J133" s="30">
        <v>19</v>
      </c>
      <c r="K133" s="33">
        <f t="shared" si="43"/>
        <v>42007</v>
      </c>
      <c r="L133" s="21">
        <f t="shared" si="29"/>
        <v>420070</v>
      </c>
      <c r="M133" s="50"/>
      <c r="N133" s="50"/>
      <c r="O133" s="50"/>
      <c r="P133" s="31">
        <f t="shared" si="42"/>
        <v>420070</v>
      </c>
      <c r="Q133" s="47"/>
      <c r="R133" s="50"/>
      <c r="S133" s="53"/>
      <c r="T133" s="56"/>
      <c r="U133" s="50"/>
      <c r="V133" s="36"/>
    </row>
    <row r="134" spans="1:22">
      <c r="A134" s="62"/>
      <c r="B134" s="65"/>
      <c r="C134" s="59"/>
      <c r="D134" s="80"/>
      <c r="E134" s="71"/>
      <c r="F134" s="71"/>
      <c r="G134" s="29">
        <v>10</v>
      </c>
      <c r="H134" s="34" t="s">
        <v>138</v>
      </c>
      <c r="I134" s="18">
        <v>99900</v>
      </c>
      <c r="J134" s="30">
        <v>19</v>
      </c>
      <c r="K134" s="33">
        <f t="shared" si="43"/>
        <v>118881</v>
      </c>
      <c r="L134" s="21">
        <f t="shared" ref="L134:L198" si="44">IF(I134=0,"",(K134)*$G134)</f>
        <v>1188810</v>
      </c>
      <c r="M134" s="50"/>
      <c r="N134" s="50"/>
      <c r="O134" s="50"/>
      <c r="P134" s="31">
        <f t="shared" si="42"/>
        <v>1188810</v>
      </c>
      <c r="Q134" s="47"/>
      <c r="R134" s="50"/>
      <c r="S134" s="53"/>
      <c r="T134" s="56"/>
      <c r="U134" s="50"/>
      <c r="V134" s="36"/>
    </row>
    <row r="135" spans="1:22">
      <c r="A135" s="63"/>
      <c r="B135" s="66"/>
      <c r="C135" s="60"/>
      <c r="D135" s="81"/>
      <c r="E135" s="72"/>
      <c r="F135" s="72"/>
      <c r="G135" s="29"/>
      <c r="H135" s="34"/>
      <c r="I135" s="18">
        <v>0</v>
      </c>
      <c r="J135" s="30">
        <v>19</v>
      </c>
      <c r="K135" s="33">
        <f t="shared" si="43"/>
        <v>0</v>
      </c>
      <c r="L135" s="21" t="str">
        <f t="shared" si="44"/>
        <v/>
      </c>
      <c r="M135" s="51"/>
      <c r="N135" s="51"/>
      <c r="O135" s="51"/>
      <c r="P135" s="31" t="str">
        <f t="shared" si="42"/>
        <v/>
      </c>
      <c r="Q135" s="48"/>
      <c r="R135" s="51"/>
      <c r="S135" s="54"/>
      <c r="T135" s="57"/>
      <c r="U135" s="51"/>
      <c r="V135" s="37"/>
    </row>
    <row r="136" spans="1:22">
      <c r="A136" s="61">
        <f>A132+1</f>
        <v>32</v>
      </c>
      <c r="B136" s="64">
        <v>31211904</v>
      </c>
      <c r="C136" s="58" t="s">
        <v>139</v>
      </c>
      <c r="D136" s="67" t="s">
        <v>140</v>
      </c>
      <c r="E136" s="70" t="s">
        <v>38</v>
      </c>
      <c r="F136" s="70" t="s">
        <v>38</v>
      </c>
      <c r="G136" s="29">
        <v>70</v>
      </c>
      <c r="H136" s="34" t="s">
        <v>141</v>
      </c>
      <c r="I136" s="18">
        <v>3900</v>
      </c>
      <c r="J136" s="30">
        <v>19</v>
      </c>
      <c r="K136" s="33">
        <f t="shared" si="43"/>
        <v>4641</v>
      </c>
      <c r="L136" s="21">
        <f t="shared" si="44"/>
        <v>324870</v>
      </c>
      <c r="M136" s="49">
        <f>IF(L137="","",AVERAGE(L137:L139))</f>
        <v>416500</v>
      </c>
      <c r="N136" s="49">
        <f>IFERROR(HARMEAN(L137:L139),"")</f>
        <v>408336.6</v>
      </c>
      <c r="O136" s="49">
        <f>IFERROR(MEDIAN(L137:L139),"")</f>
        <v>416500</v>
      </c>
      <c r="P136" s="31">
        <f t="shared" si="42"/>
        <v>324870</v>
      </c>
      <c r="Q136" s="46">
        <f>IFERROR(SUM(P137:P139)/COUNTA(P137:P139),"")</f>
        <v>277666.66666666669</v>
      </c>
      <c r="R136" s="49">
        <f>IFERROR(_xlfn.STDEV.S(L137:L139),"")</f>
        <v>82462.792821975178</v>
      </c>
      <c r="S136" s="52">
        <f>IFERROR(R136/M136,"")</f>
        <v>0.19798989873223333</v>
      </c>
      <c r="T136" s="55"/>
      <c r="U136" s="49">
        <f>M136</f>
        <v>416500</v>
      </c>
      <c r="V136" s="35"/>
    </row>
    <row r="137" spans="1:22">
      <c r="A137" s="62"/>
      <c r="B137" s="65"/>
      <c r="C137" s="59"/>
      <c r="D137" s="68"/>
      <c r="E137" s="71"/>
      <c r="F137" s="71"/>
      <c r="G137" s="29">
        <v>70</v>
      </c>
      <c r="H137" s="34" t="s">
        <v>142</v>
      </c>
      <c r="I137" s="18">
        <v>4300</v>
      </c>
      <c r="J137" s="30">
        <v>19</v>
      </c>
      <c r="K137" s="33">
        <f t="shared" si="43"/>
        <v>5117</v>
      </c>
      <c r="L137" s="21">
        <f t="shared" si="44"/>
        <v>358190</v>
      </c>
      <c r="M137" s="50"/>
      <c r="N137" s="50"/>
      <c r="O137" s="50"/>
      <c r="P137" s="31">
        <f t="shared" si="42"/>
        <v>358190</v>
      </c>
      <c r="Q137" s="47"/>
      <c r="R137" s="50"/>
      <c r="S137" s="53"/>
      <c r="T137" s="56"/>
      <c r="U137" s="50"/>
      <c r="V137" s="36"/>
    </row>
    <row r="138" spans="1:22">
      <c r="A138" s="62"/>
      <c r="B138" s="65"/>
      <c r="C138" s="59"/>
      <c r="D138" s="68"/>
      <c r="E138" s="71"/>
      <c r="F138" s="71"/>
      <c r="G138" s="29">
        <v>70</v>
      </c>
      <c r="H138" s="34" t="s">
        <v>43</v>
      </c>
      <c r="I138" s="18">
        <v>5700</v>
      </c>
      <c r="J138" s="30">
        <v>19</v>
      </c>
      <c r="K138" s="33">
        <f t="shared" si="43"/>
        <v>6783</v>
      </c>
      <c r="L138" s="21">
        <f t="shared" si="44"/>
        <v>474810</v>
      </c>
      <c r="M138" s="50"/>
      <c r="N138" s="50"/>
      <c r="O138" s="50"/>
      <c r="P138" s="31">
        <f t="shared" si="42"/>
        <v>474810</v>
      </c>
      <c r="Q138" s="47"/>
      <c r="R138" s="50"/>
      <c r="S138" s="53"/>
      <c r="T138" s="56"/>
      <c r="U138" s="50"/>
      <c r="V138" s="36"/>
    </row>
    <row r="139" spans="1:22">
      <c r="A139" s="63"/>
      <c r="B139" s="66"/>
      <c r="C139" s="60"/>
      <c r="D139" s="69"/>
      <c r="E139" s="72"/>
      <c r="F139" s="72"/>
      <c r="G139" s="29"/>
      <c r="H139" s="34"/>
      <c r="I139" s="18">
        <v>0</v>
      </c>
      <c r="J139" s="30">
        <v>19</v>
      </c>
      <c r="K139" s="33">
        <f t="shared" si="43"/>
        <v>0</v>
      </c>
      <c r="L139" s="21" t="str">
        <f t="shared" si="44"/>
        <v/>
      </c>
      <c r="M139" s="51"/>
      <c r="N139" s="51"/>
      <c r="O139" s="51"/>
      <c r="P139" s="31" t="str">
        <f t="shared" si="42"/>
        <v/>
      </c>
      <c r="Q139" s="48"/>
      <c r="R139" s="51"/>
      <c r="S139" s="54"/>
      <c r="T139" s="57"/>
      <c r="U139" s="51"/>
      <c r="V139" s="37"/>
    </row>
    <row r="140" spans="1:22">
      <c r="A140" s="61">
        <f>A136+1</f>
        <v>33</v>
      </c>
      <c r="B140" s="64">
        <v>31211717</v>
      </c>
      <c r="C140" s="58" t="s">
        <v>143</v>
      </c>
      <c r="D140" s="67" t="s">
        <v>144</v>
      </c>
      <c r="E140" s="70" t="s">
        <v>38</v>
      </c>
      <c r="F140" s="70" t="s">
        <v>38</v>
      </c>
      <c r="G140" s="29">
        <v>3</v>
      </c>
      <c r="H140" s="34" t="s">
        <v>138</v>
      </c>
      <c r="I140" s="18">
        <v>178900</v>
      </c>
      <c r="J140" s="30">
        <v>19</v>
      </c>
      <c r="K140" s="33">
        <f t="shared" si="43"/>
        <v>212891</v>
      </c>
      <c r="L140" s="21">
        <f t="shared" si="44"/>
        <v>638673</v>
      </c>
      <c r="M140" s="49">
        <f>IF(L141="","",AVERAGE(L141:L143))</f>
        <v>838950</v>
      </c>
      <c r="N140" s="49">
        <f>IFERROR(HARMEAN(L141:L143),"")</f>
        <v>838950</v>
      </c>
      <c r="O140" s="49">
        <f>IFERROR(MEDIAN(L141:L143),"")</f>
        <v>838950</v>
      </c>
      <c r="P140" s="31">
        <f t="shared" si="42"/>
        <v>638673</v>
      </c>
      <c r="Q140" s="46">
        <f>IFERROR(SUM(P141:P143)/COUNTA(P141:P143),"")</f>
        <v>279650</v>
      </c>
      <c r="R140" s="49" t="str">
        <f>IFERROR(_xlfn.STDEV.S(L141:L143),"")</f>
        <v/>
      </c>
      <c r="S140" s="52" t="str">
        <f>IFERROR(R140/M140,"")</f>
        <v/>
      </c>
      <c r="T140" s="55"/>
      <c r="U140" s="49">
        <f>M140</f>
        <v>838950</v>
      </c>
      <c r="V140" s="35"/>
    </row>
    <row r="141" spans="1:22">
      <c r="A141" s="62"/>
      <c r="B141" s="65"/>
      <c r="C141" s="59"/>
      <c r="D141" s="68"/>
      <c r="E141" s="71"/>
      <c r="F141" s="71"/>
      <c r="G141" s="29">
        <v>3</v>
      </c>
      <c r="H141" s="34" t="s">
        <v>145</v>
      </c>
      <c r="I141" s="18">
        <v>235000</v>
      </c>
      <c r="J141" s="30">
        <v>19</v>
      </c>
      <c r="K141" s="33">
        <f t="shared" si="43"/>
        <v>279650</v>
      </c>
      <c r="L141" s="21">
        <f t="shared" si="44"/>
        <v>838950</v>
      </c>
      <c r="M141" s="50"/>
      <c r="N141" s="50"/>
      <c r="O141" s="50"/>
      <c r="P141" s="31">
        <f t="shared" si="42"/>
        <v>838950</v>
      </c>
      <c r="Q141" s="47"/>
      <c r="R141" s="50"/>
      <c r="S141" s="53"/>
      <c r="T141" s="56"/>
      <c r="U141" s="50"/>
      <c r="V141" s="36"/>
    </row>
    <row r="142" spans="1:22">
      <c r="A142" s="62"/>
      <c r="B142" s="65"/>
      <c r="C142" s="59"/>
      <c r="D142" s="68"/>
      <c r="E142" s="71"/>
      <c r="F142" s="71"/>
      <c r="G142" s="29"/>
      <c r="H142" s="34"/>
      <c r="I142" s="18">
        <v>0</v>
      </c>
      <c r="J142" s="30">
        <v>19</v>
      </c>
      <c r="K142" s="33">
        <f t="shared" si="43"/>
        <v>0</v>
      </c>
      <c r="L142" s="21" t="str">
        <f t="shared" si="44"/>
        <v/>
      </c>
      <c r="M142" s="50"/>
      <c r="N142" s="50"/>
      <c r="O142" s="50"/>
      <c r="P142" s="31" t="str">
        <f t="shared" si="42"/>
        <v/>
      </c>
      <c r="Q142" s="47"/>
      <c r="R142" s="50"/>
      <c r="S142" s="53"/>
      <c r="T142" s="56"/>
      <c r="U142" s="50"/>
      <c r="V142" s="36"/>
    </row>
    <row r="143" spans="1:22">
      <c r="A143" s="63"/>
      <c r="B143" s="66"/>
      <c r="C143" s="60"/>
      <c r="D143" s="69"/>
      <c r="E143" s="72"/>
      <c r="F143" s="72"/>
      <c r="G143" s="29"/>
      <c r="H143" s="34"/>
      <c r="I143" s="18">
        <v>0</v>
      </c>
      <c r="J143" s="30">
        <v>19</v>
      </c>
      <c r="K143" s="33">
        <f t="shared" si="43"/>
        <v>0</v>
      </c>
      <c r="L143" s="21" t="str">
        <f t="shared" si="44"/>
        <v/>
      </c>
      <c r="M143" s="51"/>
      <c r="N143" s="51"/>
      <c r="O143" s="51"/>
      <c r="P143" s="31" t="str">
        <f t="shared" si="42"/>
        <v/>
      </c>
      <c r="Q143" s="48"/>
      <c r="R143" s="51"/>
      <c r="S143" s="54"/>
      <c r="T143" s="57"/>
      <c r="U143" s="51"/>
      <c r="V143" s="37"/>
    </row>
    <row r="144" spans="1:22">
      <c r="A144" s="61">
        <f>A140+1</f>
        <v>34</v>
      </c>
      <c r="B144" s="64">
        <v>31210000</v>
      </c>
      <c r="C144" s="58" t="s">
        <v>146</v>
      </c>
      <c r="D144" s="67" t="s">
        <v>147</v>
      </c>
      <c r="E144" s="70" t="s">
        <v>148</v>
      </c>
      <c r="F144" s="70" t="s">
        <v>148</v>
      </c>
      <c r="G144" s="29">
        <v>15</v>
      </c>
      <c r="H144" s="34" t="s">
        <v>81</v>
      </c>
      <c r="I144" s="18">
        <v>20900</v>
      </c>
      <c r="J144" s="30">
        <v>19</v>
      </c>
      <c r="K144" s="33">
        <f t="shared" si="43"/>
        <v>24871</v>
      </c>
      <c r="L144" s="21">
        <f t="shared" si="44"/>
        <v>373065</v>
      </c>
      <c r="M144" s="49">
        <f>IF(L145="","",AVERAGE(L145:L147))</f>
        <v>196350</v>
      </c>
      <c r="N144" s="49">
        <f>IFERROR(HARMEAN(L145:L147),"")</f>
        <v>196350</v>
      </c>
      <c r="O144" s="49">
        <f>IFERROR(MEDIAN(L145:L147),"")</f>
        <v>196350</v>
      </c>
      <c r="P144" s="31">
        <f t="shared" si="42"/>
        <v>373065</v>
      </c>
      <c r="Q144" s="46">
        <f>IFERROR(SUM(P145:P147)/COUNTA(P145:P147),"")</f>
        <v>65450</v>
      </c>
      <c r="R144" s="49" t="str">
        <f>IFERROR(_xlfn.STDEV.S(L145:L147),"")</f>
        <v/>
      </c>
      <c r="S144" s="52" t="str">
        <f>IFERROR(R144/M144,"")</f>
        <v/>
      </c>
      <c r="T144" s="55"/>
      <c r="U144" s="49">
        <f>M144</f>
        <v>196350</v>
      </c>
      <c r="V144" s="35"/>
    </row>
    <row r="145" spans="1:22">
      <c r="A145" s="62"/>
      <c r="B145" s="65"/>
      <c r="C145" s="59"/>
      <c r="D145" s="68"/>
      <c r="E145" s="71"/>
      <c r="F145" s="71"/>
      <c r="G145" s="29">
        <v>15</v>
      </c>
      <c r="H145" s="34" t="s">
        <v>149</v>
      </c>
      <c r="I145" s="18">
        <v>11000</v>
      </c>
      <c r="J145" s="30">
        <v>19</v>
      </c>
      <c r="K145" s="33">
        <f t="shared" si="43"/>
        <v>13090</v>
      </c>
      <c r="L145" s="21">
        <f t="shared" si="44"/>
        <v>196350</v>
      </c>
      <c r="M145" s="50"/>
      <c r="N145" s="50"/>
      <c r="O145" s="50"/>
      <c r="P145" s="31">
        <f t="shared" si="42"/>
        <v>196350</v>
      </c>
      <c r="Q145" s="47"/>
      <c r="R145" s="50"/>
      <c r="S145" s="53"/>
      <c r="T145" s="56"/>
      <c r="U145" s="50"/>
      <c r="V145" s="36"/>
    </row>
    <row r="146" spans="1:22">
      <c r="A146" s="62"/>
      <c r="B146" s="65"/>
      <c r="C146" s="59"/>
      <c r="D146" s="68"/>
      <c r="E146" s="71"/>
      <c r="F146" s="71"/>
      <c r="G146" s="29"/>
      <c r="H146" s="34"/>
      <c r="I146" s="18">
        <v>0</v>
      </c>
      <c r="J146" s="30">
        <v>19</v>
      </c>
      <c r="K146" s="33">
        <f t="shared" si="43"/>
        <v>0</v>
      </c>
      <c r="L146" s="21" t="str">
        <f t="shared" si="44"/>
        <v/>
      </c>
      <c r="M146" s="50"/>
      <c r="N146" s="50"/>
      <c r="O146" s="50"/>
      <c r="P146" s="31" t="str">
        <f t="shared" si="42"/>
        <v/>
      </c>
      <c r="Q146" s="47"/>
      <c r="R146" s="50"/>
      <c r="S146" s="53"/>
      <c r="T146" s="56"/>
      <c r="U146" s="50"/>
      <c r="V146" s="36"/>
    </row>
    <row r="147" spans="1:22">
      <c r="A147" s="63"/>
      <c r="B147" s="66"/>
      <c r="C147" s="60"/>
      <c r="D147" s="69"/>
      <c r="E147" s="72"/>
      <c r="F147" s="72"/>
      <c r="G147" s="29"/>
      <c r="H147" s="34"/>
      <c r="I147" s="18">
        <v>0</v>
      </c>
      <c r="J147" s="30">
        <v>19</v>
      </c>
      <c r="K147" s="33">
        <f t="shared" si="43"/>
        <v>0</v>
      </c>
      <c r="L147" s="21" t="str">
        <f t="shared" si="44"/>
        <v/>
      </c>
      <c r="M147" s="51"/>
      <c r="N147" s="51"/>
      <c r="O147" s="51"/>
      <c r="P147" s="31" t="str">
        <f t="shared" si="42"/>
        <v/>
      </c>
      <c r="Q147" s="48"/>
      <c r="R147" s="51"/>
      <c r="S147" s="54"/>
      <c r="T147" s="57"/>
      <c r="U147" s="51"/>
      <c r="V147" s="37"/>
    </row>
    <row r="148" spans="1:22">
      <c r="A148" s="61">
        <f>A144+1</f>
        <v>35</v>
      </c>
      <c r="B148" s="64">
        <v>27111506</v>
      </c>
      <c r="C148" s="74" t="s">
        <v>150</v>
      </c>
      <c r="D148" s="67" t="s">
        <v>151</v>
      </c>
      <c r="E148" s="70" t="s">
        <v>152</v>
      </c>
      <c r="F148" s="70" t="s">
        <v>28</v>
      </c>
      <c r="G148" s="29">
        <v>15</v>
      </c>
      <c r="H148" s="34" t="s">
        <v>133</v>
      </c>
      <c r="I148" s="18">
        <v>82580</v>
      </c>
      <c r="J148" s="30">
        <v>19</v>
      </c>
      <c r="K148" s="33">
        <f t="shared" si="43"/>
        <v>98270.2</v>
      </c>
      <c r="L148" s="21">
        <f t="shared" si="44"/>
        <v>1474053</v>
      </c>
      <c r="M148" s="49">
        <f>IF(L149="","",AVERAGE(L149:L151))</f>
        <v>731850</v>
      </c>
      <c r="N148" s="49">
        <f>IFERROR(HARMEAN(L149:L151),"")</f>
        <v>731850</v>
      </c>
      <c r="O148" s="49">
        <f>IFERROR(MEDIAN(L149:L151),"")</f>
        <v>731850</v>
      </c>
      <c r="P148" s="31">
        <f t="shared" si="42"/>
        <v>1474053</v>
      </c>
      <c r="Q148" s="46">
        <f>IFERROR(SUM(P149:P151)/COUNTA(P149:P151),"")</f>
        <v>243950</v>
      </c>
      <c r="R148" s="49" t="str">
        <f>IFERROR(_xlfn.STDEV.S(L149:L151),"")</f>
        <v/>
      </c>
      <c r="S148" s="52" t="str">
        <f>IFERROR(R148/M148,"")</f>
        <v/>
      </c>
      <c r="T148" s="55"/>
      <c r="U148" s="49">
        <f>M148</f>
        <v>731850</v>
      </c>
      <c r="V148" s="35"/>
    </row>
    <row r="149" spans="1:22">
      <c r="A149" s="62"/>
      <c r="B149" s="65"/>
      <c r="C149" s="59"/>
      <c r="D149" s="68"/>
      <c r="E149" s="71"/>
      <c r="F149" s="71"/>
      <c r="G149" s="29">
        <v>15</v>
      </c>
      <c r="H149" s="34" t="s">
        <v>153</v>
      </c>
      <c r="I149" s="18">
        <v>41000</v>
      </c>
      <c r="J149" s="30">
        <v>19</v>
      </c>
      <c r="K149" s="33">
        <f t="shared" si="43"/>
        <v>48790</v>
      </c>
      <c r="L149" s="21">
        <f t="shared" si="44"/>
        <v>731850</v>
      </c>
      <c r="M149" s="50"/>
      <c r="N149" s="50"/>
      <c r="O149" s="50"/>
      <c r="P149" s="31">
        <f t="shared" si="42"/>
        <v>731850</v>
      </c>
      <c r="Q149" s="47"/>
      <c r="R149" s="50"/>
      <c r="S149" s="53"/>
      <c r="T149" s="56"/>
      <c r="U149" s="50"/>
      <c r="V149" s="36"/>
    </row>
    <row r="150" spans="1:22">
      <c r="A150" s="62"/>
      <c r="B150" s="65"/>
      <c r="C150" s="59"/>
      <c r="D150" s="68"/>
      <c r="E150" s="71"/>
      <c r="F150" s="71"/>
      <c r="G150" s="29"/>
      <c r="H150" s="34"/>
      <c r="I150" s="18">
        <v>0</v>
      </c>
      <c r="J150" s="30">
        <v>19</v>
      </c>
      <c r="K150" s="33">
        <f t="shared" si="43"/>
        <v>0</v>
      </c>
      <c r="L150" s="21" t="str">
        <f t="shared" si="44"/>
        <v/>
      </c>
      <c r="M150" s="50"/>
      <c r="N150" s="50"/>
      <c r="O150" s="50"/>
      <c r="P150" s="31" t="str">
        <f t="shared" si="42"/>
        <v/>
      </c>
      <c r="Q150" s="47"/>
      <c r="R150" s="50"/>
      <c r="S150" s="53"/>
      <c r="T150" s="56"/>
      <c r="U150" s="50"/>
      <c r="V150" s="36"/>
    </row>
    <row r="151" spans="1:22">
      <c r="A151" s="63"/>
      <c r="B151" s="66"/>
      <c r="C151" s="60"/>
      <c r="D151" s="69"/>
      <c r="E151" s="72"/>
      <c r="F151" s="72"/>
      <c r="G151" s="29"/>
      <c r="H151" s="34"/>
      <c r="I151" s="18">
        <v>0</v>
      </c>
      <c r="J151" s="30">
        <v>19</v>
      </c>
      <c r="K151" s="33">
        <f t="shared" si="43"/>
        <v>0</v>
      </c>
      <c r="L151" s="21" t="str">
        <f t="shared" si="44"/>
        <v/>
      </c>
      <c r="M151" s="51"/>
      <c r="N151" s="51"/>
      <c r="O151" s="51"/>
      <c r="P151" s="31" t="str">
        <f t="shared" si="42"/>
        <v/>
      </c>
      <c r="Q151" s="48"/>
      <c r="R151" s="51"/>
      <c r="S151" s="54"/>
      <c r="T151" s="57"/>
      <c r="U151" s="51"/>
      <c r="V151" s="37"/>
    </row>
    <row r="152" spans="1:22">
      <c r="A152" s="61">
        <f>A148+1</f>
        <v>36</v>
      </c>
      <c r="B152" s="64">
        <v>27111506</v>
      </c>
      <c r="C152" s="58" t="s">
        <v>154</v>
      </c>
      <c r="D152" s="78" t="s">
        <v>155</v>
      </c>
      <c r="E152" s="70" t="s">
        <v>152</v>
      </c>
      <c r="F152" s="70" t="s">
        <v>152</v>
      </c>
      <c r="G152" s="29">
        <v>7</v>
      </c>
      <c r="H152" s="34" t="s">
        <v>156</v>
      </c>
      <c r="I152" s="18">
        <v>6600</v>
      </c>
      <c r="J152" s="30">
        <v>19</v>
      </c>
      <c r="K152" s="33">
        <f t="shared" si="43"/>
        <v>7854</v>
      </c>
      <c r="L152" s="21">
        <f t="shared" si="44"/>
        <v>54978</v>
      </c>
      <c r="M152" s="49">
        <f>IF(L153="","",AVERAGE(L153:L155))</f>
        <v>84966</v>
      </c>
      <c r="N152" s="49">
        <f>IFERROR(HARMEAN(L153:L155),"")</f>
        <v>84892.5</v>
      </c>
      <c r="O152" s="49">
        <f>IFERROR(MEDIAN(L153:L155),"")</f>
        <v>84966</v>
      </c>
      <c r="P152" s="31">
        <f t="shared" si="42"/>
        <v>54978</v>
      </c>
      <c r="Q152" s="46">
        <f>IFERROR(SUM(P153:P155)/COUNTA(P153:P155),"")</f>
        <v>56644</v>
      </c>
      <c r="R152" s="49">
        <f>IFERROR(_xlfn.STDEV.S(L153:L155),"")</f>
        <v>3534.1196923703646</v>
      </c>
      <c r="S152" s="52">
        <f>IFERROR(R152/M152,"")</f>
        <v>4.1594516540385151E-2</v>
      </c>
      <c r="T152" s="55"/>
      <c r="U152" s="49">
        <f>M152</f>
        <v>84966</v>
      </c>
      <c r="V152" s="35"/>
    </row>
    <row r="153" spans="1:22">
      <c r="A153" s="62"/>
      <c r="B153" s="65"/>
      <c r="C153" s="59"/>
      <c r="D153" s="68"/>
      <c r="E153" s="71"/>
      <c r="F153" s="71"/>
      <c r="G153" s="29">
        <v>7</v>
      </c>
      <c r="H153" s="34" t="s">
        <v>157</v>
      </c>
      <c r="I153" s="18">
        <v>10500</v>
      </c>
      <c r="J153" s="30">
        <v>19</v>
      </c>
      <c r="K153" s="33">
        <f t="shared" si="43"/>
        <v>12495</v>
      </c>
      <c r="L153" s="21">
        <f t="shared" si="44"/>
        <v>87465</v>
      </c>
      <c r="M153" s="50"/>
      <c r="N153" s="50"/>
      <c r="O153" s="50"/>
      <c r="P153" s="31">
        <f t="shared" si="42"/>
        <v>87465</v>
      </c>
      <c r="Q153" s="47"/>
      <c r="R153" s="50"/>
      <c r="S153" s="53"/>
      <c r="T153" s="56"/>
      <c r="U153" s="50"/>
      <c r="V153" s="36"/>
    </row>
    <row r="154" spans="1:22">
      <c r="A154" s="62"/>
      <c r="B154" s="65"/>
      <c r="C154" s="59"/>
      <c r="D154" s="68"/>
      <c r="E154" s="71"/>
      <c r="F154" s="71"/>
      <c r="G154" s="29">
        <v>7</v>
      </c>
      <c r="H154" s="34" t="s">
        <v>158</v>
      </c>
      <c r="I154" s="18">
        <v>9900</v>
      </c>
      <c r="J154" s="30">
        <v>19</v>
      </c>
      <c r="K154" s="33">
        <f t="shared" si="43"/>
        <v>11781</v>
      </c>
      <c r="L154" s="21">
        <f t="shared" si="44"/>
        <v>82467</v>
      </c>
      <c r="M154" s="50"/>
      <c r="N154" s="50"/>
      <c r="O154" s="50"/>
      <c r="P154" s="31">
        <f t="shared" si="42"/>
        <v>82467</v>
      </c>
      <c r="Q154" s="47"/>
      <c r="R154" s="50"/>
      <c r="S154" s="53"/>
      <c r="T154" s="56"/>
      <c r="U154" s="50"/>
      <c r="V154" s="36"/>
    </row>
    <row r="155" spans="1:22">
      <c r="A155" s="63"/>
      <c r="B155" s="66"/>
      <c r="C155" s="60"/>
      <c r="D155" s="69"/>
      <c r="E155" s="72"/>
      <c r="F155" s="72"/>
      <c r="G155" s="29"/>
      <c r="H155" s="34"/>
      <c r="I155" s="18">
        <v>0</v>
      </c>
      <c r="J155" s="30">
        <v>19</v>
      </c>
      <c r="K155" s="33">
        <f t="shared" si="43"/>
        <v>0</v>
      </c>
      <c r="L155" s="21" t="str">
        <f t="shared" si="44"/>
        <v/>
      </c>
      <c r="M155" s="51"/>
      <c r="N155" s="51"/>
      <c r="O155" s="51"/>
      <c r="P155" s="31" t="str">
        <f t="shared" si="42"/>
        <v/>
      </c>
      <c r="Q155" s="48"/>
      <c r="R155" s="51"/>
      <c r="S155" s="54"/>
      <c r="T155" s="57"/>
      <c r="U155" s="51"/>
      <c r="V155" s="37"/>
    </row>
    <row r="156" spans="1:22">
      <c r="A156" s="61">
        <f>A152+1</f>
        <v>37</v>
      </c>
      <c r="B156" s="64">
        <v>14111506</v>
      </c>
      <c r="C156" s="58" t="s">
        <v>159</v>
      </c>
      <c r="D156" s="67" t="s">
        <v>160</v>
      </c>
      <c r="E156" s="70" t="s">
        <v>152</v>
      </c>
      <c r="F156" s="70" t="s">
        <v>152</v>
      </c>
      <c r="G156" s="29">
        <v>100</v>
      </c>
      <c r="H156" s="34" t="s">
        <v>161</v>
      </c>
      <c r="I156" s="18">
        <v>24376</v>
      </c>
      <c r="J156" s="30">
        <v>19</v>
      </c>
      <c r="K156" s="33">
        <f t="shared" si="43"/>
        <v>29007.439999999999</v>
      </c>
      <c r="L156" s="21">
        <f t="shared" si="44"/>
        <v>2900744</v>
      </c>
      <c r="M156" s="49">
        <f>IF(L157="","",AVERAGE(L157:L159))</f>
        <v>2618000</v>
      </c>
      <c r="N156" s="49">
        <f>IFERROR(HARMEAN(L157:L159),"")</f>
        <v>2618000</v>
      </c>
      <c r="O156" s="49">
        <f>IFERROR(MEDIAN(L157:L159),"")</f>
        <v>2618000</v>
      </c>
      <c r="P156" s="31">
        <f t="shared" si="42"/>
        <v>2900744</v>
      </c>
      <c r="Q156" s="46">
        <f>IFERROR(SUM(P157:P159)/COUNTA(P157:P159),"")</f>
        <v>872666.66666666663</v>
      </c>
      <c r="R156" s="49" t="str">
        <f>IFERROR(_xlfn.STDEV.S(L157:L159),"")</f>
        <v/>
      </c>
      <c r="S156" s="52" t="str">
        <f>IFERROR(R156/M156,"")</f>
        <v/>
      </c>
      <c r="T156" s="55"/>
      <c r="U156" s="49">
        <f>M156</f>
        <v>2618000</v>
      </c>
      <c r="V156" s="35"/>
    </row>
    <row r="157" spans="1:22">
      <c r="A157" s="62"/>
      <c r="B157" s="65"/>
      <c r="C157" s="59"/>
      <c r="D157" s="68"/>
      <c r="E157" s="71"/>
      <c r="F157" s="71"/>
      <c r="G157" s="29">
        <v>100</v>
      </c>
      <c r="H157" s="34" t="s">
        <v>162</v>
      </c>
      <c r="I157" s="18">
        <v>22000</v>
      </c>
      <c r="J157" s="30">
        <v>19</v>
      </c>
      <c r="K157" s="33">
        <f t="shared" si="43"/>
        <v>26180</v>
      </c>
      <c r="L157" s="21">
        <f t="shared" si="44"/>
        <v>2618000</v>
      </c>
      <c r="M157" s="50"/>
      <c r="N157" s="50"/>
      <c r="O157" s="50"/>
      <c r="P157" s="31">
        <f t="shared" si="42"/>
        <v>2618000</v>
      </c>
      <c r="Q157" s="47"/>
      <c r="R157" s="50"/>
      <c r="S157" s="53"/>
      <c r="T157" s="56"/>
      <c r="U157" s="50"/>
      <c r="V157" s="36"/>
    </row>
    <row r="158" spans="1:22">
      <c r="A158" s="62"/>
      <c r="B158" s="65"/>
      <c r="C158" s="59"/>
      <c r="D158" s="68"/>
      <c r="E158" s="71"/>
      <c r="F158" s="71"/>
      <c r="G158" s="29"/>
      <c r="H158" s="34"/>
      <c r="I158" s="18">
        <v>0</v>
      </c>
      <c r="J158" s="30">
        <v>19</v>
      </c>
      <c r="K158" s="33">
        <f t="shared" si="43"/>
        <v>0</v>
      </c>
      <c r="L158" s="21" t="str">
        <f t="shared" si="44"/>
        <v/>
      </c>
      <c r="M158" s="50"/>
      <c r="N158" s="50"/>
      <c r="O158" s="50"/>
      <c r="P158" s="31" t="str">
        <f t="shared" si="42"/>
        <v/>
      </c>
      <c r="Q158" s="47"/>
      <c r="R158" s="50"/>
      <c r="S158" s="53"/>
      <c r="T158" s="56"/>
      <c r="U158" s="50"/>
      <c r="V158" s="36"/>
    </row>
    <row r="159" spans="1:22">
      <c r="A159" s="63"/>
      <c r="B159" s="66"/>
      <c r="C159" s="60"/>
      <c r="D159" s="69"/>
      <c r="E159" s="72"/>
      <c r="F159" s="72"/>
      <c r="G159" s="29"/>
      <c r="H159" s="34"/>
      <c r="I159" s="18">
        <v>0</v>
      </c>
      <c r="J159" s="30">
        <v>19</v>
      </c>
      <c r="K159" s="33">
        <f t="shared" si="43"/>
        <v>0</v>
      </c>
      <c r="L159" s="21" t="str">
        <f t="shared" si="44"/>
        <v/>
      </c>
      <c r="M159" s="51"/>
      <c r="N159" s="51"/>
      <c r="O159" s="51"/>
      <c r="P159" s="31" t="str">
        <f t="shared" si="42"/>
        <v/>
      </c>
      <c r="Q159" s="48"/>
      <c r="R159" s="51"/>
      <c r="S159" s="54"/>
      <c r="T159" s="57"/>
      <c r="U159" s="51"/>
      <c r="V159" s="37"/>
    </row>
    <row r="160" spans="1:22">
      <c r="A160" s="61">
        <f>A156+1</f>
        <v>38</v>
      </c>
      <c r="B160" s="64">
        <v>27112100</v>
      </c>
      <c r="C160" s="58" t="s">
        <v>163</v>
      </c>
      <c r="D160" s="67" t="s">
        <v>164</v>
      </c>
      <c r="E160" s="70" t="s">
        <v>152</v>
      </c>
      <c r="F160" s="70" t="s">
        <v>152</v>
      </c>
      <c r="G160" s="29">
        <v>25</v>
      </c>
      <c r="H160" s="34" t="s">
        <v>138</v>
      </c>
      <c r="I160" s="18">
        <v>59900</v>
      </c>
      <c r="J160" s="30">
        <v>19</v>
      </c>
      <c r="K160" s="33">
        <f t="shared" si="43"/>
        <v>71281</v>
      </c>
      <c r="L160" s="21">
        <f t="shared" si="44"/>
        <v>1782025</v>
      </c>
      <c r="M160" s="49">
        <f>IF(L161="","",AVERAGE(L161:L163))</f>
        <v>934150</v>
      </c>
      <c r="N160" s="49">
        <f>IFERROR(HARMEAN(L161:L163),"")</f>
        <v>933808.91719745216</v>
      </c>
      <c r="O160" s="49">
        <f>IFERROR(MEDIAN(L161:L163),"")</f>
        <v>934150</v>
      </c>
      <c r="P160" s="31">
        <f t="shared" si="42"/>
        <v>1782025</v>
      </c>
      <c r="Q160" s="46">
        <f>IFERROR(SUM(P161:P163)/COUNTA(P161:P163),"")</f>
        <v>622766.66666666663</v>
      </c>
      <c r="R160" s="49">
        <f>IFERROR(_xlfn.STDEV.S(L161:L163),"")</f>
        <v>25243.712088359745</v>
      </c>
      <c r="S160" s="52">
        <f>IFERROR(R160/M160,"")</f>
        <v>2.7023189089931753E-2</v>
      </c>
      <c r="T160" s="55"/>
      <c r="U160" s="49">
        <f>M160</f>
        <v>934150</v>
      </c>
      <c r="V160" s="35"/>
    </row>
    <row r="161" spans="1:22">
      <c r="A161" s="62"/>
      <c r="B161" s="65"/>
      <c r="C161" s="59"/>
      <c r="D161" s="68"/>
      <c r="E161" s="71"/>
      <c r="F161" s="71"/>
      <c r="G161" s="29">
        <v>25</v>
      </c>
      <c r="H161" s="34" t="s">
        <v>165</v>
      </c>
      <c r="I161" s="18">
        <v>30800</v>
      </c>
      <c r="J161" s="30">
        <v>19</v>
      </c>
      <c r="K161" s="33">
        <f t="shared" si="43"/>
        <v>36652</v>
      </c>
      <c r="L161" s="21">
        <f t="shared" si="44"/>
        <v>916300</v>
      </c>
      <c r="M161" s="50"/>
      <c r="N161" s="50"/>
      <c r="O161" s="50"/>
      <c r="P161" s="31">
        <f t="shared" si="42"/>
        <v>916300</v>
      </c>
      <c r="Q161" s="47"/>
      <c r="R161" s="50"/>
      <c r="S161" s="53"/>
      <c r="T161" s="56"/>
      <c r="U161" s="50"/>
      <c r="V161" s="36"/>
    </row>
    <row r="162" spans="1:22">
      <c r="A162" s="62"/>
      <c r="B162" s="65"/>
      <c r="C162" s="59"/>
      <c r="D162" s="68"/>
      <c r="E162" s="71"/>
      <c r="F162" s="71"/>
      <c r="G162" s="29">
        <v>25</v>
      </c>
      <c r="H162" s="34" t="s">
        <v>166</v>
      </c>
      <c r="I162" s="18">
        <v>32000</v>
      </c>
      <c r="J162" s="30">
        <v>19</v>
      </c>
      <c r="K162" s="33">
        <f t="shared" si="43"/>
        <v>38080</v>
      </c>
      <c r="L162" s="21">
        <f t="shared" si="44"/>
        <v>952000</v>
      </c>
      <c r="M162" s="50"/>
      <c r="N162" s="50"/>
      <c r="O162" s="50"/>
      <c r="P162" s="31">
        <f t="shared" si="42"/>
        <v>952000</v>
      </c>
      <c r="Q162" s="47"/>
      <c r="R162" s="50"/>
      <c r="S162" s="53"/>
      <c r="T162" s="56"/>
      <c r="U162" s="50"/>
      <c r="V162" s="36"/>
    </row>
    <row r="163" spans="1:22">
      <c r="A163" s="63"/>
      <c r="B163" s="66"/>
      <c r="C163" s="60"/>
      <c r="D163" s="69"/>
      <c r="E163" s="72"/>
      <c r="F163" s="72"/>
      <c r="G163" s="29"/>
      <c r="H163" s="34"/>
      <c r="I163" s="18">
        <v>0</v>
      </c>
      <c r="J163" s="30">
        <v>19</v>
      </c>
      <c r="K163" s="33">
        <f t="shared" si="43"/>
        <v>0</v>
      </c>
      <c r="L163" s="21" t="str">
        <f t="shared" si="44"/>
        <v/>
      </c>
      <c r="M163" s="51"/>
      <c r="N163" s="51"/>
      <c r="O163" s="51"/>
      <c r="P163" s="31" t="str">
        <f t="shared" si="42"/>
        <v/>
      </c>
      <c r="Q163" s="48"/>
      <c r="R163" s="51"/>
      <c r="S163" s="54"/>
      <c r="T163" s="57"/>
      <c r="U163" s="51"/>
      <c r="V163" s="37"/>
    </row>
    <row r="164" spans="1:22">
      <c r="A164" s="61">
        <f>A160+1</f>
        <v>39</v>
      </c>
      <c r="B164" s="64">
        <v>27112100</v>
      </c>
      <c r="C164" s="74" t="s">
        <v>167</v>
      </c>
      <c r="D164" s="67" t="s">
        <v>168</v>
      </c>
      <c r="E164" s="70" t="s">
        <v>152</v>
      </c>
      <c r="F164" s="70" t="s">
        <v>169</v>
      </c>
      <c r="G164" s="29">
        <v>25</v>
      </c>
      <c r="H164" s="34" t="s">
        <v>138</v>
      </c>
      <c r="I164" s="18">
        <v>61900</v>
      </c>
      <c r="J164" s="30">
        <v>19</v>
      </c>
      <c r="K164" s="33">
        <f t="shared" si="43"/>
        <v>73661</v>
      </c>
      <c r="L164" s="21">
        <f t="shared" si="44"/>
        <v>1841525</v>
      </c>
      <c r="M164" s="49">
        <f>IF(L165="","",AVERAGE(L165:L167))</f>
        <v>2687168.75</v>
      </c>
      <c r="N164" s="49">
        <f>IFERROR(HARMEAN(L165:L167),"")</f>
        <v>2676931.8433434819</v>
      </c>
      <c r="O164" s="49">
        <f>IFERROR(MEDIAN(L165:L167),"")</f>
        <v>2687168.75</v>
      </c>
      <c r="P164" s="31">
        <f t="shared" si="42"/>
        <v>1841525</v>
      </c>
      <c r="Q164" s="46">
        <f>IFERROR(SUM(P165:P167)/COUNTA(P165:P167),"")</f>
        <v>1791445.8333333333</v>
      </c>
      <c r="R164" s="49">
        <f>IFERROR(_xlfn.STDEV.S(L165:L167),"")</f>
        <v>234556.15815434264</v>
      </c>
      <c r="S164" s="52">
        <f>IFERROR(R164/M164,"")</f>
        <v>8.7287468698920623E-2</v>
      </c>
      <c r="T164" s="55"/>
      <c r="U164" s="49">
        <f>M164</f>
        <v>2687168.75</v>
      </c>
      <c r="V164" s="35"/>
    </row>
    <row r="165" spans="1:22">
      <c r="A165" s="62"/>
      <c r="B165" s="65"/>
      <c r="C165" s="59"/>
      <c r="D165" s="68"/>
      <c r="E165" s="71"/>
      <c r="F165" s="71"/>
      <c r="G165" s="29">
        <v>25</v>
      </c>
      <c r="H165" s="34" t="s">
        <v>170</v>
      </c>
      <c r="I165" s="18">
        <v>84750</v>
      </c>
      <c r="J165" s="30">
        <v>19</v>
      </c>
      <c r="K165" s="33">
        <f t="shared" si="43"/>
        <v>100852.5</v>
      </c>
      <c r="L165" s="21">
        <f t="shared" si="44"/>
        <v>2521312.5</v>
      </c>
      <c r="M165" s="50"/>
      <c r="N165" s="50"/>
      <c r="O165" s="50"/>
      <c r="P165" s="31">
        <f t="shared" si="42"/>
        <v>2521312.5</v>
      </c>
      <c r="Q165" s="47"/>
      <c r="R165" s="50"/>
      <c r="S165" s="53"/>
      <c r="T165" s="56"/>
      <c r="U165" s="50"/>
      <c r="V165" s="36"/>
    </row>
    <row r="166" spans="1:22">
      <c r="A166" s="62"/>
      <c r="B166" s="65"/>
      <c r="C166" s="59"/>
      <c r="D166" s="68"/>
      <c r="E166" s="71"/>
      <c r="F166" s="71"/>
      <c r="G166" s="29">
        <v>25</v>
      </c>
      <c r="H166" s="34" t="s">
        <v>171</v>
      </c>
      <c r="I166" s="18">
        <v>95900</v>
      </c>
      <c r="J166" s="30">
        <v>19</v>
      </c>
      <c r="K166" s="33">
        <f t="shared" si="43"/>
        <v>114121</v>
      </c>
      <c r="L166" s="21">
        <f t="shared" si="44"/>
        <v>2853025</v>
      </c>
      <c r="M166" s="50"/>
      <c r="N166" s="50"/>
      <c r="O166" s="50"/>
      <c r="P166" s="31">
        <f t="shared" si="42"/>
        <v>2853025</v>
      </c>
      <c r="Q166" s="47"/>
      <c r="R166" s="50"/>
      <c r="S166" s="53"/>
      <c r="T166" s="56"/>
      <c r="U166" s="50"/>
      <c r="V166" s="36"/>
    </row>
    <row r="167" spans="1:22">
      <c r="A167" s="63"/>
      <c r="B167" s="66"/>
      <c r="C167" s="60"/>
      <c r="D167" s="69"/>
      <c r="E167" s="72"/>
      <c r="F167" s="72"/>
      <c r="G167" s="29"/>
      <c r="H167" s="34"/>
      <c r="I167" s="18">
        <v>0</v>
      </c>
      <c r="J167" s="30">
        <v>19</v>
      </c>
      <c r="K167" s="33">
        <f t="shared" si="43"/>
        <v>0</v>
      </c>
      <c r="L167" s="21" t="str">
        <f t="shared" si="44"/>
        <v/>
      </c>
      <c r="M167" s="51"/>
      <c r="N167" s="51"/>
      <c r="O167" s="51"/>
      <c r="P167" s="31" t="str">
        <f t="shared" si="42"/>
        <v/>
      </c>
      <c r="Q167" s="48"/>
      <c r="R167" s="51"/>
      <c r="S167" s="54"/>
      <c r="T167" s="57"/>
      <c r="U167" s="51"/>
      <c r="V167" s="37"/>
    </row>
    <row r="168" spans="1:22">
      <c r="A168" s="61">
        <f>A164+1</f>
        <v>40</v>
      </c>
      <c r="B168" s="64">
        <v>27112100</v>
      </c>
      <c r="C168" s="58" t="s">
        <v>172</v>
      </c>
      <c r="D168" s="67" t="s">
        <v>173</v>
      </c>
      <c r="E168" s="70" t="s">
        <v>152</v>
      </c>
      <c r="F168" s="70" t="s">
        <v>152</v>
      </c>
      <c r="G168" s="29">
        <v>15</v>
      </c>
      <c r="H168" s="34" t="s">
        <v>174</v>
      </c>
      <c r="I168" s="18">
        <v>78660</v>
      </c>
      <c r="J168" s="30">
        <v>19</v>
      </c>
      <c r="K168" s="33">
        <f t="shared" si="43"/>
        <v>93605.4</v>
      </c>
      <c r="L168" s="21">
        <f t="shared" si="44"/>
        <v>1404081</v>
      </c>
      <c r="M168" s="49">
        <f>IF(L169="","",AVERAGE(L169:L171))</f>
        <v>2260256.25</v>
      </c>
      <c r="N168" s="49">
        <f>IFERROR(HARMEAN(L169:L171),"")</f>
        <v>2155771.1076011849</v>
      </c>
      <c r="O168" s="49">
        <f>IFERROR(MEDIAN(L169:L171),"")</f>
        <v>2260256.25</v>
      </c>
      <c r="P168" s="31">
        <f t="shared" si="42"/>
        <v>1404081</v>
      </c>
      <c r="Q168" s="46">
        <f>IFERROR(SUM(P169:P171)/COUNTA(P169:P171),"")</f>
        <v>1506837.5</v>
      </c>
      <c r="R168" s="49">
        <f>IFERROR(_xlfn.STDEV.S(L169:L171),"")</f>
        <v>687260.06160559412</v>
      </c>
      <c r="S168" s="52">
        <f>IFERROR(R168/M168,"")</f>
        <v>0.30406289623382043</v>
      </c>
      <c r="T168" s="55"/>
      <c r="U168" s="49">
        <f>M168</f>
        <v>2260256.25</v>
      </c>
      <c r="V168" s="35"/>
    </row>
    <row r="169" spans="1:22">
      <c r="A169" s="62"/>
      <c r="B169" s="65"/>
      <c r="C169" s="59"/>
      <c r="D169" s="68"/>
      <c r="E169" s="71"/>
      <c r="F169" s="71"/>
      <c r="G169" s="29">
        <v>15</v>
      </c>
      <c r="H169" s="34" t="s">
        <v>175</v>
      </c>
      <c r="I169" s="18">
        <v>153850</v>
      </c>
      <c r="J169" s="30">
        <v>19</v>
      </c>
      <c r="K169" s="33">
        <f t="shared" si="43"/>
        <v>183081.5</v>
      </c>
      <c r="L169" s="21">
        <f t="shared" si="44"/>
        <v>2746222.5</v>
      </c>
      <c r="M169" s="50"/>
      <c r="N169" s="50"/>
      <c r="O169" s="50"/>
      <c r="P169" s="31">
        <f t="shared" si="42"/>
        <v>2746222.5</v>
      </c>
      <c r="Q169" s="47"/>
      <c r="R169" s="50"/>
      <c r="S169" s="53"/>
      <c r="T169" s="56"/>
      <c r="U169" s="50"/>
      <c r="V169" s="36"/>
    </row>
    <row r="170" spans="1:22">
      <c r="A170" s="62"/>
      <c r="B170" s="65"/>
      <c r="C170" s="59"/>
      <c r="D170" s="68"/>
      <c r="E170" s="71"/>
      <c r="F170" s="71"/>
      <c r="G170" s="29">
        <v>15</v>
      </c>
      <c r="H170" s="34" t="s">
        <v>176</v>
      </c>
      <c r="I170" s="18">
        <v>99400</v>
      </c>
      <c r="J170" s="30">
        <v>19</v>
      </c>
      <c r="K170" s="33">
        <f t="shared" si="43"/>
        <v>118286</v>
      </c>
      <c r="L170" s="21">
        <f t="shared" si="44"/>
        <v>1774290</v>
      </c>
      <c r="M170" s="50"/>
      <c r="N170" s="50"/>
      <c r="O170" s="50"/>
      <c r="P170" s="31">
        <f t="shared" si="42"/>
        <v>1774290</v>
      </c>
      <c r="Q170" s="47"/>
      <c r="R170" s="50"/>
      <c r="S170" s="53"/>
      <c r="T170" s="56"/>
      <c r="U170" s="50"/>
      <c r="V170" s="36"/>
    </row>
    <row r="171" spans="1:22">
      <c r="A171" s="63"/>
      <c r="B171" s="66"/>
      <c r="C171" s="60"/>
      <c r="D171" s="69"/>
      <c r="E171" s="72"/>
      <c r="F171" s="72"/>
      <c r="G171" s="29"/>
      <c r="H171" s="34" t="s">
        <v>177</v>
      </c>
      <c r="I171" s="18">
        <v>0</v>
      </c>
      <c r="J171" s="30">
        <v>19</v>
      </c>
      <c r="K171" s="33">
        <f t="shared" si="43"/>
        <v>0</v>
      </c>
      <c r="L171" s="21" t="str">
        <f t="shared" si="44"/>
        <v/>
      </c>
      <c r="M171" s="51"/>
      <c r="N171" s="51"/>
      <c r="O171" s="51"/>
      <c r="P171" s="31" t="str">
        <f t="shared" si="42"/>
        <v/>
      </c>
      <c r="Q171" s="48"/>
      <c r="R171" s="51"/>
      <c r="S171" s="54"/>
      <c r="T171" s="57"/>
      <c r="U171" s="51"/>
      <c r="V171" s="37"/>
    </row>
    <row r="172" spans="1:22">
      <c r="A172" s="61">
        <f>A168+1</f>
        <v>41</v>
      </c>
      <c r="B172" s="64">
        <v>30103603</v>
      </c>
      <c r="C172" s="58" t="s">
        <v>178</v>
      </c>
      <c r="D172" s="67" t="s">
        <v>179</v>
      </c>
      <c r="E172" s="70" t="s">
        <v>152</v>
      </c>
      <c r="F172" s="70" t="s">
        <v>152</v>
      </c>
      <c r="G172" s="29">
        <v>5</v>
      </c>
      <c r="H172" s="34" t="s">
        <v>138</v>
      </c>
      <c r="I172" s="18">
        <v>124900</v>
      </c>
      <c r="J172" s="30">
        <v>19</v>
      </c>
      <c r="K172" s="33">
        <f t="shared" si="43"/>
        <v>148631</v>
      </c>
      <c r="L172" s="21">
        <f t="shared" si="44"/>
        <v>743155</v>
      </c>
      <c r="M172" s="49">
        <f>IF(L173="","",AVERAGE(L173:L175))</f>
        <v>679192.5</v>
      </c>
      <c r="N172" s="49">
        <f>IFERROR(HARMEAN(L173:L175),"")</f>
        <v>679192.5</v>
      </c>
      <c r="O172" s="49">
        <f>IFERROR(MEDIAN(L173:L175),"")</f>
        <v>679192.5</v>
      </c>
      <c r="P172" s="31">
        <f t="shared" si="42"/>
        <v>743155</v>
      </c>
      <c r="Q172" s="46">
        <f>IFERROR(SUM(P173:P175)/COUNTA(P173:P175),"")</f>
        <v>226397.5</v>
      </c>
      <c r="R172" s="49" t="str">
        <f>IFERROR(_xlfn.STDEV.S(L173:L175),"")</f>
        <v/>
      </c>
      <c r="S172" s="52" t="str">
        <f>IFERROR(R172/M172,"")</f>
        <v/>
      </c>
      <c r="T172" s="55"/>
      <c r="U172" s="49">
        <f>M172</f>
        <v>679192.5</v>
      </c>
      <c r="V172" s="35"/>
    </row>
    <row r="173" spans="1:22">
      <c r="A173" s="62"/>
      <c r="B173" s="65"/>
      <c r="C173" s="59"/>
      <c r="D173" s="68"/>
      <c r="E173" s="71"/>
      <c r="F173" s="71"/>
      <c r="G173" s="29">
        <v>5</v>
      </c>
      <c r="H173" s="34" t="s">
        <v>81</v>
      </c>
      <c r="I173" s="18">
        <v>114150</v>
      </c>
      <c r="J173" s="30">
        <v>19</v>
      </c>
      <c r="K173" s="33">
        <f t="shared" si="43"/>
        <v>135838.5</v>
      </c>
      <c r="L173" s="21">
        <f t="shared" si="44"/>
        <v>679192.5</v>
      </c>
      <c r="M173" s="50"/>
      <c r="N173" s="50"/>
      <c r="O173" s="50"/>
      <c r="P173" s="31">
        <f t="shared" si="42"/>
        <v>679192.5</v>
      </c>
      <c r="Q173" s="47"/>
      <c r="R173" s="50"/>
      <c r="S173" s="53"/>
      <c r="T173" s="56"/>
      <c r="U173" s="50"/>
      <c r="V173" s="36"/>
    </row>
    <row r="174" spans="1:22">
      <c r="A174" s="62"/>
      <c r="B174" s="65"/>
      <c r="C174" s="59"/>
      <c r="D174" s="68"/>
      <c r="E174" s="71"/>
      <c r="F174" s="71"/>
      <c r="G174" s="29"/>
      <c r="H174" s="34"/>
      <c r="I174" s="18">
        <v>0</v>
      </c>
      <c r="J174" s="30">
        <v>19</v>
      </c>
      <c r="K174" s="33">
        <f t="shared" si="43"/>
        <v>0</v>
      </c>
      <c r="L174" s="21" t="str">
        <f t="shared" si="44"/>
        <v/>
      </c>
      <c r="M174" s="50"/>
      <c r="N174" s="50"/>
      <c r="O174" s="50"/>
      <c r="P174" s="31" t="str">
        <f t="shared" si="42"/>
        <v/>
      </c>
      <c r="Q174" s="47"/>
      <c r="R174" s="50"/>
      <c r="S174" s="53"/>
      <c r="T174" s="56"/>
      <c r="U174" s="50"/>
      <c r="V174" s="36"/>
    </row>
    <row r="175" spans="1:22">
      <c r="A175" s="63"/>
      <c r="B175" s="66"/>
      <c r="C175" s="60"/>
      <c r="D175" s="69"/>
      <c r="E175" s="72"/>
      <c r="F175" s="72"/>
      <c r="G175" s="29"/>
      <c r="H175" s="34"/>
      <c r="I175" s="18">
        <v>0</v>
      </c>
      <c r="J175" s="30">
        <v>19</v>
      </c>
      <c r="K175" s="33">
        <f t="shared" si="43"/>
        <v>0</v>
      </c>
      <c r="L175" s="21" t="str">
        <f t="shared" si="44"/>
        <v/>
      </c>
      <c r="M175" s="51"/>
      <c r="N175" s="51"/>
      <c r="O175" s="51"/>
      <c r="P175" s="31" t="str">
        <f t="shared" si="42"/>
        <v/>
      </c>
      <c r="Q175" s="48"/>
      <c r="R175" s="51"/>
      <c r="S175" s="54"/>
      <c r="T175" s="57"/>
      <c r="U175" s="51"/>
      <c r="V175" s="37"/>
    </row>
    <row r="176" spans="1:22">
      <c r="A176" s="61">
        <f>A172+1</f>
        <v>42</v>
      </c>
      <c r="B176" s="64">
        <v>30103603</v>
      </c>
      <c r="C176" s="58" t="s">
        <v>180</v>
      </c>
      <c r="D176" s="67" t="s">
        <v>181</v>
      </c>
      <c r="E176" s="70" t="s">
        <v>152</v>
      </c>
      <c r="F176" s="70" t="s">
        <v>152</v>
      </c>
      <c r="G176" s="29">
        <v>5</v>
      </c>
      <c r="H176" s="34" t="s">
        <v>138</v>
      </c>
      <c r="I176" s="18">
        <v>39500</v>
      </c>
      <c r="J176" s="30">
        <v>19</v>
      </c>
      <c r="K176" s="33">
        <f t="shared" si="43"/>
        <v>47005</v>
      </c>
      <c r="L176" s="21">
        <f t="shared" si="44"/>
        <v>235025</v>
      </c>
      <c r="M176" s="49">
        <f>IF(L177="","",AVERAGE(L177:L179))</f>
        <v>238000</v>
      </c>
      <c r="N176" s="49">
        <f>IFERROR(HARMEAN(L177:L179),"")</f>
        <v>238000</v>
      </c>
      <c r="O176" s="49">
        <f>IFERROR(MEDIAN(L177:L179),"")</f>
        <v>238000</v>
      </c>
      <c r="P176" s="31">
        <f t="shared" si="42"/>
        <v>235025</v>
      </c>
      <c r="Q176" s="46">
        <f>IFERROR(SUM(P177:P179)/COUNTA(P177:P179),"")</f>
        <v>79333.333333333328</v>
      </c>
      <c r="R176" s="49" t="str">
        <f>IFERROR(_xlfn.STDEV.S(L177:L179),"")</f>
        <v/>
      </c>
      <c r="S176" s="52" t="str">
        <f>IFERROR(R176/M176,"")</f>
        <v/>
      </c>
      <c r="T176" s="55"/>
      <c r="U176" s="49">
        <f>M176</f>
        <v>238000</v>
      </c>
      <c r="V176" s="35"/>
    </row>
    <row r="177" spans="1:22">
      <c r="A177" s="62"/>
      <c r="B177" s="65"/>
      <c r="C177" s="59"/>
      <c r="D177" s="68"/>
      <c r="E177" s="71"/>
      <c r="F177" s="71"/>
      <c r="G177" s="29">
        <v>5</v>
      </c>
      <c r="H177" s="34" t="s">
        <v>182</v>
      </c>
      <c r="I177" s="18">
        <v>40000</v>
      </c>
      <c r="J177" s="30">
        <v>19</v>
      </c>
      <c r="K177" s="33">
        <f t="shared" si="43"/>
        <v>47600</v>
      </c>
      <c r="L177" s="21">
        <f t="shared" si="44"/>
        <v>238000</v>
      </c>
      <c r="M177" s="50"/>
      <c r="N177" s="50"/>
      <c r="O177" s="50"/>
      <c r="P177" s="31">
        <f t="shared" si="42"/>
        <v>238000</v>
      </c>
      <c r="Q177" s="47"/>
      <c r="R177" s="50"/>
      <c r="S177" s="53"/>
      <c r="T177" s="56"/>
      <c r="U177" s="50"/>
      <c r="V177" s="36"/>
    </row>
    <row r="178" spans="1:22">
      <c r="A178" s="62"/>
      <c r="B178" s="65"/>
      <c r="C178" s="59"/>
      <c r="D178" s="68"/>
      <c r="E178" s="71"/>
      <c r="F178" s="71"/>
      <c r="G178" s="29"/>
      <c r="H178" s="34"/>
      <c r="I178" s="18">
        <v>0</v>
      </c>
      <c r="J178" s="30">
        <v>19</v>
      </c>
      <c r="K178" s="33">
        <f t="shared" si="43"/>
        <v>0</v>
      </c>
      <c r="L178" s="21" t="str">
        <f t="shared" si="44"/>
        <v/>
      </c>
      <c r="M178" s="50"/>
      <c r="N178" s="50"/>
      <c r="O178" s="50"/>
      <c r="P178" s="31" t="str">
        <f t="shared" si="42"/>
        <v/>
      </c>
      <c r="Q178" s="47"/>
      <c r="R178" s="50"/>
      <c r="S178" s="53"/>
      <c r="T178" s="56"/>
      <c r="U178" s="50"/>
      <c r="V178" s="36"/>
    </row>
    <row r="179" spans="1:22">
      <c r="A179" s="63"/>
      <c r="B179" s="66"/>
      <c r="C179" s="60"/>
      <c r="D179" s="69"/>
      <c r="E179" s="72"/>
      <c r="F179" s="72"/>
      <c r="G179" s="29"/>
      <c r="H179" s="34"/>
      <c r="I179" s="18">
        <v>0</v>
      </c>
      <c r="J179" s="30">
        <v>19</v>
      </c>
      <c r="K179" s="33">
        <f t="shared" si="43"/>
        <v>0</v>
      </c>
      <c r="L179" s="21" t="str">
        <f t="shared" si="44"/>
        <v/>
      </c>
      <c r="M179" s="51"/>
      <c r="N179" s="51"/>
      <c r="O179" s="51"/>
      <c r="P179" s="31" t="str">
        <f t="shared" si="42"/>
        <v/>
      </c>
      <c r="Q179" s="48"/>
      <c r="R179" s="51"/>
      <c r="S179" s="54"/>
      <c r="T179" s="57"/>
      <c r="U179" s="51"/>
      <c r="V179" s="37"/>
    </row>
    <row r="180" spans="1:22">
      <c r="A180" s="61">
        <f>A176+1</f>
        <v>43</v>
      </c>
      <c r="B180" s="64">
        <v>30103603</v>
      </c>
      <c r="C180" s="58" t="s">
        <v>183</v>
      </c>
      <c r="D180" s="67" t="s">
        <v>184</v>
      </c>
      <c r="E180" s="70" t="s">
        <v>152</v>
      </c>
      <c r="F180" s="70" t="s">
        <v>152</v>
      </c>
      <c r="G180" s="29">
        <v>5</v>
      </c>
      <c r="H180" s="34" t="s">
        <v>138</v>
      </c>
      <c r="I180" s="18">
        <v>30900</v>
      </c>
      <c r="J180" s="30">
        <v>19</v>
      </c>
      <c r="K180" s="33">
        <f t="shared" si="43"/>
        <v>36771</v>
      </c>
      <c r="L180" s="21">
        <f t="shared" si="44"/>
        <v>183855</v>
      </c>
      <c r="M180" s="49">
        <f>IF(L181="","",AVERAGE(L181:L183))</f>
        <v>276050.25</v>
      </c>
      <c r="N180" s="49">
        <f>IFERROR(HARMEAN(L181:L183),"")</f>
        <v>252486.47699105507</v>
      </c>
      <c r="O180" s="49">
        <f>IFERROR(MEDIAN(L181:L183),"")</f>
        <v>276050.25</v>
      </c>
      <c r="P180" s="31">
        <f t="shared" si="42"/>
        <v>183855</v>
      </c>
      <c r="Q180" s="46">
        <f>IFERROR(SUM(P181:P183)/COUNTA(P181:P183),"")</f>
        <v>184033.5</v>
      </c>
      <c r="R180" s="49">
        <f>IFERROR(_xlfn.STDEV.S(L181:L183),"")</f>
        <v>114059.50578590545</v>
      </c>
      <c r="S180" s="52">
        <f>IFERROR(R180/M180,"")</f>
        <v>0.41318385252650724</v>
      </c>
      <c r="T180" s="55"/>
      <c r="U180" s="49">
        <f>M180</f>
        <v>276050.25</v>
      </c>
      <c r="V180" s="35"/>
    </row>
    <row r="181" spans="1:22">
      <c r="A181" s="62"/>
      <c r="B181" s="65"/>
      <c r="C181" s="59"/>
      <c r="D181" s="68"/>
      <c r="E181" s="71"/>
      <c r="F181" s="71"/>
      <c r="G181" s="29">
        <v>5</v>
      </c>
      <c r="H181" s="34" t="s">
        <v>81</v>
      </c>
      <c r="I181" s="18">
        <v>59950</v>
      </c>
      <c r="J181" s="30">
        <v>19</v>
      </c>
      <c r="K181" s="33">
        <f t="shared" si="43"/>
        <v>71340.5</v>
      </c>
      <c r="L181" s="21">
        <f t="shared" si="44"/>
        <v>356702.5</v>
      </c>
      <c r="M181" s="50"/>
      <c r="N181" s="50"/>
      <c r="O181" s="50"/>
      <c r="P181" s="31">
        <f t="shared" si="42"/>
        <v>356702.5</v>
      </c>
      <c r="Q181" s="47"/>
      <c r="R181" s="50"/>
      <c r="S181" s="53"/>
      <c r="T181" s="56"/>
      <c r="U181" s="50"/>
      <c r="V181" s="36"/>
    </row>
    <row r="182" spans="1:22">
      <c r="A182" s="62"/>
      <c r="B182" s="65"/>
      <c r="C182" s="59"/>
      <c r="D182" s="68"/>
      <c r="E182" s="71"/>
      <c r="F182" s="71"/>
      <c r="G182" s="29">
        <v>5</v>
      </c>
      <c r="H182" s="34" t="s">
        <v>185</v>
      </c>
      <c r="I182" s="18">
        <v>32840</v>
      </c>
      <c r="J182" s="30">
        <v>19</v>
      </c>
      <c r="K182" s="33">
        <f t="shared" si="43"/>
        <v>39079.599999999999</v>
      </c>
      <c r="L182" s="21">
        <f t="shared" si="44"/>
        <v>195398</v>
      </c>
      <c r="M182" s="50"/>
      <c r="N182" s="50"/>
      <c r="O182" s="50"/>
      <c r="P182" s="31">
        <f t="shared" si="42"/>
        <v>195398</v>
      </c>
      <c r="Q182" s="47"/>
      <c r="R182" s="50"/>
      <c r="S182" s="53"/>
      <c r="T182" s="56"/>
      <c r="U182" s="50"/>
      <c r="V182" s="36"/>
    </row>
    <row r="183" spans="1:22">
      <c r="A183" s="63"/>
      <c r="B183" s="66"/>
      <c r="C183" s="60"/>
      <c r="D183" s="69"/>
      <c r="E183" s="72"/>
      <c r="F183" s="72"/>
      <c r="G183" s="29"/>
      <c r="H183" s="34"/>
      <c r="I183" s="18">
        <v>0</v>
      </c>
      <c r="J183" s="30">
        <v>19</v>
      </c>
      <c r="K183" s="33">
        <f t="shared" si="43"/>
        <v>0</v>
      </c>
      <c r="L183" s="21" t="str">
        <f t="shared" si="44"/>
        <v/>
      </c>
      <c r="M183" s="51"/>
      <c r="N183" s="51"/>
      <c r="O183" s="51"/>
      <c r="P183" s="31" t="str">
        <f t="shared" si="42"/>
        <v/>
      </c>
      <c r="Q183" s="48"/>
      <c r="R183" s="51"/>
      <c r="S183" s="54"/>
      <c r="T183" s="57"/>
      <c r="U183" s="51"/>
      <c r="V183" s="37"/>
    </row>
    <row r="184" spans="1:22">
      <c r="A184" s="61">
        <v>44</v>
      </c>
      <c r="B184" s="64">
        <v>41111601</v>
      </c>
      <c r="C184" s="75" t="s">
        <v>186</v>
      </c>
      <c r="D184" s="67" t="s">
        <v>187</v>
      </c>
      <c r="E184" s="70" t="s">
        <v>152</v>
      </c>
      <c r="F184" s="70" t="s">
        <v>152</v>
      </c>
      <c r="G184" s="29">
        <v>5</v>
      </c>
      <c r="H184" s="34" t="s">
        <v>171</v>
      </c>
      <c r="I184" s="18">
        <v>27050</v>
      </c>
      <c r="J184" s="30">
        <v>19</v>
      </c>
      <c r="K184" s="33">
        <f t="shared" si="43"/>
        <v>32189.5</v>
      </c>
      <c r="L184" s="21">
        <f t="shared" si="44"/>
        <v>160947.5</v>
      </c>
      <c r="M184" s="49">
        <f>IF(L185="","",AVERAGE(L185:L187))</f>
        <v>103530</v>
      </c>
      <c r="N184" s="49">
        <f>IFERROR(HARMEAN(L185:L187),"")</f>
        <v>102760.60344827587</v>
      </c>
      <c r="O184" s="49">
        <f>IFERROR(MEDIAN(L185:L187),"")</f>
        <v>103530</v>
      </c>
      <c r="P184" s="31">
        <f t="shared" ref="P184:P211" si="45">IF(L184="","",L184)</f>
        <v>160947.5</v>
      </c>
      <c r="Q184" s="46">
        <f>IFERROR(SUM(P185:P187)/COUNTA(P185:P187),"")</f>
        <v>69020</v>
      </c>
      <c r="R184" s="49">
        <f>IFERROR(_xlfn.STDEV.S(L185:L187),"")</f>
        <v>12621.856044179873</v>
      </c>
      <c r="S184" s="52">
        <f>IFERROR(R184/M184,"")</f>
        <v>0.12191496227354268</v>
      </c>
      <c r="T184" s="55"/>
      <c r="U184" s="49">
        <f>M184</f>
        <v>103530</v>
      </c>
      <c r="V184" s="35"/>
    </row>
    <row r="185" spans="1:22">
      <c r="A185" s="62"/>
      <c r="B185" s="65"/>
      <c r="C185" s="76"/>
      <c r="D185" s="68"/>
      <c r="E185" s="71"/>
      <c r="F185" s="71"/>
      <c r="G185" s="29">
        <v>5</v>
      </c>
      <c r="H185" s="34" t="s">
        <v>188</v>
      </c>
      <c r="I185" s="18">
        <v>18900</v>
      </c>
      <c r="J185" s="30">
        <v>19</v>
      </c>
      <c r="K185" s="33">
        <f t="shared" si="43"/>
        <v>22491</v>
      </c>
      <c r="L185" s="21">
        <f t="shared" si="44"/>
        <v>112455</v>
      </c>
      <c r="M185" s="50"/>
      <c r="N185" s="50"/>
      <c r="O185" s="50"/>
      <c r="P185" s="31">
        <f t="shared" si="45"/>
        <v>112455</v>
      </c>
      <c r="Q185" s="47"/>
      <c r="R185" s="50"/>
      <c r="S185" s="53"/>
      <c r="T185" s="56"/>
      <c r="U185" s="50"/>
      <c r="V185" s="36"/>
    </row>
    <row r="186" spans="1:22">
      <c r="A186" s="62"/>
      <c r="B186" s="65"/>
      <c r="C186" s="76"/>
      <c r="D186" s="68"/>
      <c r="E186" s="71"/>
      <c r="F186" s="71"/>
      <c r="G186" s="29">
        <v>5</v>
      </c>
      <c r="H186" s="34" t="s">
        <v>138</v>
      </c>
      <c r="I186" s="18">
        <v>15900</v>
      </c>
      <c r="J186" s="30">
        <v>19</v>
      </c>
      <c r="K186" s="33">
        <f t="shared" si="43"/>
        <v>18921</v>
      </c>
      <c r="L186" s="21">
        <f t="shared" si="44"/>
        <v>94605</v>
      </c>
      <c r="M186" s="50"/>
      <c r="N186" s="50"/>
      <c r="O186" s="50"/>
      <c r="P186" s="31">
        <f t="shared" si="45"/>
        <v>94605</v>
      </c>
      <c r="Q186" s="47"/>
      <c r="R186" s="50"/>
      <c r="S186" s="53"/>
      <c r="T186" s="56"/>
      <c r="U186" s="50"/>
      <c r="V186" s="36"/>
    </row>
    <row r="187" spans="1:22">
      <c r="A187" s="63"/>
      <c r="B187" s="66"/>
      <c r="C187" s="77"/>
      <c r="D187" s="69"/>
      <c r="E187" s="72"/>
      <c r="F187" s="72"/>
      <c r="G187" s="29"/>
      <c r="H187" s="34"/>
      <c r="I187" s="18">
        <v>0</v>
      </c>
      <c r="J187" s="30">
        <v>19</v>
      </c>
      <c r="K187" s="33">
        <f t="shared" si="43"/>
        <v>0</v>
      </c>
      <c r="L187" s="21" t="str">
        <f t="shared" si="44"/>
        <v/>
      </c>
      <c r="M187" s="51"/>
      <c r="N187" s="51"/>
      <c r="O187" s="51"/>
      <c r="P187" s="31" t="str">
        <f t="shared" si="45"/>
        <v/>
      </c>
      <c r="Q187" s="48"/>
      <c r="R187" s="51"/>
      <c r="S187" s="54"/>
      <c r="T187" s="57"/>
      <c r="U187" s="51"/>
      <c r="V187" s="37"/>
    </row>
    <row r="188" spans="1:22">
      <c r="A188" s="61">
        <f>A184+1</f>
        <v>45</v>
      </c>
      <c r="B188" s="64">
        <v>27113201</v>
      </c>
      <c r="C188" s="58" t="s">
        <v>189</v>
      </c>
      <c r="D188" s="67" t="s">
        <v>190</v>
      </c>
      <c r="E188" s="70" t="s">
        <v>152</v>
      </c>
      <c r="F188" s="70" t="s">
        <v>191</v>
      </c>
      <c r="G188" s="29">
        <v>7</v>
      </c>
      <c r="H188" s="34" t="s">
        <v>138</v>
      </c>
      <c r="I188" s="18">
        <v>129900</v>
      </c>
      <c r="J188" s="30">
        <v>19</v>
      </c>
      <c r="K188" s="33">
        <f t="shared" si="43"/>
        <v>154581</v>
      </c>
      <c r="L188" s="21">
        <f t="shared" si="44"/>
        <v>1082067</v>
      </c>
      <c r="M188" s="49">
        <f>IF(L189="","",AVERAGE(L189:L191))</f>
        <v>585807.25</v>
      </c>
      <c r="N188" s="49">
        <f>IFERROR(HARMEAN(L189:L191),"")</f>
        <v>505272.39246356208</v>
      </c>
      <c r="O188" s="49">
        <f>IFERROR(MEDIAN(L189:L191),"")</f>
        <v>585807.25</v>
      </c>
      <c r="P188" s="31">
        <f t="shared" si="45"/>
        <v>1082067</v>
      </c>
      <c r="Q188" s="46">
        <f>IFERROR(SUM(P189:P191)/COUNTA(P189:P191),"")</f>
        <v>390538.16666666669</v>
      </c>
      <c r="R188" s="49">
        <f>IFERROR(_xlfn.STDEV.S(L189:L191),"")</f>
        <v>307173.90326185751</v>
      </c>
      <c r="S188" s="52">
        <f>IFERROR(R188/M188,"")</f>
        <v>0.52436002330435061</v>
      </c>
      <c r="T188" s="55"/>
      <c r="U188" s="49">
        <f>M188</f>
        <v>585807.25</v>
      </c>
      <c r="V188" s="35"/>
    </row>
    <row r="189" spans="1:22">
      <c r="A189" s="62"/>
      <c r="B189" s="65"/>
      <c r="C189" s="59"/>
      <c r="D189" s="68"/>
      <c r="E189" s="71"/>
      <c r="F189" s="71"/>
      <c r="G189" s="29">
        <v>7</v>
      </c>
      <c r="H189" s="34" t="s">
        <v>170</v>
      </c>
      <c r="I189" s="18">
        <v>44250</v>
      </c>
      <c r="J189" s="30">
        <v>19</v>
      </c>
      <c r="K189" s="33">
        <f t="shared" si="43"/>
        <v>52657.5</v>
      </c>
      <c r="L189" s="21">
        <f t="shared" si="44"/>
        <v>368602.5</v>
      </c>
      <c r="M189" s="50"/>
      <c r="N189" s="50"/>
      <c r="O189" s="50"/>
      <c r="P189" s="31">
        <f t="shared" si="45"/>
        <v>368602.5</v>
      </c>
      <c r="Q189" s="47"/>
      <c r="R189" s="50"/>
      <c r="S189" s="53"/>
      <c r="T189" s="56"/>
      <c r="U189" s="50"/>
      <c r="V189" s="36"/>
    </row>
    <row r="190" spans="1:22">
      <c r="A190" s="62"/>
      <c r="B190" s="65"/>
      <c r="C190" s="59"/>
      <c r="D190" s="68"/>
      <c r="E190" s="71"/>
      <c r="F190" s="71"/>
      <c r="G190" s="29">
        <v>7</v>
      </c>
      <c r="H190" s="34" t="s">
        <v>192</v>
      </c>
      <c r="I190" s="18">
        <v>96400</v>
      </c>
      <c r="J190" s="30">
        <v>19</v>
      </c>
      <c r="K190" s="33">
        <f t="shared" si="43"/>
        <v>114716</v>
      </c>
      <c r="L190" s="21">
        <f t="shared" si="44"/>
        <v>803012</v>
      </c>
      <c r="M190" s="50"/>
      <c r="N190" s="50"/>
      <c r="O190" s="50"/>
      <c r="P190" s="31">
        <f t="shared" si="45"/>
        <v>803012</v>
      </c>
      <c r="Q190" s="47"/>
      <c r="R190" s="50"/>
      <c r="S190" s="53"/>
      <c r="T190" s="56"/>
      <c r="U190" s="50"/>
      <c r="V190" s="36"/>
    </row>
    <row r="191" spans="1:22">
      <c r="A191" s="63"/>
      <c r="B191" s="66"/>
      <c r="C191" s="60"/>
      <c r="D191" s="69"/>
      <c r="E191" s="72"/>
      <c r="F191" s="72"/>
      <c r="G191" s="29"/>
      <c r="H191" s="34"/>
      <c r="I191" s="18">
        <v>0</v>
      </c>
      <c r="J191" s="30">
        <v>19</v>
      </c>
      <c r="K191" s="33">
        <f t="shared" si="43"/>
        <v>0</v>
      </c>
      <c r="L191" s="21" t="str">
        <f t="shared" si="44"/>
        <v/>
      </c>
      <c r="M191" s="51"/>
      <c r="N191" s="51"/>
      <c r="O191" s="51"/>
      <c r="P191" s="31" t="str">
        <f t="shared" si="45"/>
        <v/>
      </c>
      <c r="Q191" s="48"/>
      <c r="R191" s="51"/>
      <c r="S191" s="54"/>
      <c r="T191" s="57"/>
      <c r="U191" s="51"/>
      <c r="V191" s="37"/>
    </row>
    <row r="192" spans="1:22">
      <c r="A192" s="61">
        <f>A188+1</f>
        <v>46</v>
      </c>
      <c r="B192" s="67" t="s">
        <v>193</v>
      </c>
      <c r="C192" s="58" t="s">
        <v>194</v>
      </c>
      <c r="D192" s="67" t="s">
        <v>195</v>
      </c>
      <c r="E192" s="70" t="s">
        <v>152</v>
      </c>
      <c r="F192" s="70" t="s">
        <v>191</v>
      </c>
      <c r="G192" s="29">
        <v>5</v>
      </c>
      <c r="H192" s="34" t="s">
        <v>170</v>
      </c>
      <c r="I192" s="18">
        <v>22875</v>
      </c>
      <c r="J192" s="30">
        <v>19</v>
      </c>
      <c r="K192" s="33">
        <f t="shared" si="43"/>
        <v>27221.25</v>
      </c>
      <c r="L192" s="21">
        <f t="shared" si="44"/>
        <v>136106.25</v>
      </c>
      <c r="M192" s="49">
        <f>IF(L193="","",AVERAGE(L193:L195))</f>
        <v>185318.7</v>
      </c>
      <c r="N192" s="49">
        <f>IFERROR(HARMEAN(L193:L195),"")</f>
        <v>183869.78616836833</v>
      </c>
      <c r="O192" s="49">
        <f>IFERROR(MEDIAN(L193:L195),"")</f>
        <v>185318.7</v>
      </c>
      <c r="P192" s="31">
        <f t="shared" si="45"/>
        <v>136106.25</v>
      </c>
      <c r="Q192" s="46">
        <f>IFERROR(SUM(P193:P195)/COUNTA(P193:P195),"")</f>
        <v>123545.8</v>
      </c>
      <c r="R192" s="49">
        <f>IFERROR(_xlfn.STDEV.S(L193:L195),"")</f>
        <v>23173.727697114231</v>
      </c>
      <c r="S192" s="52">
        <f>IFERROR(R192/M192,"")</f>
        <v>0.12504797247722022</v>
      </c>
      <c r="T192" s="55"/>
      <c r="U192" s="49">
        <f>M192</f>
        <v>185318.7</v>
      </c>
      <c r="V192" s="35"/>
    </row>
    <row r="193" spans="1:22">
      <c r="A193" s="62"/>
      <c r="B193" s="65"/>
      <c r="C193" s="59"/>
      <c r="D193" s="68"/>
      <c r="E193" s="71"/>
      <c r="F193" s="71"/>
      <c r="G193" s="29">
        <v>5</v>
      </c>
      <c r="H193" s="34" t="s">
        <v>138</v>
      </c>
      <c r="I193" s="18">
        <v>33900</v>
      </c>
      <c r="J193" s="30">
        <v>19</v>
      </c>
      <c r="K193" s="33">
        <f t="shared" ref="K193:K211" si="46">(I193*0.19)+I193</f>
        <v>40341</v>
      </c>
      <c r="L193" s="21">
        <f t="shared" si="44"/>
        <v>201705</v>
      </c>
      <c r="M193" s="50"/>
      <c r="N193" s="50"/>
      <c r="O193" s="50"/>
      <c r="P193" s="31">
        <f t="shared" si="45"/>
        <v>201705</v>
      </c>
      <c r="Q193" s="47"/>
      <c r="R193" s="50"/>
      <c r="S193" s="53"/>
      <c r="T193" s="56"/>
      <c r="U193" s="50"/>
      <c r="V193" s="36"/>
    </row>
    <row r="194" spans="1:22">
      <c r="A194" s="62"/>
      <c r="B194" s="65"/>
      <c r="C194" s="59"/>
      <c r="D194" s="68"/>
      <c r="E194" s="71"/>
      <c r="F194" s="71"/>
      <c r="G194" s="29">
        <v>5</v>
      </c>
      <c r="H194" s="34" t="s">
        <v>196</v>
      </c>
      <c r="I194" s="18">
        <v>28392</v>
      </c>
      <c r="J194" s="30">
        <v>19</v>
      </c>
      <c r="K194" s="33">
        <f t="shared" si="46"/>
        <v>33786.480000000003</v>
      </c>
      <c r="L194" s="21">
        <f t="shared" si="44"/>
        <v>168932.40000000002</v>
      </c>
      <c r="M194" s="50"/>
      <c r="N194" s="50"/>
      <c r="O194" s="50"/>
      <c r="P194" s="31">
        <f t="shared" si="45"/>
        <v>168932.40000000002</v>
      </c>
      <c r="Q194" s="47"/>
      <c r="R194" s="50"/>
      <c r="S194" s="53"/>
      <c r="T194" s="56"/>
      <c r="U194" s="50"/>
      <c r="V194" s="36"/>
    </row>
    <row r="195" spans="1:22">
      <c r="A195" s="63"/>
      <c r="B195" s="66"/>
      <c r="C195" s="60"/>
      <c r="D195" s="69"/>
      <c r="E195" s="72"/>
      <c r="F195" s="72"/>
      <c r="G195" s="29"/>
      <c r="H195" s="34"/>
      <c r="I195" s="18">
        <v>0</v>
      </c>
      <c r="J195" s="30">
        <v>19</v>
      </c>
      <c r="K195" s="33">
        <f t="shared" si="46"/>
        <v>0</v>
      </c>
      <c r="L195" s="21" t="str">
        <f t="shared" si="44"/>
        <v/>
      </c>
      <c r="M195" s="51"/>
      <c r="N195" s="51"/>
      <c r="O195" s="51"/>
      <c r="P195" s="31" t="str">
        <f t="shared" si="45"/>
        <v/>
      </c>
      <c r="Q195" s="48"/>
      <c r="R195" s="51"/>
      <c r="S195" s="54"/>
      <c r="T195" s="57"/>
      <c r="U195" s="51"/>
      <c r="V195" s="37"/>
    </row>
    <row r="196" spans="1:22">
      <c r="A196" s="61">
        <f>A192+1</f>
        <v>47</v>
      </c>
      <c r="B196" s="64">
        <v>31201610</v>
      </c>
      <c r="C196" s="58" t="s">
        <v>197</v>
      </c>
      <c r="D196" s="67" t="s">
        <v>198</v>
      </c>
      <c r="E196" s="70" t="s">
        <v>152</v>
      </c>
      <c r="F196" s="70" t="s">
        <v>191</v>
      </c>
      <c r="G196" s="29">
        <v>7</v>
      </c>
      <c r="H196" s="34" t="s">
        <v>138</v>
      </c>
      <c r="I196" s="18">
        <v>61900</v>
      </c>
      <c r="J196" s="30">
        <v>19</v>
      </c>
      <c r="K196" s="33">
        <f t="shared" si="46"/>
        <v>73661</v>
      </c>
      <c r="L196" s="21">
        <f t="shared" si="44"/>
        <v>515627</v>
      </c>
      <c r="M196" s="49">
        <f>IF(L197="","",AVERAGE(L197:L199))</f>
        <v>172431</v>
      </c>
      <c r="N196" s="49">
        <f>IFERROR(HARMEAN(L197:L199),"")</f>
        <v>172431</v>
      </c>
      <c r="O196" s="49">
        <f>IFERROR(MEDIAN(L197:L199),"")</f>
        <v>172431</v>
      </c>
      <c r="P196" s="31">
        <f t="shared" si="45"/>
        <v>515627</v>
      </c>
      <c r="Q196" s="46">
        <f>IFERROR(SUM(P197:P199)/COUNTA(P197:P199),"")</f>
        <v>57477</v>
      </c>
      <c r="R196" s="49" t="str">
        <f>IFERROR(_xlfn.STDEV.S(L197:L199),"")</f>
        <v/>
      </c>
      <c r="S196" s="52" t="str">
        <f>IFERROR(R196/M196,"")</f>
        <v/>
      </c>
      <c r="T196" s="55"/>
      <c r="U196" s="49">
        <f>M196</f>
        <v>172431</v>
      </c>
      <c r="V196" s="35"/>
    </row>
    <row r="197" spans="1:22">
      <c r="A197" s="62"/>
      <c r="B197" s="65"/>
      <c r="C197" s="59"/>
      <c r="D197" s="68"/>
      <c r="E197" s="71"/>
      <c r="F197" s="71"/>
      <c r="G197" s="29">
        <v>7</v>
      </c>
      <c r="H197" s="34" t="s">
        <v>199</v>
      </c>
      <c r="I197" s="18">
        <v>20700</v>
      </c>
      <c r="J197" s="30">
        <v>19</v>
      </c>
      <c r="K197" s="33">
        <f t="shared" si="46"/>
        <v>24633</v>
      </c>
      <c r="L197" s="21">
        <f t="shared" si="44"/>
        <v>172431</v>
      </c>
      <c r="M197" s="50"/>
      <c r="N197" s="50"/>
      <c r="O197" s="50"/>
      <c r="P197" s="31">
        <f t="shared" si="45"/>
        <v>172431</v>
      </c>
      <c r="Q197" s="47"/>
      <c r="R197" s="50"/>
      <c r="S197" s="53"/>
      <c r="T197" s="56"/>
      <c r="U197" s="50"/>
      <c r="V197" s="36"/>
    </row>
    <row r="198" spans="1:22">
      <c r="A198" s="62"/>
      <c r="B198" s="65"/>
      <c r="C198" s="59"/>
      <c r="D198" s="68"/>
      <c r="E198" s="71"/>
      <c r="F198" s="71"/>
      <c r="G198" s="29">
        <v>7</v>
      </c>
      <c r="H198" s="34"/>
      <c r="I198" s="18">
        <v>0</v>
      </c>
      <c r="J198" s="30">
        <v>19</v>
      </c>
      <c r="K198" s="33">
        <f t="shared" si="46"/>
        <v>0</v>
      </c>
      <c r="L198" s="21" t="str">
        <f t="shared" si="44"/>
        <v/>
      </c>
      <c r="M198" s="50"/>
      <c r="N198" s="50"/>
      <c r="O198" s="50"/>
      <c r="P198" s="31" t="str">
        <f t="shared" si="45"/>
        <v/>
      </c>
      <c r="Q198" s="47"/>
      <c r="R198" s="50"/>
      <c r="S198" s="53"/>
      <c r="T198" s="56"/>
      <c r="U198" s="50"/>
      <c r="V198" s="36"/>
    </row>
    <row r="199" spans="1:22">
      <c r="A199" s="63"/>
      <c r="B199" s="66"/>
      <c r="C199" s="60"/>
      <c r="D199" s="69"/>
      <c r="E199" s="72"/>
      <c r="F199" s="72"/>
      <c r="G199" s="29">
        <v>7</v>
      </c>
      <c r="H199" s="34"/>
      <c r="I199" s="18">
        <v>0</v>
      </c>
      <c r="J199" s="30">
        <v>19</v>
      </c>
      <c r="K199" s="33">
        <f t="shared" si="46"/>
        <v>0</v>
      </c>
      <c r="L199" s="21" t="str">
        <f t="shared" ref="L199:L200" si="47">IF(I199=0,"",(K199)*$G199)</f>
        <v/>
      </c>
      <c r="M199" s="51"/>
      <c r="N199" s="51"/>
      <c r="O199" s="51"/>
      <c r="P199" s="31" t="str">
        <f t="shared" si="45"/>
        <v/>
      </c>
      <c r="Q199" s="48"/>
      <c r="R199" s="51"/>
      <c r="S199" s="54"/>
      <c r="T199" s="57"/>
      <c r="U199" s="51"/>
      <c r="V199" s="37"/>
    </row>
    <row r="200" spans="1:22">
      <c r="A200" s="61">
        <f>A196+1</f>
        <v>48</v>
      </c>
      <c r="B200" s="64">
        <v>27111801</v>
      </c>
      <c r="C200" s="58" t="s">
        <v>200</v>
      </c>
      <c r="D200" s="67" t="s">
        <v>201</v>
      </c>
      <c r="E200" s="70" t="s">
        <v>152</v>
      </c>
      <c r="F200" s="70" t="s">
        <v>191</v>
      </c>
      <c r="G200" s="29">
        <v>5</v>
      </c>
      <c r="H200" s="34" t="s">
        <v>202</v>
      </c>
      <c r="I200" s="18">
        <v>44400</v>
      </c>
      <c r="J200" s="30">
        <v>19</v>
      </c>
      <c r="K200" s="33">
        <f t="shared" si="46"/>
        <v>52836</v>
      </c>
      <c r="L200" s="21">
        <f t="shared" si="47"/>
        <v>264180</v>
      </c>
      <c r="M200" s="49">
        <f>IF(L201="","",AVERAGE(L201:L203))</f>
        <v>273700</v>
      </c>
      <c r="N200" s="49">
        <f>IFERROR(HARMEAN(L201:L203),"")</f>
        <v>273368.86956521741</v>
      </c>
      <c r="O200" s="49">
        <f>IFERROR(MEDIAN(L201:L203),"")</f>
        <v>273700</v>
      </c>
      <c r="P200" s="31">
        <f t="shared" si="45"/>
        <v>264180</v>
      </c>
      <c r="Q200" s="46">
        <f>IFERROR(SUM(P201:P203)/COUNTA(P201:P203),"")</f>
        <v>182466.66666666666</v>
      </c>
      <c r="R200" s="49">
        <f>IFERROR(_xlfn.STDEV.S(L201:L203),"")</f>
        <v>13463.313113791864</v>
      </c>
      <c r="S200" s="52">
        <f>IFERROR(R200/M200,"")</f>
        <v>4.9190036952107649E-2</v>
      </c>
      <c r="T200" s="55"/>
      <c r="U200" s="49">
        <f t="shared" ref="U200:U211" si="48">M200</f>
        <v>273700</v>
      </c>
      <c r="V200" s="35"/>
    </row>
    <row r="201" spans="1:22">
      <c r="A201" s="62"/>
      <c r="B201" s="65"/>
      <c r="C201" s="59"/>
      <c r="D201" s="68"/>
      <c r="E201" s="71"/>
      <c r="F201" s="71"/>
      <c r="G201" s="29">
        <v>5</v>
      </c>
      <c r="H201" s="34" t="s">
        <v>203</v>
      </c>
      <c r="I201" s="18">
        <v>47600</v>
      </c>
      <c r="J201" s="30">
        <v>19</v>
      </c>
      <c r="K201" s="33">
        <f t="shared" si="46"/>
        <v>56644</v>
      </c>
      <c r="L201" s="21">
        <f t="shared" ref="L199:L211" si="49">IF(I201=0,"",(K201)*$G201)</f>
        <v>283220</v>
      </c>
      <c r="M201" s="50"/>
      <c r="N201" s="50"/>
      <c r="O201" s="50"/>
      <c r="P201" s="31">
        <f t="shared" si="45"/>
        <v>283220</v>
      </c>
      <c r="Q201" s="47"/>
      <c r="R201" s="50"/>
      <c r="S201" s="53"/>
      <c r="T201" s="56"/>
      <c r="U201" s="50"/>
      <c r="V201" s="36"/>
    </row>
    <row r="202" spans="1:22">
      <c r="A202" s="62"/>
      <c r="B202" s="65"/>
      <c r="C202" s="59"/>
      <c r="D202" s="68"/>
      <c r="E202" s="71"/>
      <c r="F202" s="71"/>
      <c r="G202" s="29">
        <v>5</v>
      </c>
      <c r="H202" s="34"/>
      <c r="I202" s="18">
        <v>0</v>
      </c>
      <c r="J202" s="30">
        <v>19</v>
      </c>
      <c r="K202" s="33">
        <f>(I200*0.19)+I200</f>
        <v>52836</v>
      </c>
      <c r="L202" s="21">
        <f>IF(I200=0,"",(K202)*$G202)</f>
        <v>264180</v>
      </c>
      <c r="M202" s="50"/>
      <c r="N202" s="50"/>
      <c r="O202" s="50"/>
      <c r="P202" s="31">
        <f t="shared" si="45"/>
        <v>264180</v>
      </c>
      <c r="Q202" s="47"/>
      <c r="R202" s="50"/>
      <c r="S202" s="53"/>
      <c r="T202" s="56"/>
      <c r="U202" s="50"/>
      <c r="V202" s="36"/>
    </row>
    <row r="203" spans="1:22">
      <c r="A203" s="63"/>
      <c r="B203" s="66"/>
      <c r="C203" s="60"/>
      <c r="D203" s="69"/>
      <c r="E203" s="72"/>
      <c r="F203" s="72"/>
      <c r="G203" s="29"/>
      <c r="H203" s="34"/>
      <c r="I203" s="18">
        <v>0</v>
      </c>
      <c r="J203" s="30">
        <v>19</v>
      </c>
      <c r="K203" s="33">
        <f t="shared" si="46"/>
        <v>0</v>
      </c>
      <c r="L203" s="21" t="str">
        <f t="shared" si="49"/>
        <v/>
      </c>
      <c r="M203" s="51"/>
      <c r="N203" s="51"/>
      <c r="O203" s="51"/>
      <c r="P203" s="31" t="str">
        <f t="shared" si="45"/>
        <v/>
      </c>
      <c r="Q203" s="48"/>
      <c r="R203" s="51"/>
      <c r="S203" s="54"/>
      <c r="T203" s="57"/>
      <c r="U203" s="51"/>
      <c r="V203" s="37"/>
    </row>
    <row r="204" spans="1:22">
      <c r="A204" s="61">
        <f>A200+1</f>
        <v>49</v>
      </c>
      <c r="B204" s="64">
        <v>27112100</v>
      </c>
      <c r="C204" s="74" t="s">
        <v>204</v>
      </c>
      <c r="D204" s="67" t="s">
        <v>168</v>
      </c>
      <c r="E204" s="70" t="s">
        <v>152</v>
      </c>
      <c r="F204" s="70" t="s">
        <v>152</v>
      </c>
      <c r="G204" s="29">
        <v>5</v>
      </c>
      <c r="H204" s="34" t="s">
        <v>138</v>
      </c>
      <c r="I204" s="18">
        <v>90900</v>
      </c>
      <c r="J204" s="30">
        <v>19</v>
      </c>
      <c r="K204" s="33">
        <f t="shared" si="46"/>
        <v>108171</v>
      </c>
      <c r="L204" s="21">
        <f t="shared" si="49"/>
        <v>540855</v>
      </c>
      <c r="M204" s="49">
        <f>IF(L205="","",AVERAGE(L205:L207))</f>
        <v>885955</v>
      </c>
      <c r="N204" s="49">
        <f>IFERROR(HARMEAN(L205:L207),"")</f>
        <v>885955</v>
      </c>
      <c r="O204" s="49">
        <f>IFERROR(MEDIAN(L205:L207),"")</f>
        <v>885955</v>
      </c>
      <c r="P204" s="31">
        <f t="shared" si="45"/>
        <v>540855</v>
      </c>
      <c r="Q204" s="46">
        <f>IFERROR(SUM(P205:P207)/COUNTA(P205:P207),"")</f>
        <v>295318.33333333331</v>
      </c>
      <c r="R204" s="49" t="str">
        <f>IFERROR(_xlfn.STDEV.S(L205:L207),"")</f>
        <v/>
      </c>
      <c r="S204" s="52" t="str">
        <f>IFERROR(R204/M204,"")</f>
        <v/>
      </c>
      <c r="T204" s="55"/>
      <c r="U204" s="49">
        <f t="shared" ref="U204:U211" si="50">M204</f>
        <v>885955</v>
      </c>
      <c r="V204" s="35"/>
    </row>
    <row r="205" spans="1:22">
      <c r="A205" s="62"/>
      <c r="B205" s="65"/>
      <c r="C205" s="59"/>
      <c r="D205" s="68"/>
      <c r="E205" s="71"/>
      <c r="F205" s="71"/>
      <c r="G205" s="29">
        <v>5</v>
      </c>
      <c r="H205" s="34" t="s">
        <v>202</v>
      </c>
      <c r="I205" s="18">
        <v>148900</v>
      </c>
      <c r="J205" s="30">
        <v>19</v>
      </c>
      <c r="K205" s="33">
        <f t="shared" si="46"/>
        <v>177191</v>
      </c>
      <c r="L205" s="21">
        <f t="shared" si="49"/>
        <v>885955</v>
      </c>
      <c r="M205" s="50"/>
      <c r="N205" s="50"/>
      <c r="O205" s="50"/>
      <c r="P205" s="31">
        <f t="shared" si="45"/>
        <v>885955</v>
      </c>
      <c r="Q205" s="47"/>
      <c r="R205" s="50"/>
      <c r="S205" s="53"/>
      <c r="T205" s="56"/>
      <c r="U205" s="50"/>
      <c r="V205" s="36"/>
    </row>
    <row r="206" spans="1:22">
      <c r="A206" s="62"/>
      <c r="B206" s="65"/>
      <c r="C206" s="59"/>
      <c r="D206" s="68"/>
      <c r="E206" s="71"/>
      <c r="F206" s="71"/>
      <c r="G206" s="29">
        <v>5</v>
      </c>
      <c r="H206" s="34"/>
      <c r="I206" s="18">
        <v>0</v>
      </c>
      <c r="J206" s="30">
        <v>19</v>
      </c>
      <c r="K206" s="33">
        <f t="shared" si="46"/>
        <v>0</v>
      </c>
      <c r="L206" s="21" t="str">
        <f t="shared" si="49"/>
        <v/>
      </c>
      <c r="M206" s="50"/>
      <c r="N206" s="50"/>
      <c r="O206" s="50"/>
      <c r="P206" s="31" t="str">
        <f t="shared" si="45"/>
        <v/>
      </c>
      <c r="Q206" s="47"/>
      <c r="R206" s="50"/>
      <c r="S206" s="53"/>
      <c r="T206" s="56"/>
      <c r="U206" s="50"/>
      <c r="V206" s="36"/>
    </row>
    <row r="207" spans="1:22">
      <c r="A207" s="63"/>
      <c r="B207" s="66"/>
      <c r="C207" s="60"/>
      <c r="D207" s="69"/>
      <c r="E207" s="72"/>
      <c r="F207" s="72"/>
      <c r="G207" s="29"/>
      <c r="H207" s="34"/>
      <c r="I207" s="18">
        <v>0</v>
      </c>
      <c r="J207" s="30">
        <v>19</v>
      </c>
      <c r="K207" s="33">
        <f t="shared" si="46"/>
        <v>0</v>
      </c>
      <c r="L207" s="21" t="str">
        <f t="shared" si="49"/>
        <v/>
      </c>
      <c r="M207" s="51"/>
      <c r="N207" s="51"/>
      <c r="O207" s="51"/>
      <c r="P207" s="31" t="str">
        <f t="shared" si="45"/>
        <v/>
      </c>
      <c r="Q207" s="48"/>
      <c r="R207" s="51"/>
      <c r="S207" s="54"/>
      <c r="T207" s="57"/>
      <c r="U207" s="51"/>
      <c r="V207" s="37"/>
    </row>
    <row r="208" spans="1:22">
      <c r="A208" s="61">
        <f>A204+1</f>
        <v>50</v>
      </c>
      <c r="B208" s="64">
        <v>27112100</v>
      </c>
      <c r="C208" s="58" t="s">
        <v>205</v>
      </c>
      <c r="D208" s="67" t="s">
        <v>173</v>
      </c>
      <c r="E208" s="70" t="s">
        <v>152</v>
      </c>
      <c r="F208" s="70" t="s">
        <v>152</v>
      </c>
      <c r="G208" s="29">
        <v>10</v>
      </c>
      <c r="H208" s="34" t="s">
        <v>170</v>
      </c>
      <c r="I208" s="18">
        <v>28875</v>
      </c>
      <c r="J208" s="30">
        <v>19</v>
      </c>
      <c r="K208" s="33">
        <f t="shared" si="46"/>
        <v>34361.25</v>
      </c>
      <c r="L208" s="21">
        <f t="shared" si="49"/>
        <v>343612.5</v>
      </c>
      <c r="M208" s="49">
        <f>IF(L209="","",AVERAGE(L209:L211))</f>
        <v>418285</v>
      </c>
      <c r="N208" s="49">
        <f>IFERROR(HARMEAN(L209:L211),"")</f>
        <v>418284.99999999994</v>
      </c>
      <c r="O208" s="49">
        <f>IFERROR(MEDIAN(L209:L211),"")</f>
        <v>418285</v>
      </c>
      <c r="P208" s="31">
        <f t="shared" si="45"/>
        <v>343612.5</v>
      </c>
      <c r="Q208" s="46">
        <f>IFERROR(SUM(P209:P211)/COUNTA(P209:P211),"")</f>
        <v>139428.33333333334</v>
      </c>
      <c r="R208" s="49" t="str">
        <f>IFERROR(_xlfn.STDEV.S(L209:L211),"")</f>
        <v/>
      </c>
      <c r="S208" s="52" t="str">
        <f>IFERROR(R208/M208,"")</f>
        <v/>
      </c>
      <c r="T208" s="55"/>
      <c r="U208" s="49">
        <f t="shared" ref="U208:U211" si="51">M208</f>
        <v>418285</v>
      </c>
      <c r="V208" s="35"/>
    </row>
    <row r="209" spans="1:22">
      <c r="A209" s="62"/>
      <c r="B209" s="65"/>
      <c r="C209" s="59"/>
      <c r="D209" s="68"/>
      <c r="E209" s="71"/>
      <c r="F209" s="71"/>
      <c r="G209" s="29">
        <v>10</v>
      </c>
      <c r="H209" s="34" t="s">
        <v>206</v>
      </c>
      <c r="I209" s="18">
        <v>35150</v>
      </c>
      <c r="J209" s="30">
        <v>19</v>
      </c>
      <c r="K209" s="33">
        <f t="shared" si="46"/>
        <v>41828.5</v>
      </c>
      <c r="L209" s="21">
        <f t="shared" si="49"/>
        <v>418285</v>
      </c>
      <c r="M209" s="50"/>
      <c r="N209" s="50"/>
      <c r="O209" s="50"/>
      <c r="P209" s="31">
        <f t="shared" si="45"/>
        <v>418285</v>
      </c>
      <c r="Q209" s="47"/>
      <c r="R209" s="50"/>
      <c r="S209" s="53"/>
      <c r="T209" s="56"/>
      <c r="U209" s="50"/>
      <c r="V209" s="36"/>
    </row>
    <row r="210" spans="1:22">
      <c r="A210" s="62"/>
      <c r="B210" s="65"/>
      <c r="C210" s="59"/>
      <c r="D210" s="68"/>
      <c r="E210" s="71"/>
      <c r="F210" s="71"/>
      <c r="G210" s="29"/>
      <c r="H210" s="34"/>
      <c r="I210" s="18">
        <v>0</v>
      </c>
      <c r="J210" s="30">
        <v>19</v>
      </c>
      <c r="K210" s="33">
        <f t="shared" si="46"/>
        <v>0</v>
      </c>
      <c r="L210" s="21" t="str">
        <f t="shared" si="49"/>
        <v/>
      </c>
      <c r="M210" s="50"/>
      <c r="N210" s="50"/>
      <c r="O210" s="50"/>
      <c r="P210" s="31" t="str">
        <f t="shared" si="45"/>
        <v/>
      </c>
      <c r="Q210" s="47"/>
      <c r="R210" s="50"/>
      <c r="S210" s="53"/>
      <c r="T210" s="56"/>
      <c r="U210" s="50"/>
      <c r="V210" s="36"/>
    </row>
    <row r="211" spans="1:22">
      <c r="A211" s="63"/>
      <c r="B211" s="66"/>
      <c r="C211" s="60"/>
      <c r="D211" s="69"/>
      <c r="E211" s="72"/>
      <c r="F211" s="72"/>
      <c r="G211" s="29"/>
      <c r="H211" s="34"/>
      <c r="I211" s="18">
        <v>0</v>
      </c>
      <c r="J211" s="30">
        <v>19</v>
      </c>
      <c r="K211" s="33">
        <f t="shared" si="46"/>
        <v>0</v>
      </c>
      <c r="L211" s="21" t="str">
        <f t="shared" si="49"/>
        <v/>
      </c>
      <c r="M211" s="73"/>
      <c r="N211" s="51"/>
      <c r="O211" s="51"/>
      <c r="P211" s="31" t="str">
        <f t="shared" si="45"/>
        <v/>
      </c>
      <c r="Q211" s="48"/>
      <c r="R211" s="51"/>
      <c r="S211" s="54"/>
      <c r="T211" s="57"/>
      <c r="U211" s="51"/>
      <c r="V211" s="37"/>
    </row>
    <row r="212" spans="1:22">
      <c r="L212" s="45" t="str">
        <f t="shared" ref="L212" si="52">IF(I212=0,"",(K212)*$G$5)</f>
        <v/>
      </c>
      <c r="T212" s="174" t="s">
        <v>207</v>
      </c>
      <c r="U212" s="16">
        <f>SUM(U5:U211)</f>
        <v>32514501.896625001</v>
      </c>
    </row>
    <row r="223" spans="1:22">
      <c r="H223" s="49"/>
      <c r="I223" s="49"/>
      <c r="J223" s="49"/>
      <c r="K223" s="49"/>
    </row>
    <row r="224" spans="1:22">
      <c r="H224" s="50"/>
      <c r="I224" s="50"/>
      <c r="J224" s="50"/>
      <c r="K224" s="50"/>
    </row>
    <row r="225" spans="8:11">
      <c r="H225" s="50"/>
      <c r="I225" s="50"/>
      <c r="J225" s="50"/>
      <c r="K225" s="50"/>
    </row>
    <row r="226" spans="8:11">
      <c r="H226" s="50"/>
      <c r="I226" s="50"/>
      <c r="J226" s="50"/>
      <c r="K226" s="50"/>
    </row>
    <row r="227" spans="8:11">
      <c r="H227" s="51"/>
      <c r="I227" s="51"/>
      <c r="J227" s="51"/>
      <c r="K227" s="51"/>
    </row>
    <row r="228" spans="8:11">
      <c r="H228" s="49"/>
      <c r="I228" s="49"/>
      <c r="J228" s="49"/>
      <c r="K228" s="49"/>
    </row>
    <row r="229" spans="8:11">
      <c r="H229" s="50"/>
      <c r="I229" s="50"/>
      <c r="J229" s="50"/>
      <c r="K229" s="50"/>
    </row>
    <row r="230" spans="8:11">
      <c r="H230" s="50"/>
      <c r="I230" s="50"/>
      <c r="J230" s="50"/>
      <c r="K230" s="50"/>
    </row>
    <row r="231" spans="8:11">
      <c r="H231" s="50"/>
      <c r="I231" s="50"/>
      <c r="J231" s="50"/>
      <c r="K231" s="50"/>
    </row>
    <row r="232" spans="8:11">
      <c r="H232" s="51"/>
      <c r="I232" s="51"/>
      <c r="J232" s="51"/>
      <c r="K232" s="51"/>
    </row>
  </sheetData>
  <mergeCells count="733">
    <mergeCell ref="K223:K227"/>
    <mergeCell ref="H228:H232"/>
    <mergeCell ref="I228:I232"/>
    <mergeCell ref="J228:J232"/>
    <mergeCell ref="K228:K232"/>
    <mergeCell ref="B144:B147"/>
    <mergeCell ref="C144:C147"/>
    <mergeCell ref="D144:D147"/>
    <mergeCell ref="C200:C203"/>
    <mergeCell ref="B200:B203"/>
    <mergeCell ref="A128:A131"/>
    <mergeCell ref="A124:A127"/>
    <mergeCell ref="B124:B127"/>
    <mergeCell ref="C124:C127"/>
    <mergeCell ref="D124:D127"/>
    <mergeCell ref="E124:E127"/>
    <mergeCell ref="H223:H227"/>
    <mergeCell ref="I223:I227"/>
    <mergeCell ref="J223:J227"/>
    <mergeCell ref="Q112:Q115"/>
    <mergeCell ref="R112:R115"/>
    <mergeCell ref="S112:S115"/>
    <mergeCell ref="A116:A119"/>
    <mergeCell ref="B116:B119"/>
    <mergeCell ref="C116:C119"/>
    <mergeCell ref="D116:D119"/>
    <mergeCell ref="E116:E119"/>
    <mergeCell ref="F116:F119"/>
    <mergeCell ref="M116:M119"/>
    <mergeCell ref="N116:N119"/>
    <mergeCell ref="O116:O119"/>
    <mergeCell ref="Q116:Q119"/>
    <mergeCell ref="R116:R119"/>
    <mergeCell ref="S116:S119"/>
    <mergeCell ref="T112:T115"/>
    <mergeCell ref="U112:U115"/>
    <mergeCell ref="A108:A111"/>
    <mergeCell ref="B108:B111"/>
    <mergeCell ref="D108:D111"/>
    <mergeCell ref="E108:E111"/>
    <mergeCell ref="A112:A115"/>
    <mergeCell ref="B112:B115"/>
    <mergeCell ref="C108:C111"/>
    <mergeCell ref="D112:D115"/>
    <mergeCell ref="E112:E115"/>
    <mergeCell ref="F112:F115"/>
    <mergeCell ref="M112:M115"/>
    <mergeCell ref="N112:N115"/>
    <mergeCell ref="O112:O115"/>
    <mergeCell ref="F108:F111"/>
    <mergeCell ref="M108:M111"/>
    <mergeCell ref="N108:N111"/>
    <mergeCell ref="O108:O111"/>
    <mergeCell ref="Q108:Q111"/>
    <mergeCell ref="R108:R111"/>
    <mergeCell ref="S108:S111"/>
    <mergeCell ref="T108:T111"/>
    <mergeCell ref="U108:U111"/>
    <mergeCell ref="Q100:Q103"/>
    <mergeCell ref="R100:R103"/>
    <mergeCell ref="S100:S103"/>
    <mergeCell ref="T100:T103"/>
    <mergeCell ref="U100:U103"/>
    <mergeCell ref="Q104:Q107"/>
    <mergeCell ref="R104:R107"/>
    <mergeCell ref="S104:S107"/>
    <mergeCell ref="T104:T107"/>
    <mergeCell ref="U104:U107"/>
    <mergeCell ref="A104:A107"/>
    <mergeCell ref="B104:B107"/>
    <mergeCell ref="C104:C107"/>
    <mergeCell ref="D104:D107"/>
    <mergeCell ref="E104:E107"/>
    <mergeCell ref="F104:F107"/>
    <mergeCell ref="M104:M107"/>
    <mergeCell ref="N104:N107"/>
    <mergeCell ref="O104:O107"/>
    <mergeCell ref="A100:A103"/>
    <mergeCell ref="B100:B103"/>
    <mergeCell ref="C100:C103"/>
    <mergeCell ref="D100:D103"/>
    <mergeCell ref="E100:E103"/>
    <mergeCell ref="F100:F103"/>
    <mergeCell ref="M100:M103"/>
    <mergeCell ref="N100:N103"/>
    <mergeCell ref="O100:O103"/>
    <mergeCell ref="U92:U95"/>
    <mergeCell ref="A96:A99"/>
    <mergeCell ref="B96:B99"/>
    <mergeCell ref="C96:C99"/>
    <mergeCell ref="D96:D99"/>
    <mergeCell ref="E96:E99"/>
    <mergeCell ref="F96:F99"/>
    <mergeCell ref="M96:M99"/>
    <mergeCell ref="N96:N99"/>
    <mergeCell ref="O96:O99"/>
    <mergeCell ref="Q96:Q99"/>
    <mergeCell ref="R96:R99"/>
    <mergeCell ref="S96:S99"/>
    <mergeCell ref="T96:T99"/>
    <mergeCell ref="U96:U99"/>
    <mergeCell ref="A92:A95"/>
    <mergeCell ref="B92:B95"/>
    <mergeCell ref="C92:C95"/>
    <mergeCell ref="D92:D95"/>
    <mergeCell ref="E92:E95"/>
    <mergeCell ref="F92:F95"/>
    <mergeCell ref="M92:M95"/>
    <mergeCell ref="N92:N95"/>
    <mergeCell ref="O92:O95"/>
    <mergeCell ref="A88:A91"/>
    <mergeCell ref="B88:B91"/>
    <mergeCell ref="C88:C91"/>
    <mergeCell ref="D88:D91"/>
    <mergeCell ref="E88:E91"/>
    <mergeCell ref="S88:S91"/>
    <mergeCell ref="T88:T91"/>
    <mergeCell ref="U88:U91"/>
    <mergeCell ref="F88:F91"/>
    <mergeCell ref="M88:M91"/>
    <mergeCell ref="N88:N91"/>
    <mergeCell ref="O88:O91"/>
    <mergeCell ref="Q88:Q91"/>
    <mergeCell ref="R88:R91"/>
    <mergeCell ref="Q80:Q83"/>
    <mergeCell ref="R80:R83"/>
    <mergeCell ref="S80:S83"/>
    <mergeCell ref="T80:T83"/>
    <mergeCell ref="Q84:Q87"/>
    <mergeCell ref="R84:R87"/>
    <mergeCell ref="S84:S87"/>
    <mergeCell ref="T84:T87"/>
    <mergeCell ref="Q92:Q95"/>
    <mergeCell ref="R92:R95"/>
    <mergeCell ref="S92:S95"/>
    <mergeCell ref="T92:T95"/>
    <mergeCell ref="U84:U87"/>
    <mergeCell ref="A84:A87"/>
    <mergeCell ref="B84:B87"/>
    <mergeCell ref="C84:C87"/>
    <mergeCell ref="D84:D87"/>
    <mergeCell ref="E84:E87"/>
    <mergeCell ref="F84:F87"/>
    <mergeCell ref="M84:M87"/>
    <mergeCell ref="N84:N87"/>
    <mergeCell ref="O84:O87"/>
    <mergeCell ref="A76:A79"/>
    <mergeCell ref="B76:B79"/>
    <mergeCell ref="C76:C79"/>
    <mergeCell ref="D76:D79"/>
    <mergeCell ref="E76:E79"/>
    <mergeCell ref="S76:S79"/>
    <mergeCell ref="T76:T79"/>
    <mergeCell ref="U76:U79"/>
    <mergeCell ref="A80:A83"/>
    <mergeCell ref="B80:B83"/>
    <mergeCell ref="C80:C83"/>
    <mergeCell ref="D80:D83"/>
    <mergeCell ref="E80:E83"/>
    <mergeCell ref="F80:F83"/>
    <mergeCell ref="M80:M83"/>
    <mergeCell ref="F76:F79"/>
    <mergeCell ref="M76:M79"/>
    <mergeCell ref="N76:N79"/>
    <mergeCell ref="O76:O79"/>
    <mergeCell ref="Q76:Q79"/>
    <mergeCell ref="R76:R79"/>
    <mergeCell ref="U80:U83"/>
    <mergeCell ref="N80:N83"/>
    <mergeCell ref="O80:O83"/>
    <mergeCell ref="Q68:Q71"/>
    <mergeCell ref="R68:R71"/>
    <mergeCell ref="S68:S71"/>
    <mergeCell ref="T68:T71"/>
    <mergeCell ref="Q72:Q75"/>
    <mergeCell ref="R72:R75"/>
    <mergeCell ref="S72:S75"/>
    <mergeCell ref="T72:T75"/>
    <mergeCell ref="U72:U75"/>
    <mergeCell ref="A72:A75"/>
    <mergeCell ref="B72:B75"/>
    <mergeCell ref="C72:C75"/>
    <mergeCell ref="D72:D75"/>
    <mergeCell ref="E72:E75"/>
    <mergeCell ref="F72:F75"/>
    <mergeCell ref="M72:M75"/>
    <mergeCell ref="N72:N75"/>
    <mergeCell ref="O72:O75"/>
    <mergeCell ref="A64:A67"/>
    <mergeCell ref="B64:B67"/>
    <mergeCell ref="C64:C67"/>
    <mergeCell ref="D64:D67"/>
    <mergeCell ref="E64:E67"/>
    <mergeCell ref="S64:S67"/>
    <mergeCell ref="T64:T67"/>
    <mergeCell ref="U64:U67"/>
    <mergeCell ref="A68:A71"/>
    <mergeCell ref="B68:B71"/>
    <mergeCell ref="C68:C71"/>
    <mergeCell ref="D68:D71"/>
    <mergeCell ref="E68:E71"/>
    <mergeCell ref="F68:F71"/>
    <mergeCell ref="M68:M71"/>
    <mergeCell ref="F64:F67"/>
    <mergeCell ref="M64:M67"/>
    <mergeCell ref="N64:N67"/>
    <mergeCell ref="O64:O67"/>
    <mergeCell ref="Q64:Q67"/>
    <mergeCell ref="R64:R67"/>
    <mergeCell ref="U68:U71"/>
    <mergeCell ref="N68:N71"/>
    <mergeCell ref="O68:O71"/>
    <mergeCell ref="Q55:Q59"/>
    <mergeCell ref="R55:R59"/>
    <mergeCell ref="S55:S59"/>
    <mergeCell ref="T55:T59"/>
    <mergeCell ref="Q60:Q63"/>
    <mergeCell ref="R60:R63"/>
    <mergeCell ref="S60:S63"/>
    <mergeCell ref="T60:T63"/>
    <mergeCell ref="U60:U63"/>
    <mergeCell ref="A60:A63"/>
    <mergeCell ref="B60:B63"/>
    <mergeCell ref="C60:C63"/>
    <mergeCell ref="D60:D63"/>
    <mergeCell ref="E60:E63"/>
    <mergeCell ref="F60:F63"/>
    <mergeCell ref="M60:M63"/>
    <mergeCell ref="N60:N63"/>
    <mergeCell ref="O60:O63"/>
    <mergeCell ref="A51:A54"/>
    <mergeCell ref="B51:B54"/>
    <mergeCell ref="C51:C54"/>
    <mergeCell ref="D51:D54"/>
    <mergeCell ref="E51:E54"/>
    <mergeCell ref="S51:S54"/>
    <mergeCell ref="T51:T54"/>
    <mergeCell ref="U51:U54"/>
    <mergeCell ref="A55:A59"/>
    <mergeCell ref="B55:B59"/>
    <mergeCell ref="C55:C59"/>
    <mergeCell ref="D55:D59"/>
    <mergeCell ref="E55:E59"/>
    <mergeCell ref="F55:F59"/>
    <mergeCell ref="M55:M59"/>
    <mergeCell ref="F51:F54"/>
    <mergeCell ref="M51:M54"/>
    <mergeCell ref="N51:N54"/>
    <mergeCell ref="O51:O54"/>
    <mergeCell ref="Q51:Q54"/>
    <mergeCell ref="R51:R54"/>
    <mergeCell ref="U55:U59"/>
    <mergeCell ref="N55:N59"/>
    <mergeCell ref="O55:O59"/>
    <mergeCell ref="Q41:Q45"/>
    <mergeCell ref="R41:R45"/>
    <mergeCell ref="S41:S45"/>
    <mergeCell ref="T41:T45"/>
    <mergeCell ref="Q46:Q50"/>
    <mergeCell ref="R46:R50"/>
    <mergeCell ref="S46:S50"/>
    <mergeCell ref="T46:T50"/>
    <mergeCell ref="U46:U50"/>
    <mergeCell ref="A46:A50"/>
    <mergeCell ref="B46:B50"/>
    <mergeCell ref="C46:C50"/>
    <mergeCell ref="D46:D50"/>
    <mergeCell ref="E46:E50"/>
    <mergeCell ref="F46:F50"/>
    <mergeCell ref="M46:M50"/>
    <mergeCell ref="N46:N50"/>
    <mergeCell ref="O46:O50"/>
    <mergeCell ref="A37:A40"/>
    <mergeCell ref="B37:B40"/>
    <mergeCell ref="C37:C40"/>
    <mergeCell ref="D37:D40"/>
    <mergeCell ref="E37:E40"/>
    <mergeCell ref="S37:S40"/>
    <mergeCell ref="T37:T40"/>
    <mergeCell ref="U37:U40"/>
    <mergeCell ref="A41:A45"/>
    <mergeCell ref="B41:B45"/>
    <mergeCell ref="C41:C45"/>
    <mergeCell ref="D41:D45"/>
    <mergeCell ref="E41:E45"/>
    <mergeCell ref="F41:F45"/>
    <mergeCell ref="M41:M45"/>
    <mergeCell ref="F37:F40"/>
    <mergeCell ref="M37:M40"/>
    <mergeCell ref="N37:N40"/>
    <mergeCell ref="O37:O40"/>
    <mergeCell ref="Q37:Q40"/>
    <mergeCell ref="R37:R40"/>
    <mergeCell ref="U41:U45"/>
    <mergeCell ref="N41:N45"/>
    <mergeCell ref="O41:O45"/>
    <mergeCell ref="Q32:Q36"/>
    <mergeCell ref="R32:R36"/>
    <mergeCell ref="S32:S36"/>
    <mergeCell ref="T32:T36"/>
    <mergeCell ref="U32:U36"/>
    <mergeCell ref="A32:A36"/>
    <mergeCell ref="B32:B36"/>
    <mergeCell ref="C32:C36"/>
    <mergeCell ref="D32:D36"/>
    <mergeCell ref="E32:E36"/>
    <mergeCell ref="F32:F36"/>
    <mergeCell ref="M32:M36"/>
    <mergeCell ref="N32:N36"/>
    <mergeCell ref="O32:O36"/>
    <mergeCell ref="U24:U27"/>
    <mergeCell ref="A28:A31"/>
    <mergeCell ref="B28:B31"/>
    <mergeCell ref="C28:C31"/>
    <mergeCell ref="D28:D31"/>
    <mergeCell ref="E28:E31"/>
    <mergeCell ref="S28:S31"/>
    <mergeCell ref="T28:T31"/>
    <mergeCell ref="U28:U31"/>
    <mergeCell ref="F28:F31"/>
    <mergeCell ref="M28:M31"/>
    <mergeCell ref="N28:N31"/>
    <mergeCell ref="O28:O31"/>
    <mergeCell ref="Q28:Q31"/>
    <mergeCell ref="R28:R31"/>
    <mergeCell ref="N24:N27"/>
    <mergeCell ref="O24:O27"/>
    <mergeCell ref="Q20:Q23"/>
    <mergeCell ref="R20:R23"/>
    <mergeCell ref="S20:S23"/>
    <mergeCell ref="T20:T23"/>
    <mergeCell ref="Q24:Q27"/>
    <mergeCell ref="R24:R27"/>
    <mergeCell ref="S24:S27"/>
    <mergeCell ref="T24:T27"/>
    <mergeCell ref="S15:S19"/>
    <mergeCell ref="T15:T19"/>
    <mergeCell ref="U15:U19"/>
    <mergeCell ref="A20:A23"/>
    <mergeCell ref="B20:B23"/>
    <mergeCell ref="C20:C23"/>
    <mergeCell ref="D20:D23"/>
    <mergeCell ref="E20:E23"/>
    <mergeCell ref="F20:F23"/>
    <mergeCell ref="M20:M23"/>
    <mergeCell ref="F15:F19"/>
    <mergeCell ref="M15:M19"/>
    <mergeCell ref="N15:N19"/>
    <mergeCell ref="O15:O19"/>
    <mergeCell ref="Q15:Q19"/>
    <mergeCell ref="R15:R19"/>
    <mergeCell ref="U20:U23"/>
    <mergeCell ref="N20:N23"/>
    <mergeCell ref="O20:O23"/>
    <mergeCell ref="M3:M4"/>
    <mergeCell ref="U5:U9"/>
    <mergeCell ref="A10:A14"/>
    <mergeCell ref="B10:B14"/>
    <mergeCell ref="C10:C14"/>
    <mergeCell ref="D10:D14"/>
    <mergeCell ref="E10:E14"/>
    <mergeCell ref="F10:F14"/>
    <mergeCell ref="M10:M14"/>
    <mergeCell ref="N10:N14"/>
    <mergeCell ref="O10:O14"/>
    <mergeCell ref="N5:N9"/>
    <mergeCell ref="O5:O9"/>
    <mergeCell ref="Q5:Q9"/>
    <mergeCell ref="R5:R9"/>
    <mergeCell ref="S5:S9"/>
    <mergeCell ref="T5:T9"/>
    <mergeCell ref="Q10:Q14"/>
    <mergeCell ref="R10:R14"/>
    <mergeCell ref="S10:S14"/>
    <mergeCell ref="T10:T14"/>
    <mergeCell ref="U10:U14"/>
    <mergeCell ref="A5:A9"/>
    <mergeCell ref="B5:B9"/>
    <mergeCell ref="A1:G2"/>
    <mergeCell ref="H1:L2"/>
    <mergeCell ref="M1:V2"/>
    <mergeCell ref="A3:A4"/>
    <mergeCell ref="B3:B4"/>
    <mergeCell ref="C3:C4"/>
    <mergeCell ref="D3:D4"/>
    <mergeCell ref="E3:E4"/>
    <mergeCell ref="F3:F4"/>
    <mergeCell ref="G3:G4"/>
    <mergeCell ref="T3:T4"/>
    <mergeCell ref="U3:U4"/>
    <mergeCell ref="V3:V4"/>
    <mergeCell ref="P3:P4"/>
    <mergeCell ref="Q3:Q4"/>
    <mergeCell ref="R3:R4"/>
    <mergeCell ref="S3:S4"/>
    <mergeCell ref="N3:N4"/>
    <mergeCell ref="O3:O4"/>
    <mergeCell ref="H3:H4"/>
    <mergeCell ref="I3:I4"/>
    <mergeCell ref="J3:J4"/>
    <mergeCell ref="K3:K4"/>
    <mergeCell ref="L3:L4"/>
    <mergeCell ref="D5:D9"/>
    <mergeCell ref="E5:E9"/>
    <mergeCell ref="A120:A123"/>
    <mergeCell ref="B120:B123"/>
    <mergeCell ref="C120:C123"/>
    <mergeCell ref="D120:D123"/>
    <mergeCell ref="E120:E123"/>
    <mergeCell ref="F120:F123"/>
    <mergeCell ref="M120:M123"/>
    <mergeCell ref="F5:F9"/>
    <mergeCell ref="M5:M9"/>
    <mergeCell ref="C5:C9"/>
    <mergeCell ref="A15:A19"/>
    <mergeCell ref="B15:B19"/>
    <mergeCell ref="C15:C19"/>
    <mergeCell ref="D15:D19"/>
    <mergeCell ref="E15:E19"/>
    <mergeCell ref="A24:A27"/>
    <mergeCell ref="B24:B27"/>
    <mergeCell ref="C24:C27"/>
    <mergeCell ref="D24:D27"/>
    <mergeCell ref="E24:E27"/>
    <mergeCell ref="F24:F27"/>
    <mergeCell ref="M24:M27"/>
    <mergeCell ref="N120:N123"/>
    <mergeCell ref="O120:O123"/>
    <mergeCell ref="T116:T119"/>
    <mergeCell ref="U116:U119"/>
    <mergeCell ref="Q120:Q123"/>
    <mergeCell ref="R120:R123"/>
    <mergeCell ref="S120:S123"/>
    <mergeCell ref="T120:T123"/>
    <mergeCell ref="U120:U123"/>
    <mergeCell ref="Q128:Q131"/>
    <mergeCell ref="R128:R131"/>
    <mergeCell ref="S128:S131"/>
    <mergeCell ref="T128:T131"/>
    <mergeCell ref="U128:U131"/>
    <mergeCell ref="Q124:Q127"/>
    <mergeCell ref="T124:T127"/>
    <mergeCell ref="U124:U127"/>
    <mergeCell ref="B128:B131"/>
    <mergeCell ref="C128:C131"/>
    <mergeCell ref="D128:D131"/>
    <mergeCell ref="E128:E131"/>
    <mergeCell ref="F128:F131"/>
    <mergeCell ref="M128:M131"/>
    <mergeCell ref="N128:N131"/>
    <mergeCell ref="O128:O131"/>
    <mergeCell ref="F124:F127"/>
    <mergeCell ref="M124:M127"/>
    <mergeCell ref="N124:N127"/>
    <mergeCell ref="O124:O127"/>
    <mergeCell ref="R124:R127"/>
    <mergeCell ref="S124:S127"/>
    <mergeCell ref="A132:A135"/>
    <mergeCell ref="B132:B135"/>
    <mergeCell ref="C132:C135"/>
    <mergeCell ref="D132:D135"/>
    <mergeCell ref="E132:E135"/>
    <mergeCell ref="F132:F135"/>
    <mergeCell ref="M132:M135"/>
    <mergeCell ref="N132:N135"/>
    <mergeCell ref="O132:O135"/>
    <mergeCell ref="U140:U143"/>
    <mergeCell ref="A136:A139"/>
    <mergeCell ref="B136:B139"/>
    <mergeCell ref="C136:C139"/>
    <mergeCell ref="D136:D139"/>
    <mergeCell ref="E136:E139"/>
    <mergeCell ref="F136:F139"/>
    <mergeCell ref="M136:M139"/>
    <mergeCell ref="N136:N139"/>
    <mergeCell ref="O136:O139"/>
    <mergeCell ref="Q132:Q135"/>
    <mergeCell ref="R132:R135"/>
    <mergeCell ref="S132:S135"/>
    <mergeCell ref="T132:T135"/>
    <mergeCell ref="U132:U135"/>
    <mergeCell ref="Q136:Q139"/>
    <mergeCell ref="R136:R139"/>
    <mergeCell ref="S136:S139"/>
    <mergeCell ref="T136:T139"/>
    <mergeCell ref="U136:U139"/>
    <mergeCell ref="Q144:Q147"/>
    <mergeCell ref="R144:R147"/>
    <mergeCell ref="S144:S147"/>
    <mergeCell ref="T144:T147"/>
    <mergeCell ref="U144:U147"/>
    <mergeCell ref="A140:A143"/>
    <mergeCell ref="E140:E143"/>
    <mergeCell ref="A144:A147"/>
    <mergeCell ref="B140:B143"/>
    <mergeCell ref="C140:C143"/>
    <mergeCell ref="D140:D143"/>
    <mergeCell ref="E144:E147"/>
    <mergeCell ref="F144:F147"/>
    <mergeCell ref="M144:M147"/>
    <mergeCell ref="N144:N147"/>
    <mergeCell ref="O144:O147"/>
    <mergeCell ref="F140:F143"/>
    <mergeCell ref="M140:M143"/>
    <mergeCell ref="N140:N143"/>
    <mergeCell ref="O140:O143"/>
    <mergeCell ref="Q140:Q143"/>
    <mergeCell ref="R140:R143"/>
    <mergeCell ref="S140:S143"/>
    <mergeCell ref="T140:T143"/>
    <mergeCell ref="A148:A151"/>
    <mergeCell ref="B148:B151"/>
    <mergeCell ref="C148:C151"/>
    <mergeCell ref="D148:D151"/>
    <mergeCell ref="E148:E151"/>
    <mergeCell ref="F148:F151"/>
    <mergeCell ref="M148:M151"/>
    <mergeCell ref="N148:N151"/>
    <mergeCell ref="O148:O151"/>
    <mergeCell ref="R156:R159"/>
    <mergeCell ref="S156:S159"/>
    <mergeCell ref="T156:T159"/>
    <mergeCell ref="U156:U159"/>
    <mergeCell ref="A152:A155"/>
    <mergeCell ref="B152:B155"/>
    <mergeCell ref="C152:C155"/>
    <mergeCell ref="D152:D155"/>
    <mergeCell ref="E152:E155"/>
    <mergeCell ref="F152:F155"/>
    <mergeCell ref="M152:M155"/>
    <mergeCell ref="N152:N155"/>
    <mergeCell ref="O152:O155"/>
    <mergeCell ref="Q148:Q151"/>
    <mergeCell ref="R148:R151"/>
    <mergeCell ref="S148:S151"/>
    <mergeCell ref="T148:T151"/>
    <mergeCell ref="U148:U151"/>
    <mergeCell ref="Q152:Q155"/>
    <mergeCell ref="R152:R155"/>
    <mergeCell ref="S152:S155"/>
    <mergeCell ref="T152:T155"/>
    <mergeCell ref="U152:U155"/>
    <mergeCell ref="Q160:Q163"/>
    <mergeCell ref="R160:R163"/>
    <mergeCell ref="S160:S163"/>
    <mergeCell ref="T160:T163"/>
    <mergeCell ref="U160:U163"/>
    <mergeCell ref="A156:A159"/>
    <mergeCell ref="B156:B159"/>
    <mergeCell ref="C156:C159"/>
    <mergeCell ref="D156:D159"/>
    <mergeCell ref="E156:E159"/>
    <mergeCell ref="A160:A163"/>
    <mergeCell ref="B160:B163"/>
    <mergeCell ref="C160:C163"/>
    <mergeCell ref="D160:D163"/>
    <mergeCell ref="E160:E163"/>
    <mergeCell ref="F160:F163"/>
    <mergeCell ref="M160:M163"/>
    <mergeCell ref="N160:N163"/>
    <mergeCell ref="O160:O163"/>
    <mergeCell ref="F156:F159"/>
    <mergeCell ref="M156:M159"/>
    <mergeCell ref="N156:N159"/>
    <mergeCell ref="O156:O159"/>
    <mergeCell ref="Q156:Q159"/>
    <mergeCell ref="A164:A167"/>
    <mergeCell ref="B164:B167"/>
    <mergeCell ref="C164:C167"/>
    <mergeCell ref="D164:D167"/>
    <mergeCell ref="E164:E167"/>
    <mergeCell ref="F164:F167"/>
    <mergeCell ref="M164:M167"/>
    <mergeCell ref="N164:N167"/>
    <mergeCell ref="O164:O167"/>
    <mergeCell ref="R172:R175"/>
    <mergeCell ref="S172:S175"/>
    <mergeCell ref="T172:T175"/>
    <mergeCell ref="U172:U175"/>
    <mergeCell ref="A168:A171"/>
    <mergeCell ref="B168:B171"/>
    <mergeCell ref="C168:C171"/>
    <mergeCell ref="D168:D171"/>
    <mergeCell ref="E168:E171"/>
    <mergeCell ref="F168:F171"/>
    <mergeCell ref="M168:M171"/>
    <mergeCell ref="N168:N171"/>
    <mergeCell ref="O168:O171"/>
    <mergeCell ref="Q164:Q167"/>
    <mergeCell ref="R164:R167"/>
    <mergeCell ref="S164:S167"/>
    <mergeCell ref="T164:T167"/>
    <mergeCell ref="U164:U167"/>
    <mergeCell ref="Q168:Q171"/>
    <mergeCell ref="R168:R171"/>
    <mergeCell ref="S168:S171"/>
    <mergeCell ref="T168:T171"/>
    <mergeCell ref="U168:U171"/>
    <mergeCell ref="Q176:Q179"/>
    <mergeCell ref="R176:R179"/>
    <mergeCell ref="S176:S179"/>
    <mergeCell ref="T176:T179"/>
    <mergeCell ref="U176:U179"/>
    <mergeCell ref="A172:A175"/>
    <mergeCell ref="B172:B175"/>
    <mergeCell ref="C172:C175"/>
    <mergeCell ref="D172:D175"/>
    <mergeCell ref="E172:E175"/>
    <mergeCell ref="A176:A179"/>
    <mergeCell ref="B176:B179"/>
    <mergeCell ref="C176:C179"/>
    <mergeCell ref="D176:D179"/>
    <mergeCell ref="E176:E179"/>
    <mergeCell ref="F176:F179"/>
    <mergeCell ref="M176:M179"/>
    <mergeCell ref="N176:N179"/>
    <mergeCell ref="O176:O179"/>
    <mergeCell ref="F172:F175"/>
    <mergeCell ref="M172:M175"/>
    <mergeCell ref="N172:N175"/>
    <mergeCell ref="O172:O175"/>
    <mergeCell ref="Q172:Q175"/>
    <mergeCell ref="A180:A183"/>
    <mergeCell ref="B180:B183"/>
    <mergeCell ref="C180:C183"/>
    <mergeCell ref="D180:D183"/>
    <mergeCell ref="E180:E183"/>
    <mergeCell ref="F180:F183"/>
    <mergeCell ref="M180:M183"/>
    <mergeCell ref="N180:N183"/>
    <mergeCell ref="O180:O183"/>
    <mergeCell ref="R184:R187"/>
    <mergeCell ref="S184:S187"/>
    <mergeCell ref="T184:T187"/>
    <mergeCell ref="U184:U187"/>
    <mergeCell ref="Q180:Q183"/>
    <mergeCell ref="R180:R183"/>
    <mergeCell ref="S180:S183"/>
    <mergeCell ref="T180:T183"/>
    <mergeCell ref="U180:U183"/>
    <mergeCell ref="Q188:Q191"/>
    <mergeCell ref="R188:R191"/>
    <mergeCell ref="S188:S191"/>
    <mergeCell ref="T188:T191"/>
    <mergeCell ref="U188:U191"/>
    <mergeCell ref="A184:A187"/>
    <mergeCell ref="B184:B187"/>
    <mergeCell ref="C184:C187"/>
    <mergeCell ref="D184:D187"/>
    <mergeCell ref="E184:E187"/>
    <mergeCell ref="A188:A191"/>
    <mergeCell ref="B188:B191"/>
    <mergeCell ref="C188:C191"/>
    <mergeCell ref="D188:D191"/>
    <mergeCell ref="E188:E191"/>
    <mergeCell ref="F188:F191"/>
    <mergeCell ref="M188:M191"/>
    <mergeCell ref="N188:N191"/>
    <mergeCell ref="O188:O191"/>
    <mergeCell ref="F184:F187"/>
    <mergeCell ref="M184:M187"/>
    <mergeCell ref="N184:N187"/>
    <mergeCell ref="O184:O187"/>
    <mergeCell ref="Q184:Q187"/>
    <mergeCell ref="N200:N203"/>
    <mergeCell ref="M200:M203"/>
    <mergeCell ref="F200:F203"/>
    <mergeCell ref="E200:E203"/>
    <mergeCell ref="D200:D203"/>
    <mergeCell ref="A192:A195"/>
    <mergeCell ref="B192:B195"/>
    <mergeCell ref="C192:C195"/>
    <mergeCell ref="D192:D195"/>
    <mergeCell ref="E192:E195"/>
    <mergeCell ref="F192:F195"/>
    <mergeCell ref="M192:M195"/>
    <mergeCell ref="N192:N195"/>
    <mergeCell ref="A196:A199"/>
    <mergeCell ref="B196:B199"/>
    <mergeCell ref="C196:C199"/>
    <mergeCell ref="D196:D199"/>
    <mergeCell ref="E196:E199"/>
    <mergeCell ref="F196:F199"/>
    <mergeCell ref="M196:M199"/>
    <mergeCell ref="N196:N199"/>
    <mergeCell ref="A200:A203"/>
    <mergeCell ref="O196:O199"/>
    <mergeCell ref="O204:O207"/>
    <mergeCell ref="Q192:Q195"/>
    <mergeCell ref="R192:R195"/>
    <mergeCell ref="S192:S195"/>
    <mergeCell ref="T192:T195"/>
    <mergeCell ref="U192:U195"/>
    <mergeCell ref="Q196:Q199"/>
    <mergeCell ref="R196:R199"/>
    <mergeCell ref="S196:S199"/>
    <mergeCell ref="T196:T199"/>
    <mergeCell ref="U196:U199"/>
    <mergeCell ref="R204:R207"/>
    <mergeCell ref="S204:S207"/>
    <mergeCell ref="T204:T207"/>
    <mergeCell ref="U204:U207"/>
    <mergeCell ref="U200:U203"/>
    <mergeCell ref="T200:T203"/>
    <mergeCell ref="S200:S203"/>
    <mergeCell ref="R200:R203"/>
    <mergeCell ref="Q200:Q203"/>
    <mergeCell ref="O200:O203"/>
    <mergeCell ref="O192:O195"/>
    <mergeCell ref="Q208:Q211"/>
    <mergeCell ref="R208:R211"/>
    <mergeCell ref="S208:S211"/>
    <mergeCell ref="T208:T211"/>
    <mergeCell ref="U208:U211"/>
    <mergeCell ref="C112:C115"/>
    <mergeCell ref="A208:A211"/>
    <mergeCell ref="B208:B211"/>
    <mergeCell ref="C208:C211"/>
    <mergeCell ref="D208:D211"/>
    <mergeCell ref="E208:E211"/>
    <mergeCell ref="F208:F211"/>
    <mergeCell ref="M208:M211"/>
    <mergeCell ref="N208:N211"/>
    <mergeCell ref="O208:O211"/>
    <mergeCell ref="Q204:Q207"/>
    <mergeCell ref="A204:A207"/>
    <mergeCell ref="B204:B207"/>
    <mergeCell ref="C204:C207"/>
    <mergeCell ref="D204:D207"/>
    <mergeCell ref="E204:E207"/>
    <mergeCell ref="F204:F207"/>
    <mergeCell ref="M204:M207"/>
    <mergeCell ref="N204:N207"/>
  </mergeCells>
  <conditionalFormatting sqref="A10:A12 A15:A17 A20:A21 A24:A25 A28:A29 A32:A34 A37:A38 A41:A43 A46:A48 A51:A52 A55:A57 A60:A61 A64:A65 A68:A69 A72:A73 A76:A77 A80:A81 A84 A88 B112:B115 D112:D115 C108:C111 B140:D143 B15:D53 J5:K89 J178:J211 G5:H19 G20 G21:H91 J90:J143 G196:H199 G201:H203 G200 G208:H211 K90:K211">
    <cfRule type="containsBlanks" dxfId="132" priority="251">
      <formula>LEN(TRIM(A5))=0</formula>
    </cfRule>
  </conditionalFormatting>
  <conditionalFormatting sqref="A5:D5">
    <cfRule type="containsBlanks" dxfId="131" priority="252">
      <formula>LEN(TRIM(A5))=0</formula>
    </cfRule>
  </conditionalFormatting>
  <conditionalFormatting sqref="B10:D10">
    <cfRule type="containsBlanks" dxfId="130" priority="249">
      <formula>LEN(TRIM(B10))=0</formula>
    </cfRule>
  </conditionalFormatting>
  <conditionalFormatting sqref="B55:D91">
    <cfRule type="containsBlanks" dxfId="129" priority="246">
      <formula>LEN(TRIM(B55))=0</formula>
    </cfRule>
  </conditionalFormatting>
  <conditionalFormatting sqref="J146:J147 J150:J155 J158:J159 J163 J167 J171 J174:J175">
    <cfRule type="containsBlanks" dxfId="128" priority="245">
      <formula>LEN(TRIM(J146))=0</formula>
    </cfRule>
  </conditionalFormatting>
  <conditionalFormatting sqref="P5:P6 P8:P9">
    <cfRule type="dataBar" priority="250">
      <dataBar>
        <cfvo type="min"/>
        <cfvo type="max"/>
        <color rgb="FFC2D2E8"/>
      </dataBar>
      <extLst>
        <ext xmlns:x14="http://schemas.microsoft.com/office/spreadsheetml/2009/9/main" uri="{B025F937-C7B1-47D3-B67F-A62EFF666E3E}">
          <x14:id>{78FE70EB-29C8-4A95-AF43-7AFB350E58FC}</x14:id>
        </ext>
      </extLst>
    </cfRule>
  </conditionalFormatting>
  <conditionalFormatting sqref="P10:P11 P14">
    <cfRule type="dataBar" priority="248">
      <dataBar>
        <cfvo type="min"/>
        <cfvo type="max"/>
        <color rgb="FFC2D2E8"/>
      </dataBar>
      <extLst>
        <ext xmlns:x14="http://schemas.microsoft.com/office/spreadsheetml/2009/9/main" uri="{B025F937-C7B1-47D3-B67F-A62EFF666E3E}">
          <x14:id>{B7EEED83-DB06-4690-8B7B-F437D341254C}</x14:id>
        </ext>
      </extLst>
    </cfRule>
  </conditionalFormatting>
  <conditionalFormatting sqref="A92">
    <cfRule type="containsBlanks" dxfId="127" priority="243">
      <formula>LEN(TRIM(A92))=0</formula>
    </cfRule>
  </conditionalFormatting>
  <conditionalFormatting sqref="G92:H95">
    <cfRule type="containsBlanks" dxfId="126" priority="244">
      <formula>LEN(TRIM(G92))=0</formula>
    </cfRule>
  </conditionalFormatting>
  <conditionalFormatting sqref="B92:D95">
    <cfRule type="containsBlanks" dxfId="125" priority="242">
      <formula>LEN(TRIM(B92))=0</formula>
    </cfRule>
  </conditionalFormatting>
  <conditionalFormatting sqref="A96">
    <cfRule type="containsBlanks" dxfId="124" priority="239">
      <formula>LEN(TRIM(A96))=0</formula>
    </cfRule>
  </conditionalFormatting>
  <conditionalFormatting sqref="G96:H99">
    <cfRule type="containsBlanks" dxfId="123" priority="240">
      <formula>LEN(TRIM(G96))=0</formula>
    </cfRule>
  </conditionalFormatting>
  <conditionalFormatting sqref="B96:D99">
    <cfRule type="containsBlanks" dxfId="122" priority="238">
      <formula>LEN(TRIM(B96))=0</formula>
    </cfRule>
  </conditionalFormatting>
  <conditionalFormatting sqref="A100">
    <cfRule type="containsBlanks" dxfId="121" priority="235">
      <formula>LEN(TRIM(A100))=0</formula>
    </cfRule>
  </conditionalFormatting>
  <conditionalFormatting sqref="G100:H103">
    <cfRule type="containsBlanks" dxfId="120" priority="236">
      <formula>LEN(TRIM(G100))=0</formula>
    </cfRule>
  </conditionalFormatting>
  <conditionalFormatting sqref="B100:D103">
    <cfRule type="containsBlanks" dxfId="119" priority="234">
      <formula>LEN(TRIM(B100))=0</formula>
    </cfRule>
  </conditionalFormatting>
  <conditionalFormatting sqref="A104">
    <cfRule type="containsBlanks" dxfId="118" priority="231">
      <formula>LEN(TRIM(A104))=0</formula>
    </cfRule>
  </conditionalFormatting>
  <conditionalFormatting sqref="G104:H107">
    <cfRule type="containsBlanks" dxfId="117" priority="232">
      <formula>LEN(TRIM(G104))=0</formula>
    </cfRule>
  </conditionalFormatting>
  <conditionalFormatting sqref="B104:D107">
    <cfRule type="containsBlanks" dxfId="116" priority="230">
      <formula>LEN(TRIM(B104))=0</formula>
    </cfRule>
  </conditionalFormatting>
  <conditionalFormatting sqref="A108">
    <cfRule type="containsBlanks" dxfId="115" priority="227">
      <formula>LEN(TRIM(A108))=0</formula>
    </cfRule>
  </conditionalFormatting>
  <conditionalFormatting sqref="G108:H111">
    <cfRule type="containsBlanks" dxfId="114" priority="228">
      <formula>LEN(TRIM(G108))=0</formula>
    </cfRule>
  </conditionalFormatting>
  <conditionalFormatting sqref="B108:D111">
    <cfRule type="containsBlanks" dxfId="113" priority="226">
      <formula>LEN(TRIM(B108))=0</formula>
    </cfRule>
  </conditionalFormatting>
  <conditionalFormatting sqref="A112">
    <cfRule type="containsBlanks" dxfId="112" priority="223">
      <formula>LEN(TRIM(A112))=0</formula>
    </cfRule>
  </conditionalFormatting>
  <conditionalFormatting sqref="G113:H113 G112 G115:H115 G114">
    <cfRule type="containsBlanks" dxfId="111" priority="224">
      <formula>LEN(TRIM(G112))=0</formula>
    </cfRule>
  </conditionalFormatting>
  <conditionalFormatting sqref="A116">
    <cfRule type="containsBlanks" dxfId="110" priority="219">
      <formula>LEN(TRIM(A116))=0</formula>
    </cfRule>
  </conditionalFormatting>
  <conditionalFormatting sqref="G118:H119 G116:G117">
    <cfRule type="containsBlanks" dxfId="109" priority="220">
      <formula>LEN(TRIM(G116))=0</formula>
    </cfRule>
  </conditionalFormatting>
  <conditionalFormatting sqref="B116:B119 D116:D119">
    <cfRule type="containsBlanks" dxfId="108" priority="218">
      <formula>LEN(TRIM(B116))=0</formula>
    </cfRule>
  </conditionalFormatting>
  <conditionalFormatting sqref="A120">
    <cfRule type="containsBlanks" dxfId="107" priority="215">
      <formula>LEN(TRIM(A120))=0</formula>
    </cfRule>
  </conditionalFormatting>
  <conditionalFormatting sqref="G122:H123 G120:G121">
    <cfRule type="containsBlanks" dxfId="106" priority="216">
      <formula>LEN(TRIM(G120))=0</formula>
    </cfRule>
  </conditionalFormatting>
  <conditionalFormatting sqref="D120:D123 B120:B131">
    <cfRule type="containsBlanks" dxfId="105" priority="214">
      <formula>LEN(TRIM(B120))=0</formula>
    </cfRule>
  </conditionalFormatting>
  <conditionalFormatting sqref="A124">
    <cfRule type="containsBlanks" dxfId="104" priority="211">
      <formula>LEN(TRIM(A124))=0</formula>
    </cfRule>
  </conditionalFormatting>
  <conditionalFormatting sqref="G124:H124 G126:H127 G125">
    <cfRule type="containsBlanks" dxfId="103" priority="212">
      <formula>LEN(TRIM(G124))=0</formula>
    </cfRule>
  </conditionalFormatting>
  <conditionalFormatting sqref="D124:D127">
    <cfRule type="containsBlanks" dxfId="102" priority="210">
      <formula>LEN(TRIM(D124))=0</formula>
    </cfRule>
  </conditionalFormatting>
  <conditionalFormatting sqref="A128">
    <cfRule type="containsBlanks" dxfId="101" priority="207">
      <formula>LEN(TRIM(A128))=0</formula>
    </cfRule>
  </conditionalFormatting>
  <conditionalFormatting sqref="G129:H131 G128">
    <cfRule type="containsBlanks" dxfId="100" priority="208">
      <formula>LEN(TRIM(G128))=0</formula>
    </cfRule>
  </conditionalFormatting>
  <conditionalFormatting sqref="D128:D131">
    <cfRule type="containsBlanks" dxfId="99" priority="206">
      <formula>LEN(TRIM(D128))=0</formula>
    </cfRule>
  </conditionalFormatting>
  <conditionalFormatting sqref="A132">
    <cfRule type="containsBlanks" dxfId="98" priority="203">
      <formula>LEN(TRIM(A132))=0</formula>
    </cfRule>
  </conditionalFormatting>
  <conditionalFormatting sqref="G132:H135">
    <cfRule type="containsBlanks" dxfId="97" priority="204">
      <formula>LEN(TRIM(G132))=0</formula>
    </cfRule>
  </conditionalFormatting>
  <conditionalFormatting sqref="B132:B135 D132:D135">
    <cfRule type="containsBlanks" dxfId="96" priority="202">
      <formula>LEN(TRIM(B132))=0</formula>
    </cfRule>
  </conditionalFormatting>
  <conditionalFormatting sqref="A136">
    <cfRule type="containsBlanks" dxfId="95" priority="199">
      <formula>LEN(TRIM(A136))=0</formula>
    </cfRule>
  </conditionalFormatting>
  <conditionalFormatting sqref="G136:H139">
    <cfRule type="containsBlanks" dxfId="94" priority="200">
      <formula>LEN(TRIM(G136))=0</formula>
    </cfRule>
  </conditionalFormatting>
  <conditionalFormatting sqref="B136:B139 D136:D139">
    <cfRule type="containsBlanks" dxfId="93" priority="198">
      <formula>LEN(TRIM(B136))=0</formula>
    </cfRule>
  </conditionalFormatting>
  <conditionalFormatting sqref="A140">
    <cfRule type="containsBlanks" dxfId="92" priority="195">
      <formula>LEN(TRIM(A140))=0</formula>
    </cfRule>
  </conditionalFormatting>
  <conditionalFormatting sqref="G143:H143 G140:G142">
    <cfRule type="containsBlanks" dxfId="91" priority="196">
      <formula>LEN(TRIM(G140))=0</formula>
    </cfRule>
  </conditionalFormatting>
  <conditionalFormatting sqref="A144">
    <cfRule type="containsBlanks" dxfId="90" priority="191">
      <formula>LEN(TRIM(A144))=0</formula>
    </cfRule>
  </conditionalFormatting>
  <conditionalFormatting sqref="G146:H147">
    <cfRule type="containsBlanks" dxfId="89" priority="192">
      <formula>LEN(TRIM(G146))=0</formula>
    </cfRule>
  </conditionalFormatting>
  <conditionalFormatting sqref="A148">
    <cfRule type="containsBlanks" dxfId="88" priority="187">
      <formula>LEN(TRIM(A148))=0</formula>
    </cfRule>
  </conditionalFormatting>
  <conditionalFormatting sqref="G150:H151">
    <cfRule type="containsBlanks" dxfId="87" priority="188">
      <formula>LEN(TRIM(G150))=0</formula>
    </cfRule>
  </conditionalFormatting>
  <conditionalFormatting sqref="A152">
    <cfRule type="containsBlanks" dxfId="86" priority="183">
      <formula>LEN(TRIM(A152))=0</formula>
    </cfRule>
  </conditionalFormatting>
  <conditionalFormatting sqref="G155:H155">
    <cfRule type="containsBlanks" dxfId="85" priority="184">
      <formula>LEN(TRIM(G155))=0</formula>
    </cfRule>
  </conditionalFormatting>
  <conditionalFormatting sqref="A156">
    <cfRule type="containsBlanks" dxfId="84" priority="179">
      <formula>LEN(TRIM(A156))=0</formula>
    </cfRule>
  </conditionalFormatting>
  <conditionalFormatting sqref="G158:H159">
    <cfRule type="containsBlanks" dxfId="83" priority="180">
      <formula>LEN(TRIM(G158))=0</formula>
    </cfRule>
  </conditionalFormatting>
  <conditionalFormatting sqref="G184:H187">
    <cfRule type="containsBlanks" dxfId="82" priority="148">
      <formula>LEN(TRIM(G184))=0</formula>
    </cfRule>
  </conditionalFormatting>
  <conditionalFormatting sqref="A160">
    <cfRule type="containsBlanks" dxfId="81" priority="175">
      <formula>LEN(TRIM(A160))=0</formula>
    </cfRule>
  </conditionalFormatting>
  <conditionalFormatting sqref="G163:H163">
    <cfRule type="containsBlanks" dxfId="80" priority="176">
      <formula>LEN(TRIM(G163))=0</formula>
    </cfRule>
  </conditionalFormatting>
  <conditionalFormatting sqref="A164">
    <cfRule type="containsBlanks" dxfId="79" priority="171">
      <formula>LEN(TRIM(A164))=0</formula>
    </cfRule>
  </conditionalFormatting>
  <conditionalFormatting sqref="G167:H167">
    <cfRule type="containsBlanks" dxfId="78" priority="172">
      <formula>LEN(TRIM(G167))=0</formula>
    </cfRule>
  </conditionalFormatting>
  <conditionalFormatting sqref="A184">
    <cfRule type="containsBlanks" dxfId="77" priority="147">
      <formula>LEN(TRIM(A184))=0</formula>
    </cfRule>
  </conditionalFormatting>
  <conditionalFormatting sqref="A168">
    <cfRule type="containsBlanks" dxfId="76" priority="167">
      <formula>LEN(TRIM(A168))=0</formula>
    </cfRule>
  </conditionalFormatting>
  <conditionalFormatting sqref="G171:H171">
    <cfRule type="containsBlanks" dxfId="75" priority="168">
      <formula>LEN(TRIM(G171))=0</formula>
    </cfRule>
  </conditionalFormatting>
  <conditionalFormatting sqref="A172">
    <cfRule type="containsBlanks" dxfId="74" priority="163">
      <formula>LEN(TRIM(A172))=0</formula>
    </cfRule>
  </conditionalFormatting>
  <conditionalFormatting sqref="G174:H175">
    <cfRule type="containsBlanks" dxfId="73" priority="164">
      <formula>LEN(TRIM(G174))=0</formula>
    </cfRule>
  </conditionalFormatting>
  <conditionalFormatting sqref="A176">
    <cfRule type="containsBlanks" dxfId="72" priority="159">
      <formula>LEN(TRIM(A176))=0</formula>
    </cfRule>
  </conditionalFormatting>
  <conditionalFormatting sqref="G178:H179">
    <cfRule type="containsBlanks" dxfId="71" priority="160">
      <formula>LEN(TRIM(G178))=0</formula>
    </cfRule>
  </conditionalFormatting>
  <conditionalFormatting sqref="G188:H191">
    <cfRule type="containsBlanks" dxfId="70" priority="144">
      <formula>LEN(TRIM(G188))=0</formula>
    </cfRule>
  </conditionalFormatting>
  <conditionalFormatting sqref="A180">
    <cfRule type="containsBlanks" dxfId="69" priority="155">
      <formula>LEN(TRIM(A180))=0</formula>
    </cfRule>
  </conditionalFormatting>
  <conditionalFormatting sqref="G183:H183">
    <cfRule type="containsBlanks" dxfId="68" priority="156">
      <formula>LEN(TRIM(G183))=0</formula>
    </cfRule>
  </conditionalFormatting>
  <conditionalFormatting sqref="A188">
    <cfRule type="containsBlanks" dxfId="67" priority="143">
      <formula>LEN(TRIM(A188))=0</formula>
    </cfRule>
  </conditionalFormatting>
  <conditionalFormatting sqref="A192">
    <cfRule type="containsBlanks" dxfId="66" priority="139">
      <formula>LEN(TRIM(A192))=0</formula>
    </cfRule>
  </conditionalFormatting>
  <conditionalFormatting sqref="A196">
    <cfRule type="containsBlanks" dxfId="65" priority="135">
      <formula>LEN(TRIM(A196))=0</formula>
    </cfRule>
  </conditionalFormatting>
  <conditionalFormatting sqref="G192:H195">
    <cfRule type="containsBlanks" dxfId="64" priority="140">
      <formula>LEN(TRIM(G192))=0</formula>
    </cfRule>
  </conditionalFormatting>
  <conditionalFormatting sqref="A200">
    <cfRule type="containsBlanks" dxfId="63" priority="131">
      <formula>LEN(TRIM(A200))=0</formula>
    </cfRule>
  </conditionalFormatting>
  <conditionalFormatting sqref="A204">
    <cfRule type="containsBlanks" dxfId="62" priority="127">
      <formula>LEN(TRIM(A204))=0</formula>
    </cfRule>
  </conditionalFormatting>
  <conditionalFormatting sqref="G204:H207">
    <cfRule type="containsBlanks" dxfId="61" priority="128">
      <formula>LEN(TRIM(G204))=0</formula>
    </cfRule>
  </conditionalFormatting>
  <conditionalFormatting sqref="A208">
    <cfRule type="containsBlanks" dxfId="60" priority="123">
      <formula>LEN(TRIM(A208))=0</formula>
    </cfRule>
  </conditionalFormatting>
  <conditionalFormatting sqref="C112:C115">
    <cfRule type="containsBlanks" dxfId="59" priority="68">
      <formula>LEN(TRIM(C112))=0</formula>
    </cfRule>
  </conditionalFormatting>
  <conditionalFormatting sqref="C116:C119">
    <cfRule type="containsBlanks" dxfId="58" priority="67">
      <formula>LEN(TRIM(C116))=0</formula>
    </cfRule>
  </conditionalFormatting>
  <conditionalFormatting sqref="C120:C123">
    <cfRule type="containsBlanks" dxfId="57" priority="66">
      <formula>LEN(TRIM(C120))=0</formula>
    </cfRule>
  </conditionalFormatting>
  <conditionalFormatting sqref="C124:C127">
    <cfRule type="containsBlanks" dxfId="56" priority="65">
      <formula>LEN(TRIM(C124))=0</formula>
    </cfRule>
  </conditionalFormatting>
  <conditionalFormatting sqref="C128:C131">
    <cfRule type="containsBlanks" dxfId="55" priority="64">
      <formula>LEN(TRIM(C128))=0</formula>
    </cfRule>
  </conditionalFormatting>
  <conditionalFormatting sqref="C136:C139">
    <cfRule type="containsBlanks" dxfId="54" priority="62">
      <formula>LEN(TRIM(C136))=0</formula>
    </cfRule>
  </conditionalFormatting>
  <conditionalFormatting sqref="C132:C135">
    <cfRule type="containsBlanks" dxfId="53" priority="60">
      <formula>LEN(TRIM(C132))=0</formula>
    </cfRule>
  </conditionalFormatting>
  <conditionalFormatting sqref="H112">
    <cfRule type="containsBlanks" dxfId="52" priority="51">
      <formula>LEN(TRIM(H112))=0</formula>
    </cfRule>
  </conditionalFormatting>
  <conditionalFormatting sqref="H114">
    <cfRule type="containsBlanks" dxfId="51" priority="50">
      <formula>LEN(TRIM(H114))=0</formula>
    </cfRule>
  </conditionalFormatting>
  <conditionalFormatting sqref="H116">
    <cfRule type="containsBlanks" dxfId="50" priority="49">
      <formula>LEN(TRIM(H116))=0</formula>
    </cfRule>
  </conditionalFormatting>
  <conditionalFormatting sqref="H117">
    <cfRule type="containsBlanks" dxfId="49" priority="48">
      <formula>LEN(TRIM(H117))=0</formula>
    </cfRule>
  </conditionalFormatting>
  <conditionalFormatting sqref="H120">
    <cfRule type="containsBlanks" dxfId="48" priority="47">
      <formula>LEN(TRIM(H120))=0</formula>
    </cfRule>
  </conditionalFormatting>
  <conditionalFormatting sqref="H121">
    <cfRule type="containsBlanks" dxfId="47" priority="46">
      <formula>LEN(TRIM(H121))=0</formula>
    </cfRule>
  </conditionalFormatting>
  <conditionalFormatting sqref="H125">
    <cfRule type="containsBlanks" dxfId="46" priority="45">
      <formula>LEN(TRIM(H125))=0</formula>
    </cfRule>
  </conditionalFormatting>
  <conditionalFormatting sqref="H128">
    <cfRule type="containsBlanks" dxfId="45" priority="44">
      <formula>LEN(TRIM(H128))=0</formula>
    </cfRule>
  </conditionalFormatting>
  <conditionalFormatting sqref="B144:D147">
    <cfRule type="containsBlanks" dxfId="44" priority="39">
      <formula>LEN(TRIM(B144))=0</formula>
    </cfRule>
  </conditionalFormatting>
  <conditionalFormatting sqref="H140">
    <cfRule type="containsBlanks" dxfId="43" priority="42">
      <formula>LEN(TRIM(H140))=0</formula>
    </cfRule>
  </conditionalFormatting>
  <conditionalFormatting sqref="H141">
    <cfRule type="containsBlanks" dxfId="42" priority="41">
      <formula>LEN(TRIM(H141))=0</formula>
    </cfRule>
  </conditionalFormatting>
  <conditionalFormatting sqref="H142">
    <cfRule type="containsBlanks" dxfId="41" priority="40">
      <formula>LEN(TRIM(H142))=0</formula>
    </cfRule>
  </conditionalFormatting>
  <conditionalFormatting sqref="J144:J145">
    <cfRule type="containsBlanks" dxfId="40" priority="38">
      <formula>LEN(TRIM(J144))=0</formula>
    </cfRule>
  </conditionalFormatting>
  <conditionalFormatting sqref="G144:H145">
    <cfRule type="containsBlanks" dxfId="39" priority="37">
      <formula>LEN(TRIM(G144))=0</formula>
    </cfRule>
  </conditionalFormatting>
  <conditionalFormatting sqref="B148:D151">
    <cfRule type="containsBlanks" dxfId="38" priority="36">
      <formula>LEN(TRIM(B148))=0</formula>
    </cfRule>
  </conditionalFormatting>
  <conditionalFormatting sqref="J148:J149">
    <cfRule type="containsBlanks" dxfId="37" priority="35">
      <formula>LEN(TRIM(J148))=0</formula>
    </cfRule>
  </conditionalFormatting>
  <conditionalFormatting sqref="G148:H149">
    <cfRule type="containsBlanks" dxfId="36" priority="34">
      <formula>LEN(TRIM(G148))=0</formula>
    </cfRule>
  </conditionalFormatting>
  <conditionalFormatting sqref="B152:D155">
    <cfRule type="containsBlanks" dxfId="35" priority="33">
      <formula>LEN(TRIM(B152))=0</formula>
    </cfRule>
  </conditionalFormatting>
  <conditionalFormatting sqref="G152:H154">
    <cfRule type="containsBlanks" dxfId="34" priority="32">
      <formula>LEN(TRIM(G152))=0</formula>
    </cfRule>
  </conditionalFormatting>
  <conditionalFormatting sqref="B208:D211">
    <cfRule type="containsBlanks" dxfId="33" priority="2">
      <formula>LEN(TRIM(B208))=0</formula>
    </cfRule>
  </conditionalFormatting>
  <conditionalFormatting sqref="B156:D159">
    <cfRule type="containsBlanks" dxfId="32" priority="30">
      <formula>LEN(TRIM(B156))=0</formula>
    </cfRule>
  </conditionalFormatting>
  <conditionalFormatting sqref="J156:J157">
    <cfRule type="containsBlanks" dxfId="31" priority="29">
      <formula>LEN(TRIM(J156))=0</formula>
    </cfRule>
  </conditionalFormatting>
  <conditionalFormatting sqref="G156:H157">
    <cfRule type="containsBlanks" dxfId="30" priority="28">
      <formula>LEN(TRIM(G156))=0</formula>
    </cfRule>
  </conditionalFormatting>
  <conditionalFormatting sqref="B160:D163">
    <cfRule type="containsBlanks" dxfId="29" priority="27">
      <formula>LEN(TRIM(B160))=0</formula>
    </cfRule>
  </conditionalFormatting>
  <conditionalFormatting sqref="J160:J162">
    <cfRule type="containsBlanks" dxfId="28" priority="26">
      <formula>LEN(TRIM(J160))=0</formula>
    </cfRule>
  </conditionalFormatting>
  <conditionalFormatting sqref="G160:H162">
    <cfRule type="containsBlanks" dxfId="27" priority="25">
      <formula>LEN(TRIM(G160))=0</formula>
    </cfRule>
  </conditionalFormatting>
  <conditionalFormatting sqref="B164:D167">
    <cfRule type="containsBlanks" dxfId="26" priority="24">
      <formula>LEN(TRIM(B164))=0</formula>
    </cfRule>
  </conditionalFormatting>
  <conditionalFormatting sqref="J164:J166">
    <cfRule type="containsBlanks" dxfId="25" priority="23">
      <formula>LEN(TRIM(J164))=0</formula>
    </cfRule>
  </conditionalFormatting>
  <conditionalFormatting sqref="G164:H166">
    <cfRule type="containsBlanks" dxfId="24" priority="22">
      <formula>LEN(TRIM(G164))=0</formula>
    </cfRule>
  </conditionalFormatting>
  <conditionalFormatting sqref="B168:D171">
    <cfRule type="containsBlanks" dxfId="23" priority="21">
      <formula>LEN(TRIM(B168))=0</formula>
    </cfRule>
  </conditionalFormatting>
  <conditionalFormatting sqref="J168:J170">
    <cfRule type="containsBlanks" dxfId="22" priority="20">
      <formula>LEN(TRIM(J168))=0</formula>
    </cfRule>
  </conditionalFormatting>
  <conditionalFormatting sqref="G168:H170">
    <cfRule type="containsBlanks" dxfId="21" priority="19">
      <formula>LEN(TRIM(G168))=0</formula>
    </cfRule>
  </conditionalFormatting>
  <conditionalFormatting sqref="B172:D175">
    <cfRule type="containsBlanks" dxfId="20" priority="18">
      <formula>LEN(TRIM(B172))=0</formula>
    </cfRule>
  </conditionalFormatting>
  <conditionalFormatting sqref="J172:J173">
    <cfRule type="containsBlanks" dxfId="19" priority="17">
      <formula>LEN(TRIM(J172))=0</formula>
    </cfRule>
  </conditionalFormatting>
  <conditionalFormatting sqref="G172:H173">
    <cfRule type="containsBlanks" dxfId="18" priority="16">
      <formula>LEN(TRIM(G172))=0</formula>
    </cfRule>
  </conditionalFormatting>
  <conditionalFormatting sqref="B176:D179">
    <cfRule type="containsBlanks" dxfId="17" priority="15">
      <formula>LEN(TRIM(B176))=0</formula>
    </cfRule>
  </conditionalFormatting>
  <conditionalFormatting sqref="J176:J177">
    <cfRule type="containsBlanks" dxfId="16" priority="14">
      <formula>LEN(TRIM(J176))=0</formula>
    </cfRule>
  </conditionalFormatting>
  <conditionalFormatting sqref="G176:H177">
    <cfRule type="containsBlanks" dxfId="15" priority="13">
      <formula>LEN(TRIM(G176))=0</formula>
    </cfRule>
  </conditionalFormatting>
  <conditionalFormatting sqref="B180:D183">
    <cfRule type="containsBlanks" dxfId="14" priority="12">
      <formula>LEN(TRIM(B180))=0</formula>
    </cfRule>
  </conditionalFormatting>
  <conditionalFormatting sqref="G180:H182">
    <cfRule type="containsBlanks" dxfId="13" priority="11">
      <formula>LEN(TRIM(G180))=0</formula>
    </cfRule>
  </conditionalFormatting>
  <conditionalFormatting sqref="B184:D187">
    <cfRule type="containsBlanks" dxfId="12" priority="8">
      <formula>LEN(TRIM(B184))=0</formula>
    </cfRule>
  </conditionalFormatting>
  <conditionalFormatting sqref="B188:D191">
    <cfRule type="containsBlanks" dxfId="11" priority="7">
      <formula>LEN(TRIM(B188))=0</formula>
    </cfRule>
  </conditionalFormatting>
  <conditionalFormatting sqref="B192:D195">
    <cfRule type="containsBlanks" dxfId="10" priority="6">
      <formula>LEN(TRIM(B192))=0</formula>
    </cfRule>
  </conditionalFormatting>
  <conditionalFormatting sqref="B196:D199">
    <cfRule type="containsBlanks" dxfId="9" priority="5">
      <formula>LEN(TRIM(B196))=0</formula>
    </cfRule>
  </conditionalFormatting>
  <conditionalFormatting sqref="B200:D203">
    <cfRule type="containsBlanks" dxfId="8" priority="4">
      <formula>LEN(TRIM(B200))=0</formula>
    </cfRule>
  </conditionalFormatting>
  <conditionalFormatting sqref="B204:D207">
    <cfRule type="containsBlanks" dxfId="7" priority="3">
      <formula>LEN(TRIM(B204))=0</formula>
    </cfRule>
  </conditionalFormatting>
  <conditionalFormatting sqref="P15:P211">
    <cfRule type="dataBar" priority="264">
      <dataBar>
        <cfvo type="min"/>
        <cfvo type="max"/>
        <color rgb="FFC2D2E8"/>
      </dataBar>
      <extLst>
        <ext xmlns:x14="http://schemas.microsoft.com/office/spreadsheetml/2009/9/main" uri="{B025F937-C7B1-47D3-B67F-A62EFF666E3E}">
          <x14:id>{E794E64C-0DD6-4E2C-809B-A734ACD298C4}</x14:id>
        </ext>
      </extLst>
    </cfRule>
  </conditionalFormatting>
  <conditionalFormatting sqref="H200">
    <cfRule type="containsBlanks" dxfId="6" priority="1">
      <formula>LEN(TRIM(H200))=0</formula>
    </cfRule>
  </conditionalFormatting>
  <pageMargins left="0.25" right="0.25" top="0.75" bottom="0.75" header="0.3" footer="0.3"/>
  <pageSetup paperSize="5" scale="46" orientation="landscape" horizontalDpi="300" verticalDpi="300" r:id="rId1"/>
  <rowBreaks count="1" manualBreakCount="1">
    <brk id="31" max="16383" man="1"/>
  </rowBreaks>
  <legacyDrawing r:id="rId2"/>
  <extLst>
    <ext xmlns:x14="http://schemas.microsoft.com/office/spreadsheetml/2009/9/main" uri="{78C0D931-6437-407d-A8EE-F0AAD7539E65}">
      <x14:conditionalFormattings>
        <x14:conditionalFormatting xmlns:xm="http://schemas.microsoft.com/office/excel/2006/main">
          <x14:cfRule type="dataBar" id="{78FE70EB-29C8-4A95-AF43-7AFB350E58FC}">
            <x14:dataBar minLength="0" maxLength="100" gradient="0">
              <x14:cfvo type="autoMin"/>
              <x14:cfvo type="autoMax"/>
              <x14:negativeFillColor rgb="FFFF0000"/>
              <x14:axisColor rgb="FF000000"/>
            </x14:dataBar>
          </x14:cfRule>
          <xm:sqref>P5:P6 P8:P9</xm:sqref>
        </x14:conditionalFormatting>
        <x14:conditionalFormatting xmlns:xm="http://schemas.microsoft.com/office/excel/2006/main">
          <x14:cfRule type="dataBar" id="{B7EEED83-DB06-4690-8B7B-F437D341254C}">
            <x14:dataBar minLength="0" maxLength="100" gradient="0">
              <x14:cfvo type="autoMin"/>
              <x14:cfvo type="autoMax"/>
              <x14:negativeFillColor rgb="FFFF0000"/>
              <x14:axisColor rgb="FF000000"/>
            </x14:dataBar>
          </x14:cfRule>
          <xm:sqref>P10:P11 P14</xm:sqref>
        </x14:conditionalFormatting>
        <x14:conditionalFormatting xmlns:xm="http://schemas.microsoft.com/office/excel/2006/main">
          <x14:cfRule type="dataBar" id="{E794E64C-0DD6-4E2C-809B-A734ACD298C4}">
            <x14:dataBar minLength="0" maxLength="100" gradient="0">
              <x14:cfvo type="autoMin"/>
              <x14:cfvo type="autoMax"/>
              <x14:negativeFillColor rgb="FFFF0000"/>
              <x14:axisColor rgb="FF000000"/>
            </x14:dataBar>
          </x14:cfRule>
          <xm:sqref>P15:P211</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xr:uid="{00000000-0002-0000-0000-000001000000}">
          <x14:formula1>
            <xm:f>Unidades!$C$2:$C$14</xm:f>
          </x14:formula1>
          <xm:sqref>F5:F71</xm:sqref>
        </x14:dataValidation>
        <x14:dataValidation type="list" allowBlank="1" showInputMessage="1" xr:uid="{00000000-0002-0000-0000-000002000000}">
          <x14:formula1>
            <xm:f>Unidades!$B$2:$B$14</xm:f>
          </x14:formula1>
          <xm:sqref>E5:E71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D11" sqref="D11"/>
    </sheetView>
  </sheetViews>
  <sheetFormatPr defaultColWidth="11.42578125" defaultRowHeight="15"/>
  <cols>
    <col min="1" max="1" width="24.42578125" customWidth="1"/>
    <col min="2" max="2" width="19.85546875" style="1" customWidth="1"/>
    <col min="3" max="3" width="14.7109375" customWidth="1"/>
  </cols>
  <sheetData>
    <row r="1" spans="1:3" ht="15.75">
      <c r="A1" s="6" t="s">
        <v>208</v>
      </c>
      <c r="B1" s="7" t="s">
        <v>209</v>
      </c>
      <c r="C1" s="8" t="s">
        <v>210</v>
      </c>
    </row>
    <row r="2" spans="1:3">
      <c r="A2" s="3" t="s">
        <v>211</v>
      </c>
      <c r="B2" s="2" t="s">
        <v>212</v>
      </c>
      <c r="C2" s="5" t="s">
        <v>213</v>
      </c>
    </row>
    <row r="3" spans="1:3">
      <c r="A3" s="3" t="s">
        <v>214</v>
      </c>
      <c r="B3" s="2" t="s">
        <v>215</v>
      </c>
      <c r="C3" s="5" t="s">
        <v>28</v>
      </c>
    </row>
    <row r="4" spans="1:3">
      <c r="A4" s="3" t="s">
        <v>214</v>
      </c>
      <c r="B4" s="2" t="s">
        <v>215</v>
      </c>
      <c r="C4" s="5" t="s">
        <v>216</v>
      </c>
    </row>
    <row r="5" spans="1:3">
      <c r="A5" s="3" t="s">
        <v>217</v>
      </c>
      <c r="B5" s="2" t="s">
        <v>218</v>
      </c>
      <c r="C5" s="5" t="s">
        <v>46</v>
      </c>
    </row>
    <row r="6" spans="1:3">
      <c r="A6" s="3" t="s">
        <v>219</v>
      </c>
      <c r="B6" s="2" t="s">
        <v>220</v>
      </c>
      <c r="C6" s="5" t="s">
        <v>221</v>
      </c>
    </row>
    <row r="7" spans="1:3">
      <c r="A7" s="3" t="s">
        <v>222</v>
      </c>
      <c r="B7" s="2" t="s">
        <v>51</v>
      </c>
      <c r="C7" s="5" t="s">
        <v>223</v>
      </c>
    </row>
    <row r="8" spans="1:3">
      <c r="A8" s="3" t="s">
        <v>224</v>
      </c>
      <c r="B8" s="2" t="s">
        <v>225</v>
      </c>
      <c r="C8" s="5" t="s">
        <v>226</v>
      </c>
    </row>
    <row r="9" spans="1:3">
      <c r="A9" s="3" t="s">
        <v>227</v>
      </c>
      <c r="B9" s="2" t="s">
        <v>228</v>
      </c>
      <c r="C9" s="5" t="s">
        <v>229</v>
      </c>
    </row>
    <row r="10" spans="1:3">
      <c r="A10" s="3" t="s">
        <v>230</v>
      </c>
      <c r="B10" s="2" t="s">
        <v>231</v>
      </c>
      <c r="C10" s="5" t="s">
        <v>232</v>
      </c>
    </row>
    <row r="11" spans="1:3">
      <c r="A11" s="3" t="s">
        <v>233</v>
      </c>
      <c r="B11" s="2" t="s">
        <v>234</v>
      </c>
      <c r="C11" s="4" t="s">
        <v>235</v>
      </c>
    </row>
    <row r="12" spans="1:3">
      <c r="A12" s="3" t="s">
        <v>236</v>
      </c>
      <c r="B12" s="2" t="s">
        <v>27</v>
      </c>
      <c r="C12" s="5" t="s">
        <v>33</v>
      </c>
    </row>
    <row r="13" spans="1:3">
      <c r="A13" s="9" t="s">
        <v>237</v>
      </c>
      <c r="B13" s="10" t="s">
        <v>238</v>
      </c>
      <c r="C13" s="11"/>
    </row>
    <row r="14" spans="1:3">
      <c r="A14" s="9" t="s">
        <v>239</v>
      </c>
      <c r="B14" s="12" t="s">
        <v>240</v>
      </c>
      <c r="C14" s="1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968FE0DC13954DA5A0FBD1AD794EF2" ma:contentTypeVersion="20" ma:contentTypeDescription="Create a new document." ma:contentTypeScope="" ma:versionID="1befc081318a934cf409d13c63dd8887">
  <xsd:schema xmlns:xsd="http://www.w3.org/2001/XMLSchema" xmlns:xs="http://www.w3.org/2001/XMLSchema" xmlns:p="http://schemas.microsoft.com/office/2006/metadata/properties" xmlns:ns1="http://schemas.microsoft.com/sharepoint/v3" xmlns:ns3="dcd6d6d9-f942-4cf3-a5b7-07649588b857" xmlns:ns4="7745f328-ce30-4dfa-99e5-0d60fe876ac1" targetNamespace="http://schemas.microsoft.com/office/2006/metadata/properties" ma:root="true" ma:fieldsID="8c6524e188340d734454a47af39aa606" ns1:_="" ns3:_="" ns4:_="">
    <xsd:import namespace="http://schemas.microsoft.com/sharepoint/v3"/>
    <xsd:import namespace="dcd6d6d9-f942-4cf3-a5b7-07649588b857"/>
    <xsd:import namespace="7745f328-ce30-4dfa-99e5-0d60fe876ac1"/>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element ref="ns3:_activity" minOccurs="0"/>
                <xsd:element ref="ns3:MediaServiceObjectDetectorVersions" minOccurs="0"/>
                <xsd:element ref="ns1:_ip_UnifiedCompliancePolicyProperties" minOccurs="0"/>
                <xsd:element ref="ns1:_ip_UnifiedCompliancePolicyUIActio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d6d6d9-f942-4cf3-a5b7-07649588b8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SystemTags" ma:index="27"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45f328-ce30-4dfa-99e5-0d60fe876ac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745f328-ce30-4dfa-99e5-0d60fe876ac1">
      <UserInfo>
        <DisplayName>Elkin Antonio Zuleta Montoya</DisplayName>
        <AccountId>25</AccountId>
        <AccountType/>
      </UserInfo>
    </SharedWithUsers>
    <_ip_UnifiedCompliancePolicyUIAction xmlns="http://schemas.microsoft.com/sharepoint/v3" xsi:nil="true"/>
    <_ip_UnifiedCompliancePolicyProperties xmlns="http://schemas.microsoft.com/sharepoint/v3" xsi:nil="true"/>
    <_activity xmlns="dcd6d6d9-f942-4cf3-a5b7-07649588b857" xsi:nil="true"/>
  </documentManagement>
</p:properties>
</file>

<file path=customXml/itemProps1.xml><?xml version="1.0" encoding="utf-8"?>
<ds:datastoreItem xmlns:ds="http://schemas.openxmlformats.org/officeDocument/2006/customXml" ds:itemID="{66A14235-3B2C-4567-826F-05787F2707A6}"/>
</file>

<file path=customXml/itemProps2.xml><?xml version="1.0" encoding="utf-8"?>
<ds:datastoreItem xmlns:ds="http://schemas.openxmlformats.org/officeDocument/2006/customXml" ds:itemID="{AF5433A4-F585-4065-ADFC-37617096EAF7}"/>
</file>

<file path=customXml/itemProps3.xml><?xml version="1.0" encoding="utf-8"?>
<ds:datastoreItem xmlns:ds="http://schemas.openxmlformats.org/officeDocument/2006/customXml" ds:itemID="{C0B80087-A753-48A1-959E-CC7C21328C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lacpaservicios</dc:creator>
  <cp:keywords/>
  <dc:description/>
  <cp:lastModifiedBy>Fredy Alexander Calderon</cp:lastModifiedBy>
  <cp:revision/>
  <dcterms:created xsi:type="dcterms:W3CDTF">2021-02-26T19:30:04Z</dcterms:created>
  <dcterms:modified xsi:type="dcterms:W3CDTF">2026-04-13T01:53:40Z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2023-03-30T15:29:51Z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d4ebc437-555a-421a-9565-e2afc3947b9e</vt:lpwstr>
  </property>
  <property fmtid="{D5CDD505-2E9C-101B-9397-08002B2CF9AE}" pid="8" name="MSIP_Label_1299739c-ad3d-4908-806e-4d91151a6e13_ContentBits">
    <vt:lpwstr>0</vt:lpwstr>
  </property>
  <property fmtid="{D5CDD505-2E9C-101B-9397-08002B2CF9AE}" pid="9" name="ContentTypeId">
    <vt:lpwstr>0x010100BC968FE0DC13954DA5A0FBD1AD794EF2</vt:lpwstr>
  </property>
  <property fmtid="{D5CDD505-2E9C-101B-9397-08002B2CF9AE}" pid="10" name="MediaServiceImageTags">
    <vt:lpwstr/>
  </property>
</Properties>
</file>