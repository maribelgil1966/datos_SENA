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C:\Users\USUARIO\Desktop\COMPRA DE  MATERIALES 2026\"/>
    </mc:Choice>
  </mc:AlternateContent>
  <xr:revisionPtr revIDLastSave="0" documentId="11_3C08FABEC27EA381905EFE205EA436C9B711E84A" xr6:coauthVersionLast="47" xr6:coauthVersionMax="47" xr10:uidLastSave="{00000000-0000-0000-0000-000000000000}"/>
  <bookViews>
    <workbookView xWindow="0" yWindow="0" windowWidth="20490" windowHeight="7050" xr2:uid="{00000000-000D-0000-FFFF-FFFF00000000}"/>
  </bookViews>
  <sheets>
    <sheet name="Equipos y herra - AGROINDUSTRIA" sheetId="1" r:id="rId1"/>
  </sheets>
  <externalReferences>
    <externalReference r:id="rId2"/>
    <externalReference r:id="rId3"/>
  </externalReferences>
  <definedNames>
    <definedName name="BOLIVAR" comment="REGIONAL BOLIVAR">'[1]datos 2'!$H$2:$H$6+'[1]datos 2'!$I$2:$I$5+'[1]datos 2'!$H$2:$H$6</definedName>
    <definedName name="Presentacion" localSheetId="0">[2]!Tabla1[Prsentación]</definedName>
    <definedName name="Presentacion">#REF!</definedName>
    <definedName name="REG">#REF!</definedName>
    <definedName name="REGIONALES">'[1]datos 2'!$C$2:$C$35</definedName>
    <definedName name="Simbolos" localSheetId="0">[2]!Tabla1[Simbololo   Unidad]</definedName>
    <definedName name="Simbol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1" l="1"/>
  <c r="I19" i="1"/>
  <c r="I18" i="1"/>
  <c r="I17" i="1"/>
  <c r="I16" i="1"/>
  <c r="I15" i="1"/>
  <c r="H81" i="1" l="1"/>
  <c r="I14" i="1"/>
  <c r="I13" i="1"/>
  <c r="I12" i="1"/>
  <c r="I11" i="1"/>
  <c r="I10" i="1"/>
  <c r="I9" i="1"/>
  <c r="I8" i="1"/>
  <c r="I81" i="1" l="1"/>
</calcChain>
</file>

<file path=xl/sharedStrings.xml><?xml version="1.0" encoding="utf-8"?>
<sst xmlns="http://schemas.openxmlformats.org/spreadsheetml/2006/main" count="73" uniqueCount="49">
  <si>
    <t xml:space="preserve">
FORMATO PRE-COTIZACIONES
CENTRO DEL DISEÑO Y MANUFACTURA DEL CUERO
EQUIPOS Y HERRAMIENTAS - AGROINDUSTRIA
</t>
  </si>
  <si>
    <t>Nombre de la empresa</t>
  </si>
  <si>
    <t>NIT:</t>
  </si>
  <si>
    <t>Nombre de contacto</t>
  </si>
  <si>
    <t>Numero de contacto</t>
  </si>
  <si>
    <t>Correo electrónico</t>
  </si>
  <si>
    <t>Fecha de cotización</t>
  </si>
  <si>
    <t>Relación de elementos requeridos</t>
  </si>
  <si>
    <t xml:space="preserve">Ítem </t>
  </si>
  <si>
    <t>Código UNSPSC</t>
  </si>
  <si>
    <t>Producto</t>
  </si>
  <si>
    <t>Descripción</t>
  </si>
  <si>
    <t xml:space="preserve">Unidad de medida </t>
  </si>
  <si>
    <t>Presentación</t>
  </si>
  <si>
    <t>CANTIDAD</t>
  </si>
  <si>
    <t xml:space="preserve">Valor unitario con IVA incluido </t>
  </si>
  <si>
    <t xml:space="preserve">Valor total con IVA incluido </t>
  </si>
  <si>
    <t xml:space="preserve">Estufa Electrica Portatil Practica 2 Puestos 1500w-2000w </t>
  </si>
  <si>
    <t>Estufa eléctrica portátil, 2 puestos eléctricos que permiten cocinar varios alimentos al mismo tiempo. Cuenta con dos placas de hierro fundido de que calientan de manera uniforme, ideales para preparar diferentes platos al mismo tiempo. Los controles independientes de temperatura y las luces indicadoras brindan una experiencia segura y práctica, mientras que su superficie antiadherente facilita la limpieza después de cada uso.
Cantidad de discos eléctricos: 2
Tipo de alimentación: Corriente doméstica
Voltaje: 110V
Potencia nominal: 1.5-2.0 kW.
Para cualquier tipo de material</t>
  </si>
  <si>
    <t>N.A</t>
  </si>
  <si>
    <t>Unidad</t>
  </si>
  <si>
    <t xml:space="preserve">Olla mezcladora eléctrica de 7 litros </t>
  </si>
  <si>
    <t>Control preciso de la velocidad, mayor rendimiento con menos esfuerzo - Ajuste de la velocidad - Bandeja de aluminio con acabado pintado
Palas de silicona y acero inoxidable
Práctica y funcional, cocción rápida y uniforme 
Carcasa de acero inoxidable duradera y fácil de limpiar  
Compatible con fogones a gas y eléctricos. 
Voltaje:110v
Motor: mínimo 65 W 
Frecuencia: 50/60 Hz
Potencia nominal: mínima 65 W
Consumo: 0,5 Kw/h 
Velocidad máxima del producto: 54 RPM
Usos: preparación de salsas y/o mermeladas</t>
  </si>
  <si>
    <t>Horno Microondas</t>
  </si>
  <si>
    <t>•	Voltaje: 110V.
•	Potencia de 1 kW.
•	Potencia de grill de 1.15 kW.
•	Niveles de potencia: 10
•	Display digital.
•	Dimensiones: 51.4cm de ancho, 30.6cm de alto, 43.6cm de profundidad.
•	Incluye accesorio.
•	Con descongelamento automático por peso.
•	Contiene luz interior.
•	Capacidad en volumen: 31 L
•	Frecuencia eléctrica: 60 Hz
•	Con plato giratorio: Si
•	Accesorios incluidos: Soporte para grill</t>
  </si>
  <si>
    <t xml:space="preserve">Nevera Portátil Con Ruedas Capacidad 57 Litros </t>
  </si>
  <si>
    <t>Nevera Portátil Con Ruedas Capacidad 57 Litros
Aislamiento TempLock que conserva el frío por más tiempo, requerida para mantener alimentos frescos. 
Capacidad volumétrica: 57 L
Diseño con ruedas y mango retráctil.
Fabricada en poliuretano duradero con interior fácil de limpiar
Con sistema eléctrico: No
Tipo de producto: Nevera</t>
  </si>
  <si>
    <t>Refractómetro Digital, °Brix</t>
  </si>
  <si>
    <t xml:space="preserve">Refractómetro Digital, Medidor de Brix con Compensación Automática de Temperatura, Rango de Refractómetro Brix 0-55%, 
Precisión ±0.1% para Jugos de Fruta, pulpas, mermeladas
Con estuche </t>
  </si>
  <si>
    <t>rebordeadora  1/4</t>
  </si>
  <si>
    <t>herramienta compacta y potente de 
-530w -560 W  diseñada para acabados en madera, recortes de laminados y perfilado. Ofrece alta velocidad (hasta 35.000 rpm  
), base transparente para visibilidad, ajuste de profundidad preciso por piñón y cremallera, y un diseño ergonómico de 1.5 kg</t>
  </si>
  <si>
    <t>juego de fresas para madera</t>
  </si>
  <si>
    <t>incluye 24  unidades,fresas de ranura (rectas), fresa de copia (copiadora),  de cola de milano, de ranura en V,  de perfil hueco, fresas de borde con rodamiento,  de perfil hueco con rodamiento de bolas, fresa de chaflán y  fresa de perfil de marco  Carburo de Tungsteno (HM) de alta calidad, que garantiza cortes limpios y una larga vida útil</t>
  </si>
  <si>
    <t xml:space="preserve">lijadora de palma </t>
  </si>
  <si>
    <t>herramienta eléctrica  compacta y ergonómica diseñada para acabados finos en madera, metal y plástico. Cuenta con motores robustos (generalmente 
), altas velocidades (aprox. 
), sistemas de extracción de polvo, base cuadrada para lija de 
 de pliego y diseño antivibración para uso continuo</t>
  </si>
  <si>
    <t>cepillo electrico</t>
  </si>
  <si>
    <t>herramienta de carpintería esencial, diseñada para alisar, rebajar, biselar y reducir el espesor de piezas de madera de forma rápida y uniforme. Utiliza un motor de alta velocidad (aprox. 16,000 RPM) que acciona un tambor con cuchillas afiladas, logrando acabados precisos, ideales para ajustar puertas, marcos y superficies</t>
  </si>
  <si>
    <t xml:space="preserve">juego de formones </t>
  </si>
  <si>
    <t>conjunto de herramientas manuales esenciales en carpintería y ebanistería, diseñadas para cortar, tallar, vaciar, ajustar ensambles y desbastar madera. Compuestos por una hoja de acero endurecido y mangos ergonómicos (plástico o madera), suelen venir en medidas variadas (comúnmente 6mm a 25mm) para cortes precisos y rectos</t>
  </si>
  <si>
    <t xml:space="preserve">serrucho de costilla  fino </t>
  </si>
  <si>
    <t>herramienta de carpintería diseñada para cortes precisos, rectos y acabados finos, caracterizado por una hoja rígida y estrecha reforzada en el lomo superior. Ideal para cajas de ingletes, ebanistería y uniones, suele tener de 10 a 14 pulgadas (25-35 cm), alta densidad de dientes por pulgada (generalmente 9-12 DPP) y a menudo corta en ambos sentidos (ida y vuelta)</t>
  </si>
  <si>
    <t>serrucho japones pequeño</t>
  </si>
  <si>
    <t xml:space="preserve"> serruchos japoneses pequeños (tipo Dozuki o Ryoba miniatura) son herramientas de precisión con hojas de acero muy finas y flexibles que cortan al tirar, permitiendo cortes extremadamente finos (
 mm), limpios y precisos. Ideales para ebanistería, ensambles, colas de milano y cortes al ras, eliminando poca madera y requiriendo menos esfuerzo  Para corte longitudinal y transversal, longitud de la hoja: 6"(150mm), espesor de la hoja: 0.016"(0.4mm), TPI: H:17(1.5mm) S:20(1.25mm), ancho de la ranura: 0.02"(0.55mm), longitud total: 12.4"(31.5cm)</t>
  </si>
  <si>
    <t xml:space="preserve">Máquina de Corte y Grabado Láser de escritorio  </t>
  </si>
  <si>
    <t>Máquina de Grabado Láser de Caja, Tamaño de Cama 300x300mm Máquina de Grabado CNC de Alta Precisión de 0.01mm para Madera Acero Inoxidable Vidrio 0.01 mm de compresión ultrafina con enfoque fijo  La máquina de grabado láser ofrece alta eficiencia con una velocidad de 20,000 mm/min.  20 w</t>
  </si>
  <si>
    <t>TOTAL</t>
  </si>
  <si>
    <t>Firma: _____________________________</t>
  </si>
  <si>
    <t>Nombre del Representante Legal: ________________________________</t>
  </si>
  <si>
    <t>C. C. Nº ___________________________ de_______________________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</si>
</sst>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 #,##0.00_-;\-&quot;$&quot;\ * #,##0.00_-;_-&quot;$&quot;\ * &quot;-&quot;??_-;_-@_-"/>
  </numFmts>
  <fonts count="13">
    <font>
      <sz val="11"/>
      <color theme="1"/>
      <name val="Aptos Narrow"/>
      <family val="2"/>
      <scheme val="minor"/>
    </font>
    <font>
      <sz val="11"/>
      <color theme="1"/>
      <name val="Aptos Narrow"/>
      <family val="2"/>
      <scheme val="minor"/>
    </font>
    <font>
      <b/>
      <sz val="11"/>
      <color theme="1"/>
      <name val="Aptos Narrow"/>
      <family val="2"/>
      <scheme val="minor"/>
    </font>
    <font>
      <b/>
      <i/>
      <sz val="11"/>
      <color theme="1"/>
      <name val="Aptos Narrow"/>
      <family val="2"/>
      <scheme val="minor"/>
    </font>
    <font>
      <b/>
      <sz val="10"/>
      <color theme="1"/>
      <name val="Arial"/>
      <family val="2"/>
    </font>
    <font>
      <sz val="10"/>
      <color rgb="FF000000"/>
      <name val="Aptos Narrow"/>
      <scheme val="minor"/>
    </font>
    <font>
      <b/>
      <sz val="10"/>
      <name val="Aptos Narrow"/>
      <family val="2"/>
      <scheme val="minor"/>
    </font>
    <font>
      <sz val="10"/>
      <color theme="1"/>
      <name val="Calibri"/>
      <family val="2"/>
    </font>
    <font>
      <sz val="10"/>
      <color theme="1"/>
      <name val="Arial"/>
      <family val="2"/>
    </font>
    <font>
      <sz val="10"/>
      <color theme="1"/>
      <name val="Aptos Narrow"/>
      <family val="2"/>
      <scheme val="minor"/>
    </font>
    <font>
      <b/>
      <sz val="11"/>
      <color theme="1"/>
      <name val="Arial"/>
      <family val="2"/>
    </font>
    <font>
      <sz val="11"/>
      <color theme="1"/>
      <name val="Arial"/>
      <family val="2"/>
    </font>
    <font>
      <sz val="12"/>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164" fontId="1" fillId="0" borderId="0" applyFont="0" applyFill="0" applyBorder="0" applyAlignment="0" applyProtection="0"/>
    <xf numFmtId="0" fontId="1" fillId="0" borderId="0"/>
    <xf numFmtId="0" fontId="1" fillId="0" borderId="0"/>
    <xf numFmtId="0" fontId="5" fillId="0" borderId="0"/>
  </cellStyleXfs>
  <cellXfs count="33">
    <xf numFmtId="0" fontId="0" fillId="0" borderId="0" xfId="0"/>
    <xf numFmtId="0" fontId="1" fillId="2" borderId="0" xfId="3" applyFill="1" applyAlignment="1">
      <alignment vertical="center"/>
    </xf>
    <xf numFmtId="0" fontId="4" fillId="3" borderId="1" xfId="3" applyFont="1" applyFill="1" applyBorder="1" applyAlignment="1">
      <alignment horizontal="center" vertical="center" wrapText="1"/>
    </xf>
    <xf numFmtId="0" fontId="6" fillId="3" borderId="1" xfId="4"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2" borderId="1" xfId="3" applyFont="1" applyFill="1" applyBorder="1" applyAlignment="1">
      <alignment vertical="center" wrapText="1"/>
    </xf>
    <xf numFmtId="0" fontId="7" fillId="2" borderId="1" xfId="3" applyFont="1" applyFill="1" applyBorder="1" applyAlignment="1">
      <alignment horizontal="center" vertical="center"/>
    </xf>
    <xf numFmtId="0" fontId="8" fillId="2" borderId="1" xfId="3" applyFont="1" applyFill="1" applyBorder="1" applyAlignment="1">
      <alignment horizontal="center" vertical="center" wrapText="1"/>
    </xf>
    <xf numFmtId="164" fontId="8" fillId="2" borderId="1" xfId="1" applyFont="1" applyFill="1" applyBorder="1" applyAlignment="1">
      <alignment horizontal="center" vertical="center" wrapText="1"/>
    </xf>
    <xf numFmtId="164" fontId="9" fillId="2" borderId="1" xfId="3" applyNumberFormat="1" applyFont="1" applyFill="1" applyBorder="1" applyAlignment="1">
      <alignment vertical="center"/>
    </xf>
    <xf numFmtId="0" fontId="7" fillId="2" borderId="1" xfId="3" applyFont="1" applyFill="1" applyBorder="1" applyAlignment="1">
      <alignment vertical="center" wrapText="1"/>
    </xf>
    <xf numFmtId="0" fontId="8" fillId="2" borderId="1" xfId="3" applyFont="1" applyFill="1" applyBorder="1" applyAlignment="1">
      <alignment wrapText="1"/>
    </xf>
    <xf numFmtId="164" fontId="10" fillId="3" borderId="1" xfId="3" applyNumberFormat="1" applyFont="1" applyFill="1" applyBorder="1" applyAlignment="1">
      <alignment vertical="center"/>
    </xf>
    <xf numFmtId="0" fontId="11" fillId="2" borderId="0" xfId="3" applyFont="1" applyFill="1" applyAlignment="1">
      <alignment vertical="center"/>
    </xf>
    <xf numFmtId="0" fontId="8" fillId="2" borderId="0" xfId="3" applyFont="1" applyFill="1" applyAlignment="1">
      <alignment vertical="center" wrapText="1"/>
    </xf>
    <xf numFmtId="0" fontId="8" fillId="2" borderId="0" xfId="3" applyFont="1" applyFill="1" applyAlignment="1">
      <alignment horizontal="center" vertical="center" wrapText="1"/>
    </xf>
    <xf numFmtId="0" fontId="12" fillId="0" borderId="0" xfId="0" applyFont="1" applyAlignment="1">
      <alignment vertical="center"/>
    </xf>
    <xf numFmtId="0" fontId="12" fillId="0" borderId="0" xfId="0" applyFont="1" applyAlignment="1">
      <alignment horizontal="left" vertical="center"/>
    </xf>
    <xf numFmtId="0" fontId="1" fillId="2" borderId="0" xfId="3" applyFill="1" applyAlignment="1">
      <alignment horizontal="center" vertical="center"/>
    </xf>
    <xf numFmtId="0" fontId="2" fillId="0" borderId="1" xfId="2" applyFont="1" applyBorder="1" applyAlignment="1">
      <alignment horizontal="center" vertical="center" wrapText="1"/>
    </xf>
    <xf numFmtId="0" fontId="2" fillId="0" borderId="1" xfId="2" applyFont="1" applyBorder="1" applyAlignment="1">
      <alignment horizontal="center" vertical="center"/>
    </xf>
    <xf numFmtId="0" fontId="2" fillId="0" borderId="2" xfId="2" applyFont="1" applyBorder="1" applyAlignment="1">
      <alignment horizontal="center" vertical="center" wrapText="1"/>
    </xf>
    <xf numFmtId="0" fontId="2" fillId="0" borderId="3" xfId="2" applyFont="1" applyBorder="1" applyAlignment="1">
      <alignment horizontal="center" vertical="center" wrapText="1"/>
    </xf>
    <xf numFmtId="0" fontId="2" fillId="0" borderId="4" xfId="2" applyFont="1" applyBorder="1" applyAlignment="1">
      <alignment horizontal="center" vertical="center" wrapText="1"/>
    </xf>
    <xf numFmtId="0" fontId="2" fillId="3" borderId="1" xfId="2" applyFont="1" applyFill="1" applyBorder="1" applyAlignment="1">
      <alignment horizontal="left" vertical="center" wrapText="1"/>
    </xf>
    <xf numFmtId="0" fontId="2" fillId="0" borderId="2" xfId="2" applyFont="1" applyBorder="1" applyAlignment="1">
      <alignment horizontal="center" vertical="top" wrapText="1"/>
    </xf>
    <xf numFmtId="0" fontId="2" fillId="0" borderId="4" xfId="2" applyFont="1" applyBorder="1" applyAlignment="1">
      <alignment horizontal="center" vertical="top" wrapText="1"/>
    </xf>
    <xf numFmtId="0" fontId="2" fillId="3" borderId="1" xfId="2" applyFont="1" applyFill="1" applyBorder="1" applyAlignment="1">
      <alignment horizontal="left" vertical="top" wrapText="1"/>
    </xf>
    <xf numFmtId="0" fontId="2" fillId="0" borderId="1" xfId="2" applyFont="1" applyBorder="1" applyAlignment="1">
      <alignment horizontal="left" vertical="top"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3" borderId="1" xfId="3" applyFont="1" applyFill="1" applyBorder="1" applyAlignment="1">
      <alignment horizontal="center" vertical="center"/>
    </xf>
  </cellXfs>
  <cellStyles count="5">
    <cellStyle name="Moneda" xfId="1" builtinId="4"/>
    <cellStyle name="Normal" xfId="0" builtinId="0"/>
    <cellStyle name="Normal 2" xfId="4" xr:uid="{00000000-0005-0000-0000-000002000000}"/>
    <cellStyle name="Normal 3" xfId="3" xr:uid="{00000000-0005-0000-0000-000003000000}"/>
    <cellStyle name="Normal 4"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76201</xdr:colOff>
      <xdr:row>0</xdr:row>
      <xdr:rowOff>103908</xdr:rowOff>
    </xdr:from>
    <xdr:to>
      <xdr:col>0</xdr:col>
      <xdr:colOff>603678</xdr:colOff>
      <xdr:row>0</xdr:row>
      <xdr:rowOff>616526</xdr:rowOff>
    </xdr:to>
    <xdr:pic>
      <xdr:nvPicPr>
        <xdr:cNvPr id="2" name="Imagen 7">
          <a:extLst>
            <a:ext uri="{FF2B5EF4-FFF2-40B4-BE49-F238E27FC236}">
              <a16:creationId xmlns:a16="http://schemas.microsoft.com/office/drawing/2014/main" id="{39F4FA46-29E9-452A-BC2D-D2A36D7F0C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1" y="103908"/>
          <a:ext cx="527477" cy="512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76201</xdr:colOff>
      <xdr:row>0</xdr:row>
      <xdr:rowOff>103908</xdr:rowOff>
    </xdr:from>
    <xdr:to>
      <xdr:col>0</xdr:col>
      <xdr:colOff>603678</xdr:colOff>
      <xdr:row>0</xdr:row>
      <xdr:rowOff>616526</xdr:rowOff>
    </xdr:to>
    <xdr:pic>
      <xdr:nvPicPr>
        <xdr:cNvPr id="3" name="Imagen 7">
          <a:extLst>
            <a:ext uri="{FF2B5EF4-FFF2-40B4-BE49-F238E27FC236}">
              <a16:creationId xmlns:a16="http://schemas.microsoft.com/office/drawing/2014/main" id="{BDEC44D2-F776-475D-B3D3-4F0C7C5CA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1" y="103908"/>
          <a:ext cx="527477" cy="512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Mis%20documentos\Downloads\GIL-F-014Formato_Solicitudbienesparausocuentadant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Informaci&#243;n%202026\Coordinaci&#243;n%20Medular%20y%20Virtual\Proceso%20Herramientas%20Agroindustria\Analisis%20estudio%20de%20mercado_2026%20Herramientas%20Agroindustri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ciones"/>
      <sheetName val="FORMATO GIL-F-014"/>
      <sheetName val="datos 2"/>
    </sheetNames>
    <sheetDataSet>
      <sheetData sheetId="0" refreshError="1"/>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tizaciones "/>
      <sheetName val="Código UNSPSC"/>
      <sheetName val="Lote Agroindustria"/>
      <sheetName val="Unidades"/>
      <sheetName val="Analisis estudio de mercado_202"/>
    </sheetNames>
    <sheetDataSet>
      <sheetData sheetId="0"/>
      <sheetData sheetId="1"/>
      <sheetData sheetId="2"/>
      <sheetData sheetId="3"/>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I161"/>
  <sheetViews>
    <sheetView showGridLines="0" tabSelected="1" topLeftCell="A4" workbookViewId="0">
      <selection activeCell="C8" sqref="C8"/>
    </sheetView>
  </sheetViews>
  <sheetFormatPr defaultColWidth="11.42578125" defaultRowHeight="14.25"/>
  <cols>
    <col min="1" max="1" width="11.42578125" style="1"/>
    <col min="2" max="2" width="12.140625" style="1" customWidth="1"/>
    <col min="3" max="3" width="20.5703125" style="1" customWidth="1"/>
    <col min="4" max="4" width="57.42578125" style="1" customWidth="1"/>
    <col min="5" max="5" width="17.5703125" style="18" customWidth="1"/>
    <col min="6" max="6" width="13.42578125" style="1" customWidth="1"/>
    <col min="7" max="7" width="11.42578125" style="1"/>
    <col min="8" max="8" width="14.42578125" style="13" customWidth="1"/>
    <col min="9" max="9" width="15.28515625" style="1" customWidth="1"/>
    <col min="10" max="16384" width="11.42578125" style="1"/>
  </cols>
  <sheetData>
    <row r="1" spans="1:9" ht="66.599999999999994" customHeight="1">
      <c r="A1" s="19" t="s">
        <v>0</v>
      </c>
      <c r="B1" s="19"/>
      <c r="C1" s="20"/>
      <c r="D1" s="20"/>
      <c r="E1" s="20"/>
      <c r="F1" s="20"/>
      <c r="G1" s="20"/>
      <c r="H1" s="20"/>
      <c r="I1" s="20"/>
    </row>
    <row r="2" spans="1:9" ht="15">
      <c r="A2" s="21"/>
      <c r="B2" s="22"/>
      <c r="C2" s="22"/>
      <c r="D2" s="22"/>
      <c r="E2" s="22"/>
      <c r="F2" s="22"/>
      <c r="G2" s="22"/>
      <c r="H2" s="22"/>
      <c r="I2" s="23"/>
    </row>
    <row r="3" spans="1:9" ht="13.9" customHeight="1">
      <c r="A3" s="24" t="s">
        <v>1</v>
      </c>
      <c r="B3" s="24"/>
      <c r="C3" s="24"/>
      <c r="D3" s="25"/>
      <c r="E3" s="26"/>
      <c r="F3" s="27" t="s">
        <v>2</v>
      </c>
      <c r="G3" s="27"/>
      <c r="H3" s="28"/>
      <c r="I3" s="28"/>
    </row>
    <row r="4" spans="1:9" ht="13.9" customHeight="1">
      <c r="A4" s="24" t="s">
        <v>3</v>
      </c>
      <c r="B4" s="24"/>
      <c r="C4" s="24"/>
      <c r="D4" s="25"/>
      <c r="E4" s="26"/>
      <c r="F4" s="27" t="s">
        <v>4</v>
      </c>
      <c r="G4" s="27"/>
      <c r="H4" s="28"/>
      <c r="I4" s="28"/>
    </row>
    <row r="5" spans="1:9" ht="13.9" customHeight="1">
      <c r="A5" s="24" t="s">
        <v>5</v>
      </c>
      <c r="B5" s="24"/>
      <c r="C5" s="24"/>
      <c r="D5" s="25"/>
      <c r="E5" s="26"/>
      <c r="F5" s="27" t="s">
        <v>6</v>
      </c>
      <c r="G5" s="27"/>
      <c r="H5" s="28"/>
      <c r="I5" s="28"/>
    </row>
    <row r="6" spans="1:9">
      <c r="A6" s="29" t="s">
        <v>7</v>
      </c>
      <c r="B6" s="30"/>
      <c r="C6" s="30"/>
      <c r="D6" s="30"/>
      <c r="E6" s="30"/>
      <c r="F6" s="30"/>
      <c r="G6" s="30"/>
      <c r="H6" s="30"/>
      <c r="I6" s="31"/>
    </row>
    <row r="7" spans="1:9" ht="39" customHeight="1">
      <c r="A7" s="2" t="s">
        <v>8</v>
      </c>
      <c r="B7" s="3" t="s">
        <v>9</v>
      </c>
      <c r="C7" s="2" t="s">
        <v>10</v>
      </c>
      <c r="D7" s="2" t="s">
        <v>11</v>
      </c>
      <c r="E7" s="2" t="s">
        <v>12</v>
      </c>
      <c r="F7" s="2" t="s">
        <v>13</v>
      </c>
      <c r="G7" s="2" t="s">
        <v>14</v>
      </c>
      <c r="H7" s="2" t="s">
        <v>15</v>
      </c>
      <c r="I7" s="2" t="s">
        <v>16</v>
      </c>
    </row>
    <row r="8" spans="1:9" ht="165" customHeight="1">
      <c r="A8" s="4">
        <v>1</v>
      </c>
      <c r="B8" s="4">
        <v>48101521</v>
      </c>
      <c r="C8" s="5" t="s">
        <v>17</v>
      </c>
      <c r="D8" s="5" t="s">
        <v>18</v>
      </c>
      <c r="E8" s="6" t="s">
        <v>19</v>
      </c>
      <c r="F8" s="6" t="s">
        <v>20</v>
      </c>
      <c r="G8" s="7">
        <v>2</v>
      </c>
      <c r="H8" s="8">
        <v>0</v>
      </c>
      <c r="I8" s="9">
        <f>G8*H8</f>
        <v>0</v>
      </c>
    </row>
    <row r="9" spans="1:9" ht="195.75" customHeight="1">
      <c r="A9" s="4">
        <v>2</v>
      </c>
      <c r="B9" s="4">
        <v>48101601</v>
      </c>
      <c r="C9" s="5" t="s">
        <v>21</v>
      </c>
      <c r="D9" s="5" t="s">
        <v>22</v>
      </c>
      <c r="E9" s="6" t="s">
        <v>19</v>
      </c>
      <c r="F9" s="6" t="s">
        <v>20</v>
      </c>
      <c r="G9" s="7">
        <v>1</v>
      </c>
      <c r="H9" s="8">
        <v>0</v>
      </c>
      <c r="I9" s="9">
        <f t="shared" ref="I9:I20" si="0">G9*H9</f>
        <v>0</v>
      </c>
    </row>
    <row r="10" spans="1:9" ht="219" customHeight="1">
      <c r="A10" s="4">
        <v>3</v>
      </c>
      <c r="B10" s="4">
        <v>52141502</v>
      </c>
      <c r="C10" s="5" t="s">
        <v>23</v>
      </c>
      <c r="D10" s="5" t="s">
        <v>24</v>
      </c>
      <c r="E10" s="6" t="s">
        <v>19</v>
      </c>
      <c r="F10" s="6" t="s">
        <v>20</v>
      </c>
      <c r="G10" s="7">
        <v>1</v>
      </c>
      <c r="H10" s="8">
        <v>0</v>
      </c>
      <c r="I10" s="9">
        <f t="shared" si="0"/>
        <v>0</v>
      </c>
    </row>
    <row r="11" spans="1:9" ht="138" customHeight="1">
      <c r="A11" s="4">
        <v>4</v>
      </c>
      <c r="B11" s="4">
        <v>52141501</v>
      </c>
      <c r="C11" s="5" t="s">
        <v>25</v>
      </c>
      <c r="D11" s="5" t="s">
        <v>26</v>
      </c>
      <c r="E11" s="6" t="s">
        <v>19</v>
      </c>
      <c r="F11" s="6" t="s">
        <v>20</v>
      </c>
      <c r="G11" s="7">
        <v>1</v>
      </c>
      <c r="H11" s="8">
        <v>0</v>
      </c>
      <c r="I11" s="9">
        <f t="shared" si="0"/>
        <v>0</v>
      </c>
    </row>
    <row r="12" spans="1:9" ht="51.6" customHeight="1">
      <c r="A12" s="4">
        <v>5</v>
      </c>
      <c r="B12" s="4">
        <v>41111516</v>
      </c>
      <c r="C12" s="5" t="s">
        <v>27</v>
      </c>
      <c r="D12" s="5" t="s">
        <v>28</v>
      </c>
      <c r="E12" s="6" t="s">
        <v>19</v>
      </c>
      <c r="F12" s="6" t="s">
        <v>20</v>
      </c>
      <c r="G12" s="7">
        <v>1</v>
      </c>
      <c r="H12" s="8">
        <v>0</v>
      </c>
      <c r="I12" s="9">
        <f t="shared" si="0"/>
        <v>0</v>
      </c>
    </row>
    <row r="13" spans="1:9" ht="60.6" customHeight="1">
      <c r="A13" s="4">
        <v>6</v>
      </c>
      <c r="B13" s="4">
        <v>23231200</v>
      </c>
      <c r="C13" s="5" t="s">
        <v>29</v>
      </c>
      <c r="D13" s="5" t="s">
        <v>30</v>
      </c>
      <c r="E13" s="6" t="s">
        <v>19</v>
      </c>
      <c r="F13" s="6" t="s">
        <v>20</v>
      </c>
      <c r="G13" s="7">
        <v>1</v>
      </c>
      <c r="H13" s="8">
        <v>244900</v>
      </c>
      <c r="I13" s="9">
        <f t="shared" si="0"/>
        <v>244900</v>
      </c>
    </row>
    <row r="14" spans="1:9" ht="63.75">
      <c r="A14" s="4">
        <v>7</v>
      </c>
      <c r="B14" s="4">
        <v>27112805</v>
      </c>
      <c r="C14" s="5" t="s">
        <v>31</v>
      </c>
      <c r="D14" s="5" t="s">
        <v>32</v>
      </c>
      <c r="E14" s="6" t="s">
        <v>19</v>
      </c>
      <c r="F14" s="6" t="s">
        <v>20</v>
      </c>
      <c r="G14" s="7">
        <v>1</v>
      </c>
      <c r="H14" s="8">
        <v>282000</v>
      </c>
      <c r="I14" s="9">
        <f t="shared" si="0"/>
        <v>282000</v>
      </c>
    </row>
    <row r="15" spans="1:9" ht="69.75" customHeight="1">
      <c r="A15" s="4">
        <v>8</v>
      </c>
      <c r="B15" s="4">
        <v>27112704</v>
      </c>
      <c r="C15" s="5" t="s">
        <v>33</v>
      </c>
      <c r="D15" s="5" t="s">
        <v>34</v>
      </c>
      <c r="E15" s="6" t="s">
        <v>19</v>
      </c>
      <c r="F15" s="6" t="s">
        <v>20</v>
      </c>
      <c r="G15" s="7">
        <v>2</v>
      </c>
      <c r="H15" s="8">
        <v>399200</v>
      </c>
      <c r="I15" s="9">
        <f t="shared" si="0"/>
        <v>798400</v>
      </c>
    </row>
    <row r="16" spans="1:9" ht="58.15" customHeight="1">
      <c r="A16" s="4">
        <v>9</v>
      </c>
      <c r="B16" s="4">
        <v>27112704</v>
      </c>
      <c r="C16" s="5" t="s">
        <v>35</v>
      </c>
      <c r="D16" s="5" t="s">
        <v>36</v>
      </c>
      <c r="E16" s="6" t="s">
        <v>19</v>
      </c>
      <c r="F16" s="6" t="s">
        <v>20</v>
      </c>
      <c r="G16" s="7">
        <v>1</v>
      </c>
      <c r="H16" s="8">
        <v>355900</v>
      </c>
      <c r="I16" s="9">
        <f t="shared" si="0"/>
        <v>355900</v>
      </c>
    </row>
    <row r="17" spans="1:9" ht="48" customHeight="1">
      <c r="A17" s="4">
        <v>10</v>
      </c>
      <c r="B17" s="4">
        <v>27111905</v>
      </c>
      <c r="C17" s="5" t="s">
        <v>37</v>
      </c>
      <c r="D17" s="5" t="s">
        <v>38</v>
      </c>
      <c r="E17" s="6" t="s">
        <v>19</v>
      </c>
      <c r="F17" s="6" t="s">
        <v>20</v>
      </c>
      <c r="G17" s="7">
        <v>3</v>
      </c>
      <c r="H17" s="8">
        <v>75900</v>
      </c>
      <c r="I17" s="9">
        <f t="shared" si="0"/>
        <v>227700</v>
      </c>
    </row>
    <row r="18" spans="1:9" ht="97.9" customHeight="1">
      <c r="A18" s="4">
        <v>11</v>
      </c>
      <c r="B18" s="4">
        <v>27111504</v>
      </c>
      <c r="C18" s="10" t="s">
        <v>39</v>
      </c>
      <c r="D18" s="5" t="s">
        <v>40</v>
      </c>
      <c r="E18" s="6" t="s">
        <v>19</v>
      </c>
      <c r="F18" s="6" t="s">
        <v>20</v>
      </c>
      <c r="G18" s="7">
        <v>3</v>
      </c>
      <c r="H18" s="8">
        <v>75950</v>
      </c>
      <c r="I18" s="9">
        <f t="shared" si="0"/>
        <v>227850</v>
      </c>
    </row>
    <row r="19" spans="1:9" ht="114.75">
      <c r="A19" s="4">
        <v>12</v>
      </c>
      <c r="B19" s="4">
        <v>27111540</v>
      </c>
      <c r="C19" s="5" t="s">
        <v>41</v>
      </c>
      <c r="D19" s="11" t="s">
        <v>42</v>
      </c>
      <c r="E19" s="6" t="s">
        <v>19</v>
      </c>
      <c r="F19" s="6" t="s">
        <v>20</v>
      </c>
      <c r="G19" s="7">
        <v>3</v>
      </c>
      <c r="H19" s="8">
        <v>179550</v>
      </c>
      <c r="I19" s="9">
        <f t="shared" si="0"/>
        <v>538650</v>
      </c>
    </row>
    <row r="20" spans="1:9" ht="63.75">
      <c r="A20" s="4">
        <v>13</v>
      </c>
      <c r="B20" s="4">
        <v>41114516</v>
      </c>
      <c r="C20" s="5" t="s">
        <v>43</v>
      </c>
      <c r="D20" s="5" t="s">
        <v>44</v>
      </c>
      <c r="E20" s="6" t="s">
        <v>19</v>
      </c>
      <c r="F20" s="6" t="s">
        <v>20</v>
      </c>
      <c r="G20" s="7">
        <v>1</v>
      </c>
      <c r="H20" s="8">
        <v>800000</v>
      </c>
      <c r="I20" s="9">
        <f t="shared" si="0"/>
        <v>800000</v>
      </c>
    </row>
    <row r="21" spans="1:9" ht="84.75" customHeight="1">
      <c r="A21" s="4">
        <v>14</v>
      </c>
      <c r="B21" s="4"/>
      <c r="C21" s="5"/>
      <c r="D21" s="5"/>
      <c r="E21" s="6"/>
      <c r="F21" s="6"/>
      <c r="G21" s="7"/>
      <c r="H21" s="8"/>
      <c r="I21" s="9"/>
    </row>
    <row r="22" spans="1:9" ht="69.75" customHeight="1">
      <c r="A22" s="4">
        <v>15</v>
      </c>
      <c r="B22" s="4"/>
      <c r="C22" s="5"/>
      <c r="D22" s="5"/>
      <c r="E22" s="6"/>
      <c r="F22" s="6"/>
      <c r="G22" s="7"/>
      <c r="H22" s="8"/>
      <c r="I22" s="9"/>
    </row>
    <row r="23" spans="1:9">
      <c r="A23" s="4">
        <v>16</v>
      </c>
      <c r="B23" s="4"/>
      <c r="C23" s="5"/>
      <c r="D23" s="5"/>
      <c r="E23" s="6"/>
      <c r="F23" s="6"/>
      <c r="G23" s="7"/>
      <c r="H23" s="8"/>
      <c r="I23" s="9"/>
    </row>
    <row r="24" spans="1:9">
      <c r="A24" s="4">
        <v>17</v>
      </c>
      <c r="B24" s="4"/>
      <c r="C24" s="5"/>
      <c r="D24" s="5"/>
      <c r="E24" s="6"/>
      <c r="F24" s="6"/>
      <c r="G24" s="7"/>
      <c r="H24" s="8"/>
      <c r="I24" s="9"/>
    </row>
    <row r="25" spans="1:9">
      <c r="A25" s="4">
        <v>18</v>
      </c>
      <c r="B25" s="4"/>
      <c r="C25" s="5"/>
      <c r="D25" s="5"/>
      <c r="E25" s="6"/>
      <c r="F25" s="6"/>
      <c r="G25" s="7"/>
      <c r="H25" s="8"/>
      <c r="I25" s="9"/>
    </row>
    <row r="26" spans="1:9">
      <c r="A26" s="4">
        <v>19</v>
      </c>
      <c r="B26" s="4"/>
      <c r="C26" s="5"/>
      <c r="D26" s="5"/>
      <c r="E26" s="6"/>
      <c r="F26" s="6"/>
      <c r="G26" s="7"/>
      <c r="H26" s="8"/>
      <c r="I26" s="9"/>
    </row>
    <row r="27" spans="1:9">
      <c r="A27" s="4">
        <v>20</v>
      </c>
      <c r="B27" s="4"/>
      <c r="C27" s="5"/>
      <c r="D27" s="5"/>
      <c r="E27" s="6"/>
      <c r="F27" s="6"/>
      <c r="G27" s="7"/>
      <c r="H27" s="8"/>
      <c r="I27" s="9"/>
    </row>
    <row r="28" spans="1:9">
      <c r="A28" s="4">
        <v>21</v>
      </c>
      <c r="B28" s="4"/>
      <c r="C28" s="5"/>
      <c r="D28" s="5"/>
      <c r="E28" s="6"/>
      <c r="F28" s="6"/>
      <c r="G28" s="7"/>
      <c r="H28" s="8"/>
      <c r="I28" s="9"/>
    </row>
    <row r="29" spans="1:9" ht="37.15" customHeight="1">
      <c r="A29" s="4">
        <v>22</v>
      </c>
      <c r="B29" s="4"/>
      <c r="C29" s="5"/>
      <c r="D29" s="5"/>
      <c r="E29" s="6"/>
      <c r="F29" s="6"/>
      <c r="G29" s="7"/>
      <c r="H29" s="8"/>
      <c r="I29" s="9"/>
    </row>
    <row r="30" spans="1:9">
      <c r="A30" s="4">
        <v>23</v>
      </c>
      <c r="B30" s="4"/>
      <c r="C30" s="5"/>
      <c r="D30" s="5"/>
      <c r="E30" s="6"/>
      <c r="F30" s="6"/>
      <c r="G30" s="7"/>
      <c r="H30" s="8"/>
      <c r="I30" s="9"/>
    </row>
    <row r="31" spans="1:9" ht="84" customHeight="1">
      <c r="A31" s="4">
        <v>24</v>
      </c>
      <c r="B31" s="4"/>
      <c r="C31" s="5"/>
      <c r="D31" s="5"/>
      <c r="E31" s="6"/>
      <c r="F31" s="6"/>
      <c r="G31" s="7"/>
      <c r="H31" s="8"/>
      <c r="I31" s="9"/>
    </row>
    <row r="32" spans="1:9">
      <c r="A32" s="4">
        <v>25</v>
      </c>
      <c r="B32" s="4"/>
      <c r="C32" s="5"/>
      <c r="D32" s="5"/>
      <c r="E32" s="6"/>
      <c r="F32" s="6"/>
      <c r="G32" s="7"/>
      <c r="H32" s="8"/>
      <c r="I32" s="9"/>
    </row>
    <row r="33" spans="1:9" ht="50.45" customHeight="1">
      <c r="A33" s="4">
        <v>26</v>
      </c>
      <c r="B33" s="4"/>
      <c r="C33" s="5"/>
      <c r="D33" s="5"/>
      <c r="E33" s="6"/>
      <c r="F33" s="6"/>
      <c r="G33" s="7"/>
      <c r="H33" s="8"/>
      <c r="I33" s="9"/>
    </row>
    <row r="34" spans="1:9" ht="41.25" customHeight="1">
      <c r="A34" s="4">
        <v>27</v>
      </c>
      <c r="B34" s="7"/>
      <c r="C34" s="5"/>
      <c r="D34" s="5"/>
      <c r="E34" s="6"/>
      <c r="F34" s="6"/>
      <c r="G34" s="7"/>
      <c r="H34" s="8"/>
      <c r="I34" s="9"/>
    </row>
    <row r="35" spans="1:9" ht="39.6" customHeight="1">
      <c r="A35" s="4">
        <v>28</v>
      </c>
      <c r="B35" s="7"/>
      <c r="C35" s="5"/>
      <c r="D35" s="5"/>
      <c r="E35" s="6"/>
      <c r="F35" s="6"/>
      <c r="G35" s="7"/>
      <c r="H35" s="8"/>
      <c r="I35" s="9"/>
    </row>
    <row r="36" spans="1:9" ht="44.45" customHeight="1">
      <c r="A36" s="4">
        <v>29</v>
      </c>
      <c r="B36" s="7"/>
      <c r="C36" s="5"/>
      <c r="D36" s="5"/>
      <c r="E36" s="6"/>
      <c r="F36" s="6"/>
      <c r="G36" s="7"/>
      <c r="H36" s="8"/>
      <c r="I36" s="9"/>
    </row>
    <row r="37" spans="1:9" ht="49.9" customHeight="1">
      <c r="A37" s="4">
        <v>30</v>
      </c>
      <c r="B37" s="7"/>
      <c r="C37" s="5"/>
      <c r="D37" s="5"/>
      <c r="E37" s="6"/>
      <c r="F37" s="6"/>
      <c r="G37" s="7"/>
      <c r="H37" s="8"/>
      <c r="I37" s="9"/>
    </row>
    <row r="38" spans="1:9" ht="58.15" customHeight="1">
      <c r="A38" s="4">
        <v>31</v>
      </c>
      <c r="B38" s="7"/>
      <c r="C38" s="5"/>
      <c r="D38" s="5"/>
      <c r="E38" s="6"/>
      <c r="F38" s="6"/>
      <c r="G38" s="7"/>
      <c r="H38" s="8"/>
      <c r="I38" s="9"/>
    </row>
    <row r="39" spans="1:9" ht="46.9" customHeight="1">
      <c r="A39" s="4">
        <v>32</v>
      </c>
      <c r="B39" s="7"/>
      <c r="C39" s="5"/>
      <c r="D39" s="5"/>
      <c r="E39" s="6"/>
      <c r="F39" s="6"/>
      <c r="G39" s="7"/>
      <c r="H39" s="8"/>
      <c r="I39" s="9"/>
    </row>
    <row r="40" spans="1:9" ht="53.45" customHeight="1">
      <c r="A40" s="4">
        <v>33</v>
      </c>
      <c r="B40" s="7"/>
      <c r="C40" s="5"/>
      <c r="D40" s="5"/>
      <c r="E40" s="6"/>
      <c r="F40" s="6"/>
      <c r="G40" s="7"/>
      <c r="H40" s="8"/>
      <c r="I40" s="9"/>
    </row>
    <row r="41" spans="1:9" ht="96" customHeight="1">
      <c r="A41" s="4">
        <v>34</v>
      </c>
      <c r="B41" s="7"/>
      <c r="C41" s="5"/>
      <c r="D41" s="5"/>
      <c r="E41" s="6"/>
      <c r="F41" s="6"/>
      <c r="G41" s="7"/>
      <c r="H41" s="8"/>
      <c r="I41" s="9"/>
    </row>
    <row r="42" spans="1:9" ht="52.15" customHeight="1">
      <c r="A42" s="4">
        <v>35</v>
      </c>
      <c r="B42" s="7"/>
      <c r="C42" s="5"/>
      <c r="D42" s="5"/>
      <c r="E42" s="6"/>
      <c r="F42" s="6"/>
      <c r="G42" s="7"/>
      <c r="H42" s="8"/>
      <c r="I42" s="9"/>
    </row>
    <row r="43" spans="1:9" ht="52.9" customHeight="1">
      <c r="A43" s="4">
        <v>36</v>
      </c>
      <c r="B43" s="7"/>
      <c r="C43" s="5"/>
      <c r="D43" s="5"/>
      <c r="E43" s="6"/>
      <c r="F43" s="6"/>
      <c r="G43" s="7"/>
      <c r="H43" s="8"/>
      <c r="I43" s="9"/>
    </row>
    <row r="44" spans="1:9" ht="56.45" customHeight="1">
      <c r="A44" s="4">
        <v>37</v>
      </c>
      <c r="B44" s="7"/>
      <c r="C44" s="5"/>
      <c r="D44" s="5"/>
      <c r="E44" s="6"/>
      <c r="F44" s="6"/>
      <c r="G44" s="7"/>
      <c r="H44" s="8"/>
      <c r="I44" s="9"/>
    </row>
    <row r="45" spans="1:9" ht="70.900000000000006" customHeight="1">
      <c r="A45" s="4">
        <v>38</v>
      </c>
      <c r="B45" s="7"/>
      <c r="C45" s="5"/>
      <c r="D45" s="5"/>
      <c r="E45" s="6"/>
      <c r="F45" s="6"/>
      <c r="G45" s="7"/>
      <c r="H45" s="8"/>
      <c r="I45" s="9"/>
    </row>
    <row r="46" spans="1:9" ht="102" customHeight="1">
      <c r="A46" s="4">
        <v>39</v>
      </c>
      <c r="B46" s="7"/>
      <c r="C46" s="5"/>
      <c r="D46" s="5"/>
      <c r="E46" s="6"/>
      <c r="F46" s="6"/>
      <c r="G46" s="7"/>
      <c r="H46" s="8"/>
      <c r="I46" s="9"/>
    </row>
    <row r="47" spans="1:9" ht="63" customHeight="1">
      <c r="A47" s="4">
        <v>40</v>
      </c>
      <c r="B47" s="7"/>
      <c r="C47" s="5"/>
      <c r="D47" s="5"/>
      <c r="E47" s="6"/>
      <c r="F47" s="6"/>
      <c r="G47" s="7"/>
      <c r="H47" s="8"/>
      <c r="I47" s="9"/>
    </row>
    <row r="48" spans="1:9" ht="96" customHeight="1">
      <c r="A48" s="4">
        <v>41</v>
      </c>
      <c r="B48" s="7"/>
      <c r="C48" s="5"/>
      <c r="D48" s="5"/>
      <c r="E48" s="6"/>
      <c r="F48" s="6"/>
      <c r="G48" s="7"/>
      <c r="H48" s="8"/>
      <c r="I48" s="9"/>
    </row>
    <row r="49" spans="1:9" ht="96" customHeight="1">
      <c r="A49" s="4">
        <v>42</v>
      </c>
      <c r="B49" s="7"/>
      <c r="C49" s="5"/>
      <c r="D49" s="5"/>
      <c r="E49" s="6"/>
      <c r="F49" s="6"/>
      <c r="G49" s="7"/>
      <c r="H49" s="8"/>
      <c r="I49" s="9"/>
    </row>
    <row r="50" spans="1:9" ht="62.45" customHeight="1">
      <c r="A50" s="4">
        <v>43</v>
      </c>
      <c r="B50" s="7"/>
      <c r="C50" s="5"/>
      <c r="D50" s="5"/>
      <c r="E50" s="6"/>
      <c r="F50" s="6"/>
      <c r="G50" s="7"/>
      <c r="H50" s="8"/>
      <c r="I50" s="9"/>
    </row>
    <row r="51" spans="1:9">
      <c r="A51" s="4">
        <v>44</v>
      </c>
      <c r="B51" s="7"/>
      <c r="C51" s="5"/>
      <c r="D51" s="5"/>
      <c r="E51" s="6"/>
      <c r="F51" s="6"/>
      <c r="G51" s="7"/>
      <c r="H51" s="8"/>
      <c r="I51" s="9"/>
    </row>
    <row r="52" spans="1:9">
      <c r="A52" s="4">
        <v>45</v>
      </c>
      <c r="B52" s="7"/>
      <c r="C52" s="5"/>
      <c r="D52" s="5"/>
      <c r="E52" s="6"/>
      <c r="F52" s="6"/>
      <c r="G52" s="7"/>
      <c r="H52" s="8"/>
      <c r="I52" s="9"/>
    </row>
    <row r="53" spans="1:9">
      <c r="A53" s="4">
        <v>46</v>
      </c>
      <c r="B53" s="7"/>
      <c r="C53" s="5"/>
      <c r="D53" s="5"/>
      <c r="E53" s="6"/>
      <c r="F53" s="6"/>
      <c r="G53" s="7"/>
      <c r="H53" s="8"/>
      <c r="I53" s="9"/>
    </row>
    <row r="54" spans="1:9">
      <c r="A54" s="4">
        <v>47</v>
      </c>
      <c r="B54" s="7"/>
      <c r="C54" s="5"/>
      <c r="D54" s="5"/>
      <c r="E54" s="6"/>
      <c r="F54" s="6"/>
      <c r="G54" s="7"/>
      <c r="H54" s="8"/>
      <c r="I54" s="9"/>
    </row>
    <row r="55" spans="1:9">
      <c r="A55" s="4">
        <v>48</v>
      </c>
      <c r="B55" s="7"/>
      <c r="C55" s="5"/>
      <c r="D55" s="5"/>
      <c r="E55" s="6"/>
      <c r="F55" s="6"/>
      <c r="G55" s="7"/>
      <c r="H55" s="8"/>
      <c r="I55" s="9"/>
    </row>
    <row r="56" spans="1:9">
      <c r="A56" s="4">
        <v>49</v>
      </c>
      <c r="B56" s="7"/>
      <c r="C56" s="5"/>
      <c r="D56" s="5"/>
      <c r="E56" s="6"/>
      <c r="F56" s="6"/>
      <c r="G56" s="7"/>
      <c r="H56" s="8"/>
      <c r="I56" s="9"/>
    </row>
    <row r="57" spans="1:9">
      <c r="A57" s="4">
        <v>50</v>
      </c>
      <c r="B57" s="7"/>
      <c r="C57" s="5"/>
      <c r="D57" s="5"/>
      <c r="E57" s="6"/>
      <c r="F57" s="6"/>
      <c r="G57" s="7"/>
      <c r="H57" s="8"/>
      <c r="I57" s="9"/>
    </row>
    <row r="58" spans="1:9">
      <c r="A58" s="4">
        <v>51</v>
      </c>
      <c r="B58" s="7"/>
      <c r="C58" s="5"/>
      <c r="D58" s="5"/>
      <c r="E58" s="6"/>
      <c r="F58" s="6"/>
      <c r="G58" s="7"/>
      <c r="H58" s="8"/>
      <c r="I58" s="9"/>
    </row>
    <row r="59" spans="1:9">
      <c r="A59" s="4">
        <v>52</v>
      </c>
      <c r="B59" s="7"/>
      <c r="C59" s="5"/>
      <c r="D59" s="5"/>
      <c r="E59" s="6"/>
      <c r="F59" s="6"/>
      <c r="G59" s="7"/>
      <c r="H59" s="8"/>
      <c r="I59" s="9"/>
    </row>
    <row r="60" spans="1:9">
      <c r="A60" s="4">
        <v>53</v>
      </c>
      <c r="B60" s="7"/>
      <c r="C60" s="5"/>
      <c r="D60" s="5"/>
      <c r="E60" s="6"/>
      <c r="F60" s="6"/>
      <c r="G60" s="7"/>
      <c r="H60" s="8"/>
      <c r="I60" s="9"/>
    </row>
    <row r="61" spans="1:9">
      <c r="A61" s="4">
        <v>54</v>
      </c>
      <c r="B61" s="7"/>
      <c r="C61" s="5"/>
      <c r="D61" s="5"/>
      <c r="E61" s="6"/>
      <c r="F61" s="6"/>
      <c r="G61" s="7"/>
      <c r="H61" s="8"/>
      <c r="I61" s="9"/>
    </row>
    <row r="62" spans="1:9">
      <c r="A62" s="4">
        <v>55</v>
      </c>
      <c r="B62" s="7"/>
      <c r="C62" s="5"/>
      <c r="D62" s="5"/>
      <c r="E62" s="6"/>
      <c r="F62" s="6"/>
      <c r="G62" s="7"/>
      <c r="H62" s="8"/>
      <c r="I62" s="9"/>
    </row>
    <row r="63" spans="1:9">
      <c r="A63" s="4">
        <v>56</v>
      </c>
      <c r="B63" s="7"/>
      <c r="C63" s="5"/>
      <c r="D63" s="5"/>
      <c r="E63" s="6"/>
      <c r="F63" s="6"/>
      <c r="G63" s="7"/>
      <c r="H63" s="8"/>
      <c r="I63" s="9"/>
    </row>
    <row r="64" spans="1:9">
      <c r="A64" s="4">
        <v>57</v>
      </c>
      <c r="B64" s="7"/>
      <c r="C64" s="5"/>
      <c r="D64" s="5"/>
      <c r="E64" s="6"/>
      <c r="F64" s="6"/>
      <c r="G64" s="7"/>
      <c r="H64" s="8"/>
      <c r="I64" s="9"/>
    </row>
    <row r="65" spans="1:9" ht="101.45" customHeight="1">
      <c r="A65" s="4">
        <v>58</v>
      </c>
      <c r="B65" s="7"/>
      <c r="C65" s="5"/>
      <c r="D65" s="5"/>
      <c r="E65" s="6"/>
      <c r="F65" s="6"/>
      <c r="G65" s="7"/>
      <c r="H65" s="8"/>
      <c r="I65" s="9"/>
    </row>
    <row r="66" spans="1:9" ht="89.45" customHeight="1">
      <c r="A66" s="4">
        <v>59</v>
      </c>
      <c r="B66" s="7"/>
      <c r="C66" s="5"/>
      <c r="D66" s="5"/>
      <c r="E66" s="6"/>
      <c r="F66" s="6"/>
      <c r="G66" s="7"/>
      <c r="H66" s="8"/>
      <c r="I66" s="9"/>
    </row>
    <row r="67" spans="1:9" ht="43.5" customHeight="1">
      <c r="A67" s="4">
        <v>60</v>
      </c>
      <c r="B67" s="7"/>
      <c r="C67" s="5"/>
      <c r="D67" s="5"/>
      <c r="E67" s="6"/>
      <c r="F67" s="6"/>
      <c r="G67" s="7"/>
      <c r="H67" s="8"/>
      <c r="I67" s="9"/>
    </row>
    <row r="68" spans="1:9">
      <c r="A68" s="4">
        <v>61</v>
      </c>
      <c r="B68" s="7"/>
      <c r="C68" s="5"/>
      <c r="D68" s="5"/>
      <c r="E68" s="6"/>
      <c r="F68" s="6"/>
      <c r="G68" s="7"/>
      <c r="H68" s="8"/>
      <c r="I68" s="9"/>
    </row>
    <row r="69" spans="1:9">
      <c r="A69" s="4">
        <v>62</v>
      </c>
      <c r="B69" s="7"/>
      <c r="C69" s="5"/>
      <c r="D69" s="5"/>
      <c r="E69" s="6"/>
      <c r="F69" s="6"/>
      <c r="G69" s="7"/>
      <c r="H69" s="8"/>
      <c r="I69" s="9"/>
    </row>
    <row r="70" spans="1:9">
      <c r="A70" s="4">
        <v>63</v>
      </c>
      <c r="B70" s="7"/>
      <c r="C70" s="5"/>
      <c r="D70" s="5"/>
      <c r="E70" s="6"/>
      <c r="F70" s="6"/>
      <c r="G70" s="7"/>
      <c r="H70" s="8"/>
      <c r="I70" s="9"/>
    </row>
    <row r="71" spans="1:9">
      <c r="A71" s="4">
        <v>64</v>
      </c>
      <c r="B71" s="7"/>
      <c r="C71" s="5"/>
      <c r="D71" s="5"/>
      <c r="E71" s="6"/>
      <c r="F71" s="6"/>
      <c r="G71" s="7"/>
      <c r="H71" s="8"/>
      <c r="I71" s="9"/>
    </row>
    <row r="72" spans="1:9">
      <c r="A72" s="4">
        <v>65</v>
      </c>
      <c r="B72" s="7"/>
      <c r="C72" s="5"/>
      <c r="D72" s="5"/>
      <c r="E72" s="6"/>
      <c r="F72" s="6"/>
      <c r="G72" s="7"/>
      <c r="H72" s="8"/>
      <c r="I72" s="9"/>
    </row>
    <row r="73" spans="1:9">
      <c r="A73" s="4">
        <v>66</v>
      </c>
      <c r="B73" s="7"/>
      <c r="C73" s="5"/>
      <c r="D73" s="5"/>
      <c r="E73" s="6"/>
      <c r="F73" s="6"/>
      <c r="G73" s="7"/>
      <c r="H73" s="8"/>
      <c r="I73" s="9"/>
    </row>
    <row r="74" spans="1:9">
      <c r="A74" s="4">
        <v>67</v>
      </c>
      <c r="B74" s="7"/>
      <c r="C74" s="5"/>
      <c r="D74" s="5"/>
      <c r="E74" s="6"/>
      <c r="F74" s="6"/>
      <c r="G74" s="7"/>
      <c r="H74" s="8"/>
      <c r="I74" s="9"/>
    </row>
    <row r="75" spans="1:9">
      <c r="A75" s="4">
        <v>68</v>
      </c>
      <c r="B75" s="7"/>
      <c r="C75" s="5"/>
      <c r="D75" s="5"/>
      <c r="E75" s="6"/>
      <c r="F75" s="6"/>
      <c r="G75" s="7"/>
      <c r="H75" s="8"/>
      <c r="I75" s="9"/>
    </row>
    <row r="76" spans="1:9">
      <c r="A76" s="4">
        <v>69</v>
      </c>
      <c r="B76" s="7"/>
      <c r="C76" s="5"/>
      <c r="D76" s="5"/>
      <c r="E76" s="6"/>
      <c r="F76" s="6"/>
      <c r="G76" s="7"/>
      <c r="H76" s="8"/>
      <c r="I76" s="9"/>
    </row>
    <row r="77" spans="1:9">
      <c r="A77" s="4">
        <v>70</v>
      </c>
      <c r="B77" s="7"/>
      <c r="C77" s="5"/>
      <c r="D77" s="5"/>
      <c r="E77" s="6"/>
      <c r="F77" s="6"/>
      <c r="G77" s="7"/>
      <c r="H77" s="8"/>
      <c r="I77" s="9"/>
    </row>
    <row r="78" spans="1:9">
      <c r="A78" s="4">
        <v>71</v>
      </c>
      <c r="B78" s="7"/>
      <c r="C78" s="5"/>
      <c r="D78" s="5"/>
      <c r="E78" s="6"/>
      <c r="F78" s="6"/>
      <c r="G78" s="7"/>
      <c r="H78" s="8"/>
      <c r="I78" s="9"/>
    </row>
    <row r="79" spans="1:9">
      <c r="A79" s="4">
        <v>72</v>
      </c>
      <c r="B79" s="7"/>
      <c r="C79" s="5"/>
      <c r="D79" s="5"/>
      <c r="E79" s="6"/>
      <c r="F79" s="6"/>
      <c r="G79" s="7"/>
      <c r="H79" s="8"/>
      <c r="I79" s="9"/>
    </row>
    <row r="80" spans="1:9" ht="83.45" customHeight="1">
      <c r="A80" s="4">
        <v>73</v>
      </c>
      <c r="B80" s="7"/>
      <c r="C80" s="5"/>
      <c r="D80" s="5"/>
      <c r="E80" s="6"/>
      <c r="F80" s="6"/>
      <c r="G80" s="7"/>
      <c r="H80" s="8"/>
      <c r="I80" s="9"/>
    </row>
    <row r="81" spans="1:9" s="13" customFormat="1" ht="15">
      <c r="A81" s="32" t="s">
        <v>45</v>
      </c>
      <c r="B81" s="32"/>
      <c r="C81" s="32"/>
      <c r="D81" s="32"/>
      <c r="E81" s="32"/>
      <c r="F81" s="32"/>
      <c r="G81" s="32"/>
      <c r="H81" s="12">
        <f>SUM(H8:H80)</f>
        <v>2413400</v>
      </c>
      <c r="I81" s="12">
        <f>SUM(I8:I80)</f>
        <v>3475400</v>
      </c>
    </row>
    <row r="82" spans="1:9" s="13" customFormat="1">
      <c r="A82" s="1"/>
      <c r="B82" s="1"/>
      <c r="C82" s="14"/>
      <c r="D82" s="14"/>
      <c r="E82" s="15"/>
      <c r="F82" s="14"/>
      <c r="G82" s="15"/>
      <c r="I82" s="1"/>
    </row>
    <row r="83" spans="1:9" s="13" customFormat="1">
      <c r="A83" s="1"/>
      <c r="B83" s="1"/>
      <c r="C83" s="14"/>
      <c r="D83" s="14"/>
      <c r="E83" s="15"/>
      <c r="F83" s="14"/>
      <c r="G83" s="15"/>
      <c r="I83" s="1"/>
    </row>
    <row r="84" spans="1:9" s="13" customFormat="1">
      <c r="A84" s="1"/>
      <c r="B84" s="1"/>
      <c r="C84" s="14"/>
      <c r="D84" s="14"/>
      <c r="E84" s="15"/>
      <c r="F84" s="14"/>
      <c r="G84" s="15"/>
      <c r="I84" s="1"/>
    </row>
    <row r="85" spans="1:9" s="13" customFormat="1" ht="15">
      <c r="A85" s="1"/>
      <c r="B85" s="1"/>
      <c r="C85" s="16" t="s">
        <v>46</v>
      </c>
      <c r="D85"/>
      <c r="E85" s="15"/>
      <c r="F85" s="14"/>
      <c r="G85" s="15"/>
      <c r="I85" s="1"/>
    </row>
    <row r="86" spans="1:9" s="13" customFormat="1" ht="15">
      <c r="A86" s="1"/>
      <c r="B86" s="1"/>
      <c r="C86" s="17" t="s">
        <v>47</v>
      </c>
      <c r="D86"/>
      <c r="E86" s="15"/>
      <c r="F86" s="14"/>
      <c r="G86" s="15"/>
      <c r="I86" s="1"/>
    </row>
    <row r="87" spans="1:9" s="13" customFormat="1" ht="15">
      <c r="A87" s="1"/>
      <c r="B87" s="1"/>
      <c r="C87" s="17" t="s">
        <v>48</v>
      </c>
      <c r="D87"/>
      <c r="E87" s="15"/>
      <c r="F87" s="14"/>
      <c r="G87" s="15"/>
      <c r="I87" s="1"/>
    </row>
    <row r="88" spans="1:9" s="13" customFormat="1">
      <c r="A88" s="1"/>
      <c r="B88" s="1"/>
      <c r="C88" s="14"/>
      <c r="D88" s="14"/>
      <c r="E88" s="15"/>
      <c r="F88" s="14"/>
      <c r="G88" s="15"/>
      <c r="I88" s="1"/>
    </row>
    <row r="89" spans="1:9" s="13" customFormat="1">
      <c r="A89" s="1"/>
      <c r="B89" s="1"/>
      <c r="C89" s="14"/>
      <c r="D89" s="14"/>
      <c r="E89" s="15"/>
      <c r="F89" s="14"/>
      <c r="G89" s="15"/>
      <c r="I89" s="1"/>
    </row>
    <row r="90" spans="1:9" s="13" customFormat="1">
      <c r="A90" s="1"/>
      <c r="B90" s="1"/>
      <c r="C90" s="14"/>
      <c r="D90" s="14"/>
      <c r="E90" s="15"/>
      <c r="F90" s="14"/>
      <c r="G90" s="15"/>
      <c r="I90" s="1"/>
    </row>
    <row r="91" spans="1:9" s="13" customFormat="1">
      <c r="A91" s="1"/>
      <c r="B91" s="1"/>
      <c r="C91" s="14"/>
      <c r="D91" s="14"/>
      <c r="E91" s="15"/>
      <c r="F91" s="14"/>
      <c r="G91" s="15"/>
      <c r="I91" s="1"/>
    </row>
    <row r="92" spans="1:9" s="13" customFormat="1">
      <c r="A92" s="1"/>
      <c r="B92" s="1"/>
      <c r="C92" s="14"/>
      <c r="D92" s="14"/>
      <c r="E92" s="15"/>
      <c r="F92" s="14"/>
      <c r="G92" s="15"/>
      <c r="I92" s="1"/>
    </row>
    <row r="93" spans="1:9" s="13" customFormat="1">
      <c r="A93" s="1"/>
      <c r="B93" s="1"/>
      <c r="C93" s="14"/>
      <c r="D93" s="14"/>
      <c r="E93" s="15"/>
      <c r="F93" s="14"/>
      <c r="G93" s="15"/>
      <c r="I93" s="1"/>
    </row>
    <row r="94" spans="1:9" s="13" customFormat="1">
      <c r="A94" s="1"/>
      <c r="B94" s="1"/>
      <c r="C94" s="14"/>
      <c r="D94" s="14"/>
      <c r="E94" s="15"/>
      <c r="F94" s="14"/>
      <c r="G94" s="15"/>
      <c r="I94" s="1"/>
    </row>
    <row r="95" spans="1:9" s="13" customFormat="1">
      <c r="A95" s="1"/>
      <c r="B95" s="1"/>
      <c r="C95" s="14"/>
      <c r="D95" s="14"/>
      <c r="E95" s="15"/>
      <c r="F95" s="14"/>
      <c r="G95" s="15"/>
      <c r="I95" s="1"/>
    </row>
    <row r="96" spans="1:9" s="13" customFormat="1">
      <c r="A96" s="1"/>
      <c r="B96" s="1"/>
      <c r="C96" s="14"/>
      <c r="D96" s="14"/>
      <c r="E96" s="15"/>
      <c r="F96" s="14"/>
      <c r="G96" s="15"/>
      <c r="I96" s="1"/>
    </row>
    <row r="97" spans="1:9" s="13" customFormat="1">
      <c r="A97" s="1"/>
      <c r="B97" s="1"/>
      <c r="C97" s="14"/>
      <c r="D97" s="14"/>
      <c r="E97" s="15"/>
      <c r="F97" s="14"/>
      <c r="G97" s="15"/>
      <c r="I97" s="1"/>
    </row>
    <row r="98" spans="1:9" s="13" customFormat="1">
      <c r="A98" s="1"/>
      <c r="B98" s="1"/>
      <c r="C98" s="14"/>
      <c r="D98" s="14"/>
      <c r="E98" s="15"/>
      <c r="F98" s="14"/>
      <c r="G98" s="15"/>
      <c r="I98" s="1"/>
    </row>
    <row r="99" spans="1:9" s="13" customFormat="1">
      <c r="A99" s="1"/>
      <c r="B99" s="1"/>
      <c r="C99" s="14"/>
      <c r="D99" s="14"/>
      <c r="E99" s="15"/>
      <c r="F99" s="14"/>
      <c r="G99" s="15"/>
      <c r="I99" s="1"/>
    </row>
    <row r="100" spans="1:9" s="13" customFormat="1">
      <c r="A100" s="1"/>
      <c r="B100" s="1"/>
      <c r="C100" s="14"/>
      <c r="D100" s="14"/>
      <c r="E100" s="15"/>
      <c r="F100" s="14"/>
      <c r="G100" s="15"/>
      <c r="I100" s="1"/>
    </row>
    <row r="101" spans="1:9" s="13" customFormat="1">
      <c r="A101" s="1"/>
      <c r="B101" s="1"/>
      <c r="C101" s="14"/>
      <c r="D101" s="14"/>
      <c r="E101" s="15"/>
      <c r="F101" s="14"/>
      <c r="G101" s="15"/>
      <c r="I101" s="1"/>
    </row>
    <row r="102" spans="1:9" s="13" customFormat="1">
      <c r="A102" s="1"/>
      <c r="B102" s="1"/>
      <c r="C102" s="14"/>
      <c r="D102" s="14"/>
      <c r="E102" s="15"/>
      <c r="F102" s="14"/>
      <c r="G102" s="15"/>
      <c r="I102" s="1"/>
    </row>
    <row r="103" spans="1:9" s="13" customFormat="1">
      <c r="A103" s="1"/>
      <c r="B103" s="1"/>
      <c r="C103" s="14"/>
      <c r="D103" s="14"/>
      <c r="E103" s="15"/>
      <c r="F103" s="14"/>
      <c r="G103" s="15"/>
      <c r="I103" s="1"/>
    </row>
    <row r="104" spans="1:9" s="13" customFormat="1">
      <c r="A104" s="1"/>
      <c r="B104" s="1"/>
      <c r="C104" s="14"/>
      <c r="D104" s="14"/>
      <c r="E104" s="15"/>
      <c r="F104" s="14"/>
      <c r="G104" s="15"/>
      <c r="I104" s="1"/>
    </row>
    <row r="105" spans="1:9" s="13" customFormat="1">
      <c r="A105" s="1"/>
      <c r="B105" s="1"/>
      <c r="C105" s="14"/>
      <c r="D105" s="14"/>
      <c r="E105" s="15"/>
      <c r="F105" s="14"/>
      <c r="G105" s="15"/>
      <c r="I105" s="1"/>
    </row>
    <row r="106" spans="1:9" s="13" customFormat="1">
      <c r="A106" s="1"/>
      <c r="B106" s="1"/>
      <c r="C106" s="14"/>
      <c r="D106" s="14"/>
      <c r="E106" s="15"/>
      <c r="F106" s="14"/>
      <c r="G106" s="15"/>
      <c r="I106" s="1"/>
    </row>
    <row r="107" spans="1:9" s="13" customFormat="1">
      <c r="A107" s="1"/>
      <c r="B107" s="1"/>
      <c r="C107" s="14"/>
      <c r="D107" s="14"/>
      <c r="E107" s="15"/>
      <c r="F107" s="14"/>
      <c r="G107" s="15"/>
      <c r="I107" s="1"/>
    </row>
    <row r="108" spans="1:9" s="13" customFormat="1">
      <c r="A108" s="1"/>
      <c r="B108" s="1"/>
      <c r="C108" s="14"/>
      <c r="D108" s="14"/>
      <c r="E108" s="15"/>
      <c r="F108" s="14"/>
      <c r="G108" s="15"/>
      <c r="I108" s="1"/>
    </row>
    <row r="109" spans="1:9" s="13" customFormat="1">
      <c r="A109" s="1"/>
      <c r="B109" s="1"/>
      <c r="C109" s="14"/>
      <c r="D109" s="14"/>
      <c r="E109" s="15"/>
      <c r="F109" s="14"/>
      <c r="G109" s="15"/>
      <c r="I109" s="1"/>
    </row>
    <row r="110" spans="1:9" s="13" customFormat="1">
      <c r="A110" s="1"/>
      <c r="B110" s="1"/>
      <c r="C110" s="14"/>
      <c r="D110" s="14"/>
      <c r="E110" s="15"/>
      <c r="F110" s="14"/>
      <c r="G110" s="15"/>
      <c r="I110" s="1"/>
    </row>
    <row r="111" spans="1:9" s="13" customFormat="1">
      <c r="A111" s="1"/>
      <c r="B111" s="1"/>
      <c r="C111" s="14"/>
      <c r="D111" s="14"/>
      <c r="E111" s="15"/>
      <c r="F111" s="14"/>
      <c r="G111" s="15"/>
      <c r="I111" s="1"/>
    </row>
    <row r="112" spans="1:9" s="13" customFormat="1">
      <c r="A112" s="1"/>
      <c r="B112" s="1"/>
      <c r="C112" s="14"/>
      <c r="D112" s="14"/>
      <c r="E112" s="15"/>
      <c r="F112" s="14"/>
      <c r="G112" s="15"/>
      <c r="I112" s="1"/>
    </row>
    <row r="113" spans="1:9" s="13" customFormat="1">
      <c r="A113" s="1"/>
      <c r="B113" s="1"/>
      <c r="C113" s="14"/>
      <c r="D113" s="14"/>
      <c r="E113" s="15"/>
      <c r="F113" s="14"/>
      <c r="G113" s="15"/>
      <c r="I113" s="1"/>
    </row>
    <row r="114" spans="1:9" s="13" customFormat="1">
      <c r="A114" s="1"/>
      <c r="B114" s="1"/>
      <c r="C114" s="14"/>
      <c r="D114" s="14"/>
      <c r="E114" s="15"/>
      <c r="F114" s="14"/>
      <c r="G114" s="15"/>
      <c r="I114" s="1"/>
    </row>
    <row r="115" spans="1:9" s="13" customFormat="1">
      <c r="A115" s="1"/>
      <c r="B115" s="1"/>
      <c r="C115" s="14"/>
      <c r="D115" s="14"/>
      <c r="E115" s="15"/>
      <c r="F115" s="14"/>
      <c r="G115" s="15"/>
      <c r="I115" s="1"/>
    </row>
    <row r="116" spans="1:9" s="13" customFormat="1">
      <c r="A116" s="1"/>
      <c r="B116" s="1"/>
      <c r="C116" s="14"/>
      <c r="D116" s="14"/>
      <c r="E116" s="15"/>
      <c r="F116" s="14"/>
      <c r="G116" s="15"/>
      <c r="I116" s="1"/>
    </row>
    <row r="117" spans="1:9" s="13" customFormat="1">
      <c r="A117" s="1"/>
      <c r="B117" s="1"/>
      <c r="C117" s="14"/>
      <c r="D117" s="14"/>
      <c r="E117" s="15"/>
      <c r="F117" s="14"/>
      <c r="G117" s="15"/>
      <c r="I117" s="1"/>
    </row>
    <row r="118" spans="1:9" s="13" customFormat="1">
      <c r="A118" s="1"/>
      <c r="B118" s="1"/>
      <c r="C118" s="14"/>
      <c r="D118" s="14"/>
      <c r="E118" s="15"/>
      <c r="F118" s="14"/>
      <c r="G118" s="15"/>
      <c r="I118" s="1"/>
    </row>
    <row r="119" spans="1:9" s="13" customFormat="1">
      <c r="A119" s="1"/>
      <c r="B119" s="1"/>
      <c r="C119" s="14"/>
      <c r="D119" s="14"/>
      <c r="E119" s="15"/>
      <c r="F119" s="14"/>
      <c r="G119" s="15"/>
      <c r="I119" s="1"/>
    </row>
    <row r="120" spans="1:9" s="13" customFormat="1">
      <c r="A120" s="1"/>
      <c r="B120" s="1"/>
      <c r="C120" s="14"/>
      <c r="D120" s="14"/>
      <c r="E120" s="15"/>
      <c r="F120" s="14"/>
      <c r="G120" s="15"/>
      <c r="I120" s="1"/>
    </row>
    <row r="121" spans="1:9" s="13" customFormat="1">
      <c r="A121" s="1"/>
      <c r="B121" s="1"/>
      <c r="C121" s="14"/>
      <c r="D121" s="14"/>
      <c r="E121" s="15"/>
      <c r="F121" s="14"/>
      <c r="G121" s="15"/>
      <c r="I121" s="1"/>
    </row>
    <row r="122" spans="1:9" s="13" customFormat="1">
      <c r="A122" s="1"/>
      <c r="B122" s="1"/>
      <c r="C122" s="14"/>
      <c r="D122" s="14"/>
      <c r="E122" s="15"/>
      <c r="F122" s="14"/>
      <c r="G122" s="15"/>
      <c r="I122" s="1"/>
    </row>
    <row r="123" spans="1:9" s="13" customFormat="1">
      <c r="A123" s="1"/>
      <c r="B123" s="1"/>
      <c r="C123" s="14"/>
      <c r="D123" s="14"/>
      <c r="E123" s="15"/>
      <c r="F123" s="14"/>
      <c r="G123" s="15"/>
      <c r="I123" s="1"/>
    </row>
    <row r="124" spans="1:9" s="13" customFormat="1">
      <c r="A124" s="1"/>
      <c r="B124" s="1"/>
      <c r="C124" s="14"/>
      <c r="D124" s="14"/>
      <c r="E124" s="15"/>
      <c r="F124" s="14"/>
      <c r="G124" s="15"/>
      <c r="I124" s="1"/>
    </row>
    <row r="125" spans="1:9" s="13" customFormat="1">
      <c r="A125" s="1"/>
      <c r="B125" s="1"/>
      <c r="C125" s="14"/>
      <c r="D125" s="14"/>
      <c r="E125" s="15"/>
      <c r="F125" s="14"/>
      <c r="G125" s="15"/>
      <c r="I125" s="1"/>
    </row>
    <row r="126" spans="1:9" s="13" customFormat="1">
      <c r="A126" s="1"/>
      <c r="B126" s="1"/>
      <c r="C126" s="14"/>
      <c r="D126" s="14"/>
      <c r="E126" s="15"/>
      <c r="F126" s="14"/>
      <c r="G126" s="15"/>
      <c r="I126" s="1"/>
    </row>
    <row r="127" spans="1:9" s="13" customFormat="1">
      <c r="A127" s="1"/>
      <c r="B127" s="1"/>
      <c r="C127" s="14"/>
      <c r="D127" s="14"/>
      <c r="E127" s="15"/>
      <c r="F127" s="14"/>
      <c r="G127" s="15"/>
      <c r="I127" s="1"/>
    </row>
    <row r="128" spans="1:9" s="13" customFormat="1">
      <c r="A128" s="1"/>
      <c r="B128" s="1"/>
      <c r="C128" s="14"/>
      <c r="D128" s="14"/>
      <c r="E128" s="15"/>
      <c r="F128" s="14"/>
      <c r="G128" s="15"/>
      <c r="I128" s="1"/>
    </row>
    <row r="129" spans="1:9" s="13" customFormat="1">
      <c r="A129" s="1"/>
      <c r="B129" s="1"/>
      <c r="C129" s="14"/>
      <c r="D129" s="14"/>
      <c r="E129" s="15"/>
      <c r="F129" s="14"/>
      <c r="G129" s="15"/>
      <c r="I129" s="1"/>
    </row>
    <row r="130" spans="1:9" s="13" customFormat="1">
      <c r="A130" s="1"/>
      <c r="B130" s="1"/>
      <c r="C130" s="14"/>
      <c r="D130" s="14"/>
      <c r="E130" s="15"/>
      <c r="F130" s="14"/>
      <c r="G130" s="15"/>
      <c r="I130" s="1"/>
    </row>
    <row r="131" spans="1:9" s="13" customFormat="1">
      <c r="A131" s="1"/>
      <c r="B131" s="1"/>
      <c r="C131" s="14"/>
      <c r="D131" s="14"/>
      <c r="E131" s="15"/>
      <c r="F131" s="14"/>
      <c r="G131" s="15"/>
      <c r="I131" s="1"/>
    </row>
    <row r="132" spans="1:9" s="13" customFormat="1">
      <c r="A132" s="1"/>
      <c r="B132" s="1"/>
      <c r="C132" s="14"/>
      <c r="D132" s="14"/>
      <c r="E132" s="15"/>
      <c r="F132" s="14"/>
      <c r="G132" s="15"/>
      <c r="I132" s="1"/>
    </row>
    <row r="133" spans="1:9" s="13" customFormat="1">
      <c r="A133" s="1"/>
      <c r="B133" s="1"/>
      <c r="C133" s="14"/>
      <c r="D133" s="14"/>
      <c r="E133" s="15"/>
      <c r="F133" s="14"/>
      <c r="G133" s="15"/>
      <c r="I133" s="1"/>
    </row>
    <row r="134" spans="1:9" s="13" customFormat="1">
      <c r="A134" s="1"/>
      <c r="B134" s="1"/>
      <c r="C134" s="14"/>
      <c r="D134" s="14"/>
      <c r="E134" s="15"/>
      <c r="F134" s="14"/>
      <c r="G134" s="15"/>
      <c r="I134" s="1"/>
    </row>
    <row r="135" spans="1:9" s="13" customFormat="1">
      <c r="A135" s="1"/>
      <c r="B135" s="1"/>
      <c r="C135" s="14"/>
      <c r="D135" s="14"/>
      <c r="E135" s="15"/>
      <c r="F135" s="14"/>
      <c r="G135" s="15"/>
      <c r="I135" s="1"/>
    </row>
    <row r="136" spans="1:9" s="13" customFormat="1">
      <c r="A136" s="1"/>
      <c r="B136" s="1"/>
      <c r="C136" s="14"/>
      <c r="D136" s="14"/>
      <c r="E136" s="15"/>
      <c r="F136" s="14"/>
      <c r="G136" s="15"/>
      <c r="I136" s="1"/>
    </row>
    <row r="137" spans="1:9" s="13" customFormat="1">
      <c r="A137" s="1"/>
      <c r="B137" s="1"/>
      <c r="C137" s="14"/>
      <c r="D137" s="14"/>
      <c r="E137" s="15"/>
      <c r="F137" s="14"/>
      <c r="G137" s="15"/>
      <c r="I137" s="1"/>
    </row>
    <row r="138" spans="1:9" s="13" customFormat="1">
      <c r="A138" s="1"/>
      <c r="B138" s="1"/>
      <c r="C138" s="14"/>
      <c r="D138" s="14"/>
      <c r="E138" s="15"/>
      <c r="F138" s="14"/>
      <c r="G138" s="15"/>
      <c r="I138" s="1"/>
    </row>
    <row r="139" spans="1:9" s="13" customFormat="1">
      <c r="A139" s="1"/>
      <c r="B139" s="1"/>
      <c r="C139" s="14"/>
      <c r="D139" s="14"/>
      <c r="E139" s="15"/>
      <c r="F139" s="14"/>
      <c r="G139" s="15"/>
      <c r="I139" s="1"/>
    </row>
    <row r="140" spans="1:9" s="13" customFormat="1">
      <c r="A140" s="1"/>
      <c r="B140" s="1"/>
      <c r="C140" s="14"/>
      <c r="D140" s="14"/>
      <c r="E140" s="15"/>
      <c r="F140" s="14"/>
      <c r="G140" s="15"/>
      <c r="I140" s="1"/>
    </row>
    <row r="141" spans="1:9" s="13" customFormat="1">
      <c r="A141" s="1"/>
      <c r="B141" s="1"/>
      <c r="C141" s="14"/>
      <c r="D141" s="14"/>
      <c r="E141" s="15"/>
      <c r="F141" s="14"/>
      <c r="G141" s="15"/>
      <c r="I141" s="1"/>
    </row>
    <row r="142" spans="1:9" s="13" customFormat="1">
      <c r="A142" s="1"/>
      <c r="B142" s="1"/>
      <c r="C142" s="14"/>
      <c r="D142" s="14"/>
      <c r="E142" s="15"/>
      <c r="F142" s="14"/>
      <c r="G142" s="15"/>
      <c r="I142" s="1"/>
    </row>
    <row r="143" spans="1:9" s="13" customFormat="1">
      <c r="A143" s="1"/>
      <c r="B143" s="1"/>
      <c r="C143" s="14"/>
      <c r="D143" s="14"/>
      <c r="E143" s="15"/>
      <c r="F143" s="14"/>
      <c r="G143" s="15"/>
      <c r="I143" s="1"/>
    </row>
    <row r="144" spans="1:9" s="13" customFormat="1">
      <c r="A144" s="1"/>
      <c r="B144" s="1"/>
      <c r="C144" s="14"/>
      <c r="D144" s="14"/>
      <c r="E144" s="15"/>
      <c r="F144" s="14"/>
      <c r="G144" s="15"/>
      <c r="I144" s="1"/>
    </row>
    <row r="145" spans="1:9" s="13" customFormat="1">
      <c r="A145" s="1"/>
      <c r="B145" s="1"/>
      <c r="C145" s="14"/>
      <c r="D145" s="14"/>
      <c r="E145" s="15"/>
      <c r="F145" s="14"/>
      <c r="G145" s="15"/>
      <c r="I145" s="1"/>
    </row>
    <row r="146" spans="1:9" s="13" customFormat="1">
      <c r="A146" s="1"/>
      <c r="B146" s="1"/>
      <c r="C146" s="14"/>
      <c r="D146" s="14"/>
      <c r="E146" s="15"/>
      <c r="F146" s="14"/>
      <c r="G146" s="15"/>
      <c r="I146" s="1"/>
    </row>
    <row r="147" spans="1:9" s="13" customFormat="1">
      <c r="A147" s="1"/>
      <c r="B147" s="1"/>
      <c r="C147" s="14"/>
      <c r="D147" s="14"/>
      <c r="E147" s="15"/>
      <c r="F147" s="14"/>
      <c r="G147" s="15"/>
      <c r="I147" s="1"/>
    </row>
    <row r="148" spans="1:9" s="13" customFormat="1">
      <c r="A148" s="1"/>
      <c r="B148" s="1"/>
      <c r="C148" s="14"/>
      <c r="D148" s="14"/>
      <c r="E148" s="15"/>
      <c r="F148" s="14"/>
      <c r="G148" s="15"/>
      <c r="I148" s="1"/>
    </row>
    <row r="149" spans="1:9" s="13" customFormat="1">
      <c r="A149" s="1"/>
      <c r="B149" s="1"/>
      <c r="C149" s="14"/>
      <c r="D149" s="14"/>
      <c r="E149" s="15"/>
      <c r="F149" s="14"/>
      <c r="G149" s="15"/>
      <c r="I149" s="1"/>
    </row>
    <row r="150" spans="1:9" s="13" customFormat="1">
      <c r="A150" s="1"/>
      <c r="B150" s="1"/>
      <c r="C150" s="14"/>
      <c r="D150" s="14"/>
      <c r="E150" s="15"/>
      <c r="F150" s="14"/>
      <c r="G150" s="15"/>
      <c r="I150" s="1"/>
    </row>
    <row r="151" spans="1:9" s="13" customFormat="1">
      <c r="A151" s="1"/>
      <c r="B151" s="1"/>
      <c r="C151" s="14"/>
      <c r="D151" s="14"/>
      <c r="E151" s="15"/>
      <c r="F151" s="14"/>
      <c r="G151" s="15"/>
      <c r="I151" s="1"/>
    </row>
    <row r="152" spans="1:9" s="13" customFormat="1">
      <c r="A152" s="1"/>
      <c r="B152" s="1"/>
      <c r="C152" s="14"/>
      <c r="D152" s="14"/>
      <c r="E152" s="15"/>
      <c r="F152" s="14"/>
      <c r="G152" s="15"/>
      <c r="I152" s="1"/>
    </row>
    <row r="153" spans="1:9" s="13" customFormat="1">
      <c r="A153" s="1"/>
      <c r="B153" s="1"/>
      <c r="C153" s="14"/>
      <c r="D153" s="14"/>
      <c r="E153" s="15"/>
      <c r="F153" s="14"/>
      <c r="G153" s="15"/>
      <c r="I153" s="1"/>
    </row>
    <row r="154" spans="1:9" s="13" customFormat="1">
      <c r="A154" s="1"/>
      <c r="B154" s="1"/>
      <c r="C154" s="14"/>
      <c r="D154" s="14"/>
      <c r="E154" s="15"/>
      <c r="F154" s="14"/>
      <c r="G154" s="15"/>
      <c r="I154" s="1"/>
    </row>
    <row r="155" spans="1:9" s="13" customFormat="1">
      <c r="A155" s="1"/>
      <c r="B155" s="1"/>
      <c r="C155" s="14"/>
      <c r="D155" s="14"/>
      <c r="E155" s="15"/>
      <c r="F155" s="14"/>
      <c r="G155" s="15"/>
      <c r="I155" s="1"/>
    </row>
    <row r="156" spans="1:9" s="13" customFormat="1">
      <c r="A156" s="1"/>
      <c r="B156" s="1"/>
      <c r="C156" s="14"/>
      <c r="D156" s="14"/>
      <c r="E156" s="15"/>
      <c r="F156" s="14"/>
      <c r="G156" s="15"/>
      <c r="I156" s="1"/>
    </row>
    <row r="157" spans="1:9" s="13" customFormat="1">
      <c r="A157" s="1"/>
      <c r="B157" s="1"/>
      <c r="C157" s="14"/>
      <c r="D157" s="14"/>
      <c r="E157" s="15"/>
      <c r="F157" s="14"/>
      <c r="G157" s="15"/>
      <c r="I157" s="1"/>
    </row>
    <row r="158" spans="1:9" s="13" customFormat="1">
      <c r="A158" s="1"/>
      <c r="B158" s="1"/>
      <c r="C158" s="14"/>
      <c r="D158" s="14"/>
      <c r="E158" s="15"/>
      <c r="F158" s="14"/>
      <c r="G158" s="15"/>
      <c r="I158" s="1"/>
    </row>
    <row r="159" spans="1:9" s="13" customFormat="1">
      <c r="A159" s="1"/>
      <c r="B159" s="1"/>
      <c r="C159" s="14"/>
      <c r="D159" s="14"/>
      <c r="E159" s="15"/>
      <c r="F159" s="14"/>
      <c r="G159" s="15"/>
      <c r="I159" s="1"/>
    </row>
    <row r="160" spans="1:9" s="13" customFormat="1">
      <c r="A160" s="1"/>
      <c r="B160" s="1"/>
      <c r="C160" s="14"/>
      <c r="D160" s="14"/>
      <c r="E160" s="15"/>
      <c r="F160" s="14"/>
      <c r="G160" s="15"/>
      <c r="I160" s="1"/>
    </row>
    <row r="161" spans="1:9" s="13" customFormat="1">
      <c r="A161" s="1"/>
      <c r="B161" s="1"/>
      <c r="C161" s="14"/>
      <c r="D161" s="14"/>
      <c r="E161" s="15"/>
      <c r="F161" s="14"/>
      <c r="G161" s="15"/>
      <c r="I161" s="1"/>
    </row>
  </sheetData>
  <mergeCells count="16">
    <mergeCell ref="A6:I6"/>
    <mergeCell ref="A81:G81"/>
    <mergeCell ref="A4:C4"/>
    <mergeCell ref="D4:E4"/>
    <mergeCell ref="F4:G4"/>
    <mergeCell ref="H4:I4"/>
    <mergeCell ref="A5:C5"/>
    <mergeCell ref="D5:E5"/>
    <mergeCell ref="F5:G5"/>
    <mergeCell ref="H5:I5"/>
    <mergeCell ref="A1:I1"/>
    <mergeCell ref="A2:I2"/>
    <mergeCell ref="A3:C3"/>
    <mergeCell ref="D3:E3"/>
    <mergeCell ref="F3:G3"/>
    <mergeCell ref="H3:I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Luz Maria Arango Jaraba</dc:creator>
  <cp:keywords/>
  <dc:description/>
  <cp:lastModifiedBy>Ronald Hibaldo Quintero Aguilera</cp:lastModifiedBy>
  <cp:revision/>
  <dcterms:created xsi:type="dcterms:W3CDTF">2026-03-24T14:09:48Z</dcterms:created>
  <dcterms:modified xsi:type="dcterms:W3CDTF">2026-03-26T01:17:16Z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2026-03-24T14:10:35Z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b5a40508-76b1-415f-a53c-eb9a0077198d</vt:lpwstr>
  </property>
  <property fmtid="{D5CDD505-2E9C-101B-9397-08002B2CF9AE}" pid="8" name="MSIP_Label_fc111285-cafa-4fc9-8a9a-bd902089b24f_ContentBits">
    <vt:lpwstr>0</vt:lpwstr>
  </property>
</Properties>
</file>