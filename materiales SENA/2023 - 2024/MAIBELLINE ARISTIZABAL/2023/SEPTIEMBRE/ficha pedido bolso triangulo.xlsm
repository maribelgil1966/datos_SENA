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entrega final\"/>
    </mc:Choice>
  </mc:AlternateContent>
  <xr:revisionPtr revIDLastSave="2" documentId="8_{69C21A84-27D3-4C2C-9D32-47D0DC880D85}" xr6:coauthVersionLast="47" xr6:coauthVersionMax="47" xr10:uidLastSave="{55394AA3-BA09-4B5D-BB56-34AF277DBFB3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<sst xmlns="http://schemas.openxmlformats.org/spreadsheetml/2006/main" count="5058" uniqueCount="1395">
  <si>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</si>
  <si>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</si>
  <si>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</si>
  <si>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</si>
  <si>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</si>
  <si>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</si>
  <si>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</si>
  <si>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</si>
  <si>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</si>
  <si>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</si>
  <si>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</si>
  <si>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</si>
  <si>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bolso triangulo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</si>
  <si>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</si>
  <si>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</si>
  <si>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</si>
  <si>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</si>
  <si>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</si>
  <si>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</si>
  <si>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</si>
  <si>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</si>
  <si>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</si>
  <si>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</si>
  <si>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</si>
  <si>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</si>
  <si>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</si>
  <si>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</si>
  <si>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</si>
  <si>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</si>
  <si>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ADHESIVOS_Solventes</t>
  </si>
  <si>
    <t>PEGANTE CEMENTO DE CONTACTO BASE CLOROPRENO</t>
  </si>
  <si>
    <t>SECUNDARIO_MEDULAR</t>
  </si>
  <si>
    <t xml:space="preserve">HILO NYLON #60
</t>
  </si>
  <si>
    <t xml:space="preserve">PINTURAS PARA CUERO </t>
  </si>
  <si>
    <t>QUÍMICOS</t>
  </si>
  <si>
    <t>Sellafix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</si>
  <si>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</si>
  <si>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</si>
  <si>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</si>
  <si>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</si>
  <si>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</si>
  <si>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</si>
  <si>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</si>
  <si>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</si>
  <si>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</si>
  <si>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</si>
  <si>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</si>
  <si>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</si>
  <si>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</si>
  <si>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</si>
  <si>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</si>
  <si>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</si>
  <si>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</si>
  <si>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</si>
  <si>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</si>
  <si>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</si>
  <si>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</si>
  <si>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</si>
  <si>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</si>
  <si>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</si>
  <si>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</si>
  <si>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</si>
  <si>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</si>
  <si>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</si>
  <si>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</si>
  <si>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</si>
  <si>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</si>
  <si>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</si>
  <si>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</si>
  <si>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</si>
  <si>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</si>
  <si>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</si>
  <si>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</si>
  <si>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</si>
  <si>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</si>
  <si>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</si>
  <si>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</si>
  <si>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</si>
  <si>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</si>
  <si>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</si>
  <si>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</si>
  <si>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</si>
  <si>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</si>
  <si>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</si>
  <si>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</si>
  <si>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</si>
  <si>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</si>
  <si>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</si>
  <si>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</si>
  <si>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</si>
  <si>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</si>
  <si>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27/09/2023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</si>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</sst>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118532</xdr:colOff>
      <xdr:row>0</xdr:row>
      <xdr:rowOff>186267</xdr:rowOff>
    </xdr:from>
    <xdr:to>
      <xdr:col>24</xdr:col>
      <xdr:colOff>465665</xdr:colOff>
      <xdr:row>6</xdr:row>
      <xdr:rowOff>186267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37F9294-F673-6BBB-6F88-582BB6238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6065" y="186267"/>
          <a:ext cx="2912533" cy="1752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C1" zoomScale="90" zoomScaleNormal="90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MA2609-1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45195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78318.214999999997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78318.214999999997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>
        <v>30</v>
      </c>
      <c r="Y8" s="108">
        <f>IFERROR((V8*X8)," ")</f>
        <v>30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51</v>
      </c>
      <c r="R10" s="314"/>
      <c r="S10" s="315">
        <f>IFERROR(IF(Q10="Unidad","1",(Q10*$K$5)),"")</f>
        <v>51</v>
      </c>
      <c r="T10" s="316"/>
      <c r="U10" s="317"/>
      <c r="V10" s="323"/>
      <c r="W10" s="318">
        <f ca="1">IFERROR(IF(D10="","",INDEX(Tabla_Completa,MATCH('Soli_citud '!D10,Materiales,0),7)*S10),"")</f>
        <v>45820.95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51</v>
      </c>
      <c r="R11" s="314"/>
      <c r="S11" s="315">
        <f t="shared" ref="S11:S31" si="1">IFERROR(IF(Q11="Unidad","1",(Q11*$K$5)),"")</f>
        <v>51</v>
      </c>
      <c r="T11" s="316"/>
      <c r="U11" s="317"/>
      <c r="V11" s="317"/>
      <c r="W11" s="318">
        <f ca="1">IFERROR(IF(D11="","",INDEX(Tabla_Completa,MATCH('Soli_citud '!D11,Materiales,0),7)*S11),"")</f>
        <v>19924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>
        <v>30</v>
      </c>
      <c r="R12" s="314"/>
      <c r="S12" s="315">
        <f t="shared" si="1"/>
        <v>30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Cono</v>
      </c>
      <c r="P13" s="312"/>
      <c r="Q13" s="313">
        <v>1</v>
      </c>
      <c r="R13" s="314"/>
      <c r="S13" s="315">
        <f t="shared" si="1"/>
        <v>1</v>
      </c>
      <c r="T13" s="316"/>
      <c r="U13" s="317"/>
      <c r="V13" s="317"/>
      <c r="W13" s="318">
        <f ca="1">IFERROR(IF(D13="","",INDEX(Tabla_Completa,MATCH('Soli_citud '!D13,Materiales,0),7)*S13),"")</f>
        <v>7266.665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0.1</v>
      </c>
      <c r="R14" s="314"/>
      <c r="S14" s="315">
        <f t="shared" si="1"/>
        <v>0.1</v>
      </c>
      <c r="T14" s="316"/>
      <c r="U14" s="317"/>
      <c r="V14" s="317"/>
      <c r="W14" s="318">
        <f ca="1">IFERROR(IF(D14="","",INDEX(Tabla_Completa,MATCH('Soli_citud '!D14,Materiales,0),7)*S14),"")</f>
        <v>5306.6</v>
      </c>
      <c r="X14" s="318"/>
      <c r="Y14" s="318"/>
    </row>
    <row r="15" spans="1:28" ht="15.75" customHeight="1">
      <c r="A15" s="305" t="s">
        <v>34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ml</v>
      </c>
      <c r="P15" s="312"/>
      <c r="Q15" s="313">
        <v>10</v>
      </c>
      <c r="R15" s="314"/>
      <c r="S15" s="315">
        <f t="shared" si="1"/>
        <v>10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6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6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6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6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6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6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6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6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6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6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6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6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6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6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99" t="s">
        <v>36</v>
      </c>
      <c r="B39" s="399"/>
      <c r="C39" s="399"/>
      <c r="D39" s="400" t="s">
        <v>37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45">
      <c r="A40" s="238" t="s">
        <v>38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39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4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4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">
      <c r="A44" s="397" t="s">
        <v>40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29</v>
      </c>
      <c r="O44" s="389"/>
      <c r="P44" s="389"/>
      <c r="Q44" s="389"/>
      <c r="R44" s="395" t="s">
        <v>41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42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43</v>
      </c>
      <c r="O45" s="389"/>
      <c r="P45" s="389"/>
      <c r="Q45" s="389"/>
      <c r="R45" s="396" t="s">
        <v>44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45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46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47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48</v>
      </c>
      <c r="O47" s="389"/>
      <c r="P47" s="389"/>
      <c r="Q47" s="389"/>
      <c r="R47" s="388" t="s">
        <v>49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50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51</v>
      </c>
      <c r="O48" s="389"/>
      <c r="P48" s="389"/>
      <c r="Q48" s="389"/>
      <c r="R48" s="388" t="s">
        <v>52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53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54</v>
      </c>
      <c r="O49" s="390"/>
      <c r="P49" s="390"/>
      <c r="Q49" s="390"/>
      <c r="R49" s="396" t="s">
        <v>55</v>
      </c>
      <c r="S49" s="396"/>
      <c r="T49" s="396"/>
      <c r="U49" s="396"/>
      <c r="V49" s="396"/>
      <c r="W49" s="396"/>
      <c r="X49" s="396"/>
    </row>
    <row r="50" spans="1:24" ht="14.45">
      <c r="A50" s="394"/>
      <c r="B50" s="394"/>
      <c r="C50" s="394"/>
      <c r="D50" s="394"/>
      <c r="N50" s="389" t="s">
        <v>56</v>
      </c>
      <c r="O50" s="389"/>
      <c r="P50" s="389"/>
      <c r="Q50" s="389"/>
      <c r="R50" s="388" t="s">
        <v>57</v>
      </c>
      <c r="S50" s="388"/>
      <c r="T50" s="388"/>
      <c r="U50" s="388"/>
      <c r="V50" s="388"/>
      <c r="W50" s="388"/>
      <c r="X50" s="388"/>
    </row>
    <row r="51" spans="1:24" ht="14.45">
      <c r="N51" s="389" t="s">
        <v>58</v>
      </c>
      <c r="O51" s="389"/>
      <c r="P51" s="389"/>
      <c r="Q51" s="389"/>
      <c r="R51" s="388" t="s">
        <v>59</v>
      </c>
      <c r="S51" s="388"/>
      <c r="T51" s="388"/>
      <c r="U51" s="388"/>
      <c r="V51" s="388"/>
      <c r="W51" s="388"/>
      <c r="X51" s="388"/>
    </row>
    <row r="52" spans="1:24" ht="14.45">
      <c r="N52" s="389" t="s">
        <v>60</v>
      </c>
      <c r="O52" s="389"/>
      <c r="P52" s="389"/>
      <c r="Q52" s="389"/>
      <c r="R52" s="388" t="s">
        <v>49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J13" sqref="J13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61</v>
      </c>
      <c r="E1" s="472"/>
      <c r="F1" s="472"/>
      <c r="G1" s="472"/>
      <c r="H1" s="472"/>
      <c r="I1" s="472"/>
      <c r="J1" s="477" t="s">
        <v>62</v>
      </c>
      <c r="K1" s="478"/>
      <c r="L1" s="478"/>
      <c r="M1" s="479"/>
      <c r="N1" s="473">
        <f>IF('Soli_citud '!O1="","",'Soli_citud '!O1)</f>
        <v>45195</v>
      </c>
      <c r="O1" s="474"/>
      <c r="P1" s="407" t="s">
        <v>63</v>
      </c>
      <c r="Q1" s="408"/>
      <c r="R1" s="403" t="str">
        <f>IF('Soli_citud '!D4="","",'Soli_citud '!D4)</f>
        <v>bolso triangulo</v>
      </c>
      <c r="S1" s="404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65</v>
      </c>
      <c r="K2" s="455"/>
      <c r="L2" s="455"/>
      <c r="M2" s="456"/>
      <c r="N2" s="475" t="str">
        <f>'Soli_citud '!F1</f>
        <v>MA2609-1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66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67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68</v>
      </c>
      <c r="C6" s="449"/>
      <c r="D6" s="450"/>
      <c r="E6" s="465" t="s">
        <v>69</v>
      </c>
      <c r="F6" s="465"/>
      <c r="G6" s="465"/>
      <c r="H6" s="465"/>
      <c r="I6" s="466"/>
      <c r="J6" s="439" t="s">
        <v>70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78318.214999999997</v>
      </c>
      <c r="C8" s="427"/>
      <c r="D8" s="428"/>
      <c r="E8" s="445" t="s">
        <v>71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72</v>
      </c>
      <c r="C9" s="430"/>
      <c r="D9" s="422"/>
      <c r="E9" s="421" t="s">
        <v>73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74</v>
      </c>
      <c r="K10" s="461"/>
      <c r="L10" s="462"/>
      <c r="M10" s="242">
        <f>'Soli_citud '!K5</f>
        <v>1</v>
      </c>
      <c r="N10" s="443" t="s">
        <v>75</v>
      </c>
      <c r="O10" s="444"/>
      <c r="P10" s="411"/>
      <c r="Q10" s="412"/>
      <c r="R10" s="243" t="s">
        <v>76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77</v>
      </c>
      <c r="B11" s="264" t="s">
        <v>78</v>
      </c>
      <c r="C11" s="423" t="s">
        <v>79</v>
      </c>
      <c r="D11" s="424"/>
      <c r="E11" s="424"/>
      <c r="F11" s="425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59" t="s">
        <v>24</v>
      </c>
      <c r="M11" s="460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MA2609-1</v>
      </c>
      <c r="C12" s="420" t="str">
        <f>IFERROR(IF('Soli_citud '!D10="","",'Soli_citud '!D10),"")</f>
        <v>CUERO NAPA CON CERA Y ACABADO ESPEJO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51</v>
      </c>
      <c r="I12" s="227" t="s">
        <v>91</v>
      </c>
      <c r="J12" s="228">
        <v>51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MA2609-1</v>
      </c>
      <c r="C13" s="420" t="str">
        <f>IFERROR(IF('Soli_citud '!D11="","",'Soli_citud '!D11),"")</f>
        <v xml:space="preserve">CUERO FORRO BADANA
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51</v>
      </c>
      <c r="I13" s="227"/>
      <c r="J13" s="229"/>
      <c r="K13" s="207" cm="1">
        <f t="array" ref="K13">IFERROR(_xlfn.IFS(H13="","",J13=H13,"Cumplido",J13&lt;H13,H13-J13,J13&gt;H13,"Revisar"),"")</f>
        <v>51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MA2609-1</v>
      </c>
      <c r="C14" s="420" t="str">
        <f>IFERROR(IF('Soli_citud '!D12="","",'Soli_citud '!D12),"")</f>
        <v>PEGANTE CEMENTO DE CONTACTO BASE CLOROPRENO</v>
      </c>
      <c r="D14" s="420"/>
      <c r="E14" s="420"/>
      <c r="F14" s="420"/>
      <c r="G14" s="226" t="str">
        <f ca="1">IF('Soli_citud '!O12="","",'Soli_citud '!O12)</f>
        <v/>
      </c>
      <c r="H14" s="226" cm="1">
        <f t="array" ref="H14">_xlfn.IFS('Soli_citud '!S12="","",'Soli_citud '!S12&lt;=0,"",'Soli_citud '!S12&gt;0,'Soli_citud '!S12)</f>
        <v>30</v>
      </c>
      <c r="I14" s="230"/>
      <c r="J14" s="229"/>
      <c r="K14" s="207" cm="1">
        <f t="array" ref="K14">IFERROR(_xlfn.IFS(H14="","",J14=H14,"Cumplido",J14&lt;H14,H14-J14,J14&gt;H14,"Revisar"),"")</f>
        <v>30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MA2609-1</v>
      </c>
      <c r="C15" s="420" t="str">
        <f>IFERROR(IF('Soli_citud '!D13="","",'Soli_citud '!D13),"")</f>
        <v xml:space="preserve">HILO NYLON #60
</v>
      </c>
      <c r="D15" s="420"/>
      <c r="E15" s="420"/>
      <c r="F15" s="420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MA2609-1</v>
      </c>
      <c r="C16" s="420" t="str">
        <f>IFERROR(IF('Soli_citud '!D14="","",'Soli_citud '!D14),"")</f>
        <v xml:space="preserve">PINTURAS PARA CUERO </v>
      </c>
      <c r="D16" s="420"/>
      <c r="E16" s="420"/>
      <c r="F16" s="420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0.1</v>
      </c>
      <c r="I16" s="230"/>
      <c r="J16" s="229"/>
      <c r="K16" s="207" cm="1">
        <f t="array" ref="K16">IFERROR(_xlfn.IFS(H16="","",J16=H16,"Cumplido",J16&lt;H16,H16-J16,J16&gt;H16,"Revisar"),"")</f>
        <v>0.1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MA2609-1</v>
      </c>
      <c r="C17" s="420" t="str">
        <f>IFERROR(IF('Soli_citud '!D15="","",'Soli_citud '!D15),"")</f>
        <v>Sellafix</v>
      </c>
      <c r="D17" s="420"/>
      <c r="E17" s="420"/>
      <c r="F17" s="420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10</v>
      </c>
      <c r="I17" s="230"/>
      <c r="J17" s="229"/>
      <c r="K17" s="207" cm="1">
        <f t="array" ref="K17">IFERROR(_xlfn.IFS(H17="","",J17=H17,"Cumplido",J17&lt;H17,H17-J17,J17&gt;H17,"Revisar"),"")</f>
        <v>10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92</v>
      </c>
      <c r="F1" s="486"/>
      <c r="Z1" s="252" t="s">
        <v>64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2"/>
      <c r="D6" s="483"/>
      <c r="H6" s="480" t="s">
        <v>94</v>
      </c>
      <c r="I6" s="480"/>
    </row>
    <row r="7" spans="1:26" ht="46.9">
      <c r="A7" s="73" t="s">
        <v>77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29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29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29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29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29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29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29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29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29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29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29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29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29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77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77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236</v>
      </c>
      <c r="C162" s="219" t="s">
        <v>31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31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31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31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31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31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31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31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31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31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31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31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31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31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31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31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31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31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31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31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31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31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31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31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31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31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31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31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31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31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31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31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31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31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31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31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31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31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31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31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31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31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31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31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31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31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31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31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31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31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31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31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31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31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31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31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31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31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31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31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31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31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31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31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31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31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31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31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31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9" t="s">
        <v>31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31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31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31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31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31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31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31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31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31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31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31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111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31</v>
      </c>
      <c r="D249" s="48" t="s">
        <v>111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</v>
      </c>
      <c r="C250" s="276" t="s">
        <v>31</v>
      </c>
      <c r="D250" s="277" t="s">
        <v>111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330</v>
      </c>
      <c r="C251" s="276" t="s">
        <v>31</v>
      </c>
      <c r="D251" s="277" t="s">
        <v>240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331</v>
      </c>
      <c r="C252" s="276" t="s">
        <v>31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31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31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31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31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31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6" t="s">
        <v>31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338</v>
      </c>
      <c r="C259" s="276" t="s">
        <v>31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339</v>
      </c>
      <c r="C260" s="276" t="s">
        <v>31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</v>
      </c>
      <c r="C261" s="276" t="s">
        <v>31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31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31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77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369</v>
      </c>
      <c r="C516" s="219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26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26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26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77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391</v>
      </c>
      <c r="C562" s="219" t="s">
        <v>48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48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48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48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48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48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48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48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48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48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48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48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48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48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48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48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48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48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48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48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48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48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48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48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48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48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48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48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48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48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48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48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48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48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48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48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48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48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48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48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48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48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48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48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48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48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48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48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48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48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48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48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48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48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48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48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48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48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48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48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48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48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48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48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48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48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48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48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48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48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48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48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48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48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48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48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48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48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48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48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48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48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48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48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48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48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48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48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48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48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48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48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48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48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48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48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48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48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48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48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48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48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48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48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48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48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48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48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48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48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48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48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48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48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48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48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48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48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48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48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48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48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48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48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48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48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48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48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48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48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48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48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48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48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48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48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48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48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48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48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48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48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48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48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48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48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48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48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48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48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48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48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48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48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48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48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48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48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48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48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48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48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48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48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48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48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48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48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48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48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48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48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48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48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48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48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48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48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48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48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48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48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48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48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48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48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48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48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48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48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48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48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48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48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48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48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48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48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48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48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48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48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48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9" t="s">
        <v>48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48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48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48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48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48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48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48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48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48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48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48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48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48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48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48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48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48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48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48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48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48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48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9" t="s">
        <v>48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9" t="s">
        <v>48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9" t="s">
        <v>48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9" t="s">
        <v>48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9" t="s">
        <v>48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9" t="s">
        <v>48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9" t="s">
        <v>48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9" t="s">
        <v>48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9" t="s">
        <v>48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9" t="s">
        <v>48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9" t="s">
        <v>48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9" t="s">
        <v>48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9" t="s">
        <v>48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9" t="s">
        <v>48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9" t="s">
        <v>48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9" t="s">
        <v>48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9" t="s">
        <v>48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9" t="s">
        <v>48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9" t="s">
        <v>48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9" t="s">
        <v>48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9" t="s">
        <v>48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9" t="s">
        <v>48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9" t="s">
        <v>48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9" t="s">
        <v>48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9" t="s">
        <v>48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48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643</v>
      </c>
      <c r="C814" s="219" t="s">
        <v>48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9" t="s">
        <v>48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9" t="s">
        <v>48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646</v>
      </c>
      <c r="C817" s="219" t="s">
        <v>48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647</v>
      </c>
      <c r="C818" s="219" t="s">
        <v>48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648</v>
      </c>
      <c r="C819" s="219" t="s">
        <v>48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48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650</v>
      </c>
      <c r="C821" s="219" t="s">
        <v>48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48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48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653</v>
      </c>
      <c r="C824" s="219" t="s">
        <v>48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48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48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48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657</v>
      </c>
      <c r="C828" s="219" t="s">
        <v>48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9" t="s">
        <v>48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9" t="s">
        <v>48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9" t="s">
        <v>48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9" t="s">
        <v>48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48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663</v>
      </c>
      <c r="C834" s="219" t="s">
        <v>48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9" t="s">
        <v>48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9" t="s">
        <v>48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9" t="s">
        <v>48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9" t="s">
        <v>48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668</v>
      </c>
      <c r="C839" s="219" t="s">
        <v>48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9" t="s">
        <v>48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9" t="s">
        <v>48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48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48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673</v>
      </c>
      <c r="C844" s="219" t="s">
        <v>48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48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48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676</v>
      </c>
      <c r="C847" s="219" t="s">
        <v>48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48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48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48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48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48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682</v>
      </c>
      <c r="C853" s="219" t="s">
        <v>48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48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48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48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48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48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48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689</v>
      </c>
      <c r="C860" s="219" t="s">
        <v>48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690</v>
      </c>
      <c r="C861" s="219" t="s">
        <v>48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9" t="s">
        <v>48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9" t="s">
        <v>48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48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694</v>
      </c>
      <c r="C865" s="219" t="s">
        <v>48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9" t="s">
        <v>48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696</v>
      </c>
      <c r="C867" s="219" t="s">
        <v>48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9" t="s">
        <v>48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9" t="s">
        <v>48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9" t="s">
        <v>48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9" t="s">
        <v>48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9" t="s">
        <v>48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48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48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48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48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48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707</v>
      </c>
      <c r="C878" s="219" t="s">
        <v>48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48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48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48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48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48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48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48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48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48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48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718</v>
      </c>
      <c r="C889" s="219" t="s">
        <v>48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48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48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48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48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723</v>
      </c>
      <c r="C894" s="219" t="s">
        <v>48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724</v>
      </c>
      <c r="C895" s="219" t="s">
        <v>48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725</v>
      </c>
      <c r="C896" s="219" t="s">
        <v>48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726</v>
      </c>
      <c r="C897" s="219" t="s">
        <v>48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727</v>
      </c>
      <c r="C898" s="219" t="s">
        <v>48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728</v>
      </c>
      <c r="C899" s="219" t="s">
        <v>48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729</v>
      </c>
      <c r="C900" s="219" t="s">
        <v>48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730</v>
      </c>
      <c r="C901" s="219" t="s">
        <v>48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731</v>
      </c>
      <c r="C902" s="219" t="s">
        <v>48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732</v>
      </c>
      <c r="C903" s="219" t="s">
        <v>48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733</v>
      </c>
      <c r="C904" s="219" t="s">
        <v>48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734</v>
      </c>
      <c r="C905" s="219" t="s">
        <v>48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735</v>
      </c>
      <c r="C906" s="219" t="s">
        <v>48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736</v>
      </c>
      <c r="C907" s="219" t="s">
        <v>48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737</v>
      </c>
      <c r="C908" s="219" t="s">
        <v>48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738</v>
      </c>
      <c r="C909" s="219" t="s">
        <v>48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739</v>
      </c>
      <c r="C910" s="219" t="s">
        <v>48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740</v>
      </c>
      <c r="C911" s="219" t="s">
        <v>48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741</v>
      </c>
      <c r="C912" s="219" t="s">
        <v>48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742</v>
      </c>
      <c r="C913" s="219" t="s">
        <v>48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743</v>
      </c>
      <c r="C914" s="219" t="s">
        <v>48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744</v>
      </c>
      <c r="C915" s="219" t="s">
        <v>48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745</v>
      </c>
      <c r="C916" s="219" t="s">
        <v>48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746</v>
      </c>
      <c r="C917" s="219" t="s">
        <v>48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747</v>
      </c>
      <c r="C918" s="219" t="s">
        <v>48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748</v>
      </c>
      <c r="C919" s="219" t="s">
        <v>48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749</v>
      </c>
      <c r="C920" s="219" t="s">
        <v>48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750</v>
      </c>
      <c r="C921" s="219" t="s">
        <v>48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751</v>
      </c>
      <c r="C922" s="219" t="s">
        <v>48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752</v>
      </c>
      <c r="C923" s="219" t="s">
        <v>48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753</v>
      </c>
      <c r="C924" s="219" t="s">
        <v>48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754</v>
      </c>
      <c r="C925" s="219" t="s">
        <v>48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755</v>
      </c>
      <c r="C926" s="219" t="s">
        <v>48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756</v>
      </c>
      <c r="C927" s="219" t="s">
        <v>48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757</v>
      </c>
      <c r="C928" s="219" t="s">
        <v>48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758</v>
      </c>
      <c r="C929" s="219" t="s">
        <v>48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759</v>
      </c>
      <c r="C930" s="219" t="s">
        <v>48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760</v>
      </c>
      <c r="C931" s="219" t="s">
        <v>48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761</v>
      </c>
      <c r="C932" s="219" t="s">
        <v>48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762</v>
      </c>
      <c r="C933" s="219" t="s">
        <v>48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763</v>
      </c>
      <c r="C934" s="219" t="s">
        <v>48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764</v>
      </c>
      <c r="C935" s="219" t="s">
        <v>48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765</v>
      </c>
      <c r="C936" s="219" t="s">
        <v>48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766</v>
      </c>
      <c r="C937" s="219" t="s">
        <v>48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767</v>
      </c>
      <c r="C938" s="219" t="s">
        <v>48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768</v>
      </c>
      <c r="C939" s="219" t="s">
        <v>48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769</v>
      </c>
      <c r="C940" s="219" t="s">
        <v>48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770</v>
      </c>
      <c r="C941" s="219" t="s">
        <v>48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771</v>
      </c>
      <c r="C942" s="219" t="s">
        <v>48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772</v>
      </c>
      <c r="C943" s="219" t="s">
        <v>48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773</v>
      </c>
      <c r="C944" s="219" t="s">
        <v>48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774</v>
      </c>
      <c r="C945" s="219" t="s">
        <v>48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775</v>
      </c>
      <c r="C946" s="219" t="s">
        <v>48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776</v>
      </c>
      <c r="C947" s="219" t="s">
        <v>48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777</v>
      </c>
      <c r="C948" s="219" t="s">
        <v>48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778</v>
      </c>
      <c r="C949" s="219" t="s">
        <v>48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779</v>
      </c>
      <c r="C950" s="219" t="s">
        <v>48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780</v>
      </c>
      <c r="C951" s="219" t="s">
        <v>48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781</v>
      </c>
      <c r="C952" s="219" t="s">
        <v>48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782</v>
      </c>
      <c r="C953" s="219" t="s">
        <v>48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783</v>
      </c>
      <c r="C954" s="219" t="s">
        <v>48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784</v>
      </c>
      <c r="C955" s="219" t="s">
        <v>48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48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48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787</v>
      </c>
      <c r="C958" s="219" t="s">
        <v>48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788</v>
      </c>
      <c r="C959" s="219" t="s">
        <v>48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789</v>
      </c>
      <c r="C960" s="219" t="s">
        <v>48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790</v>
      </c>
      <c r="C961" s="219" t="s">
        <v>48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791</v>
      </c>
      <c r="C962" s="219" t="s">
        <v>48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792</v>
      </c>
      <c r="C963" s="219" t="s">
        <v>48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793</v>
      </c>
      <c r="C964" s="219" t="s">
        <v>48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48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795</v>
      </c>
      <c r="C966" s="219" t="s">
        <v>48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796</v>
      </c>
      <c r="C967" s="219" t="s">
        <v>48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797</v>
      </c>
      <c r="C968" s="219" t="s">
        <v>48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798</v>
      </c>
      <c r="C969" s="219" t="s">
        <v>48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799</v>
      </c>
      <c r="C970" s="219" t="s">
        <v>48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800</v>
      </c>
      <c r="C971" s="219" t="s">
        <v>48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801</v>
      </c>
      <c r="C972" s="219" t="s">
        <v>48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802</v>
      </c>
      <c r="C973" s="219" t="s">
        <v>48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803</v>
      </c>
      <c r="C974" s="219" t="s">
        <v>48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804</v>
      </c>
      <c r="C975" s="219" t="s">
        <v>48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805</v>
      </c>
      <c r="C976" s="219" t="s">
        <v>48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48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48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48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48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48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48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93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6.9">
      <c r="A1010" s="118" t="s">
        <v>77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812</v>
      </c>
      <c r="C1011" s="160" t="s">
        <v>58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58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58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58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58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58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58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58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58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58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58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58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58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58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58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58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58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58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58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58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58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58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58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58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58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58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58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58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840</v>
      </c>
      <c r="C1039" s="160" t="s">
        <v>58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841</v>
      </c>
      <c r="C1040" s="160" t="s">
        <v>58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842</v>
      </c>
      <c r="C1041" s="160" t="s">
        <v>58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843</v>
      </c>
      <c r="C1042" s="160" t="s">
        <v>58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58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1"/>
      <c r="D1064" s="490"/>
      <c r="E1064"/>
      <c r="F1064" s="189"/>
      <c r="H1064"/>
      <c r="I1064"/>
    </row>
    <row r="1065" spans="1:10" ht="21.6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77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28.9">
      <c r="A1067" s="83">
        <v>1</v>
      </c>
      <c r="B1067" s="206" t="s">
        <v>845</v>
      </c>
      <c r="C1067" s="219" t="s">
        <v>60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846</v>
      </c>
      <c r="C1068" s="219" t="s">
        <v>60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60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848</v>
      </c>
      <c r="C1070" s="219" t="s">
        <v>60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849</v>
      </c>
      <c r="C1071" s="219" t="s">
        <v>60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850</v>
      </c>
      <c r="C1072" s="219" t="s">
        <v>60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851</v>
      </c>
      <c r="C1073" s="219" t="s">
        <v>60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6.9">
      <c r="A1106" s="81" t="s">
        <v>77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28.9">
      <c r="A1107" s="83">
        <v>1</v>
      </c>
      <c r="B1107" s="206" t="s">
        <v>852</v>
      </c>
      <c r="C1107" s="37" t="s">
        <v>853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854</v>
      </c>
      <c r="C1108" s="37" t="s">
        <v>853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856</v>
      </c>
      <c r="C1110" s="37" t="s">
        <v>853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857</v>
      </c>
      <c r="C1111" s="37" t="s">
        <v>853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858</v>
      </c>
      <c r="C1112" s="37" t="s">
        <v>853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859</v>
      </c>
      <c r="C1113" s="37" t="s">
        <v>853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1019</v>
      </c>
      <c r="C1273" s="276" t="s">
        <v>853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1025</v>
      </c>
      <c r="C1278" s="276" t="s">
        <v>853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1026</v>
      </c>
      <c r="C1279" s="276" t="s">
        <v>853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1027</v>
      </c>
      <c r="C1280" s="276" t="s">
        <v>853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1030</v>
      </c>
      <c r="C1283" s="276" t="s">
        <v>853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1030</v>
      </c>
      <c r="C1284" s="276" t="s">
        <v>853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1035</v>
      </c>
      <c r="C1288" s="276" t="s">
        <v>853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1036</v>
      </c>
      <c r="C1289" s="276" t="s">
        <v>853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1037</v>
      </c>
      <c r="C1290" s="276" t="s">
        <v>853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93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77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1038</v>
      </c>
      <c r="C1328" s="37" t="s">
        <v>1039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1039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1039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1039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1039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1039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1039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1039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1039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1039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1039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1039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1039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1039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1039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1039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1039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1039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1039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1039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1059</v>
      </c>
      <c r="C1348" s="37" t="s">
        <v>1039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1060</v>
      </c>
      <c r="C1349" s="37" t="s">
        <v>1039</v>
      </c>
      <c r="D1349" s="48" t="s">
        <v>1061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1062</v>
      </c>
      <c r="C1350" s="37" t="s">
        <v>1039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1064</v>
      </c>
      <c r="C1351" s="37" t="s">
        <v>1039</v>
      </c>
      <c r="D1351" s="48" t="s">
        <v>1065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1066</v>
      </c>
      <c r="C1352" s="37" t="s">
        <v>1039</v>
      </c>
      <c r="D1352" s="48" t="s">
        <v>1063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1067</v>
      </c>
      <c r="C1353" s="37" t="s">
        <v>1039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1039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1039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1039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1039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1039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1039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1039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1039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1039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1039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1039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1039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1039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1039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1039</v>
      </c>
      <c r="D1368" s="48" t="s">
        <v>1085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1039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1039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1039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1039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1039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1039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1039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1039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1039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1039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1039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1039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1039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1039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1039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1039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1039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1039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1039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1039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1039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1039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1039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1039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1039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1039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1039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1039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1114</v>
      </c>
      <c r="C1397" s="219" t="s">
        <v>1039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1039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1039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1118</v>
      </c>
      <c r="C1400" s="219" t="s">
        <v>1039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1039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1039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1039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1122</v>
      </c>
      <c r="C1404" s="219" t="s">
        <v>1039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1039</v>
      </c>
      <c r="D1405" s="248" t="s">
        <v>216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1039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1039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1039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1039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1039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1039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1039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1039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1039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1039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93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77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1134</v>
      </c>
      <c r="C1428" s="219" t="s">
        <v>56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56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56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56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56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56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56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56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56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56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56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56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56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56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56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56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56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19" t="s">
        <v>56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19" t="s">
        <v>56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56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56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56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56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56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56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56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56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56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56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56</v>
      </c>
      <c r="D1457" s="48" t="s">
        <v>1070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56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56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56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56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56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56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56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56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56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56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56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56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56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56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56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56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56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56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56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56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56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56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56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19" t="s">
        <v>56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19" t="s">
        <v>56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56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56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56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56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56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56</v>
      </c>
      <c r="D1488" s="48" t="s">
        <v>1070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56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56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56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56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56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56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56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56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56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56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56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56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56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56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19" t="s">
        <v>56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9" t="s">
        <v>56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56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56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56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56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19" t="s">
        <v>56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1039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93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6.9">
      <c r="A1521" s="92" t="s">
        <v>77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1220</v>
      </c>
      <c r="C1522" s="100" t="s">
        <v>34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34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34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34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34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34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34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34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34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34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34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34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34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34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34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34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34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34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34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34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34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34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34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34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34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34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34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34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34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34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34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34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34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34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34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34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34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34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34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34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34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34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34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34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34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34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34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1270</v>
      </c>
      <c r="C1569" s="100" t="s">
        <v>34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34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34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34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34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34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34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34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34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34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34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34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34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35</v>
      </c>
      <c r="C1582" s="100" t="s">
        <v>34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34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34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34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34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34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34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34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34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34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34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34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34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34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34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34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34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34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34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34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34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34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34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34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34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34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29</v>
      </c>
    </row>
    <row r="3" spans="1:13" outlineLevel="1">
      <c r="A3" s="3" t="s">
        <v>1319</v>
      </c>
      <c r="B3" s="5" t="s">
        <v>216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28.9" outlineLevel="1">
      <c r="A4" s="2" t="s">
        <v>1324</v>
      </c>
      <c r="B4" s="5" t="s">
        <v>307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48</v>
      </c>
    </row>
    <row r="5" spans="1:13" ht="28.9" outlineLevel="1">
      <c r="A5" s="3" t="s">
        <v>1329</v>
      </c>
      <c r="B5" s="5" t="s">
        <v>1330</v>
      </c>
      <c r="D5" s="269" t="s">
        <v>14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853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1039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31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58</v>
      </c>
    </row>
    <row r="9" spans="1:13" outlineLevel="1">
      <c r="A9" s="2" t="s">
        <v>1348</v>
      </c>
      <c r="B9" s="5" t="s">
        <v>1203</v>
      </c>
      <c r="F9" s="2" t="s">
        <v>9</v>
      </c>
      <c r="H9" t="s">
        <v>1349</v>
      </c>
      <c r="I9">
        <v>70323724</v>
      </c>
      <c r="K9" t="s">
        <v>1350</v>
      </c>
      <c r="M9" s="79" t="s">
        <v>60</v>
      </c>
    </row>
    <row r="10" spans="1:13" outlineLevel="1">
      <c r="A10" s="2" t="s">
        <v>1351</v>
      </c>
      <c r="B10" s="5" t="s">
        <v>105</v>
      </c>
      <c r="F10" s="3" t="s">
        <v>1352</v>
      </c>
      <c r="H10" s="24" t="s">
        <v>1353</v>
      </c>
      <c r="I10" s="20">
        <v>32142539</v>
      </c>
      <c r="K10" t="s">
        <v>1354</v>
      </c>
      <c r="M10" s="233" t="s">
        <v>122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56</v>
      </c>
    </row>
    <row r="12" spans="1:13" ht="28.9" outlineLevel="1">
      <c r="A12" s="3" t="s">
        <v>1360</v>
      </c>
      <c r="B12" s="5" t="s">
        <v>1032</v>
      </c>
      <c r="F12" s="302" t="s">
        <v>1361</v>
      </c>
      <c r="H12" s="27" t="s">
        <v>1362</v>
      </c>
      <c r="I12" s="28">
        <v>32184975</v>
      </c>
      <c r="M12" s="233" t="s">
        <v>34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1230</v>
      </c>
      <c r="H14" s="24" t="s">
        <v>1366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238</v>
      </c>
      <c r="H16" s="254" t="s">
        <v>1369</v>
      </c>
      <c r="I16" s="22">
        <v>71278905</v>
      </c>
    </row>
    <row r="17" spans="1:9" outlineLevel="1">
      <c r="A17" s="2" t="s">
        <v>1370</v>
      </c>
      <c r="B17" s="5" t="s">
        <v>360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1223</v>
      </c>
      <c r="H18" s="25" t="s">
        <v>1373</v>
      </c>
      <c r="I18" s="256" t="s">
        <v>1374</v>
      </c>
    </row>
    <row r="19" spans="1:9" outlineLevel="1">
      <c r="A19" s="3" t="s">
        <v>1375</v>
      </c>
      <c r="B19" s="5" t="s">
        <v>241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106</v>
      </c>
      <c r="H21" s="21" t="s">
        <v>1381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208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174</v>
      </c>
      <c r="H24" s="21" t="s">
        <v>6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111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