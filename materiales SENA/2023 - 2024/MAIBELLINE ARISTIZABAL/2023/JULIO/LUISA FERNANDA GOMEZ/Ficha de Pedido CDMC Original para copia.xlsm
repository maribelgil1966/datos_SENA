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33" documentId="8_{72A1FF4A-CF71-4B26-92D4-348B75014A25}" xr6:coauthVersionLast="47" xr6:coauthVersionMax="47" xr10:uidLastSave="{67867768-A79B-45D7-9F39-2D60A35C9BAB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<sst xmlns="http://schemas.openxmlformats.org/spreadsheetml/2006/main" count="5053" uniqueCount="1392">
  <si>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</si>
  <si>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</si>
  <si>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</si>
  <si>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</si>
  <si>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</si>
  <si>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</si>
  <si>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</si>
  <si>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</si>
  <si>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</si>
  <si>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</si>
  <si>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</si>
  <si>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</si>
  <si>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</si>
  <si>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</si>
  <si>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</si>
  <si>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</si>
  <si>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</si>
  <si>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</si>
  <si>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</si>
  <si>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</si>
  <si>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</si>
  <si>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</si>
  <si>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HERRAJES</t>
  </si>
  <si>
    <t>IMÁN MONEDA 20MM</t>
  </si>
  <si>
    <t>CUERO</t>
  </si>
  <si>
    <t>CUERO NAPA CON CERA Y ACABADO ESPEJO</t>
  </si>
  <si>
    <t>SiNTETICOS_TEXTILES</t>
  </si>
  <si>
    <t>FORRO MARROQUINERO DE POLIÉSTER</t>
  </si>
  <si>
    <t>MICROFIBRA LORY POLINYLON 120 ANTRA MT</t>
  </si>
  <si>
    <t>INSUMOS_COMPL_</t>
  </si>
  <si>
    <t>COLA DE RATA #6</t>
  </si>
  <si>
    <t>CUADRANTE DE LUJO 1"  X 3/4"ORO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</si>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</sst>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/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/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 t="str">
        <f>IF(E2="","",INDEX(Tabla3[],MATCH('Soli_citud '!E2,Intructores,0),2))</f>
        <v/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/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 ca="1">IF(K5="","",(SUM(W10:Y28)-(SUMIF(U10:V28,"Restar_Pedido",W10:Y28)))/$K$5)</f>
        <v>92278.50654285714</v>
      </c>
      <c r="E5" s="395"/>
      <c r="F5" s="396"/>
      <c r="G5" s="380" t="s">
        <v>12</v>
      </c>
      <c r="H5" s="397"/>
      <c r="I5" s="397"/>
      <c r="J5" s="381"/>
      <c r="K5" s="355">
        <v>1</v>
      </c>
      <c r="L5" s="355"/>
      <c r="M5" s="356" t="s">
        <v>13</v>
      </c>
      <c r="N5" s="356"/>
      <c r="O5" s="345">
        <f ca="1">IFERROR(IF(K5=0,"",D5*K5),"")</f>
        <v>92278.50654285714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 t="s">
        <v>22</v>
      </c>
      <c r="B10" s="308"/>
      <c r="C10" s="309"/>
      <c r="D10" s="398" t="s">
        <v>23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U</v>
      </c>
      <c r="P10" s="314"/>
      <c r="Q10" s="315">
        <v>8</v>
      </c>
      <c r="R10" s="316"/>
      <c r="S10" s="317">
        <f>IFERROR(IF(Q10="Unidad","1",(Q10*$K$5)),"")</f>
        <v>8</v>
      </c>
      <c r="T10" s="318"/>
      <c r="U10" s="305"/>
      <c r="V10" s="401"/>
      <c r="W10" s="306">
        <f ca="1">IFERROR(IF(D10="","",INDEX(Tabla_Completa,MATCH('Soli_citud '!D10,Materiales,0),7)*S10),"")</f>
        <v>29028.560000000001</v>
      </c>
      <c r="X10" s="306"/>
      <c r="Y10" s="306"/>
      <c r="Z10" s="34"/>
    </row>
    <row r="11" spans="1:28" ht="17.25" customHeight="1">
      <c r="A11" s="307" t="s">
        <v>24</v>
      </c>
      <c r="B11" s="308"/>
      <c r="C11" s="309"/>
      <c r="D11" s="398" t="s">
        <v>25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65</v>
      </c>
      <c r="R11" s="316"/>
      <c r="S11" s="317">
        <f t="shared" ref="S11:S31" si="1">IFERROR(IF(Q11="Unidad","1",(Q11*$K$5)),"")</f>
        <v>65</v>
      </c>
      <c r="T11" s="318"/>
      <c r="U11" s="305"/>
      <c r="V11" s="305"/>
      <c r="W11" s="306">
        <f ca="1">IFERROR(IF(D11="","",INDEX(Tabla_Completa,MATCH('Soli_citud '!D11,Materiales,0),7)*S11),"")</f>
        <v>58399.249999999993</v>
      </c>
      <c r="X11" s="306"/>
      <c r="Y11" s="306"/>
    </row>
    <row r="12" spans="1:28" ht="15.75" customHeight="1">
      <c r="A12" s="307" t="s">
        <v>26</v>
      </c>
      <c r="B12" s="308"/>
      <c r="C12" s="309"/>
      <c r="D12" s="402" t="s">
        <v>27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50</v>
      </c>
      <c r="R12" s="316"/>
      <c r="S12" s="317">
        <f t="shared" si="1"/>
        <v>50</v>
      </c>
      <c r="T12" s="318"/>
      <c r="U12" s="305"/>
      <c r="V12" s="305"/>
      <c r="W12" s="306">
        <f ca="1">IFERROR(IF(D12="","",INDEX(Tabla_Completa,MATCH('Soli_citud '!D12,Materiales,0),7)*S12),"")</f>
        <v>100.05714285714286</v>
      </c>
      <c r="X12" s="306"/>
      <c r="Y12" s="306"/>
    </row>
    <row r="13" spans="1:28" ht="15.75" customHeight="1">
      <c r="A13" s="307" t="s">
        <v>26</v>
      </c>
      <c r="B13" s="308"/>
      <c r="C13" s="309"/>
      <c r="D13" s="398" t="s">
        <v>28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35</v>
      </c>
      <c r="R13" s="316"/>
      <c r="S13" s="317">
        <f t="shared" si="1"/>
        <v>35</v>
      </c>
      <c r="T13" s="318"/>
      <c r="U13" s="305"/>
      <c r="V13" s="305"/>
      <c r="W13" s="306">
        <f ca="1">IFERROR(IF(D13="","",INDEX(Tabla_Completa,MATCH('Soli_citud '!D13,Materiales,0),7)*S13),"")</f>
        <v>57.279399999999995</v>
      </c>
      <c r="X13" s="306"/>
      <c r="Y13" s="306"/>
    </row>
    <row r="14" spans="1:28" ht="17.25" customHeight="1">
      <c r="A14" s="307" t="s">
        <v>29</v>
      </c>
      <c r="B14" s="308"/>
      <c r="C14" s="309"/>
      <c r="D14" s="398" t="s">
        <v>30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m</v>
      </c>
      <c r="P14" s="314"/>
      <c r="Q14" s="315">
        <v>1</v>
      </c>
      <c r="R14" s="316"/>
      <c r="S14" s="317">
        <f t="shared" si="1"/>
        <v>1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 t="s">
        <v>22</v>
      </c>
      <c r="B15" s="308"/>
      <c r="C15" s="309"/>
      <c r="D15" s="398" t="s">
        <v>31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4</v>
      </c>
      <c r="R15" s="316"/>
      <c r="S15" s="317">
        <f t="shared" si="1"/>
        <v>4</v>
      </c>
      <c r="T15" s="318"/>
      <c r="U15" s="305"/>
      <c r="V15" s="305"/>
      <c r="W15" s="306">
        <f ca="1">IFERROR(IF(D15="","",INDEX(Tabla_Completa,MATCH('Soli_citud '!D15,Materiales,0),7)*S15),"")</f>
        <v>4693.3599999999997</v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32</v>
      </c>
      <c r="B39" s="319"/>
      <c r="C39" s="319"/>
      <c r="D39" s="320" t="s">
        <v>33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37</v>
      </c>
      <c r="O44" s="332"/>
      <c r="P44" s="332"/>
      <c r="Q44" s="332"/>
      <c r="R44" s="327" t="s">
        <v>38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40</v>
      </c>
      <c r="O45" s="332"/>
      <c r="P45" s="332"/>
      <c r="Q45" s="332"/>
      <c r="R45" s="328" t="s">
        <v>41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24</v>
      </c>
      <c r="O46" s="332"/>
      <c r="P46" s="332"/>
      <c r="Q46" s="332"/>
      <c r="R46" s="329" t="s">
        <v>43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44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22</v>
      </c>
      <c r="O47" s="332"/>
      <c r="P47" s="332"/>
      <c r="Q47" s="332"/>
      <c r="R47" s="329" t="s">
        <v>45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47</v>
      </c>
      <c r="O48" s="332"/>
      <c r="P48" s="332"/>
      <c r="Q48" s="332"/>
      <c r="R48" s="329" t="s">
        <v>48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50</v>
      </c>
      <c r="O49" s="333"/>
      <c r="P49" s="333"/>
      <c r="Q49" s="333"/>
      <c r="R49" s="328" t="s">
        <v>51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52</v>
      </c>
      <c r="O50" s="332"/>
      <c r="P50" s="332"/>
      <c r="Q50" s="332"/>
      <c r="R50" s="329" t="s">
        <v>53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54</v>
      </c>
      <c r="S51" s="329"/>
      <c r="T51" s="329"/>
      <c r="U51" s="329"/>
      <c r="V51" s="329"/>
      <c r="W51" s="329"/>
      <c r="X51" s="329"/>
    </row>
    <row r="52" spans="1:24" ht="15.75">
      <c r="N52" s="332" t="s">
        <v>55</v>
      </c>
      <c r="O52" s="332"/>
      <c r="P52" s="332"/>
      <c r="Q52" s="332"/>
      <c r="R52" s="329" t="s">
        <v>45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14" sqref="J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56</v>
      </c>
      <c r="E1" s="415"/>
      <c r="F1" s="415"/>
      <c r="G1" s="415"/>
      <c r="H1" s="415"/>
      <c r="I1" s="415"/>
      <c r="J1" s="421" t="s">
        <v>57</v>
      </c>
      <c r="K1" s="422"/>
      <c r="L1" s="422"/>
      <c r="M1" s="423"/>
      <c r="N1" s="416" t="str">
        <f>IF('Soli_citud '!O1="","",'Soli_citud '!O1)</f>
        <v/>
      </c>
      <c r="O1" s="417"/>
      <c r="P1" s="467" t="s">
        <v>58</v>
      </c>
      <c r="Q1" s="468"/>
      <c r="R1" s="463" t="str">
        <f>IF('Soli_citud '!D4="","",'Soli_citud '!D4)</f>
        <v/>
      </c>
      <c r="S1" s="464"/>
      <c r="Z1" t="s">
        <v>59</v>
      </c>
      <c r="AA1" s="252" t="s">
        <v>59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60</v>
      </c>
      <c r="K2" s="425"/>
      <c r="L2" s="425"/>
      <c r="M2" s="426"/>
      <c r="N2" s="418" t="str">
        <f>'Soli_citud '!F1</f>
        <v/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61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62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63</v>
      </c>
      <c r="C6" s="453"/>
      <c r="D6" s="454"/>
      <c r="E6" s="408" t="s">
        <v>64</v>
      </c>
      <c r="F6" s="408"/>
      <c r="G6" s="408"/>
      <c r="H6" s="408"/>
      <c r="I6" s="409"/>
      <c r="J6" s="443" t="s">
        <v>65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92278.50654285714</v>
      </c>
      <c r="C8" s="431"/>
      <c r="D8" s="432"/>
      <c r="E8" s="449" t="s">
        <v>66</v>
      </c>
      <c r="F8" s="450"/>
      <c r="G8" s="450"/>
      <c r="H8" s="450"/>
      <c r="I8" s="451"/>
      <c r="J8" s="445" t="str">
        <f>IF('Soli_citud '!E2="","",'Soli_citud '!E2)</f>
        <v/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67</v>
      </c>
      <c r="C9" s="434"/>
      <c r="D9" s="459"/>
      <c r="E9" s="458" t="s">
        <v>68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69</v>
      </c>
      <c r="K10" s="428"/>
      <c r="L10" s="429"/>
      <c r="M10" s="242">
        <f>'Soli_citud '!K5</f>
        <v>1</v>
      </c>
      <c r="N10" s="447" t="s">
        <v>70</v>
      </c>
      <c r="O10" s="448"/>
      <c r="P10" s="471"/>
      <c r="Q10" s="472"/>
      <c r="R10" s="243" t="s">
        <v>71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72</v>
      </c>
      <c r="B11" s="264" t="s">
        <v>73</v>
      </c>
      <c r="C11" s="460" t="s">
        <v>74</v>
      </c>
      <c r="D11" s="461"/>
      <c r="E11" s="461"/>
      <c r="F11" s="462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19" t="s">
        <v>20</v>
      </c>
      <c r="M11" s="427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/>
      </c>
      <c r="C12" s="403" t="str">
        <f>IFERROR(IF('Soli_citud '!D10="","",'Soli_citud '!D10),"")</f>
        <v>IMÁN MONEDA 20MM</v>
      </c>
      <c r="D12" s="403"/>
      <c r="E12" s="403"/>
      <c r="F12" s="403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8</v>
      </c>
      <c r="I12" s="227">
        <v>45133</v>
      </c>
      <c r="J12" s="228">
        <v>8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/>
      </c>
      <c r="C13" s="403" t="str">
        <f>IFERROR(IF('Soli_citud '!D11="","",'Soli_citud '!D11),"")</f>
        <v>CUERO NAPA CON CERA Y ACABADO ESPEJO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65</v>
      </c>
      <c r="I13" s="227">
        <v>45133</v>
      </c>
      <c r="J13" s="229">
        <v>65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03" t="str">
        <f>IFERROR(IF('Soli_citud '!D12="","",'Soli_citud '!D12),"")</f>
        <v>FORRO MARROQUINERO DE POLIÉSTER</v>
      </c>
      <c r="D14" s="403"/>
      <c r="E14" s="403"/>
      <c r="F14" s="403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50</v>
      </c>
      <c r="I14" s="227">
        <v>45133</v>
      </c>
      <c r="J14" s="229">
        <v>50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33" customHeight="1">
      <c r="A15" s="77">
        <v>4</v>
      </c>
      <c r="B15" s="265" t="str">
        <f t="shared" si="1"/>
        <v/>
      </c>
      <c r="C15" s="403" t="str">
        <f>IFERROR(IF('Soli_citud '!D13="","",'Soli_citud '!D13),"")</f>
        <v>MICROFIBRA LORY POLINYLON 120 ANTRA MT</v>
      </c>
      <c r="D15" s="403"/>
      <c r="E15" s="403"/>
      <c r="F15" s="403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35</v>
      </c>
      <c r="I15" s="227">
        <v>45133</v>
      </c>
      <c r="J15" s="229">
        <v>35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>COLA DE RATA #6</v>
      </c>
      <c r="D16" s="403"/>
      <c r="E16" s="403"/>
      <c r="F16" s="403"/>
      <c r="G16" s="226" t="str">
        <f ca="1">IF('Soli_citud '!O14="","",'Soli_citud '!O14)</f>
        <v>m</v>
      </c>
      <c r="H16" s="226" cm="1">
        <f t="array" ref="H16">_xlfn.IFS('Soli_citud '!S14="","",'Soli_citud '!S14&lt;=0,"",'Soli_citud '!S14&gt;0,'Soli_citud '!S14)</f>
        <v>1</v>
      </c>
      <c r="I16" s="227">
        <v>45133</v>
      </c>
      <c r="J16" s="229">
        <v>1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>CUADRANTE DE LUJO 1"  X 3/4"ORO</v>
      </c>
      <c r="D17" s="403"/>
      <c r="E17" s="403"/>
      <c r="F17" s="403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4</v>
      </c>
      <c r="I17" s="227">
        <v>45133</v>
      </c>
      <c r="J17" s="229">
        <v>4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86</v>
      </c>
      <c r="F1" s="490"/>
      <c r="Z1" s="252" t="s">
        <v>59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8"/>
      <c r="D6" s="489"/>
      <c r="H6" s="486" t="s">
        <v>88</v>
      </c>
      <c r="I6" s="486"/>
    </row>
    <row r="7" spans="1:26" ht="47.25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37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37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37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37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37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37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37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37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37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37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37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37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37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9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231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231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231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231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231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231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231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231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231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231</v>
      </c>
      <c r="D248" s="48" t="s">
        <v>105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231</v>
      </c>
      <c r="D249" s="48" t="s">
        <v>105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231</v>
      </c>
      <c r="D250" s="277" t="s">
        <v>105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231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231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231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231</v>
      </c>
      <c r="D254" s="277" t="s">
        <v>105</v>
      </c>
      <c r="E254" s="141">
        <v>2866.6666666666665</v>
      </c>
      <c r="F254" s="278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231</v>
      </c>
      <c r="D255" s="277" t="s">
        <v>105</v>
      </c>
      <c r="E255" s="141">
        <v>2866.6666666666665</v>
      </c>
      <c r="F255" s="278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231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231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231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231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231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231</v>
      </c>
      <c r="D261" s="277" t="s">
        <v>200</v>
      </c>
      <c r="E261" s="141">
        <v>636792</v>
      </c>
      <c r="F261" s="278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231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231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231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231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231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231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231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231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231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231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231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231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231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231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231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231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231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231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231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231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231</v>
      </c>
      <c r="D282" s="277" t="s">
        <v>210</v>
      </c>
      <c r="E282" s="141">
        <v>4776.666666666667</v>
      </c>
      <c r="F282" s="278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231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231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231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231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231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231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231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366</v>
      </c>
      <c r="C516" s="219" t="s">
        <v>24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24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24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24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24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24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24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24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25</v>
      </c>
      <c r="C524" s="219" t="s">
        <v>24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24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24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24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378</v>
      </c>
      <c r="C528" s="219" t="s">
        <v>24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379</v>
      </c>
      <c r="C529" s="219" t="s">
        <v>24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380</v>
      </c>
      <c r="C530" s="219" t="s">
        <v>24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381</v>
      </c>
      <c r="C531" s="219" t="s">
        <v>24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382</v>
      </c>
      <c r="C532" s="219" t="s">
        <v>24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383</v>
      </c>
      <c r="C533" s="219" t="s">
        <v>24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384</v>
      </c>
      <c r="C534" s="219" t="s">
        <v>24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385</v>
      </c>
      <c r="C535" s="219" t="s">
        <v>24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386</v>
      </c>
      <c r="C536" s="219" t="s">
        <v>24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387</v>
      </c>
      <c r="C537" s="219" t="s">
        <v>24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388</v>
      </c>
      <c r="C538" s="219" t="s">
        <v>24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389</v>
      </c>
      <c r="C562" s="219" t="s">
        <v>22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390</v>
      </c>
      <c r="C563" s="219" t="s">
        <v>22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391</v>
      </c>
      <c r="C564" s="219" t="s">
        <v>22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392</v>
      </c>
      <c r="C565" s="219" t="s">
        <v>22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393</v>
      </c>
      <c r="C566" s="219" t="s">
        <v>22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394</v>
      </c>
      <c r="C567" s="219" t="s">
        <v>22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395</v>
      </c>
      <c r="C568" s="219" t="s">
        <v>22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396</v>
      </c>
      <c r="C569" s="219" t="s">
        <v>22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397</v>
      </c>
      <c r="C570" s="219" t="s">
        <v>22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398</v>
      </c>
      <c r="C571" s="219" t="s">
        <v>22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399</v>
      </c>
      <c r="C572" s="219" t="s">
        <v>22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400</v>
      </c>
      <c r="C573" s="219" t="s">
        <v>22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401</v>
      </c>
      <c r="C574" s="219" t="s">
        <v>22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402</v>
      </c>
      <c r="C575" s="219" t="s">
        <v>22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403</v>
      </c>
      <c r="C576" s="219" t="s">
        <v>22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404</v>
      </c>
      <c r="C577" s="219" t="s">
        <v>22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405</v>
      </c>
      <c r="C578" s="219" t="s">
        <v>22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406</v>
      </c>
      <c r="C579" s="219" t="s">
        <v>22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407</v>
      </c>
      <c r="C580" s="219" t="s">
        <v>22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408</v>
      </c>
      <c r="C581" s="219" t="s">
        <v>22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409</v>
      </c>
      <c r="C582" s="219" t="s">
        <v>22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410</v>
      </c>
      <c r="C583" s="219" t="s">
        <v>22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411</v>
      </c>
      <c r="C584" s="219" t="s">
        <v>22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412</v>
      </c>
      <c r="C585" s="219" t="s">
        <v>22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413</v>
      </c>
      <c r="C586" s="219" t="s">
        <v>22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414</v>
      </c>
      <c r="C587" s="219" t="s">
        <v>22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415</v>
      </c>
      <c r="C588" s="219" t="s">
        <v>22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416</v>
      </c>
      <c r="C589" s="219" t="s">
        <v>22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417</v>
      </c>
      <c r="C590" s="219" t="s">
        <v>22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418</v>
      </c>
      <c r="C591" s="219" t="s">
        <v>22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419</v>
      </c>
      <c r="C592" s="219" t="s">
        <v>22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420</v>
      </c>
      <c r="C593" s="219" t="s">
        <v>22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421</v>
      </c>
      <c r="C594" s="219" t="s">
        <v>22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422</v>
      </c>
      <c r="C595" s="219" t="s">
        <v>22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423</v>
      </c>
      <c r="C596" s="219" t="s">
        <v>22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424</v>
      </c>
      <c r="C597" s="219" t="s">
        <v>22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425</v>
      </c>
      <c r="C598" s="219" t="s">
        <v>22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426</v>
      </c>
      <c r="C599" s="219" t="s">
        <v>22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427</v>
      </c>
      <c r="C600" s="219" t="s">
        <v>22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428</v>
      </c>
      <c r="C601" s="219" t="s">
        <v>22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429</v>
      </c>
      <c r="C602" s="219" t="s">
        <v>22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430</v>
      </c>
      <c r="C603" s="219" t="s">
        <v>22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431</v>
      </c>
      <c r="C604" s="219" t="s">
        <v>22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432</v>
      </c>
      <c r="C605" s="219" t="s">
        <v>22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433</v>
      </c>
      <c r="C606" s="219" t="s">
        <v>22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434</v>
      </c>
      <c r="C607" s="219" t="s">
        <v>22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435</v>
      </c>
      <c r="C608" s="219" t="s">
        <v>22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436</v>
      </c>
      <c r="C609" s="219" t="s">
        <v>22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437</v>
      </c>
      <c r="C610" s="219" t="s">
        <v>22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438</v>
      </c>
      <c r="C611" s="219" t="s">
        <v>22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439</v>
      </c>
      <c r="C612" s="219" t="s">
        <v>22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440</v>
      </c>
      <c r="C613" s="219" t="s">
        <v>22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441</v>
      </c>
      <c r="C614" s="219" t="s">
        <v>22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442</v>
      </c>
      <c r="C615" s="219" t="s">
        <v>22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443</v>
      </c>
      <c r="C616" s="219" t="s">
        <v>22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444</v>
      </c>
      <c r="C617" s="219" t="s">
        <v>22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445</v>
      </c>
      <c r="C618" s="219" t="s">
        <v>22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446</v>
      </c>
      <c r="C619" s="219" t="s">
        <v>22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447</v>
      </c>
      <c r="C620" s="219" t="s">
        <v>22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448</v>
      </c>
      <c r="C621" s="219" t="s">
        <v>22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9" t="s">
        <v>22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9" t="s">
        <v>22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9" t="s">
        <v>22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9" t="s">
        <v>22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9" t="s">
        <v>22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9" t="s">
        <v>22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9" t="s">
        <v>22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9" t="s">
        <v>22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9" t="s">
        <v>22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9" t="s">
        <v>22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9" t="s">
        <v>22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460</v>
      </c>
      <c r="C633" s="219" t="s">
        <v>22</v>
      </c>
      <c r="D633" s="48" t="s">
        <v>105</v>
      </c>
      <c r="E633" s="55">
        <v>1000</v>
      </c>
      <c r="F633" s="194" t="s">
        <v>105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9" t="s">
        <v>22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9" t="s">
        <v>22</v>
      </c>
      <c r="D635" s="48" t="s">
        <v>105</v>
      </c>
      <c r="E635" s="55">
        <v>6957.9299999999994</v>
      </c>
      <c r="F635" s="194" t="s">
        <v>105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9" t="s">
        <v>22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9" t="s">
        <v>22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9" t="s">
        <v>22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9" t="s">
        <v>22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9" t="s">
        <v>22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9" t="s">
        <v>22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9" t="s">
        <v>22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9" t="s">
        <v>22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9" t="s">
        <v>22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9" t="s">
        <v>22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9" t="s">
        <v>22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474</v>
      </c>
      <c r="C647" s="219" t="s">
        <v>22</v>
      </c>
      <c r="D647" s="48" t="s">
        <v>105</v>
      </c>
      <c r="E647" s="43">
        <v>3700</v>
      </c>
      <c r="F647" s="188" t="s">
        <v>105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9" t="s">
        <v>22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476</v>
      </c>
      <c r="C649" s="219" t="s">
        <v>22</v>
      </c>
      <c r="D649" s="48" t="s">
        <v>105</v>
      </c>
      <c r="E649" s="55">
        <v>1200</v>
      </c>
      <c r="F649" s="194" t="s">
        <v>105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9" t="s">
        <v>22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9" t="s">
        <v>22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9" t="s">
        <v>22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9" t="s">
        <v>22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9" t="s">
        <v>22</v>
      </c>
      <c r="D654" s="48" t="s">
        <v>105</v>
      </c>
      <c r="E654" s="55">
        <v>873.94</v>
      </c>
      <c r="F654" s="194" t="s">
        <v>105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9" t="s">
        <v>22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9" t="s">
        <v>22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9" t="s">
        <v>22</v>
      </c>
      <c r="D657" s="48" t="s">
        <v>105</v>
      </c>
      <c r="E657" s="55">
        <v>1173.3399999999999</v>
      </c>
      <c r="F657" s="194" t="s">
        <v>105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9" t="s">
        <v>22</v>
      </c>
      <c r="D658" s="48" t="s">
        <v>105</v>
      </c>
      <c r="E658" s="55">
        <v>998.41</v>
      </c>
      <c r="F658" s="194" t="s">
        <v>105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9" t="s">
        <v>22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9" t="s">
        <v>22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9" t="s">
        <v>22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9" t="s">
        <v>22</v>
      </c>
      <c r="D662" s="48" t="s">
        <v>105</v>
      </c>
      <c r="E662" s="55">
        <v>1173.3399999999999</v>
      </c>
      <c r="F662" s="194" t="s">
        <v>105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490</v>
      </c>
      <c r="C663" s="219" t="s">
        <v>22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491</v>
      </c>
      <c r="C664" s="219" t="s">
        <v>22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492</v>
      </c>
      <c r="C665" s="219" t="s">
        <v>22</v>
      </c>
      <c r="D665" s="48" t="s">
        <v>105</v>
      </c>
      <c r="E665" s="55">
        <v>1173.3399999999999</v>
      </c>
      <c r="F665" s="194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493</v>
      </c>
      <c r="C666" s="219" t="s">
        <v>22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494</v>
      </c>
      <c r="C667" s="219" t="s">
        <v>22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495</v>
      </c>
      <c r="C668" s="219" t="s">
        <v>22</v>
      </c>
      <c r="D668" s="48" t="s">
        <v>105</v>
      </c>
      <c r="E668" s="55">
        <v>1018.64</v>
      </c>
      <c r="F668" s="194" t="s">
        <v>105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496</v>
      </c>
      <c r="C669" s="219" t="s">
        <v>22</v>
      </c>
      <c r="D669" s="48" t="s">
        <v>105</v>
      </c>
      <c r="E669" s="55">
        <v>1173.3399999999999</v>
      </c>
      <c r="F669" s="194" t="s">
        <v>105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497</v>
      </c>
      <c r="C670" s="219" t="s">
        <v>22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498</v>
      </c>
      <c r="C671" s="219" t="s">
        <v>22</v>
      </c>
      <c r="D671" s="48" t="s">
        <v>105</v>
      </c>
      <c r="E671" s="55">
        <v>1018.64</v>
      </c>
      <c r="F671" s="194" t="s">
        <v>105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499</v>
      </c>
      <c r="C672" s="219" t="s">
        <v>22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500</v>
      </c>
      <c r="C673" s="219" t="s">
        <v>22</v>
      </c>
      <c r="D673" s="48" t="s">
        <v>105</v>
      </c>
      <c r="E673" s="55">
        <v>2746.52</v>
      </c>
      <c r="F673" s="194" t="s">
        <v>105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501</v>
      </c>
      <c r="C674" s="219" t="s">
        <v>22</v>
      </c>
      <c r="D674" s="48" t="s">
        <v>105</v>
      </c>
      <c r="E674" s="55">
        <v>1173.3399999999999</v>
      </c>
      <c r="F674" s="194" t="s">
        <v>105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502</v>
      </c>
      <c r="C675" s="219" t="s">
        <v>22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503</v>
      </c>
      <c r="C676" s="219" t="s">
        <v>22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31</v>
      </c>
      <c r="C677" s="219" t="s">
        <v>22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22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22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22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22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22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22</v>
      </c>
      <c r="D683" s="48" t="s">
        <v>105</v>
      </c>
      <c r="E683" s="55">
        <v>2563</v>
      </c>
      <c r="F683" s="188" t="s">
        <v>105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22</v>
      </c>
      <c r="D684" s="48" t="s">
        <v>105</v>
      </c>
      <c r="E684" s="43">
        <v>2364.5299999999997</v>
      </c>
      <c r="F684" s="188" t="s">
        <v>105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22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22</v>
      </c>
      <c r="D686" s="48" t="s">
        <v>105</v>
      </c>
      <c r="E686" s="43">
        <v>2563</v>
      </c>
      <c r="F686" s="188" t="s">
        <v>105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22</v>
      </c>
      <c r="D687" s="48" t="s">
        <v>105</v>
      </c>
      <c r="E687" s="55">
        <v>2563</v>
      </c>
      <c r="F687" s="194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22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22</v>
      </c>
      <c r="D689" s="48" t="s">
        <v>105</v>
      </c>
      <c r="E689" s="43">
        <v>2440.69</v>
      </c>
      <c r="F689" s="188" t="s">
        <v>105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22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22</v>
      </c>
      <c r="D691" s="48" t="s">
        <v>105</v>
      </c>
      <c r="E691" s="55">
        <v>873.94</v>
      </c>
      <c r="F691" s="194" t="s">
        <v>105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22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22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22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22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22</v>
      </c>
      <c r="D696" s="48" t="s">
        <v>105</v>
      </c>
      <c r="E696" s="55">
        <v>1547</v>
      </c>
      <c r="F696" s="194" t="s">
        <v>105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22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22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22</v>
      </c>
      <c r="D699" s="48" t="s">
        <v>105</v>
      </c>
      <c r="E699" s="55">
        <v>1850</v>
      </c>
      <c r="F699" s="194" t="s">
        <v>105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22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22</v>
      </c>
      <c r="D701" s="48" t="s">
        <v>105</v>
      </c>
      <c r="E701" s="55">
        <v>4799.2700000000004</v>
      </c>
      <c r="F701" s="194" t="s">
        <v>105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22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22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22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22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22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22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22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22</v>
      </c>
      <c r="D709" s="48" t="s">
        <v>105</v>
      </c>
      <c r="E709" s="55">
        <v>1000</v>
      </c>
      <c r="F709" s="194" t="s">
        <v>105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22</v>
      </c>
      <c r="D710" s="48" t="s">
        <v>105</v>
      </c>
      <c r="E710" s="55">
        <v>8973.7900000000009</v>
      </c>
      <c r="F710" s="194" t="s">
        <v>105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22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22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22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22</v>
      </c>
      <c r="D714" s="48" t="s">
        <v>105</v>
      </c>
      <c r="E714" s="55">
        <v>3844.89</v>
      </c>
      <c r="F714" s="194" t="s">
        <v>105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22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22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22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22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22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22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22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22</v>
      </c>
      <c r="D722" s="48" t="s">
        <v>105</v>
      </c>
      <c r="E722" s="55">
        <v>1661.24</v>
      </c>
      <c r="F722" s="194" t="s">
        <v>105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22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22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22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22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22</v>
      </c>
      <c r="D727" s="48" t="s">
        <v>105</v>
      </c>
      <c r="E727" s="55">
        <v>690.75</v>
      </c>
      <c r="F727" s="194" t="s">
        <v>105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22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22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22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22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22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22</v>
      </c>
      <c r="D733" s="48" t="s">
        <v>105</v>
      </c>
      <c r="E733" s="43">
        <v>690.75</v>
      </c>
      <c r="F733" s="188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22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22</v>
      </c>
      <c r="D735" s="48" t="s">
        <v>105</v>
      </c>
      <c r="E735" s="55">
        <v>690.75</v>
      </c>
      <c r="F735" s="194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22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22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22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22</v>
      </c>
      <c r="D739" s="48" t="s">
        <v>105</v>
      </c>
      <c r="E739" s="43">
        <v>690.75</v>
      </c>
      <c r="F739" s="188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22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22</v>
      </c>
      <c r="D741" s="48" t="s">
        <v>105</v>
      </c>
      <c r="E741" s="55">
        <v>690.75</v>
      </c>
      <c r="F741" s="194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22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22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22</v>
      </c>
      <c r="D744" s="48" t="s">
        <v>105</v>
      </c>
      <c r="E744" s="43">
        <v>690.75</v>
      </c>
      <c r="F744" s="188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22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22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22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22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22</v>
      </c>
      <c r="D749" s="48" t="s">
        <v>105</v>
      </c>
      <c r="E749" s="43">
        <v>690.75</v>
      </c>
      <c r="F749" s="188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22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22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22</v>
      </c>
      <c r="D752" s="48" t="s">
        <v>105</v>
      </c>
      <c r="E752" s="55">
        <v>3850</v>
      </c>
      <c r="F752" s="194" t="s">
        <v>105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22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22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22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22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22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22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22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22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22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22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22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22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591</v>
      </c>
      <c r="C765" s="219" t="s">
        <v>22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22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22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22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22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22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22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22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22</v>
      </c>
      <c r="D773" s="48" t="s">
        <v>105</v>
      </c>
      <c r="E773" s="55">
        <v>8973.7900000000009</v>
      </c>
      <c r="F773" s="194" t="s">
        <v>105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22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22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22</v>
      </c>
      <c r="D776" s="48" t="s">
        <v>105</v>
      </c>
      <c r="E776" s="55">
        <v>1661.24</v>
      </c>
      <c r="F776" s="194" t="s">
        <v>105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22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22</v>
      </c>
      <c r="D778" s="48" t="s">
        <v>105</v>
      </c>
      <c r="E778" s="55">
        <v>690.75</v>
      </c>
      <c r="F778" s="194" t="s">
        <v>105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22</v>
      </c>
      <c r="D779" s="48" t="s">
        <v>105</v>
      </c>
      <c r="E779" s="56">
        <v>1505.04</v>
      </c>
      <c r="F779" s="188" t="s">
        <v>105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23</v>
      </c>
      <c r="C780" s="219" t="s">
        <v>22</v>
      </c>
      <c r="D780" s="48" t="s">
        <v>105</v>
      </c>
      <c r="E780" s="56">
        <v>3628.57</v>
      </c>
      <c r="F780" s="188" t="s">
        <v>105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606</v>
      </c>
      <c r="C781" s="219" t="s">
        <v>22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607</v>
      </c>
      <c r="C782" s="219" t="s">
        <v>22</v>
      </c>
      <c r="D782" s="48" t="s">
        <v>105</v>
      </c>
      <c r="E782" s="55">
        <v>2898.84</v>
      </c>
      <c r="F782" s="194" t="s">
        <v>105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608</v>
      </c>
      <c r="C783" s="219" t="s">
        <v>22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609</v>
      </c>
      <c r="C784" s="219" t="s">
        <v>22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610</v>
      </c>
      <c r="C785" s="219" t="s">
        <v>22</v>
      </c>
      <c r="D785" s="48" t="s">
        <v>105</v>
      </c>
      <c r="E785" s="55">
        <v>833</v>
      </c>
      <c r="F785" s="194" t="s">
        <v>105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611</v>
      </c>
      <c r="C786" s="219" t="s">
        <v>22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612</v>
      </c>
      <c r="C787" s="219" t="s">
        <v>22</v>
      </c>
      <c r="D787" s="48" t="s">
        <v>105</v>
      </c>
      <c r="E787" s="55">
        <v>1266.6666666666667</v>
      </c>
      <c r="F787" s="194" t="s">
        <v>105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613</v>
      </c>
      <c r="C788" s="219" t="s">
        <v>22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614</v>
      </c>
      <c r="C789" s="219" t="s">
        <v>22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615</v>
      </c>
      <c r="C790" s="219" t="s">
        <v>22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616</v>
      </c>
      <c r="C791" s="219" t="s">
        <v>22</v>
      </c>
      <c r="D791" s="48" t="s">
        <v>105</v>
      </c>
      <c r="E791" s="43">
        <v>1266.6666666666667</v>
      </c>
      <c r="F791" s="188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617</v>
      </c>
      <c r="C792" s="219" t="s">
        <v>22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618</v>
      </c>
      <c r="C793" s="219" t="s">
        <v>22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619</v>
      </c>
      <c r="C794" s="219" t="s">
        <v>22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620</v>
      </c>
      <c r="C795" s="219" t="s">
        <v>22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621</v>
      </c>
      <c r="C796" s="219" t="s">
        <v>22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622</v>
      </c>
      <c r="C797" s="219" t="s">
        <v>22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623</v>
      </c>
      <c r="C798" s="219" t="s">
        <v>22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624</v>
      </c>
      <c r="C799" s="219" t="s">
        <v>22</v>
      </c>
      <c r="D799" s="48" t="s">
        <v>105</v>
      </c>
      <c r="E799" s="55">
        <v>455.66624999999999</v>
      </c>
      <c r="F799" s="194" t="s">
        <v>105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625</v>
      </c>
      <c r="C800" s="219" t="s">
        <v>22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626</v>
      </c>
      <c r="C801" s="219" t="s">
        <v>22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627</v>
      </c>
      <c r="C802" s="219" t="s">
        <v>22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628</v>
      </c>
      <c r="C803" s="219" t="s">
        <v>22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629</v>
      </c>
      <c r="C804" s="219" t="s">
        <v>22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630</v>
      </c>
      <c r="C805" s="219" t="s">
        <v>22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631</v>
      </c>
      <c r="C806" s="219" t="s">
        <v>22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632</v>
      </c>
      <c r="C807" s="219" t="s">
        <v>22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633</v>
      </c>
      <c r="C808" s="219" t="s">
        <v>22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634</v>
      </c>
      <c r="C809" s="219" t="s">
        <v>22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635</v>
      </c>
      <c r="C810" s="219" t="s">
        <v>22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636</v>
      </c>
      <c r="C811" s="219" t="s">
        <v>22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637</v>
      </c>
      <c r="C812" s="219" t="s">
        <v>22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638</v>
      </c>
      <c r="C813" s="219" t="s">
        <v>22</v>
      </c>
      <c r="D813" s="48" t="s">
        <v>105</v>
      </c>
      <c r="E813" s="43">
        <v>3356</v>
      </c>
      <c r="F813" s="188" t="s">
        <v>105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639</v>
      </c>
      <c r="C814" s="219" t="s">
        <v>22</v>
      </c>
      <c r="D814" s="48" t="s">
        <v>105</v>
      </c>
      <c r="E814" s="55">
        <v>1900</v>
      </c>
      <c r="F814" s="194" t="s">
        <v>105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640</v>
      </c>
      <c r="C815" s="219" t="s">
        <v>22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641</v>
      </c>
      <c r="C816" s="219" t="s">
        <v>22</v>
      </c>
      <c r="D816" s="48" t="s">
        <v>105</v>
      </c>
      <c r="E816" s="55">
        <v>23075</v>
      </c>
      <c r="F816" s="194" t="s">
        <v>105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642</v>
      </c>
      <c r="C817" s="219" t="s">
        <v>22</v>
      </c>
      <c r="D817" s="48" t="s">
        <v>105</v>
      </c>
      <c r="E817" s="55">
        <v>23075.289999999997</v>
      </c>
      <c r="F817" s="188" t="s">
        <v>105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643</v>
      </c>
      <c r="C818" s="219" t="s">
        <v>22</v>
      </c>
      <c r="D818" s="48" t="s">
        <v>105</v>
      </c>
      <c r="E818" s="55">
        <v>1018.64</v>
      </c>
      <c r="F818" s="194" t="s">
        <v>105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644</v>
      </c>
      <c r="C819" s="219" t="s">
        <v>22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645</v>
      </c>
      <c r="C820" s="219" t="s">
        <v>22</v>
      </c>
      <c r="D820" s="48" t="s">
        <v>105</v>
      </c>
      <c r="E820" s="43">
        <v>3356</v>
      </c>
      <c r="F820" s="188" t="s">
        <v>105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646</v>
      </c>
      <c r="C821" s="219" t="s">
        <v>22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647</v>
      </c>
      <c r="C822" s="219" t="s">
        <v>22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648</v>
      </c>
      <c r="C823" s="219" t="s">
        <v>22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649</v>
      </c>
      <c r="C824" s="219" t="s">
        <v>22</v>
      </c>
      <c r="D824" s="48" t="s">
        <v>105</v>
      </c>
      <c r="E824" s="55">
        <v>3356</v>
      </c>
      <c r="F824" s="194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650</v>
      </c>
      <c r="C825" s="219" t="s">
        <v>22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651</v>
      </c>
      <c r="C826" s="219" t="s">
        <v>22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652</v>
      </c>
      <c r="C827" s="219" t="s">
        <v>22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653</v>
      </c>
      <c r="C828" s="219" t="s">
        <v>22</v>
      </c>
      <c r="D828" s="48" t="s">
        <v>105</v>
      </c>
      <c r="E828" s="55">
        <v>198</v>
      </c>
      <c r="F828" s="194" t="s">
        <v>105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654</v>
      </c>
      <c r="C829" s="219" t="s">
        <v>22</v>
      </c>
      <c r="D829" s="48" t="s">
        <v>105</v>
      </c>
      <c r="E829" s="55">
        <v>3356</v>
      </c>
      <c r="F829" s="194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655</v>
      </c>
      <c r="C830" s="219" t="s">
        <v>22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656</v>
      </c>
      <c r="C831" s="219" t="s">
        <v>22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657</v>
      </c>
      <c r="C832" s="219" t="s">
        <v>22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658</v>
      </c>
      <c r="C833" s="219" t="s">
        <v>22</v>
      </c>
      <c r="D833" s="48" t="s">
        <v>105</v>
      </c>
      <c r="E833" s="43">
        <v>198</v>
      </c>
      <c r="F833" s="188" t="s">
        <v>105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659</v>
      </c>
      <c r="C834" s="219" t="s">
        <v>22</v>
      </c>
      <c r="D834" s="48" t="s">
        <v>105</v>
      </c>
      <c r="E834" s="55">
        <v>198</v>
      </c>
      <c r="F834" s="194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660</v>
      </c>
      <c r="C835" s="219" t="s">
        <v>22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661</v>
      </c>
      <c r="C836" s="219" t="s">
        <v>22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662</v>
      </c>
      <c r="C837" s="219" t="s">
        <v>22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663</v>
      </c>
      <c r="C838" s="219" t="s">
        <v>22</v>
      </c>
      <c r="D838" s="48" t="s">
        <v>105</v>
      </c>
      <c r="E838" s="55">
        <v>3356</v>
      </c>
      <c r="F838" s="194" t="s">
        <v>105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664</v>
      </c>
      <c r="C839" s="219" t="s">
        <v>22</v>
      </c>
      <c r="D839" s="48" t="s">
        <v>105</v>
      </c>
      <c r="E839" s="55">
        <v>1100</v>
      </c>
      <c r="F839" s="194" t="s">
        <v>105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665</v>
      </c>
      <c r="C840" s="219" t="s">
        <v>22</v>
      </c>
      <c r="D840" s="48" t="s">
        <v>105</v>
      </c>
      <c r="E840" s="55">
        <v>1350</v>
      </c>
      <c r="F840" s="194" t="s">
        <v>105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666</v>
      </c>
      <c r="C841" s="219" t="s">
        <v>22</v>
      </c>
      <c r="D841" s="48" t="s">
        <v>105</v>
      </c>
      <c r="E841" s="55">
        <v>925</v>
      </c>
      <c r="F841" s="194" t="s">
        <v>105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667</v>
      </c>
      <c r="C842" s="219" t="s">
        <v>22</v>
      </c>
      <c r="D842" s="48" t="s">
        <v>105</v>
      </c>
      <c r="E842" s="43">
        <v>3373</v>
      </c>
      <c r="F842" s="188" t="s">
        <v>105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668</v>
      </c>
      <c r="C843" s="219" t="s">
        <v>22</v>
      </c>
      <c r="D843" s="48" t="s">
        <v>105</v>
      </c>
      <c r="E843" s="56">
        <v>1275.68</v>
      </c>
      <c r="F843" s="188" t="s">
        <v>105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669</v>
      </c>
      <c r="C844" s="219" t="s">
        <v>22</v>
      </c>
      <c r="D844" s="48" t="s">
        <v>105</v>
      </c>
      <c r="E844" s="55">
        <v>3373</v>
      </c>
      <c r="F844" s="194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670</v>
      </c>
      <c r="C845" s="219" t="s">
        <v>22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671</v>
      </c>
      <c r="C846" s="219" t="s">
        <v>22</v>
      </c>
      <c r="D846" s="48" t="s">
        <v>105</v>
      </c>
      <c r="E846" s="43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672</v>
      </c>
      <c r="C847" s="219" t="s">
        <v>22</v>
      </c>
      <c r="D847" s="48" t="s">
        <v>105</v>
      </c>
      <c r="E847" s="55">
        <v>2746.52</v>
      </c>
      <c r="F847" s="194" t="s">
        <v>105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673</v>
      </c>
      <c r="C848" s="219" t="s">
        <v>22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674</v>
      </c>
      <c r="C849" s="219" t="s">
        <v>22</v>
      </c>
      <c r="D849" s="48" t="s">
        <v>105</v>
      </c>
      <c r="E849" s="43">
        <v>1225.7</v>
      </c>
      <c r="F849" s="188" t="s">
        <v>105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675</v>
      </c>
      <c r="C850" s="219" t="s">
        <v>22</v>
      </c>
      <c r="D850" s="48" t="s">
        <v>105</v>
      </c>
      <c r="E850" s="43">
        <v>3881.78</v>
      </c>
      <c r="F850" s="188" t="s">
        <v>105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676</v>
      </c>
      <c r="C851" s="219" t="s">
        <v>22</v>
      </c>
      <c r="D851" s="48" t="s">
        <v>105</v>
      </c>
      <c r="E851" s="43">
        <v>1275.68</v>
      </c>
      <c r="F851" s="188" t="s">
        <v>105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677</v>
      </c>
      <c r="C852" s="219" t="s">
        <v>22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678</v>
      </c>
      <c r="C853" s="219" t="s">
        <v>22</v>
      </c>
      <c r="D853" s="48" t="s">
        <v>105</v>
      </c>
      <c r="E853" s="55">
        <v>1225.7</v>
      </c>
      <c r="F853" s="194" t="s">
        <v>105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679</v>
      </c>
      <c r="C854" s="219" t="s">
        <v>22</v>
      </c>
      <c r="D854" s="48" t="s">
        <v>105</v>
      </c>
      <c r="E854" s="43">
        <v>1225.7</v>
      </c>
      <c r="F854" s="188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680</v>
      </c>
      <c r="C855" s="219" t="s">
        <v>22</v>
      </c>
      <c r="D855" s="48" t="s">
        <v>105</v>
      </c>
      <c r="E855" s="43">
        <v>2400</v>
      </c>
      <c r="F855" s="188" t="s">
        <v>105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681</v>
      </c>
      <c r="C856" s="219" t="s">
        <v>22</v>
      </c>
      <c r="D856" s="48" t="s">
        <v>105</v>
      </c>
      <c r="E856" s="43">
        <v>1275.68</v>
      </c>
      <c r="F856" s="188" t="s">
        <v>105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682</v>
      </c>
      <c r="C857" s="219" t="s">
        <v>22</v>
      </c>
      <c r="D857" s="48" t="s">
        <v>105</v>
      </c>
      <c r="E857" s="43">
        <v>1225.7</v>
      </c>
      <c r="F857" s="188" t="s">
        <v>105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683</v>
      </c>
      <c r="C858" s="219" t="s">
        <v>22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684</v>
      </c>
      <c r="C859" s="219" t="s">
        <v>22</v>
      </c>
      <c r="D859" s="48" t="s">
        <v>105</v>
      </c>
      <c r="E859" s="43">
        <v>2400</v>
      </c>
      <c r="F859" s="188" t="s">
        <v>105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685</v>
      </c>
      <c r="C860" s="219" t="s">
        <v>22</v>
      </c>
      <c r="D860" s="48" t="s">
        <v>105</v>
      </c>
      <c r="E860" s="55">
        <v>873.94</v>
      </c>
      <c r="F860" s="194" t="s">
        <v>105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686</v>
      </c>
      <c r="C861" s="219" t="s">
        <v>22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687</v>
      </c>
      <c r="C862" s="219" t="s">
        <v>22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688</v>
      </c>
      <c r="C863" s="219" t="s">
        <v>22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689</v>
      </c>
      <c r="C864" s="219" t="s">
        <v>22</v>
      </c>
      <c r="D864" s="48" t="s">
        <v>105</v>
      </c>
      <c r="E864" s="43">
        <v>131.97</v>
      </c>
      <c r="F864" s="188" t="s">
        <v>105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690</v>
      </c>
      <c r="C865" s="219" t="s">
        <v>22</v>
      </c>
      <c r="D865" s="48" t="s">
        <v>105</v>
      </c>
      <c r="E865" s="55">
        <v>5450</v>
      </c>
      <c r="F865" s="194" t="s">
        <v>105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691</v>
      </c>
      <c r="C866" s="219" t="s">
        <v>22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692</v>
      </c>
      <c r="C867" s="219" t="s">
        <v>22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693</v>
      </c>
      <c r="C868" s="219" t="s">
        <v>22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694</v>
      </c>
      <c r="C869" s="219" t="s">
        <v>22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695</v>
      </c>
      <c r="C870" s="219" t="s">
        <v>22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696</v>
      </c>
      <c r="C871" s="219" t="s">
        <v>22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697</v>
      </c>
      <c r="C872" s="219" t="s">
        <v>22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698</v>
      </c>
      <c r="C873" s="219" t="s">
        <v>22</v>
      </c>
      <c r="D873" s="48" t="s">
        <v>105</v>
      </c>
      <c r="E873" s="43">
        <v>131.97</v>
      </c>
      <c r="F873" s="188" t="s">
        <v>105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699</v>
      </c>
      <c r="C874" s="219" t="s">
        <v>22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700</v>
      </c>
      <c r="C875" s="219" t="s">
        <v>22</v>
      </c>
      <c r="D875" s="48" t="s">
        <v>105</v>
      </c>
      <c r="E875" s="43">
        <v>249.9</v>
      </c>
      <c r="F875" s="188" t="s">
        <v>105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701</v>
      </c>
      <c r="C876" s="219" t="s">
        <v>22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702</v>
      </c>
      <c r="C877" s="219" t="s">
        <v>22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703</v>
      </c>
      <c r="C878" s="219" t="s">
        <v>22</v>
      </c>
      <c r="D878" s="48" t="s">
        <v>105</v>
      </c>
      <c r="E878" s="55">
        <v>131.97</v>
      </c>
      <c r="F878" s="194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704</v>
      </c>
      <c r="C879" s="219" t="s">
        <v>22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705</v>
      </c>
      <c r="C880" s="219" t="s">
        <v>22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706</v>
      </c>
      <c r="C881" s="219" t="s">
        <v>22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707</v>
      </c>
      <c r="C882" s="219" t="s">
        <v>22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708</v>
      </c>
      <c r="C883" s="219" t="s">
        <v>22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709</v>
      </c>
      <c r="C884" s="219" t="s">
        <v>22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710</v>
      </c>
      <c r="C885" s="219" t="s">
        <v>22</v>
      </c>
      <c r="D885" s="48" t="s">
        <v>105</v>
      </c>
      <c r="E885" s="43">
        <v>131.97</v>
      </c>
      <c r="F885" s="194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711</v>
      </c>
      <c r="C886" s="219" t="s">
        <v>22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712</v>
      </c>
      <c r="C887" s="219" t="s">
        <v>22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713</v>
      </c>
      <c r="C888" s="219" t="s">
        <v>22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714</v>
      </c>
      <c r="C889" s="219" t="s">
        <v>22</v>
      </c>
      <c r="D889" s="48" t="s">
        <v>105</v>
      </c>
      <c r="E889" s="55">
        <v>131.97</v>
      </c>
      <c r="F889" s="194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715</v>
      </c>
      <c r="C890" s="219" t="s">
        <v>22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716</v>
      </c>
      <c r="C891" s="219" t="s">
        <v>22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717</v>
      </c>
      <c r="C892" s="219" t="s">
        <v>22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718</v>
      </c>
      <c r="C893" s="219" t="s">
        <v>22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719</v>
      </c>
      <c r="C894" s="219" t="s">
        <v>22</v>
      </c>
      <c r="D894" s="48" t="s">
        <v>105</v>
      </c>
      <c r="E894" s="55">
        <v>131.97</v>
      </c>
      <c r="F894" s="194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720</v>
      </c>
      <c r="C895" s="219" t="s">
        <v>22</v>
      </c>
      <c r="D895" s="48" t="s">
        <v>105</v>
      </c>
      <c r="E895" s="55">
        <v>6957.9299999999994</v>
      </c>
      <c r="F895" s="194" t="s">
        <v>105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721</v>
      </c>
      <c r="C896" s="219" t="s">
        <v>22</v>
      </c>
      <c r="D896" s="48" t="s">
        <v>105</v>
      </c>
      <c r="E896" s="55">
        <v>2563</v>
      </c>
      <c r="F896" s="194" t="s">
        <v>105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722</v>
      </c>
      <c r="C897" s="219" t="s">
        <v>22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723</v>
      </c>
      <c r="C898" s="219" t="s">
        <v>22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724</v>
      </c>
      <c r="C899" s="219" t="s">
        <v>22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725</v>
      </c>
      <c r="C900" s="219" t="s">
        <v>22</v>
      </c>
      <c r="D900" s="48" t="s">
        <v>105</v>
      </c>
      <c r="E900" s="55">
        <v>2885.5</v>
      </c>
      <c r="F900" s="194" t="s">
        <v>105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726</v>
      </c>
      <c r="C901" s="219" t="s">
        <v>22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727</v>
      </c>
      <c r="C902" s="219" t="s">
        <v>22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728</v>
      </c>
      <c r="C903" s="219" t="s">
        <v>22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729</v>
      </c>
      <c r="C904" s="219" t="s">
        <v>22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730</v>
      </c>
      <c r="C905" s="219" t="s">
        <v>22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731</v>
      </c>
      <c r="C906" s="219" t="s">
        <v>22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732</v>
      </c>
      <c r="C907" s="219" t="s">
        <v>22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733</v>
      </c>
      <c r="C908" s="219" t="s">
        <v>22</v>
      </c>
      <c r="D908" s="48" t="s">
        <v>105</v>
      </c>
      <c r="E908" s="55">
        <v>2785.5</v>
      </c>
      <c r="F908" s="194" t="s">
        <v>105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734</v>
      </c>
      <c r="C909" s="219" t="s">
        <v>22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735</v>
      </c>
      <c r="C910" s="219" t="s">
        <v>22</v>
      </c>
      <c r="D910" s="48" t="s">
        <v>105</v>
      </c>
      <c r="E910" s="55">
        <v>1</v>
      </c>
      <c r="F910" s="194" t="s">
        <v>105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736</v>
      </c>
      <c r="C911" s="219" t="s">
        <v>22</v>
      </c>
      <c r="D911" s="48" t="s">
        <v>105</v>
      </c>
      <c r="E911" s="55">
        <v>1200</v>
      </c>
      <c r="F911" s="194" t="s">
        <v>105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737</v>
      </c>
      <c r="C912" s="219" t="s">
        <v>22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738</v>
      </c>
      <c r="C913" s="219" t="s">
        <v>22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739</v>
      </c>
      <c r="C914" s="219" t="s">
        <v>22</v>
      </c>
      <c r="D914" s="48" t="s">
        <v>105</v>
      </c>
      <c r="E914" s="55">
        <v>500</v>
      </c>
      <c r="F914" s="194" t="s">
        <v>105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740</v>
      </c>
      <c r="C915" s="219" t="s">
        <v>22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741</v>
      </c>
      <c r="C916" s="219" t="s">
        <v>22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742</v>
      </c>
      <c r="C917" s="219" t="s">
        <v>22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743</v>
      </c>
      <c r="C918" s="219" t="s">
        <v>22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744</v>
      </c>
      <c r="C919" s="219" t="s">
        <v>22</v>
      </c>
      <c r="D919" s="48" t="s">
        <v>105</v>
      </c>
      <c r="E919" s="55">
        <v>114.24</v>
      </c>
      <c r="F919" s="194" t="s">
        <v>105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745</v>
      </c>
      <c r="C920" s="219" t="s">
        <v>22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746</v>
      </c>
      <c r="C921" s="219" t="s">
        <v>22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747</v>
      </c>
      <c r="C922" s="219" t="s">
        <v>22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748</v>
      </c>
      <c r="C923" s="219" t="s">
        <v>22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749</v>
      </c>
      <c r="C924" s="219" t="s">
        <v>22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750</v>
      </c>
      <c r="C925" s="219" t="s">
        <v>22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751</v>
      </c>
      <c r="C926" s="219" t="s">
        <v>22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752</v>
      </c>
      <c r="C927" s="219" t="s">
        <v>22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753</v>
      </c>
      <c r="C928" s="219" t="s">
        <v>22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754</v>
      </c>
      <c r="C929" s="219" t="s">
        <v>22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755</v>
      </c>
      <c r="C930" s="219" t="s">
        <v>22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756</v>
      </c>
      <c r="C931" s="219" t="s">
        <v>22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757</v>
      </c>
      <c r="C932" s="219" t="s">
        <v>22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758</v>
      </c>
      <c r="C933" s="219" t="s">
        <v>22</v>
      </c>
      <c r="D933" s="48" t="s">
        <v>105</v>
      </c>
      <c r="E933" s="55">
        <v>1800</v>
      </c>
      <c r="F933" s="194" t="s">
        <v>105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759</v>
      </c>
      <c r="C934" s="219" t="s">
        <v>22</v>
      </c>
      <c r="D934" s="48" t="s">
        <v>105</v>
      </c>
      <c r="E934" s="55">
        <v>546</v>
      </c>
      <c r="F934" s="194" t="s">
        <v>105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760</v>
      </c>
      <c r="C935" s="219" t="s">
        <v>22</v>
      </c>
      <c r="D935" s="48" t="s">
        <v>105</v>
      </c>
      <c r="E935" s="55">
        <v>114.24</v>
      </c>
      <c r="F935" s="194" t="s">
        <v>105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761</v>
      </c>
      <c r="C936" s="219" t="s">
        <v>22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762</v>
      </c>
      <c r="C937" s="219" t="s">
        <v>22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763</v>
      </c>
      <c r="C938" s="219" t="s">
        <v>22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764</v>
      </c>
      <c r="C939" s="219" t="s">
        <v>22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765</v>
      </c>
      <c r="C940" s="219" t="s">
        <v>22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766</v>
      </c>
      <c r="C941" s="219" t="s">
        <v>22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767</v>
      </c>
      <c r="C942" s="219" t="s">
        <v>22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768</v>
      </c>
      <c r="C943" s="219" t="s">
        <v>22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769</v>
      </c>
      <c r="C944" s="219" t="s">
        <v>22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770</v>
      </c>
      <c r="C945" s="219" t="s">
        <v>22</v>
      </c>
      <c r="D945" s="48" t="s">
        <v>105</v>
      </c>
      <c r="E945" s="55">
        <v>1550</v>
      </c>
      <c r="F945" s="194" t="s">
        <v>105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771</v>
      </c>
      <c r="C946" s="219" t="s">
        <v>22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772</v>
      </c>
      <c r="C947" s="219" t="s">
        <v>22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773</v>
      </c>
      <c r="C948" s="219" t="s">
        <v>22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774</v>
      </c>
      <c r="C949" s="219" t="s">
        <v>22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775</v>
      </c>
      <c r="C950" s="219" t="s">
        <v>22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776</v>
      </c>
      <c r="C951" s="219" t="s">
        <v>22</v>
      </c>
      <c r="D951" s="48" t="s">
        <v>105</v>
      </c>
      <c r="E951" s="55">
        <v>952</v>
      </c>
      <c r="F951" s="194" t="s">
        <v>105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777</v>
      </c>
      <c r="C952" s="219" t="s">
        <v>22</v>
      </c>
      <c r="D952" s="48" t="s">
        <v>105</v>
      </c>
      <c r="E952" s="55">
        <v>925</v>
      </c>
      <c r="F952" s="194" t="s">
        <v>105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778</v>
      </c>
      <c r="C953" s="219" t="s">
        <v>22</v>
      </c>
      <c r="D953" s="48" t="s">
        <v>105</v>
      </c>
      <c r="E953" s="55">
        <v>1100</v>
      </c>
      <c r="F953" s="194" t="s">
        <v>105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779</v>
      </c>
      <c r="C954" s="219" t="s">
        <v>22</v>
      </c>
      <c r="D954" s="48" t="s">
        <v>105</v>
      </c>
      <c r="E954" s="55">
        <v>1350</v>
      </c>
      <c r="F954" s="194" t="s">
        <v>105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780</v>
      </c>
      <c r="C955" s="219" t="s">
        <v>22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781</v>
      </c>
      <c r="C956" s="219" t="s">
        <v>22</v>
      </c>
      <c r="D956" s="48" t="s">
        <v>105</v>
      </c>
      <c r="E956" s="43">
        <v>2727.48</v>
      </c>
      <c r="F956" s="188" t="s">
        <v>105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782</v>
      </c>
      <c r="C957" s="219" t="s">
        <v>22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783</v>
      </c>
      <c r="C958" s="219" t="s">
        <v>22</v>
      </c>
      <c r="D958" s="48" t="s">
        <v>105</v>
      </c>
      <c r="E958" s="55">
        <v>2727.48</v>
      </c>
      <c r="F958" s="194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784</v>
      </c>
      <c r="C959" s="219" t="s">
        <v>22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785</v>
      </c>
      <c r="C960" s="219" t="s">
        <v>22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786</v>
      </c>
      <c r="C961" s="219" t="s">
        <v>22</v>
      </c>
      <c r="D961" s="48" t="s">
        <v>105</v>
      </c>
      <c r="E961" s="55">
        <v>3111.85</v>
      </c>
      <c r="F961" s="194" t="s">
        <v>105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787</v>
      </c>
      <c r="C962" s="219" t="s">
        <v>22</v>
      </c>
      <c r="D962" s="48" t="s">
        <v>105</v>
      </c>
      <c r="E962" s="43">
        <v>1550</v>
      </c>
      <c r="F962" s="188" t="s">
        <v>105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788</v>
      </c>
      <c r="C963" s="219" t="s">
        <v>22</v>
      </c>
      <c r="D963" s="48" t="s">
        <v>105</v>
      </c>
      <c r="E963" s="55">
        <v>1550</v>
      </c>
      <c r="F963" s="194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789</v>
      </c>
      <c r="C964" s="219" t="s">
        <v>22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790</v>
      </c>
      <c r="C965" s="219" t="s">
        <v>22</v>
      </c>
      <c r="D965" s="48" t="s">
        <v>105</v>
      </c>
      <c r="E965" s="43">
        <v>1550</v>
      </c>
      <c r="F965" s="188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791</v>
      </c>
      <c r="C966" s="219" t="s">
        <v>22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792</v>
      </c>
      <c r="C967" s="219" t="s">
        <v>22</v>
      </c>
      <c r="D967" s="48" t="s">
        <v>105</v>
      </c>
      <c r="E967" s="55">
        <v>3844</v>
      </c>
      <c r="F967" s="194" t="s">
        <v>105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793</v>
      </c>
      <c r="C968" s="219" t="s">
        <v>22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794</v>
      </c>
      <c r="C969" s="219" t="s">
        <v>22</v>
      </c>
      <c r="D969" s="48" t="s">
        <v>105</v>
      </c>
      <c r="E969" s="55">
        <v>998.41</v>
      </c>
      <c r="F969" s="194" t="s">
        <v>105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795</v>
      </c>
      <c r="C970" s="219" t="s">
        <v>22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796</v>
      </c>
      <c r="C971" s="219" t="s">
        <v>22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797</v>
      </c>
      <c r="C972" s="219" t="s">
        <v>22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798</v>
      </c>
      <c r="C973" s="219" t="s">
        <v>22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799</v>
      </c>
      <c r="C974" s="219" t="s">
        <v>22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800</v>
      </c>
      <c r="C975" s="219" t="s">
        <v>22</v>
      </c>
      <c r="D975" s="48" t="s">
        <v>105</v>
      </c>
      <c r="E975" s="55">
        <v>3844</v>
      </c>
      <c r="F975" s="194" t="s">
        <v>105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801</v>
      </c>
      <c r="C976" s="219" t="s">
        <v>22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802</v>
      </c>
      <c r="C977" s="219" t="s">
        <v>22</v>
      </c>
      <c r="D977" s="48" t="s">
        <v>105</v>
      </c>
      <c r="E977" s="55">
        <v>998.41</v>
      </c>
      <c r="F977" s="194" t="s">
        <v>105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803</v>
      </c>
      <c r="C978" s="219" t="s">
        <v>22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804</v>
      </c>
      <c r="C979" s="219" t="s">
        <v>22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805</v>
      </c>
      <c r="C980" s="219" t="s">
        <v>22</v>
      </c>
      <c r="D980" s="48" t="s">
        <v>105</v>
      </c>
      <c r="E980" s="55">
        <v>1173.3399999999999</v>
      </c>
      <c r="F980" s="194" t="s">
        <v>105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806</v>
      </c>
      <c r="C981" s="219" t="s">
        <v>22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807</v>
      </c>
      <c r="C982" s="219" t="s">
        <v>22</v>
      </c>
      <c r="D982" s="48" t="s">
        <v>105</v>
      </c>
      <c r="E982" s="55">
        <v>1200</v>
      </c>
      <c r="F982" s="194" t="s">
        <v>105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87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808</v>
      </c>
      <c r="C1011" s="160" t="s">
        <v>26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809</v>
      </c>
      <c r="C1012" s="160" t="s">
        <v>26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810</v>
      </c>
      <c r="C1013" s="160" t="s">
        <v>26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26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27</v>
      </c>
      <c r="C1015" s="160" t="s">
        <v>26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812</v>
      </c>
      <c r="C1016" s="160" t="s">
        <v>26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813</v>
      </c>
      <c r="C1017" s="160" t="s">
        <v>26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814</v>
      </c>
      <c r="C1018" s="160" t="s">
        <v>26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815</v>
      </c>
      <c r="C1019" s="160" t="s">
        <v>26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816</v>
      </c>
      <c r="C1020" s="160" t="s">
        <v>26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817</v>
      </c>
      <c r="C1021" s="160" t="s">
        <v>26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818</v>
      </c>
      <c r="C1022" s="160" t="s">
        <v>26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819</v>
      </c>
      <c r="C1023" s="160" t="s">
        <v>26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820</v>
      </c>
      <c r="C1024" s="160" t="s">
        <v>26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821</v>
      </c>
      <c r="C1025" s="160" t="s">
        <v>26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822</v>
      </c>
      <c r="C1026" s="160" t="s">
        <v>26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28</v>
      </c>
      <c r="C1027" s="160" t="s">
        <v>26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823</v>
      </c>
      <c r="C1028" s="160" t="s">
        <v>26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824</v>
      </c>
      <c r="C1029" s="160" t="s">
        <v>26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825</v>
      </c>
      <c r="C1030" s="160" t="s">
        <v>26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826</v>
      </c>
      <c r="C1031" s="160" t="s">
        <v>26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827</v>
      </c>
      <c r="C1032" s="160" t="s">
        <v>26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828</v>
      </c>
      <c r="C1033" s="160" t="s">
        <v>26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829</v>
      </c>
      <c r="C1034" s="160" t="s">
        <v>26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830</v>
      </c>
      <c r="C1035" s="160" t="s">
        <v>26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831</v>
      </c>
      <c r="C1036" s="160" t="s">
        <v>26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832</v>
      </c>
      <c r="C1037" s="160" t="s">
        <v>26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833</v>
      </c>
      <c r="C1038" s="160" t="s">
        <v>26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834</v>
      </c>
      <c r="C1039" s="160" t="s">
        <v>26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835</v>
      </c>
      <c r="C1040" s="160" t="s">
        <v>26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836</v>
      </c>
      <c r="C1041" s="160" t="s">
        <v>26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837</v>
      </c>
      <c r="C1042" s="160" t="s">
        <v>26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838</v>
      </c>
      <c r="C1043" s="160" t="s">
        <v>26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30">
      <c r="A1067" s="83">
        <v>1</v>
      </c>
      <c r="B1067" s="206" t="s">
        <v>839</v>
      </c>
      <c r="C1067" s="219" t="s">
        <v>55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840</v>
      </c>
      <c r="C1068" s="219" t="s">
        <v>55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841</v>
      </c>
      <c r="C1069" s="219" t="s">
        <v>55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842</v>
      </c>
      <c r="C1070" s="219" t="s">
        <v>55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843</v>
      </c>
      <c r="C1071" s="219" t="s">
        <v>55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844</v>
      </c>
      <c r="C1072" s="219" t="s">
        <v>55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845</v>
      </c>
      <c r="C1073" s="219" t="s">
        <v>55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30">
      <c r="A1107" s="83">
        <v>1</v>
      </c>
      <c r="B1107" s="206" t="s">
        <v>846</v>
      </c>
      <c r="C1107" s="37" t="s">
        <v>847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848</v>
      </c>
      <c r="C1108" s="37" t="s">
        <v>847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849</v>
      </c>
      <c r="C1109" s="37" t="s">
        <v>847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850</v>
      </c>
      <c r="C1110" s="37" t="s">
        <v>847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851</v>
      </c>
      <c r="C1111" s="37" t="s">
        <v>847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852</v>
      </c>
      <c r="C1112" s="37" t="s">
        <v>847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853</v>
      </c>
      <c r="C1113" s="37" t="s">
        <v>847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854</v>
      </c>
      <c r="C1114" s="37" t="s">
        <v>847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855</v>
      </c>
      <c r="C1115" s="37" t="s">
        <v>847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856</v>
      </c>
      <c r="C1116" s="37" t="s">
        <v>847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857</v>
      </c>
      <c r="C1117" s="37" t="s">
        <v>847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858</v>
      </c>
      <c r="C1118" s="37" t="s">
        <v>847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859</v>
      </c>
      <c r="C1119" s="37" t="s">
        <v>847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860</v>
      </c>
      <c r="C1120" s="37" t="s">
        <v>847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861</v>
      </c>
      <c r="C1121" s="37" t="s">
        <v>847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862</v>
      </c>
      <c r="C1122" s="37" t="s">
        <v>847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863</v>
      </c>
      <c r="C1123" s="37" t="s">
        <v>847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864</v>
      </c>
      <c r="C1124" s="37" t="s">
        <v>847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865</v>
      </c>
      <c r="C1125" s="37" t="s">
        <v>847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866</v>
      </c>
      <c r="C1126" s="37" t="s">
        <v>847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867</v>
      </c>
      <c r="C1127" s="37" t="s">
        <v>847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868</v>
      </c>
      <c r="C1128" s="37" t="s">
        <v>847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869</v>
      </c>
      <c r="C1129" s="37" t="s">
        <v>847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870</v>
      </c>
      <c r="C1130" s="37" t="s">
        <v>847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871</v>
      </c>
      <c r="C1131" s="37" t="s">
        <v>847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872</v>
      </c>
      <c r="C1132" s="275" t="s">
        <v>847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873</v>
      </c>
      <c r="C1133" s="276" t="s">
        <v>847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874</v>
      </c>
      <c r="C1134" s="276" t="s">
        <v>847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875</v>
      </c>
      <c r="C1135" s="276" t="s">
        <v>847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876</v>
      </c>
      <c r="C1136" s="276" t="s">
        <v>847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877</v>
      </c>
      <c r="C1137" s="276" t="s">
        <v>847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878</v>
      </c>
      <c r="C1138" s="276" t="s">
        <v>847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879</v>
      </c>
      <c r="C1139" s="276" t="s">
        <v>847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880</v>
      </c>
      <c r="C1140" s="276" t="s">
        <v>847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881</v>
      </c>
      <c r="C1141" s="276" t="s">
        <v>847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882</v>
      </c>
      <c r="C1142" s="276" t="s">
        <v>847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883</v>
      </c>
      <c r="C1143" s="276" t="s">
        <v>847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884</v>
      </c>
      <c r="C1144" s="276" t="s">
        <v>847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885</v>
      </c>
      <c r="C1145" s="276" t="s">
        <v>847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886</v>
      </c>
      <c r="C1146" s="276" t="s">
        <v>847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887</v>
      </c>
      <c r="C1147" s="276" t="s">
        <v>847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888</v>
      </c>
      <c r="C1148" s="276" t="s">
        <v>847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889</v>
      </c>
      <c r="C1149" s="276" t="s">
        <v>847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890</v>
      </c>
      <c r="C1150" s="276" t="s">
        <v>847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891</v>
      </c>
      <c r="C1151" s="276" t="s">
        <v>847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892</v>
      </c>
      <c r="C1152" s="276" t="s">
        <v>847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893</v>
      </c>
      <c r="C1153" s="276" t="s">
        <v>847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894</v>
      </c>
      <c r="C1154" s="276" t="s">
        <v>847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895</v>
      </c>
      <c r="C1155" s="276" t="s">
        <v>847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896</v>
      </c>
      <c r="C1156" s="276" t="s">
        <v>847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897</v>
      </c>
      <c r="C1157" s="276" t="s">
        <v>847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898</v>
      </c>
      <c r="C1158" s="276" t="s">
        <v>847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899</v>
      </c>
      <c r="C1159" s="276" t="s">
        <v>847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900</v>
      </c>
      <c r="C1160" s="276" t="s">
        <v>847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901</v>
      </c>
      <c r="C1161" s="276" t="s">
        <v>847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902</v>
      </c>
      <c r="C1162" s="276" t="s">
        <v>847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903</v>
      </c>
      <c r="C1163" s="276" t="s">
        <v>847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904</v>
      </c>
      <c r="C1164" s="276" t="s">
        <v>847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905</v>
      </c>
      <c r="C1165" s="276" t="s">
        <v>847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906</v>
      </c>
      <c r="C1166" s="276" t="s">
        <v>847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907</v>
      </c>
      <c r="C1167" s="276" t="s">
        <v>847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908</v>
      </c>
      <c r="C1168" s="276" t="s">
        <v>847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909</v>
      </c>
      <c r="C1169" s="276" t="s">
        <v>847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910</v>
      </c>
      <c r="C1170" s="276" t="s">
        <v>847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911</v>
      </c>
      <c r="C1171" s="276" t="s">
        <v>847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912</v>
      </c>
      <c r="C1172" s="276" t="s">
        <v>847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913</v>
      </c>
      <c r="C1173" s="276" t="s">
        <v>847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914</v>
      </c>
      <c r="C1174" s="276" t="s">
        <v>847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915</v>
      </c>
      <c r="C1175" s="276" t="s">
        <v>847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916</v>
      </c>
      <c r="C1176" s="276" t="s">
        <v>847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917</v>
      </c>
      <c r="C1177" s="276" t="s">
        <v>847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918</v>
      </c>
      <c r="C1178" s="276" t="s">
        <v>847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919</v>
      </c>
      <c r="C1179" s="276" t="s">
        <v>847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920</v>
      </c>
      <c r="C1180" s="276" t="s">
        <v>847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921</v>
      </c>
      <c r="C1181" s="276" t="s">
        <v>847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922</v>
      </c>
      <c r="C1182" s="276" t="s">
        <v>847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923</v>
      </c>
      <c r="C1183" s="276" t="s">
        <v>847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924</v>
      </c>
      <c r="C1184" s="276" t="s">
        <v>847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925</v>
      </c>
      <c r="C1185" s="276" t="s">
        <v>847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926</v>
      </c>
      <c r="C1186" s="276" t="s">
        <v>847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927</v>
      </c>
      <c r="C1187" s="276" t="s">
        <v>847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928</v>
      </c>
      <c r="C1188" s="276" t="s">
        <v>847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929</v>
      </c>
      <c r="C1189" s="276" t="s">
        <v>847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930</v>
      </c>
      <c r="C1190" s="276" t="s">
        <v>847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931</v>
      </c>
      <c r="C1191" s="276" t="s">
        <v>847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932</v>
      </c>
      <c r="C1192" s="276" t="s">
        <v>847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933</v>
      </c>
      <c r="C1193" s="276" t="s">
        <v>847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934</v>
      </c>
      <c r="C1194" s="276" t="s">
        <v>847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935</v>
      </c>
      <c r="C1195" s="276" t="s">
        <v>847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936</v>
      </c>
      <c r="C1196" s="276" t="s">
        <v>847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937</v>
      </c>
      <c r="C1197" s="276" t="s">
        <v>847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938</v>
      </c>
      <c r="C1198" s="276" t="s">
        <v>847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939</v>
      </c>
      <c r="C1199" s="276" t="s">
        <v>847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940</v>
      </c>
      <c r="C1200" s="276" t="s">
        <v>847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941</v>
      </c>
      <c r="C1201" s="276" t="s">
        <v>847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942</v>
      </c>
      <c r="C1202" s="276" t="s">
        <v>847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943</v>
      </c>
      <c r="C1203" s="276" t="s">
        <v>847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944</v>
      </c>
      <c r="C1204" s="276" t="s">
        <v>847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945</v>
      </c>
      <c r="C1205" s="276" t="s">
        <v>847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946</v>
      </c>
      <c r="C1206" s="276" t="s">
        <v>847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947</v>
      </c>
      <c r="C1207" s="276" t="s">
        <v>847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948</v>
      </c>
      <c r="C1208" s="276" t="s">
        <v>847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949</v>
      </c>
      <c r="C1209" s="276" t="s">
        <v>847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950</v>
      </c>
      <c r="C1210" s="276" t="s">
        <v>847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951</v>
      </c>
      <c r="C1211" s="276" t="s">
        <v>847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952</v>
      </c>
      <c r="C1212" s="276" t="s">
        <v>847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953</v>
      </c>
      <c r="C1213" s="276" t="s">
        <v>847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954</v>
      </c>
      <c r="C1214" s="276" t="s">
        <v>847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955</v>
      </c>
      <c r="C1215" s="276" t="s">
        <v>847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956</v>
      </c>
      <c r="C1216" s="276" t="s">
        <v>847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957</v>
      </c>
      <c r="C1217" s="276" t="s">
        <v>847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958</v>
      </c>
      <c r="C1218" s="276" t="s">
        <v>847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959</v>
      </c>
      <c r="C1219" s="276" t="s">
        <v>847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960</v>
      </c>
      <c r="C1220" s="276" t="s">
        <v>847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961</v>
      </c>
      <c r="C1221" s="276" t="s">
        <v>847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962</v>
      </c>
      <c r="C1222" s="276" t="s">
        <v>847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963</v>
      </c>
      <c r="C1223" s="276" t="s">
        <v>847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964</v>
      </c>
      <c r="C1224" s="276" t="s">
        <v>847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965</v>
      </c>
      <c r="C1225" s="276" t="s">
        <v>847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966</v>
      </c>
      <c r="C1226" s="276" t="s">
        <v>847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967</v>
      </c>
      <c r="C1227" s="276" t="s">
        <v>847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968</v>
      </c>
      <c r="C1228" s="276" t="s">
        <v>847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969</v>
      </c>
      <c r="C1229" s="276" t="s">
        <v>847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970</v>
      </c>
      <c r="C1230" s="276" t="s">
        <v>847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971</v>
      </c>
      <c r="C1231" s="276" t="s">
        <v>847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972</v>
      </c>
      <c r="C1232" s="276" t="s">
        <v>847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973</v>
      </c>
      <c r="C1233" s="276" t="s">
        <v>847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974</v>
      </c>
      <c r="C1234" s="276" t="s">
        <v>847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975</v>
      </c>
      <c r="C1235" s="276" t="s">
        <v>847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976</v>
      </c>
      <c r="C1236" s="276" t="s">
        <v>847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977</v>
      </c>
      <c r="C1237" s="276" t="s">
        <v>847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978</v>
      </c>
      <c r="C1238" s="276" t="s">
        <v>847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979</v>
      </c>
      <c r="C1239" s="276" t="s">
        <v>847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980</v>
      </c>
      <c r="C1240" s="276" t="s">
        <v>847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981</v>
      </c>
      <c r="C1241" s="276" t="s">
        <v>847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982</v>
      </c>
      <c r="C1242" s="276" t="s">
        <v>847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983</v>
      </c>
      <c r="C1243" s="276" t="s">
        <v>847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984</v>
      </c>
      <c r="C1244" s="276" t="s">
        <v>847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985</v>
      </c>
      <c r="C1245" s="276" t="s">
        <v>847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986</v>
      </c>
      <c r="C1246" s="276" t="s">
        <v>847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987</v>
      </c>
      <c r="C1247" s="276" t="s">
        <v>847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988</v>
      </c>
      <c r="C1248" s="276" t="s">
        <v>847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989</v>
      </c>
      <c r="C1249" s="276" t="s">
        <v>847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990</v>
      </c>
      <c r="C1250" s="276" t="s">
        <v>847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991</v>
      </c>
      <c r="C1251" s="276" t="s">
        <v>847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992</v>
      </c>
      <c r="C1252" s="276" t="s">
        <v>847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993</v>
      </c>
      <c r="C1253" s="276" t="s">
        <v>847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994</v>
      </c>
      <c r="C1254" s="276" t="s">
        <v>847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995</v>
      </c>
      <c r="C1255" s="276" t="s">
        <v>847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996</v>
      </c>
      <c r="C1256" s="276" t="s">
        <v>847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997</v>
      </c>
      <c r="C1257" s="276" t="s">
        <v>847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998</v>
      </c>
      <c r="C1258" s="276" t="s">
        <v>847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999</v>
      </c>
      <c r="C1259" s="276" t="s">
        <v>847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1000</v>
      </c>
      <c r="C1260" s="276" t="s">
        <v>847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1001</v>
      </c>
      <c r="C1261" s="276" t="s">
        <v>847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1002</v>
      </c>
      <c r="C1262" s="276" t="s">
        <v>847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1003</v>
      </c>
      <c r="C1263" s="276" t="s">
        <v>847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1004</v>
      </c>
      <c r="C1264" s="276" t="s">
        <v>847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1005</v>
      </c>
      <c r="C1265" s="276" t="s">
        <v>847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1006</v>
      </c>
      <c r="C1266" s="276" t="s">
        <v>847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1007</v>
      </c>
      <c r="C1267" s="276" t="s">
        <v>847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1008</v>
      </c>
      <c r="C1268" s="276" t="s">
        <v>847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1009</v>
      </c>
      <c r="C1269" s="276" t="s">
        <v>847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1010</v>
      </c>
      <c r="C1270" s="276" t="s">
        <v>847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1011</v>
      </c>
      <c r="C1271" s="276" t="s">
        <v>847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1012</v>
      </c>
      <c r="C1272" s="276" t="s">
        <v>847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1013</v>
      </c>
      <c r="C1273" s="276" t="s">
        <v>847</v>
      </c>
      <c r="D1273" s="277" t="s">
        <v>105</v>
      </c>
      <c r="E1273" s="141">
        <v>44533.333333333336</v>
      </c>
      <c r="F1273" s="278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1014</v>
      </c>
      <c r="C1274" s="276" t="s">
        <v>847</v>
      </c>
      <c r="D1274" s="277" t="s">
        <v>105</v>
      </c>
      <c r="E1274" s="141">
        <v>30900</v>
      </c>
      <c r="F1274" s="278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1015</v>
      </c>
      <c r="C1275" s="276" t="s">
        <v>847</v>
      </c>
      <c r="D1275" s="277" t="s">
        <v>1016</v>
      </c>
      <c r="E1275" s="141">
        <v>44500</v>
      </c>
      <c r="F1275" s="278" t="s">
        <v>105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1017</v>
      </c>
      <c r="C1276" s="276" t="s">
        <v>847</v>
      </c>
      <c r="D1276" s="277" t="s">
        <v>105</v>
      </c>
      <c r="E1276" s="141">
        <v>22370</v>
      </c>
      <c r="F1276" s="278" t="s">
        <v>105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1018</v>
      </c>
      <c r="C1277" s="276" t="s">
        <v>847</v>
      </c>
      <c r="D1277" s="277" t="s">
        <v>105</v>
      </c>
      <c r="E1277" s="141">
        <v>184100</v>
      </c>
      <c r="F1277" s="278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1019</v>
      </c>
      <c r="C1278" s="276" t="s">
        <v>847</v>
      </c>
      <c r="D1278" s="277" t="s">
        <v>105</v>
      </c>
      <c r="E1278" s="141">
        <v>6333.3374999999996</v>
      </c>
      <c r="F1278" s="278" t="s">
        <v>105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1020</v>
      </c>
      <c r="C1279" s="276" t="s">
        <v>847</v>
      </c>
      <c r="D1279" s="277" t="s">
        <v>105</v>
      </c>
      <c r="E1279" s="141">
        <v>17266.599999999999</v>
      </c>
      <c r="F1279" s="278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1021</v>
      </c>
      <c r="C1280" s="276" t="s">
        <v>847</v>
      </c>
      <c r="D1280" s="277" t="s">
        <v>105</v>
      </c>
      <c r="E1280" s="141">
        <v>6796.7</v>
      </c>
      <c r="F1280" s="278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1022</v>
      </c>
      <c r="C1281" s="276" t="s">
        <v>847</v>
      </c>
      <c r="D1281" s="277" t="s">
        <v>105</v>
      </c>
      <c r="E1281" s="141">
        <v>182666.66666666666</v>
      </c>
      <c r="F1281" s="278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1023</v>
      </c>
      <c r="C1282" s="276" t="s">
        <v>847</v>
      </c>
      <c r="D1282" s="277" t="s">
        <v>1016</v>
      </c>
      <c r="E1282" s="141">
        <v>2500</v>
      </c>
      <c r="F1282" s="278" t="s">
        <v>105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1024</v>
      </c>
      <c r="C1283" s="276" t="s">
        <v>847</v>
      </c>
      <c r="D1283" s="277" t="s">
        <v>105</v>
      </c>
      <c r="E1283" s="141">
        <v>46996.6</v>
      </c>
      <c r="F1283" s="278" t="s">
        <v>105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1024</v>
      </c>
      <c r="C1284" s="276" t="s">
        <v>847</v>
      </c>
      <c r="D1284" s="277" t="s">
        <v>105</v>
      </c>
      <c r="E1284" s="141">
        <v>48330</v>
      </c>
      <c r="F1284" s="278" t="s">
        <v>105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1025</v>
      </c>
      <c r="C1285" s="276" t="s">
        <v>847</v>
      </c>
      <c r="D1285" s="277" t="s">
        <v>1026</v>
      </c>
      <c r="E1285" s="141">
        <v>10166.700000000001</v>
      </c>
      <c r="F1285" s="278" t="s">
        <v>1026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1027</v>
      </c>
      <c r="C1286" s="276" t="s">
        <v>847</v>
      </c>
      <c r="D1286" s="277" t="s">
        <v>105</v>
      </c>
      <c r="E1286" s="141">
        <v>104388.75</v>
      </c>
      <c r="F1286" s="278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1028</v>
      </c>
      <c r="C1287" s="276" t="s">
        <v>847</v>
      </c>
      <c r="D1287" s="277" t="s">
        <v>105</v>
      </c>
      <c r="E1287" s="141">
        <v>79760</v>
      </c>
      <c r="F1287" s="278" t="s">
        <v>105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1029</v>
      </c>
      <c r="C1288" s="276" t="s">
        <v>847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1030</v>
      </c>
      <c r="C1289" s="276" t="s">
        <v>847</v>
      </c>
      <c r="D1289" s="277" t="s">
        <v>105</v>
      </c>
      <c r="E1289" s="141">
        <v>152500</v>
      </c>
      <c r="F1289" s="278" t="s">
        <v>105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1031</v>
      </c>
      <c r="C1290" s="276" t="s">
        <v>847</v>
      </c>
      <c r="D1290" s="277" t="s">
        <v>105</v>
      </c>
      <c r="E1290" s="141">
        <v>432050</v>
      </c>
      <c r="F1290" s="278" t="s">
        <v>105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1032</v>
      </c>
      <c r="C1328" s="37" t="s">
        <v>29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29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29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29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29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29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29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29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29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29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29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29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29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29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29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29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29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29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29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29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29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29</v>
      </c>
      <c r="D1349" s="48" t="s">
        <v>1054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29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29</v>
      </c>
      <c r="D1351" s="48" t="s">
        <v>1058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29</v>
      </c>
      <c r="D1352" s="48" t="s">
        <v>1056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29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29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29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29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1066</v>
      </c>
      <c r="C1357" s="37" t="s">
        <v>29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1067</v>
      </c>
      <c r="C1358" s="37" t="s">
        <v>29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30</v>
      </c>
      <c r="C1359" s="37" t="s">
        <v>29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1068</v>
      </c>
      <c r="C1360" s="37" t="s">
        <v>29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1069</v>
      </c>
      <c r="C1361" s="37" t="s">
        <v>29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1070</v>
      </c>
      <c r="C1362" s="37" t="s">
        <v>29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1071</v>
      </c>
      <c r="C1363" s="37" t="s">
        <v>29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1072</v>
      </c>
      <c r="C1364" s="37" t="s">
        <v>29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1073</v>
      </c>
      <c r="C1365" s="37" t="s">
        <v>29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1074</v>
      </c>
      <c r="C1366" s="37" t="s">
        <v>29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1075</v>
      </c>
      <c r="C1367" s="37" t="s">
        <v>29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1076</v>
      </c>
      <c r="C1368" s="37" t="s">
        <v>29</v>
      </c>
      <c r="D1368" s="48" t="s">
        <v>1077</v>
      </c>
      <c r="E1368" s="43">
        <v>23233.4</v>
      </c>
      <c r="F1368" s="188" t="s">
        <v>1026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1078</v>
      </c>
      <c r="C1369" s="37" t="s">
        <v>29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1079</v>
      </c>
      <c r="C1370" s="37" t="s">
        <v>29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1080</v>
      </c>
      <c r="C1371" s="37" t="s">
        <v>29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1081</v>
      </c>
      <c r="C1372" s="37" t="s">
        <v>29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1082</v>
      </c>
      <c r="C1373" s="161" t="s">
        <v>29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1083</v>
      </c>
      <c r="C1374" s="161" t="s">
        <v>29</v>
      </c>
      <c r="D1374" s="290" t="s">
        <v>105</v>
      </c>
      <c r="E1374" s="62"/>
      <c r="F1374" s="191" t="s">
        <v>105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1084</v>
      </c>
      <c r="C1375" s="161" t="s">
        <v>29</v>
      </c>
      <c r="D1375" s="290" t="s">
        <v>105</v>
      </c>
      <c r="E1375" s="62"/>
      <c r="F1375" s="191" t="s">
        <v>105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1085</v>
      </c>
      <c r="C1376" s="161" t="s">
        <v>29</v>
      </c>
      <c r="D1376" s="290" t="s">
        <v>105</v>
      </c>
      <c r="E1376" s="62"/>
      <c r="F1376" s="191" t="s">
        <v>105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1086</v>
      </c>
      <c r="C1377" s="161" t="s">
        <v>29</v>
      </c>
      <c r="D1377" s="290" t="s">
        <v>105</v>
      </c>
      <c r="E1377" s="62"/>
      <c r="F1377" s="191" t="s">
        <v>105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1087</v>
      </c>
      <c r="C1378" s="161" t="s">
        <v>29</v>
      </c>
      <c r="D1378" s="290" t="s">
        <v>105</v>
      </c>
      <c r="E1378" s="62"/>
      <c r="F1378" s="191" t="s">
        <v>105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1088</v>
      </c>
      <c r="C1379" s="37" t="s">
        <v>29</v>
      </c>
      <c r="D1379" s="291" t="s">
        <v>105</v>
      </c>
      <c r="E1379" s="43"/>
      <c r="F1379" s="188" t="s">
        <v>105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1089</v>
      </c>
      <c r="C1380" s="219" t="s">
        <v>29</v>
      </c>
      <c r="D1380" s="292" t="s">
        <v>105</v>
      </c>
      <c r="E1380" s="166"/>
      <c r="F1380" s="192" t="s">
        <v>105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1090</v>
      </c>
      <c r="C1381" s="219" t="s">
        <v>29</v>
      </c>
      <c r="D1381" s="292" t="s">
        <v>105</v>
      </c>
      <c r="E1381" s="166"/>
      <c r="F1381" s="192" t="s">
        <v>105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1091</v>
      </c>
      <c r="C1382" s="221" t="s">
        <v>29</v>
      </c>
      <c r="D1382" s="293" t="s">
        <v>105</v>
      </c>
      <c r="E1382" s="222"/>
      <c r="F1382" s="193" t="s">
        <v>105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1092</v>
      </c>
      <c r="C1383" s="221" t="s">
        <v>29</v>
      </c>
      <c r="D1383" s="10" t="s">
        <v>105</v>
      </c>
      <c r="E1383" s="222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1093</v>
      </c>
      <c r="C1384" s="219" t="s">
        <v>29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1094</v>
      </c>
      <c r="C1385" s="219" t="s">
        <v>29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1095</v>
      </c>
      <c r="C1386" s="219" t="s">
        <v>29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1096</v>
      </c>
      <c r="C1387" s="219" t="s">
        <v>29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1097</v>
      </c>
      <c r="C1388" s="219" t="s">
        <v>29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1098</v>
      </c>
      <c r="C1389" s="219" t="s">
        <v>29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1099</v>
      </c>
      <c r="C1390" s="219" t="s">
        <v>29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1100</v>
      </c>
      <c r="C1391" s="219" t="s">
        <v>29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1101</v>
      </c>
      <c r="C1392" s="219" t="s">
        <v>29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1102</v>
      </c>
      <c r="C1393" s="219" t="s">
        <v>29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1103</v>
      </c>
      <c r="C1394" s="219" t="s">
        <v>29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1104</v>
      </c>
      <c r="C1395" s="219" t="s">
        <v>29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1105</v>
      </c>
      <c r="C1396" s="219" t="s">
        <v>29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1106</v>
      </c>
      <c r="C1397" s="219" t="s">
        <v>29</v>
      </c>
      <c r="D1397" s="248" t="s">
        <v>1054</v>
      </c>
      <c r="E1397" s="166">
        <v>74866.666666666672</v>
      </c>
      <c r="F1397" s="193" t="s">
        <v>1054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1107</v>
      </c>
      <c r="C1398" s="219" t="s">
        <v>29</v>
      </c>
      <c r="D1398" s="248" t="s">
        <v>1108</v>
      </c>
      <c r="E1398" s="166">
        <v>74866.666666666672</v>
      </c>
      <c r="F1398" s="193" t="s">
        <v>1108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1109</v>
      </c>
      <c r="C1399" s="219" t="s">
        <v>29</v>
      </c>
      <c r="D1399" s="248" t="s">
        <v>105</v>
      </c>
      <c r="E1399" s="166">
        <v>19073</v>
      </c>
      <c r="F1399" s="193" t="s">
        <v>105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1110</v>
      </c>
      <c r="C1400" s="219" t="s">
        <v>29</v>
      </c>
      <c r="D1400" s="248" t="s">
        <v>105</v>
      </c>
      <c r="E1400" s="166">
        <v>866.66499999999996</v>
      </c>
      <c r="F1400" s="193" t="s">
        <v>105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1111</v>
      </c>
      <c r="C1401" s="219" t="s">
        <v>29</v>
      </c>
      <c r="D1401" s="248" t="s">
        <v>1063</v>
      </c>
      <c r="E1401" s="166">
        <v>513.33285714285716</v>
      </c>
      <c r="F1401" s="193" t="s">
        <v>1063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1112</v>
      </c>
      <c r="C1402" s="219" t="s">
        <v>29</v>
      </c>
      <c r="D1402" s="248" t="s">
        <v>105</v>
      </c>
      <c r="E1402" s="166">
        <v>19000</v>
      </c>
      <c r="F1402" s="193" t="s">
        <v>105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1113</v>
      </c>
      <c r="C1403" s="219" t="s">
        <v>29</v>
      </c>
      <c r="D1403" s="248" t="s">
        <v>105</v>
      </c>
      <c r="E1403" s="166">
        <v>3800</v>
      </c>
      <c r="F1403" s="193" t="s">
        <v>105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1114</v>
      </c>
      <c r="C1404" s="219" t="s">
        <v>29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1115</v>
      </c>
      <c r="C1405" s="219" t="s">
        <v>29</v>
      </c>
      <c r="D1405" s="248" t="s">
        <v>210</v>
      </c>
      <c r="E1405" s="166">
        <v>7200</v>
      </c>
      <c r="F1405" s="193" t="s">
        <v>1054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1116</v>
      </c>
      <c r="C1406" s="221" t="s">
        <v>29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1117</v>
      </c>
      <c r="C1407" s="219" t="s">
        <v>29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1118</v>
      </c>
      <c r="C1408" s="219" t="s">
        <v>29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1119</v>
      </c>
      <c r="C1409" s="219" t="s">
        <v>29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1120</v>
      </c>
      <c r="C1410" s="219" t="s">
        <v>29</v>
      </c>
      <c r="D1410" s="248" t="s">
        <v>105</v>
      </c>
      <c r="E1410" s="166">
        <v>6013.33</v>
      </c>
      <c r="F1410" s="273" t="s">
        <v>105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1121</v>
      </c>
      <c r="C1411" s="219" t="s">
        <v>29</v>
      </c>
      <c r="D1411" s="248" t="s">
        <v>105</v>
      </c>
      <c r="E1411" s="166">
        <v>1101.5</v>
      </c>
      <c r="F1411" s="273" t="s">
        <v>105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1122</v>
      </c>
      <c r="C1412" s="219" t="s">
        <v>29</v>
      </c>
      <c r="D1412" s="248" t="s">
        <v>105</v>
      </c>
      <c r="E1412" s="166">
        <v>11100</v>
      </c>
      <c r="F1412" s="273" t="s">
        <v>105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1123</v>
      </c>
      <c r="C1413" s="219" t="s">
        <v>29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1124</v>
      </c>
      <c r="C1414" s="219" t="s">
        <v>29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1125</v>
      </c>
      <c r="C1415" s="221" t="s">
        <v>29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1126</v>
      </c>
      <c r="C1428" s="219" t="s">
        <v>52</v>
      </c>
      <c r="D1428" s="235" t="s">
        <v>1127</v>
      </c>
      <c r="E1428" s="43">
        <v>35093.533333333333</v>
      </c>
      <c r="F1428" s="188" t="s">
        <v>1127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1128</v>
      </c>
      <c r="C1429" s="219" t="s">
        <v>52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1129</v>
      </c>
      <c r="C1430" s="219" t="s">
        <v>52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1130</v>
      </c>
      <c r="C1431" s="219" t="s">
        <v>52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1131</v>
      </c>
      <c r="C1432" s="219" t="s">
        <v>52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1132</v>
      </c>
      <c r="C1433" s="219" t="s">
        <v>52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1133</v>
      </c>
      <c r="C1434" s="219" t="s">
        <v>52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1134</v>
      </c>
      <c r="C1435" s="219" t="s">
        <v>52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1135</v>
      </c>
      <c r="C1436" s="219" t="s">
        <v>52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1136</v>
      </c>
      <c r="C1437" s="219" t="s">
        <v>52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1137</v>
      </c>
      <c r="C1438" s="219" t="s">
        <v>52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1138</v>
      </c>
      <c r="C1439" s="219" t="s">
        <v>52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1139</v>
      </c>
      <c r="C1440" s="219" t="s">
        <v>52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1140</v>
      </c>
      <c r="C1441" s="219" t="s">
        <v>52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1141</v>
      </c>
      <c r="C1442" s="219" t="s">
        <v>52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1142</v>
      </c>
      <c r="C1443" s="219" t="s">
        <v>52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1143</v>
      </c>
      <c r="C1444" s="219" t="s">
        <v>52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1144</v>
      </c>
      <c r="C1445" s="219" t="s">
        <v>52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1145</v>
      </c>
      <c r="C1446" s="219" t="s">
        <v>52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1146</v>
      </c>
      <c r="C1447" s="219" t="s">
        <v>52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1147</v>
      </c>
      <c r="C1448" s="219" t="s">
        <v>52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1148</v>
      </c>
      <c r="C1449" s="219" t="s">
        <v>52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1149</v>
      </c>
      <c r="C1450" s="219" t="s">
        <v>52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1150</v>
      </c>
      <c r="C1451" s="219" t="s">
        <v>52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1151</v>
      </c>
      <c r="C1452" s="219" t="s">
        <v>52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1152</v>
      </c>
      <c r="C1453" s="219" t="s">
        <v>52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1153</v>
      </c>
      <c r="C1454" s="219" t="s">
        <v>52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1154</v>
      </c>
      <c r="C1455" s="219" t="s">
        <v>52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1155</v>
      </c>
      <c r="C1456" s="219" t="s">
        <v>52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1156</v>
      </c>
      <c r="C1457" s="219" t="s">
        <v>52</v>
      </c>
      <c r="D1457" s="48" t="s">
        <v>1063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1157</v>
      </c>
      <c r="C1458" s="219" t="s">
        <v>52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1158</v>
      </c>
      <c r="C1459" s="219" t="s">
        <v>52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1159</v>
      </c>
      <c r="C1460" s="219" t="s">
        <v>52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1160</v>
      </c>
      <c r="C1461" s="219" t="s">
        <v>52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1161</v>
      </c>
      <c r="C1462" s="219" t="s">
        <v>52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1162</v>
      </c>
      <c r="C1463" s="219" t="s">
        <v>52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1163</v>
      </c>
      <c r="C1464" s="219" t="s">
        <v>52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1164</v>
      </c>
      <c r="C1465" s="219" t="s">
        <v>52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1165</v>
      </c>
      <c r="C1466" s="219" t="s">
        <v>52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1166</v>
      </c>
      <c r="C1467" s="219" t="s">
        <v>52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1167</v>
      </c>
      <c r="C1468" s="219" t="s">
        <v>52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1168</v>
      </c>
      <c r="C1469" s="219" t="s">
        <v>52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1169</v>
      </c>
      <c r="C1470" s="219" t="s">
        <v>52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1170</v>
      </c>
      <c r="C1471" s="219" t="s">
        <v>52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1171</v>
      </c>
      <c r="C1472" s="219" t="s">
        <v>52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1172</v>
      </c>
      <c r="C1473" s="219" t="s">
        <v>52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1173</v>
      </c>
      <c r="C1474" s="219" t="s">
        <v>52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1174</v>
      </c>
      <c r="C1475" s="219" t="s">
        <v>52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1175</v>
      </c>
      <c r="C1476" s="219" t="s">
        <v>52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1176</v>
      </c>
      <c r="C1477" s="219" t="s">
        <v>52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1177</v>
      </c>
      <c r="C1478" s="219" t="s">
        <v>52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1178</v>
      </c>
      <c r="C1479" s="219" t="s">
        <v>52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1179</v>
      </c>
      <c r="C1480" s="219" t="s">
        <v>52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1180</v>
      </c>
      <c r="C1481" s="219" t="s">
        <v>52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1181</v>
      </c>
      <c r="C1482" s="219" t="s">
        <v>52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1182</v>
      </c>
      <c r="C1483" s="219" t="s">
        <v>52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1183</v>
      </c>
      <c r="C1484" s="219" t="s">
        <v>52</v>
      </c>
      <c r="D1484" s="48" t="s">
        <v>1184</v>
      </c>
      <c r="E1484" s="43">
        <v>17375</v>
      </c>
      <c r="F1484" s="188" t="s">
        <v>1184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1185</v>
      </c>
      <c r="C1485" s="219" t="s">
        <v>52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1186</v>
      </c>
      <c r="C1486" s="219" t="s">
        <v>52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1187</v>
      </c>
      <c r="C1487" s="219" t="s">
        <v>52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1188</v>
      </c>
      <c r="C1488" s="219" t="s">
        <v>52</v>
      </c>
      <c r="D1488" s="48" t="s">
        <v>1063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1189</v>
      </c>
      <c r="C1489" s="219" t="s">
        <v>52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1190</v>
      </c>
      <c r="C1490" s="219" t="s">
        <v>52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1191</v>
      </c>
      <c r="C1491" s="219" t="s">
        <v>52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1192</v>
      </c>
      <c r="C1492" s="219" t="s">
        <v>52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1193</v>
      </c>
      <c r="C1493" s="219" t="s">
        <v>52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1194</v>
      </c>
      <c r="C1494" s="219" t="s">
        <v>52</v>
      </c>
      <c r="D1494" s="48" t="s">
        <v>1195</v>
      </c>
      <c r="E1494" s="43">
        <v>5850</v>
      </c>
      <c r="F1494" s="188" t="s">
        <v>1195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1196</v>
      </c>
      <c r="C1495" s="219" t="s">
        <v>52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1197</v>
      </c>
      <c r="C1496" s="219" t="s">
        <v>52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1198</v>
      </c>
      <c r="C1497" s="219" t="s">
        <v>52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1199</v>
      </c>
      <c r="C1498" s="219" t="s">
        <v>52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1200</v>
      </c>
      <c r="C1499" s="219" t="s">
        <v>52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1201</v>
      </c>
      <c r="C1500" s="219" t="s">
        <v>52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1202</v>
      </c>
      <c r="C1501" s="219" t="s">
        <v>52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1203</v>
      </c>
      <c r="C1502" s="219" t="s">
        <v>52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1204</v>
      </c>
      <c r="C1503" s="219" t="s">
        <v>52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1205</v>
      </c>
      <c r="C1504" s="219" t="s">
        <v>52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1206</v>
      </c>
      <c r="C1505" s="219" t="s">
        <v>52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1207</v>
      </c>
      <c r="C1506" s="219" t="s">
        <v>52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1208</v>
      </c>
      <c r="C1507" s="219" t="s">
        <v>52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1209</v>
      </c>
      <c r="C1508" s="219" t="s">
        <v>52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1210</v>
      </c>
      <c r="C1509" s="219" t="s">
        <v>52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1211</v>
      </c>
      <c r="C1510" s="37" t="s">
        <v>29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1212</v>
      </c>
      <c r="C1522" s="100" t="s">
        <v>1213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1214</v>
      </c>
      <c r="C1523" s="100" t="s">
        <v>1213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1215</v>
      </c>
      <c r="C1524" s="100" t="s">
        <v>1213</v>
      </c>
      <c r="D1524" s="93" t="s">
        <v>1216</v>
      </c>
      <c r="E1524" s="94"/>
      <c r="F1524" s="198" t="s">
        <v>1216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1217</v>
      </c>
      <c r="C1525" s="100" t="s">
        <v>1213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1218</v>
      </c>
      <c r="C1526" s="100" t="s">
        <v>1213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1219</v>
      </c>
      <c r="C1527" s="100" t="s">
        <v>1213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1220</v>
      </c>
      <c r="C1528" s="100" t="s">
        <v>1213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1221</v>
      </c>
      <c r="C1529" s="100" t="s">
        <v>1213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1222</v>
      </c>
      <c r="C1530" s="100" t="s">
        <v>1213</v>
      </c>
      <c r="D1530" s="93" t="s">
        <v>1223</v>
      </c>
      <c r="E1530" s="94"/>
      <c r="F1530" s="198" t="s">
        <v>1223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1224</v>
      </c>
      <c r="C1531" s="100" t="s">
        <v>1213</v>
      </c>
      <c r="D1531" s="96" t="s">
        <v>1216</v>
      </c>
      <c r="E1531" s="94"/>
      <c r="F1531" s="197" t="s">
        <v>1216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1225</v>
      </c>
      <c r="C1532" s="100" t="s">
        <v>1213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1226</v>
      </c>
      <c r="C1533" s="100" t="s">
        <v>1213</v>
      </c>
      <c r="D1533" s="93" t="s">
        <v>1216</v>
      </c>
      <c r="E1533" s="94"/>
      <c r="F1533" s="198" t="s">
        <v>1216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1227</v>
      </c>
      <c r="C1534" s="100" t="s">
        <v>1213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1228</v>
      </c>
      <c r="C1535" s="100" t="s">
        <v>1213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1229</v>
      </c>
      <c r="C1536" s="100" t="s">
        <v>1213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1230</v>
      </c>
      <c r="C1537" s="100" t="s">
        <v>1213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1231</v>
      </c>
      <c r="C1538" s="100" t="s">
        <v>1213</v>
      </c>
      <c r="D1538" s="93" t="s">
        <v>1223</v>
      </c>
      <c r="E1538" s="94"/>
      <c r="F1538" s="198" t="s">
        <v>1223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1232</v>
      </c>
      <c r="C1539" s="100" t="s">
        <v>1213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1233</v>
      </c>
      <c r="C1540" s="100" t="s">
        <v>1213</v>
      </c>
      <c r="D1540" s="93" t="s">
        <v>1223</v>
      </c>
      <c r="E1540" s="94"/>
      <c r="F1540" s="198" t="s">
        <v>1223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1234</v>
      </c>
      <c r="C1541" s="100" t="s">
        <v>1213</v>
      </c>
      <c r="D1541" s="93" t="s">
        <v>1026</v>
      </c>
      <c r="E1541" s="94"/>
      <c r="F1541" s="198" t="s">
        <v>1026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1235</v>
      </c>
      <c r="C1542" s="100" t="s">
        <v>1213</v>
      </c>
      <c r="D1542" s="93" t="s">
        <v>1223</v>
      </c>
      <c r="E1542" s="94"/>
      <c r="F1542" s="198" t="s">
        <v>1223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1236</v>
      </c>
      <c r="C1543" s="100" t="s">
        <v>1213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1237</v>
      </c>
      <c r="C1544" s="100" t="s">
        <v>1213</v>
      </c>
      <c r="D1544" s="93" t="s">
        <v>1026</v>
      </c>
      <c r="E1544" s="94"/>
      <c r="F1544" s="198" t="s">
        <v>1026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1238</v>
      </c>
      <c r="C1545" s="100" t="s">
        <v>1213</v>
      </c>
      <c r="D1545" s="96" t="s">
        <v>1223</v>
      </c>
      <c r="E1545" s="94"/>
      <c r="F1545" s="197" t="s">
        <v>1223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1239</v>
      </c>
      <c r="C1546" s="100" t="s">
        <v>1213</v>
      </c>
      <c r="D1546" s="96" t="s">
        <v>1223</v>
      </c>
      <c r="E1546" s="94"/>
      <c r="F1546" s="197" t="s">
        <v>1223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1240</v>
      </c>
      <c r="C1547" s="100" t="s">
        <v>1213</v>
      </c>
      <c r="D1547" s="93" t="s">
        <v>1223</v>
      </c>
      <c r="E1547" s="94"/>
      <c r="F1547" s="198" t="s">
        <v>1223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1241</v>
      </c>
      <c r="C1548" s="100" t="s">
        <v>1213</v>
      </c>
      <c r="D1548" s="93" t="s">
        <v>1223</v>
      </c>
      <c r="E1548" s="94"/>
      <c r="F1548" s="198" t="s">
        <v>1223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1242</v>
      </c>
      <c r="C1549" s="100" t="s">
        <v>1213</v>
      </c>
      <c r="D1549" s="96" t="s">
        <v>1223</v>
      </c>
      <c r="E1549" s="94"/>
      <c r="F1549" s="197" t="s">
        <v>1223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1243</v>
      </c>
      <c r="C1550" s="100" t="s">
        <v>1213</v>
      </c>
      <c r="D1550" s="93" t="s">
        <v>1026</v>
      </c>
      <c r="E1550" s="94"/>
      <c r="F1550" s="198" t="s">
        <v>1026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1244</v>
      </c>
      <c r="C1551" s="100" t="s">
        <v>1213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1245</v>
      </c>
      <c r="C1552" s="100" t="s">
        <v>1213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1246</v>
      </c>
      <c r="C1553" s="100" t="s">
        <v>1213</v>
      </c>
      <c r="D1553" s="93" t="s">
        <v>1216</v>
      </c>
      <c r="E1553" s="94"/>
      <c r="F1553" s="198" t="s">
        <v>1216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1247</v>
      </c>
      <c r="C1554" s="100" t="s">
        <v>1213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1248</v>
      </c>
      <c r="C1555" s="100" t="s">
        <v>1213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1249</v>
      </c>
      <c r="C1556" s="100" t="s">
        <v>1213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1250</v>
      </c>
      <c r="C1557" s="100" t="s">
        <v>1213</v>
      </c>
      <c r="D1557" s="96" t="s">
        <v>1223</v>
      </c>
      <c r="E1557" s="94"/>
      <c r="F1557" s="197" t="s">
        <v>1223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1251</v>
      </c>
      <c r="C1558" s="100" t="s">
        <v>1213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1252</v>
      </c>
      <c r="C1559" s="100" t="s">
        <v>1213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1253</v>
      </c>
      <c r="C1560" s="100" t="s">
        <v>1213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1254</v>
      </c>
      <c r="C1561" s="100" t="s">
        <v>1213</v>
      </c>
      <c r="D1561" s="96" t="s">
        <v>1223</v>
      </c>
      <c r="E1561" s="94"/>
      <c r="F1561" s="197" t="s">
        <v>1223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1255</v>
      </c>
      <c r="C1562" s="100" t="s">
        <v>1213</v>
      </c>
      <c r="D1562" s="96" t="s">
        <v>1026</v>
      </c>
      <c r="E1562" s="94"/>
      <c r="F1562" s="197" t="s">
        <v>1026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1256</v>
      </c>
      <c r="C1563" s="100" t="s">
        <v>1213</v>
      </c>
      <c r="D1563" s="96" t="s">
        <v>1257</v>
      </c>
      <c r="E1563" s="94"/>
      <c r="F1563" s="197" t="s">
        <v>1257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1258</v>
      </c>
      <c r="C1564" s="100" t="s">
        <v>1213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1259</v>
      </c>
      <c r="C1565" s="100" t="s">
        <v>1213</v>
      </c>
      <c r="D1565" s="96" t="s">
        <v>1026</v>
      </c>
      <c r="E1565" s="94"/>
      <c r="F1565" s="197" t="s">
        <v>1026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1260</v>
      </c>
      <c r="C1566" s="100" t="s">
        <v>1213</v>
      </c>
      <c r="D1566" s="93" t="s">
        <v>1026</v>
      </c>
      <c r="E1566" s="94"/>
      <c r="F1566" s="198" t="s">
        <v>1026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1261</v>
      </c>
      <c r="C1567" s="100" t="s">
        <v>1213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1262</v>
      </c>
      <c r="C1568" s="100" t="s">
        <v>1213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1263</v>
      </c>
      <c r="C1569" s="100" t="s">
        <v>1213</v>
      </c>
      <c r="D1569" s="93" t="s">
        <v>1016</v>
      </c>
      <c r="E1569" s="162">
        <v>205766.7</v>
      </c>
      <c r="F1569" s="198" t="s">
        <v>1016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1264</v>
      </c>
      <c r="C1570" s="100" t="s">
        <v>1213</v>
      </c>
      <c r="D1570" s="93" t="s">
        <v>1026</v>
      </c>
      <c r="E1570" s="94"/>
      <c r="F1570" s="198" t="s">
        <v>1026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1265</v>
      </c>
      <c r="C1571" s="100" t="s">
        <v>1213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1266</v>
      </c>
      <c r="C1572" s="100" t="s">
        <v>1213</v>
      </c>
      <c r="D1572" s="93" t="s">
        <v>1223</v>
      </c>
      <c r="E1572" s="94"/>
      <c r="F1572" s="198" t="s">
        <v>1223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1267</v>
      </c>
      <c r="C1573" s="100" t="s">
        <v>1213</v>
      </c>
      <c r="D1573" s="96" t="s">
        <v>1223</v>
      </c>
      <c r="E1573" s="94"/>
      <c r="F1573" s="197" t="s">
        <v>1223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1268</v>
      </c>
      <c r="C1574" s="100" t="s">
        <v>1213</v>
      </c>
      <c r="D1574" s="93" t="s">
        <v>1223</v>
      </c>
      <c r="E1574" s="94"/>
      <c r="F1574" s="198" t="s">
        <v>1223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1269</v>
      </c>
      <c r="C1575" s="100" t="s">
        <v>1213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1270</v>
      </c>
      <c r="C1576" s="100" t="s">
        <v>1213</v>
      </c>
      <c r="D1576" s="93" t="s">
        <v>1223</v>
      </c>
      <c r="E1576" s="94"/>
      <c r="F1576" s="198" t="s">
        <v>1223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1271</v>
      </c>
      <c r="C1577" s="100" t="s">
        <v>1213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1272</v>
      </c>
      <c r="C1578" s="100" t="s">
        <v>1213</v>
      </c>
      <c r="D1578" s="96" t="s">
        <v>1223</v>
      </c>
      <c r="E1578" s="94"/>
      <c r="F1578" s="197" t="s">
        <v>1223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1273</v>
      </c>
      <c r="C1579" s="100" t="s">
        <v>1213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1274</v>
      </c>
      <c r="C1580" s="100" t="s">
        <v>1213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1275</v>
      </c>
      <c r="C1581" s="100" t="s">
        <v>1213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1276</v>
      </c>
      <c r="C1582" s="100" t="s">
        <v>1213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1277</v>
      </c>
      <c r="C1583" s="100" t="s">
        <v>1213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1278</v>
      </c>
      <c r="C1584" s="100" t="s">
        <v>1213</v>
      </c>
      <c r="D1584" s="93" t="s">
        <v>1216</v>
      </c>
      <c r="E1584" s="94"/>
      <c r="F1584" s="198" t="s">
        <v>1216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1279</v>
      </c>
      <c r="C1585" s="100" t="s">
        <v>1213</v>
      </c>
      <c r="D1585" s="93" t="s">
        <v>1216</v>
      </c>
      <c r="E1585" s="94"/>
      <c r="F1585" s="198" t="s">
        <v>1216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1280</v>
      </c>
      <c r="C1586" s="100" t="s">
        <v>1213</v>
      </c>
      <c r="D1586" s="96" t="s">
        <v>1223</v>
      </c>
      <c r="E1586" s="94"/>
      <c r="F1586" s="197" t="s">
        <v>1223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1281</v>
      </c>
      <c r="C1587" s="100" t="s">
        <v>1213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1282</v>
      </c>
      <c r="C1588" s="100" t="s">
        <v>1213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1283</v>
      </c>
      <c r="C1589" s="100" t="s">
        <v>1213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1284</v>
      </c>
      <c r="C1590" s="100" t="s">
        <v>1213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1285</v>
      </c>
      <c r="C1591" s="100" t="s">
        <v>1213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1286</v>
      </c>
      <c r="C1592" s="100" t="s">
        <v>1213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1287</v>
      </c>
      <c r="C1593" s="100" t="s">
        <v>1213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1288</v>
      </c>
      <c r="C1594" s="100" t="s">
        <v>1213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1289</v>
      </c>
      <c r="C1595" s="100" t="s">
        <v>1213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1290</v>
      </c>
      <c r="C1596" s="100" t="s">
        <v>1213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1291</v>
      </c>
      <c r="C1597" s="100" t="s">
        <v>1213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1292</v>
      </c>
      <c r="C1598" s="100" t="s">
        <v>1213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1293</v>
      </c>
      <c r="C1599" s="100" t="s">
        <v>1213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1294</v>
      </c>
      <c r="C1600" s="100" t="s">
        <v>1213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1295</v>
      </c>
      <c r="C1601" s="100" t="s">
        <v>1213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1296</v>
      </c>
      <c r="C1602" s="100" t="s">
        <v>1213</v>
      </c>
      <c r="D1602" s="96" t="s">
        <v>1223</v>
      </c>
      <c r="E1602" s="94"/>
      <c r="F1602" s="197" t="s">
        <v>1223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1297</v>
      </c>
      <c r="C1603" s="100" t="s">
        <v>1213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1298</v>
      </c>
      <c r="C1604" s="100" t="s">
        <v>1213</v>
      </c>
      <c r="D1604" s="93" t="s">
        <v>1223</v>
      </c>
      <c r="E1604" s="94"/>
      <c r="F1604" s="198" t="s">
        <v>1223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1299</v>
      </c>
      <c r="C1605" s="100" t="s">
        <v>1213</v>
      </c>
      <c r="D1605" s="96" t="s">
        <v>1223</v>
      </c>
      <c r="E1605" s="94"/>
      <c r="F1605" s="197" t="s">
        <v>1223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1300</v>
      </c>
      <c r="C1606" s="100" t="s">
        <v>1213</v>
      </c>
      <c r="D1606" s="96" t="s">
        <v>1223</v>
      </c>
      <c r="E1606" s="94"/>
      <c r="F1606" s="197" t="s">
        <v>1223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1301</v>
      </c>
      <c r="C1607" s="100" t="s">
        <v>1213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1302</v>
      </c>
      <c r="F1" s="12" t="s">
        <v>1303</v>
      </c>
      <c r="H1" s="15" t="s">
        <v>1304</v>
      </c>
      <c r="I1" s="15" t="s">
        <v>1305</v>
      </c>
      <c r="K1" s="15" t="s">
        <v>20</v>
      </c>
      <c r="M1" s="15" t="s">
        <v>1306</v>
      </c>
    </row>
    <row r="2" spans="1:13" ht="44.25" customHeight="1" outlineLevel="1">
      <c r="A2" s="13" t="s">
        <v>1307</v>
      </c>
      <c r="B2" s="13" t="s">
        <v>1308</v>
      </c>
      <c r="D2" s="266" t="s">
        <v>1309</v>
      </c>
      <c r="F2" s="3" t="s">
        <v>1310</v>
      </c>
      <c r="H2" s="16" t="s">
        <v>1311</v>
      </c>
      <c r="I2" s="17">
        <v>71765586</v>
      </c>
      <c r="K2" t="s">
        <v>1312</v>
      </c>
      <c r="M2" s="79" t="s">
        <v>37</v>
      </c>
    </row>
    <row r="3" spans="1:13" outlineLevel="1">
      <c r="A3" s="3" t="s">
        <v>1313</v>
      </c>
      <c r="B3" s="5" t="s">
        <v>210</v>
      </c>
      <c r="D3" s="266" t="s">
        <v>1314</v>
      </c>
      <c r="F3" s="2" t="s">
        <v>1315</v>
      </c>
      <c r="H3" s="18" t="s">
        <v>1316</v>
      </c>
      <c r="I3" s="19">
        <v>43687423</v>
      </c>
      <c r="K3" t="s">
        <v>1317</v>
      </c>
      <c r="M3" s="79" t="s">
        <v>24</v>
      </c>
    </row>
    <row r="4" spans="1:13" ht="30" outlineLevel="1">
      <c r="A4" s="2" t="s">
        <v>1318</v>
      </c>
      <c r="B4" s="5" t="s">
        <v>302</v>
      </c>
      <c r="D4" s="267" t="s">
        <v>1319</v>
      </c>
      <c r="F4" s="3" t="s">
        <v>1320</v>
      </c>
      <c r="H4" s="16" t="s">
        <v>1321</v>
      </c>
      <c r="I4" s="20">
        <v>3353808</v>
      </c>
      <c r="K4" t="s">
        <v>1322</v>
      </c>
      <c r="M4" s="79" t="s">
        <v>22</v>
      </c>
    </row>
    <row r="5" spans="1:13" ht="30" outlineLevel="1">
      <c r="A5" s="3" t="s">
        <v>1323</v>
      </c>
      <c r="B5" s="5" t="s">
        <v>1324</v>
      </c>
      <c r="D5" s="269" t="s">
        <v>1325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847</v>
      </c>
    </row>
    <row r="6" spans="1:13" outlineLevel="1">
      <c r="A6" s="2" t="s">
        <v>321</v>
      </c>
      <c r="B6" s="5" t="s">
        <v>321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29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231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26</v>
      </c>
    </row>
    <row r="9" spans="1:13" outlineLevel="1">
      <c r="A9" s="2" t="s">
        <v>1343</v>
      </c>
      <c r="B9" s="5" t="s">
        <v>1195</v>
      </c>
      <c r="F9" s="2" t="s">
        <v>1344</v>
      </c>
      <c r="H9" t="s">
        <v>1345</v>
      </c>
      <c r="I9">
        <v>70323724</v>
      </c>
      <c r="K9" t="s">
        <v>1346</v>
      </c>
      <c r="M9" s="79" t="s">
        <v>55</v>
      </c>
    </row>
    <row r="10" spans="1:13" outlineLevel="1">
      <c r="A10" s="2" t="s">
        <v>1347</v>
      </c>
      <c r="B10" s="5" t="s">
        <v>99</v>
      </c>
      <c r="F10" s="3" t="s">
        <v>1348</v>
      </c>
      <c r="H10" s="24" t="s">
        <v>1349</v>
      </c>
      <c r="I10" s="20">
        <v>32142539</v>
      </c>
      <c r="K10" t="s">
        <v>1350</v>
      </c>
      <c r="M10" s="233" t="s">
        <v>116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52</v>
      </c>
    </row>
    <row r="12" spans="1:13" ht="30" outlineLevel="1">
      <c r="A12" s="3" t="s">
        <v>1356</v>
      </c>
      <c r="B12" s="5" t="s">
        <v>1026</v>
      </c>
      <c r="F12" s="302" t="s">
        <v>1357</v>
      </c>
      <c r="H12" s="27" t="s">
        <v>1358</v>
      </c>
      <c r="I12" s="28">
        <v>32184975</v>
      </c>
      <c r="M12" s="233" t="s">
        <v>1213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1223</v>
      </c>
      <c r="H14" s="24" t="s">
        <v>1362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233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357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1216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236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100</v>
      </c>
      <c r="H21" s="21" t="s">
        <v>1377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202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168</v>
      </c>
      <c r="H24" s="21" t="s">
        <v>1382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1383</v>
      </c>
      <c r="I25" s="20">
        <v>1037584367</v>
      </c>
    </row>
    <row r="26" spans="1:9" outlineLevel="1">
      <c r="A26" t="s">
        <v>1184</v>
      </c>
      <c r="B26" s="5" t="s">
        <v>1184</v>
      </c>
      <c r="H26" s="25" t="s">
        <v>1384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105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2023-11-29T23:36:28Z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