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Profe Juan Pablo\colección BOSI\"/>
    </mc:Choice>
  </mc:AlternateContent>
  <xr:revisionPtr revIDLastSave="38" documentId="8_{D59F3161-1DF2-45E3-97BD-A21A4405E61E}" xr6:coauthVersionLast="47" xr6:coauthVersionMax="47" xr10:uidLastSave="{5173C488-4B8F-4D1A-A0B2-63EB6A5C63F9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Pete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<sst xmlns="http://schemas.openxmlformats.org/spreadsheetml/2006/main" count="5075" uniqueCount="1395">
  <si>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</si>
  <si>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</si>
  <si>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</si>
  <si>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</si>
  <si>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</si>
  <si>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</si>
  <si>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</si>
  <si>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</si>
  <si>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</si>
  <si>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</si>
  <si>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</si>
  <si>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</si>
  <si>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Bolso ejecutivo informal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</si>
  <si>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</si>
  <si>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</si>
  <si>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</si>
  <si>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</si>
  <si>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</si>
  <si>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</si>
  <si>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</si>
  <si>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</si>
  <si>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</si>
  <si>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</si>
  <si>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</si>
  <si>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</si>
  <si>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</si>
  <si>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</si>
  <si>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GRASO</t>
  </si>
  <si>
    <t>SECUNDARIO_MEDULAR</t>
  </si>
  <si>
    <t xml:space="preserve">CREMALLERA EVERBRIGTH #5
</t>
  </si>
  <si>
    <t>HERRAJES</t>
  </si>
  <si>
    <t>BROCHE IMÁN BRONCE CON REMACHE 1"</t>
  </si>
  <si>
    <t>TRABILLA 2" DELGADA ZAMAK PAVÓN</t>
  </si>
  <si>
    <t xml:space="preserve">CUADRANTE 2" PAVÓN </t>
  </si>
  <si>
    <t>LLAVE METÁLICA DESLIZADOR  SIN PALETA #6 PARA CREMALLERA - PAVÓN</t>
  </si>
  <si>
    <t>SiNTETICOS_TEXTILES</t>
  </si>
  <si>
    <t>TEXTIL INDIGO ( TELA JEAN)</t>
  </si>
  <si>
    <t xml:space="preserve">CUERO FORRO BADANA
</t>
  </si>
  <si>
    <t>SEDA 30-100 O SEDA TIFON</t>
  </si>
  <si>
    <t xml:space="preserve">HILO NYLON #20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</si>
  <si>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</si>
  <si>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</si>
  <si>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</si>
  <si>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</si>
  <si>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</si>
  <si>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</si>
  <si>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</si>
  <si>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</si>
  <si>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</si>
  <si>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</si>
  <si>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</si>
  <si>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</si>
  <si>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</si>
  <si>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</si>
  <si>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</si>
  <si>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</si>
  <si>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</si>
  <si>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</si>
  <si>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</si>
  <si>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</si>
  <si>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</si>
  <si>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</si>
  <si>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</si>
  <si>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</si>
  <si>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</si>
  <si>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</si>
  <si>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</si>
  <si>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</si>
  <si>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</si>
  <si>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</si>
  <si>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</si>
  <si>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</si>
  <si>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</si>
  <si>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</si>
  <si>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</si>
  <si>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</si>
  <si>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</si>
  <si>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</si>
  <si>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</si>
  <si>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</si>
  <si>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</si>
  <si>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</si>
  <si>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</si>
  <si>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</si>
  <si>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</si>
  <si>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</si>
  <si>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</si>
  <si>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</si>
  <si>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</si>
  <si>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</si>
  <si>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</si>
  <si>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</si>
  <si>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</si>
  <si>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</si>
  <si>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25/7/2023</t>
  </si>
  <si>
    <t>26/07/2023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</si>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</sst>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19879</xdr:colOff>
      <xdr:row>0</xdr:row>
      <xdr:rowOff>0</xdr:rowOff>
    </xdr:from>
    <xdr:to>
      <xdr:col>25</xdr:col>
      <xdr:colOff>33131</xdr:colOff>
      <xdr:row>6</xdr:row>
      <xdr:rowOff>212035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8F0D4F5-1A5B-0FB3-5524-28189477B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61583" y="0"/>
          <a:ext cx="3147391" cy="19679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A17" sqref="A17:C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MA1907-1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45126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1128404319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126996.90220238097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126996.90220238097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>
        <v>1</v>
      </c>
      <c r="Y8" s="108">
        <f>IFERROR((V8*X8)," ")</f>
        <v>1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89</v>
      </c>
      <c r="R10" s="316"/>
      <c r="S10" s="317">
        <f>IFERROR(IF(Q10="Unidad","1",(Q10*$K$5)),"")</f>
        <v>89</v>
      </c>
      <c r="T10" s="318"/>
      <c r="U10" s="305"/>
      <c r="V10" s="401"/>
      <c r="W10" s="306">
        <f ca="1">IFERROR(IF(D10="","",INDEX(Tabla_Completa,MATCH('Soli_citud '!D10,Materiales,0),7)*S10),"")</f>
        <v>88858.489999999991</v>
      </c>
      <c r="X10" s="306"/>
      <c r="Y10" s="306"/>
      <c r="Z10" s="34"/>
    </row>
    <row r="11" spans="1:28" ht="17.25" customHeight="1">
      <c r="A11" s="307" t="s">
        <v>28</v>
      </c>
      <c r="B11" s="308"/>
      <c r="C11" s="309"/>
      <c r="D11" s="398" t="s">
        <v>29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</v>
      </c>
      <c r="P11" s="314"/>
      <c r="Q11" s="315">
        <v>160</v>
      </c>
      <c r="R11" s="316"/>
      <c r="S11" s="317">
        <f t="shared" ref="S11:S31" si="1">IFERROR(IF(Q11="Unidad","1",(Q11*$K$5)),"")</f>
        <v>160</v>
      </c>
      <c r="T11" s="318"/>
      <c r="U11" s="305"/>
      <c r="V11" s="305"/>
      <c r="W11" s="306">
        <f ca="1">IFERROR(IF(D11="","",INDEX(Tabla_Completa,MATCH('Soli_citud '!D11,Materiales,0),7)*S11),"")</f>
        <v>15680</v>
      </c>
      <c r="X11" s="306"/>
      <c r="Y11" s="306"/>
    </row>
    <row r="12" spans="1:28" ht="15.75" customHeight="1">
      <c r="A12" s="307" t="s">
        <v>30</v>
      </c>
      <c r="B12" s="308"/>
      <c r="C12" s="309"/>
      <c r="D12" s="402" t="s">
        <v>31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U</v>
      </c>
      <c r="P12" s="314"/>
      <c r="Q12" s="315">
        <v>2</v>
      </c>
      <c r="R12" s="316"/>
      <c r="S12" s="317">
        <f t="shared" si="1"/>
        <v>2</v>
      </c>
      <c r="T12" s="318"/>
      <c r="U12" s="305"/>
      <c r="V12" s="305"/>
      <c r="W12" s="306">
        <f ca="1">IFERROR(IF(D12="","",INDEX(Tabla_Completa,MATCH('Soli_citud '!D12,Materiales,0),7)*S12),"")</f>
        <v>2560.88</v>
      </c>
      <c r="X12" s="306"/>
      <c r="Y12" s="306"/>
    </row>
    <row r="13" spans="1:28" ht="15.75" customHeight="1">
      <c r="A13" s="307" t="s">
        <v>30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U</v>
      </c>
      <c r="P13" s="314"/>
      <c r="Q13" s="315">
        <v>1</v>
      </c>
      <c r="R13" s="316"/>
      <c r="S13" s="317">
        <f t="shared" si="1"/>
        <v>1</v>
      </c>
      <c r="T13" s="318"/>
      <c r="U13" s="305"/>
      <c r="V13" s="305"/>
      <c r="W13" s="306">
        <f ca="1">IFERROR(IF(D13="","",INDEX(Tabla_Completa,MATCH('Soli_citud '!D13,Materiales,0),7)*S13),"")</f>
        <v>3844</v>
      </c>
      <c r="X13" s="306"/>
      <c r="Y13" s="306"/>
    </row>
    <row r="14" spans="1:28" ht="17.25" customHeight="1">
      <c r="A14" s="307" t="s">
        <v>30</v>
      </c>
      <c r="B14" s="308"/>
      <c r="C14" s="309"/>
      <c r="D14" s="398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2</v>
      </c>
      <c r="R14" s="316"/>
      <c r="S14" s="317">
        <f t="shared" si="1"/>
        <v>2</v>
      </c>
      <c r="T14" s="318"/>
      <c r="U14" s="305"/>
      <c r="V14" s="305"/>
      <c r="W14" s="306">
        <f ca="1">IFERROR(IF(D14="","",INDEX(Tabla_Completa,MATCH('Soli_citud '!D14,Materiales,0),7)*S14),"")</f>
        <v>1996.82</v>
      </c>
      <c r="X14" s="306"/>
      <c r="Y14" s="306"/>
    </row>
    <row r="15" spans="1:28" ht="15.75" customHeight="1">
      <c r="A15" s="307" t="s">
        <v>30</v>
      </c>
      <c r="B15" s="308"/>
      <c r="C15" s="309"/>
      <c r="D15" s="398" t="s">
        <v>34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U</v>
      </c>
      <c r="P15" s="314"/>
      <c r="Q15" s="315">
        <v>5</v>
      </c>
      <c r="R15" s="316"/>
      <c r="S15" s="317">
        <f t="shared" si="1"/>
        <v>5</v>
      </c>
      <c r="T15" s="318"/>
      <c r="U15" s="305"/>
      <c r="V15" s="305"/>
      <c r="W15" s="306">
        <f ca="1">IFERROR(IF(D15="","",INDEX(Tabla_Completa,MATCH('Soli_citud '!D15,Materiales,0),7)*S15),"")</f>
        <v>2278.3312500000002</v>
      </c>
      <c r="X15" s="306"/>
      <c r="Y15" s="306"/>
    </row>
    <row r="16" spans="1:28" ht="15.75" customHeight="1">
      <c r="A16" s="307" t="s">
        <v>35</v>
      </c>
      <c r="B16" s="308"/>
      <c r="C16" s="309"/>
      <c r="D16" s="398" t="s">
        <v>36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cm2</v>
      </c>
      <c r="P16" s="314"/>
      <c r="Q16" s="315">
        <v>8000</v>
      </c>
      <c r="R16" s="316"/>
      <c r="S16" s="317">
        <f t="shared" si="1"/>
        <v>8000</v>
      </c>
      <c r="T16" s="318"/>
      <c r="U16" s="305"/>
      <c r="V16" s="305"/>
      <c r="W16" s="306">
        <f ca="1">IFERROR(IF(D16="","",INDEX(Tabla_Completa,MATCH('Soli_citud '!D16,Materiales,0),7)*S16),"")</f>
        <v>0</v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 t="s">
        <v>26</v>
      </c>
      <c r="B18" s="308"/>
      <c r="C18" s="309"/>
      <c r="D18" s="398" t="s">
        <v>37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dm2</v>
      </c>
      <c r="P18" s="314"/>
      <c r="Q18" s="315">
        <v>9</v>
      </c>
      <c r="R18" s="316"/>
      <c r="S18" s="317">
        <f t="shared" si="1"/>
        <v>9</v>
      </c>
      <c r="T18" s="318"/>
      <c r="U18" s="305"/>
      <c r="V18" s="305"/>
      <c r="W18" s="306">
        <f ca="1">IFERROR(IF(D18="","",INDEX(Tabla_Completa,MATCH('Soli_citud '!D18,Materiales,0),7)*S18),"")</f>
        <v>3516</v>
      </c>
      <c r="X18" s="306"/>
      <c r="Y18" s="306"/>
    </row>
    <row r="19" spans="1:25" ht="15.6">
      <c r="A19" s="307" t="s">
        <v>35</v>
      </c>
      <c r="B19" s="308"/>
      <c r="C19" s="309"/>
      <c r="D19" s="310" t="s">
        <v>38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cm2</v>
      </c>
      <c r="P19" s="314"/>
      <c r="Q19" s="315">
        <v>2000</v>
      </c>
      <c r="R19" s="316"/>
      <c r="S19" s="317">
        <f t="shared" si="1"/>
        <v>2000</v>
      </c>
      <c r="T19" s="318"/>
      <c r="U19" s="305"/>
      <c r="V19" s="305"/>
      <c r="W19" s="306">
        <f ca="1">IFERROR(IF(D19="","",INDEX(Tabla_Completa,MATCH('Soli_citud '!D19,Materiales,0),7)*S19),"")</f>
        <v>995.71428571428567</v>
      </c>
      <c r="X19" s="306"/>
      <c r="Y19" s="306"/>
    </row>
    <row r="20" spans="1:25" ht="15.75">
      <c r="A20" s="307" t="s">
        <v>28</v>
      </c>
      <c r="B20" s="308"/>
      <c r="C20" s="309"/>
      <c r="D20" s="403" t="s">
        <v>39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Cono</v>
      </c>
      <c r="P20" s="314"/>
      <c r="Q20" s="315">
        <v>1</v>
      </c>
      <c r="R20" s="316"/>
      <c r="S20" s="317">
        <f t="shared" si="1"/>
        <v>1</v>
      </c>
      <c r="T20" s="318"/>
      <c r="U20" s="305"/>
      <c r="V20" s="305"/>
      <c r="W20" s="306">
        <f ca="1">IFERROR(IF(D20="","",INDEX(Tabla_Completa,MATCH('Soli_citud '!D20,Materiales,0),7)*S20),"")</f>
        <v>7266.666666666667</v>
      </c>
      <c r="X20" s="306"/>
      <c r="Y20" s="306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40</v>
      </c>
      <c r="B39" s="319"/>
      <c r="C39" s="319"/>
      <c r="D39" s="320" t="s">
        <v>41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42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44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45</v>
      </c>
      <c r="O44" s="332"/>
      <c r="P44" s="332"/>
      <c r="Q44" s="332"/>
      <c r="R44" s="327" t="s">
        <v>46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48</v>
      </c>
      <c r="O45" s="332"/>
      <c r="P45" s="332"/>
      <c r="Q45" s="332"/>
      <c r="R45" s="328" t="s">
        <v>49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51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52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30</v>
      </c>
      <c r="O47" s="332"/>
      <c r="P47" s="332"/>
      <c r="Q47" s="332"/>
      <c r="R47" s="329" t="s">
        <v>53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54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55</v>
      </c>
      <c r="O48" s="332"/>
      <c r="P48" s="332"/>
      <c r="Q48" s="332"/>
      <c r="R48" s="329" t="s">
        <v>56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57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58</v>
      </c>
      <c r="O49" s="333"/>
      <c r="P49" s="333"/>
      <c r="Q49" s="333"/>
      <c r="R49" s="328" t="s">
        <v>59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60</v>
      </c>
      <c r="O50" s="332"/>
      <c r="P50" s="332"/>
      <c r="Q50" s="332"/>
      <c r="R50" s="329" t="s">
        <v>61</v>
      </c>
      <c r="S50" s="329"/>
      <c r="T50" s="329"/>
      <c r="U50" s="329"/>
      <c r="V50" s="329"/>
      <c r="W50" s="329"/>
      <c r="X50" s="329"/>
    </row>
    <row r="51" spans="1:24" ht="14.45">
      <c r="N51" s="332" t="s">
        <v>35</v>
      </c>
      <c r="O51" s="332"/>
      <c r="P51" s="332"/>
      <c r="Q51" s="332"/>
      <c r="R51" s="329" t="s">
        <v>62</v>
      </c>
      <c r="S51" s="329"/>
      <c r="T51" s="329"/>
      <c r="U51" s="329"/>
      <c r="V51" s="329"/>
      <c r="W51" s="329"/>
      <c r="X51" s="329"/>
    </row>
    <row r="52" spans="1:24" ht="14.45">
      <c r="N52" s="332" t="s">
        <v>63</v>
      </c>
      <c r="O52" s="332"/>
      <c r="P52" s="332"/>
      <c r="Q52" s="332"/>
      <c r="R52" s="329" t="s">
        <v>53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O18" sqref="O18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5" t="s">
        <v>64</v>
      </c>
      <c r="E1" s="416"/>
      <c r="F1" s="416"/>
      <c r="G1" s="416"/>
      <c r="H1" s="416"/>
      <c r="I1" s="416"/>
      <c r="J1" s="422" t="s">
        <v>65</v>
      </c>
      <c r="K1" s="423"/>
      <c r="L1" s="423"/>
      <c r="M1" s="424"/>
      <c r="N1" s="417">
        <f>IF('Soli_citud '!O1="","",'Soli_citud '!O1)</f>
        <v>45126</v>
      </c>
      <c r="O1" s="418"/>
      <c r="P1" s="468" t="s">
        <v>66</v>
      </c>
      <c r="Q1" s="469"/>
      <c r="R1" s="464" t="str">
        <f>IF('Soli_citud '!D4="","",'Soli_citud '!D4)</f>
        <v>Bolso ejecutivo informal</v>
      </c>
      <c r="S1" s="465"/>
      <c r="Z1" t="s">
        <v>67</v>
      </c>
      <c r="AA1" s="252" t="s">
        <v>67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68</v>
      </c>
      <c r="K2" s="426"/>
      <c r="L2" s="426"/>
      <c r="M2" s="427"/>
      <c r="N2" s="419" t="str">
        <f>'Soli_citud '!F1</f>
        <v>MA1907-1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69</v>
      </c>
      <c r="K3" s="421"/>
      <c r="L3" s="421"/>
      <c r="M3" s="421"/>
      <c r="N3" s="407">
        <f>IF('Soli_citud '!O3="","",'Soli_citud '!O3)</f>
        <v>2472805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70</v>
      </c>
      <c r="K4" s="412"/>
      <c r="L4" s="412"/>
      <c r="M4" s="413" t="str">
        <f>IF('Soli_citud '!O4="","",'Soli_citud '!O4)</f>
        <v>Marroquinería Formación</v>
      </c>
      <c r="N4" s="413"/>
      <c r="O4" s="414"/>
      <c r="P4" s="470"/>
      <c r="Q4" s="471"/>
      <c r="R4" s="314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71</v>
      </c>
      <c r="C6" s="454"/>
      <c r="D6" s="455"/>
      <c r="E6" s="409" t="s">
        <v>72</v>
      </c>
      <c r="F6" s="409"/>
      <c r="G6" s="409"/>
      <c r="H6" s="409"/>
      <c r="I6" s="410"/>
      <c r="J6" s="444" t="s">
        <v>73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126996.90220238097</v>
      </c>
      <c r="C8" s="432"/>
      <c r="D8" s="433"/>
      <c r="E8" s="450" t="s">
        <v>74</v>
      </c>
      <c r="F8" s="451"/>
      <c r="G8" s="451"/>
      <c r="H8" s="451"/>
      <c r="I8" s="452"/>
      <c r="J8" s="446" t="str">
        <f>IF('Soli_citud '!E2="","",'Soli_citud '!E2)</f>
        <v>Maybelline Aristizabal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75</v>
      </c>
      <c r="C9" s="435"/>
      <c r="D9" s="460">
        <v>0.3</v>
      </c>
      <c r="E9" s="459" t="s">
        <v>76</v>
      </c>
      <c r="F9" s="459"/>
      <c r="G9" s="438">
        <f ca="1">IFERROR(IF(D9="","",ROUNDUP(B8*(1+D9),-2)),"")</f>
        <v>165100</v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77</v>
      </c>
      <c r="K10" s="429"/>
      <c r="L10" s="430"/>
      <c r="M10" s="242">
        <f>'Soli_citud '!K5</f>
        <v>1</v>
      </c>
      <c r="N10" s="448" t="s">
        <v>78</v>
      </c>
      <c r="O10" s="449"/>
      <c r="P10" s="472"/>
      <c r="Q10" s="473"/>
      <c r="R10" s="243" t="s">
        <v>79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80</v>
      </c>
      <c r="B11" s="264" t="s">
        <v>81</v>
      </c>
      <c r="C11" s="461" t="s">
        <v>82</v>
      </c>
      <c r="D11" s="462"/>
      <c r="E11" s="462"/>
      <c r="F11" s="463"/>
      <c r="G11" s="112" t="s">
        <v>83</v>
      </c>
      <c r="H11" s="112" t="s">
        <v>84</v>
      </c>
      <c r="I11" s="237" t="s">
        <v>85</v>
      </c>
      <c r="J11" s="110" t="s">
        <v>86</v>
      </c>
      <c r="K11" s="223" t="s">
        <v>87</v>
      </c>
      <c r="L11" s="420" t="s">
        <v>24</v>
      </c>
      <c r="M11" s="428"/>
      <c r="N11" s="240" t="s">
        <v>88</v>
      </c>
      <c r="O11" s="240" t="s">
        <v>89</v>
      </c>
      <c r="P11" s="244" t="s">
        <v>90</v>
      </c>
      <c r="Q11" s="245" t="s">
        <v>91</v>
      </c>
      <c r="R11" s="236" t="s">
        <v>92</v>
      </c>
      <c r="S11" s="224" t="s">
        <v>93</v>
      </c>
    </row>
    <row r="12" spans="1:27" ht="19.5" customHeight="1">
      <c r="A12" s="78">
        <v>1</v>
      </c>
      <c r="B12" s="265" t="str">
        <f>IF(H12="","",$N$2)</f>
        <v>MA1907-1</v>
      </c>
      <c r="C12" s="404" t="str">
        <f>IFERROR(IF('Soli_citud '!D10="","",'Soli_citud '!D10),"")</f>
        <v>CUERO GRASO</v>
      </c>
      <c r="D12" s="404"/>
      <c r="E12" s="404"/>
      <c r="F12" s="404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89</v>
      </c>
      <c r="I12" s="227">
        <v>45131</v>
      </c>
      <c r="J12" s="228">
        <v>89</v>
      </c>
      <c r="K12" s="207" t="str" cm="1">
        <f t="array" ref="K12">IFERROR(_xlfn.IFS(H12="","",J12=H12,"Cumplido",J12&lt;H12,H12-J12,J12&gt;H12,"Revisar"),"")</f>
        <v>Cumplido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MA1907-1</v>
      </c>
      <c r="C13" s="404" t="str">
        <f>IFERROR(IF('Soli_citud '!D11="","",'Soli_citud '!D11),"")</f>
        <v xml:space="preserve">CREMALLERA EVERBRIGTH #5
</v>
      </c>
      <c r="D13" s="404"/>
      <c r="E13" s="404"/>
      <c r="F13" s="404"/>
      <c r="G13" s="226" t="str">
        <f ca="1">IF('Soli_citud '!O11="","",'Soli_citud '!O11)</f>
        <v>cm</v>
      </c>
      <c r="H13" s="226" cm="1">
        <f t="array" ref="H13">_xlfn.IFS('Soli_citud '!S11="","",'Soli_citud '!S11&lt;=0,"",'Soli_citud '!S11&gt;0,'Soli_citud '!S11)</f>
        <v>160</v>
      </c>
      <c r="I13" s="227" t="s">
        <v>94</v>
      </c>
      <c r="J13" s="229">
        <v>160</v>
      </c>
      <c r="K13" s="207" t="str" cm="1">
        <f t="array" ref="K13">IFERROR(_xlfn.IFS(H13="","",J13=H13,"Cumplido",J13&lt;H13,H13-J13,J13&gt;H13,"Revisar"),"")</f>
        <v>Cumplido</v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MA1907-1</v>
      </c>
      <c r="C14" s="404" t="str">
        <f>IFERROR(IF('Soli_citud '!D12="","",'Soli_citud '!D12),"")</f>
        <v>BROCHE IMÁN BRONCE CON REMACHE 1"</v>
      </c>
      <c r="D14" s="404"/>
      <c r="E14" s="404"/>
      <c r="F14" s="404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2</v>
      </c>
      <c r="I14" s="230" t="s">
        <v>95</v>
      </c>
      <c r="J14" s="229">
        <v>2</v>
      </c>
      <c r="K14" s="207" t="str" cm="1">
        <f t="array" ref="K14">IFERROR(_xlfn.IFS(H14="","",J14=H14,"Cumplido",J14&lt;H14,H14-J14,J14&gt;H14,"Revisar"),"")</f>
        <v>Cumplido</v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MA1907-1</v>
      </c>
      <c r="C15" s="404" t="str">
        <f>IFERROR(IF('Soli_citud '!D13="","",'Soli_citud '!D13),"")</f>
        <v>TRABILLA 2" DELGADA ZAMAK PAVÓN</v>
      </c>
      <c r="D15" s="404"/>
      <c r="E15" s="404"/>
      <c r="F15" s="404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</v>
      </c>
      <c r="I15" s="230" t="s">
        <v>95</v>
      </c>
      <c r="J15" s="229">
        <v>1</v>
      </c>
      <c r="K15" s="207" t="str" cm="1">
        <f t="array" ref="K15">IFERROR(_xlfn.IFS(H15="","",J15=H15,"Cumplido",J15&lt;H15,H15-J15,J15&gt;H15,"Revisar"),"")</f>
        <v>Cumplido</v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MA1907-1</v>
      </c>
      <c r="C16" s="404" t="str">
        <f>IFERROR(IF('Soli_citud '!D14="","",'Soli_citud '!D14),"")</f>
        <v xml:space="preserve">CUADRANTE 2" PAVÓN </v>
      </c>
      <c r="D16" s="404"/>
      <c r="E16" s="404"/>
      <c r="F16" s="404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2</v>
      </c>
      <c r="I16" s="230" t="s">
        <v>95</v>
      </c>
      <c r="J16" s="229">
        <v>2</v>
      </c>
      <c r="K16" s="207" t="str" cm="1">
        <f t="array" ref="K16">IFERROR(_xlfn.IFS(H16="","",J16=H16,"Cumplido",J16&lt;H16,H16-J16,J16&gt;H16,"Revisar"),"")</f>
        <v>Cumplido</v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MA1907-1</v>
      </c>
      <c r="C17" s="404" t="str">
        <f>IFERROR(IF('Soli_citud '!D15="","",'Soli_citud '!D15),"")</f>
        <v>LLAVE METÁLICA DESLIZADOR  SIN PALETA #6 PARA CREMALLERA - PAVÓN</v>
      </c>
      <c r="D17" s="404"/>
      <c r="E17" s="404"/>
      <c r="F17" s="404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5</v>
      </c>
      <c r="I17" s="230" t="s">
        <v>94</v>
      </c>
      <c r="J17" s="229">
        <v>5</v>
      </c>
      <c r="K17" s="207" t="str" cm="1">
        <f t="array" ref="K17">IFERROR(_xlfn.IFS(H17="","",J17=H17,"Cumplido",J17&lt;H17,H17-J17,J17&gt;H17,"Revisar"),"")</f>
        <v>Cumplido</v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MA1907-1</v>
      </c>
      <c r="C18" s="404" t="str">
        <f>IFERROR(IF('Soli_citud '!D16="","",'Soli_citud '!D16),"")</f>
        <v>TEXTIL INDIGO ( TELA JEAN)</v>
      </c>
      <c r="D18" s="404"/>
      <c r="E18" s="404"/>
      <c r="F18" s="404"/>
      <c r="G18" s="226" t="str">
        <f ca="1">IF('Soli_citud '!O16="","",'Soli_citud '!O16)</f>
        <v>cm2</v>
      </c>
      <c r="H18" s="226" cm="1">
        <f t="array" ref="H18">_xlfn.IFS('Soli_citud '!S16="","",'Soli_citud '!S16&lt;=0,"",'Soli_citud '!S16&gt;0,'Soli_citud '!S16)</f>
        <v>8000</v>
      </c>
      <c r="I18" s="230" t="s">
        <v>94</v>
      </c>
      <c r="J18" s="229">
        <v>8000</v>
      </c>
      <c r="K18" s="207" t="str" cm="1">
        <f t="array" ref="K18">IFERROR(_xlfn.IFS(H18="","",J18=H18,"Cumplido",J18&lt;H18,H18-J18,J18&gt;H18,"Revisar"),"")</f>
        <v>Cumplido</v>
      </c>
      <c r="L18" s="405"/>
      <c r="M18" s="406"/>
      <c r="N18" s="228">
        <v>160</v>
      </c>
      <c r="O18" s="208">
        <f t="shared" si="0"/>
        <v>50</v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4" t="str">
        <f>IFERROR(IF('Soli_citud '!D17="","",'Soli_citud '!D17),"")</f>
        <v/>
      </c>
      <c r="D19" s="404"/>
      <c r="E19" s="404"/>
      <c r="F19" s="404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 t="s">
        <v>94</v>
      </c>
      <c r="J19" s="229">
        <v>21</v>
      </c>
      <c r="K19" s="207" t="str" cm="1">
        <f t="array" ref="K19">IFERROR(_xlfn.IFS(H19="","",J19=H19,"Cumplido",J19&lt;H19,H19-J19,J19&gt;H19,"Revisar"),"")</f>
        <v/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MA1907-1</v>
      </c>
      <c r="C20" s="404" t="str">
        <f>IFERROR(IF('Soli_citud '!D18="","",'Soli_citud '!D18),"")</f>
        <v xml:space="preserve">CUERO FORRO BADANA
</v>
      </c>
      <c r="D20" s="404"/>
      <c r="E20" s="404"/>
      <c r="F20" s="404"/>
      <c r="G20" s="226" t="str">
        <f ca="1">IF('Soli_citud '!O18="","",'Soli_citud '!O18)</f>
        <v>dm2</v>
      </c>
      <c r="H20" s="226" cm="1">
        <f t="array" ref="H20">_xlfn.IFS('Soli_citud '!S18="","",'Soli_citud '!S18&lt;=0,"",'Soli_citud '!S18&gt;0,'Soli_citud '!S18)</f>
        <v>9</v>
      </c>
      <c r="I20" s="230" t="s">
        <v>94</v>
      </c>
      <c r="J20" s="229">
        <v>9</v>
      </c>
      <c r="K20" s="207" t="str" cm="1">
        <f t="array" ref="K20">IFERROR(_xlfn.IFS(H20="","",J20=H20,"Cumplido",J20&lt;H20,H20-J20,J20&gt;H20,"Revisar"),"")</f>
        <v>Cumplido</v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MA1907-1</v>
      </c>
      <c r="C21" s="404" t="str">
        <f>IFERROR(IF('Soli_citud '!D19="","",'Soli_citud '!D19),"")</f>
        <v>SEDA 30-100 O SEDA TIFON</v>
      </c>
      <c r="D21" s="404"/>
      <c r="E21" s="404"/>
      <c r="F21" s="404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2000</v>
      </c>
      <c r="I21" s="230" t="s">
        <v>94</v>
      </c>
      <c r="J21" s="229">
        <v>2000</v>
      </c>
      <c r="K21" s="207" t="str" cm="1">
        <f t="array" ref="K21">IFERROR(_xlfn.IFS(H21="","",J21=H21,"Cumplido",J21&lt;H21,H21-J21,J21&gt;H21,"Revisar"),"")</f>
        <v>Cumplido</v>
      </c>
      <c r="L21" s="405"/>
      <c r="M21" s="406"/>
      <c r="N21" s="228">
        <v>140</v>
      </c>
      <c r="O21" s="208">
        <f t="shared" si="0"/>
        <v>14.285714285714286</v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MA1907-1</v>
      </c>
      <c r="C22" s="404" t="str">
        <f>IFERROR(IF('Soli_citud '!D20="","",'Soli_citud '!D20),"")</f>
        <v xml:space="preserve">HILO NYLON #20
</v>
      </c>
      <c r="D22" s="404"/>
      <c r="E22" s="404"/>
      <c r="F22" s="404"/>
      <c r="G22" s="226" t="str">
        <f ca="1">IF('Soli_citud '!O20="","",'Soli_citud '!O20)</f>
        <v>Cono</v>
      </c>
      <c r="H22" s="226" cm="1">
        <f t="array" ref="H22">_xlfn.IFS('Soli_citud '!S20="","",'Soli_citud '!S20&lt;=0,"",'Soli_citud '!S20&gt;0,'Soli_citud '!S20)</f>
        <v>1</v>
      </c>
      <c r="I22" s="230" t="s">
        <v>94</v>
      </c>
      <c r="J22" s="229">
        <v>1</v>
      </c>
      <c r="K22" s="207" t="str" cm="1">
        <f t="array" ref="K22">IFERROR(_xlfn.IFS(H22="","",J22=H22,"Cumplido",J22&lt;H22,H22-J22,J22&gt;H22,"Revisar"),"")</f>
        <v>Cumplido</v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96</v>
      </c>
      <c r="F1" s="491"/>
      <c r="Z1" s="252" t="s">
        <v>67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97</v>
      </c>
      <c r="B6" s="304">
        <f>SUBTOTAL(3,(BD!$B$8:$B$20))</f>
        <v>13</v>
      </c>
      <c r="C6" s="489"/>
      <c r="D6" s="490"/>
      <c r="H6" s="487" t="s">
        <v>98</v>
      </c>
      <c r="I6" s="487"/>
    </row>
    <row r="7" spans="1:26" ht="46.9">
      <c r="A7" s="73" t="s">
        <v>80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45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45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45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45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45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45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45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45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45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45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45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45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5" t="s">
        <v>45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80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125</v>
      </c>
      <c r="C34" s="219" t="s">
        <v>126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9" t="s">
        <v>126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9" t="s">
        <v>126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9" t="s">
        <v>126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9" t="s">
        <v>126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9" t="s">
        <v>126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9" t="s">
        <v>126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9" t="s">
        <v>126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9" t="s">
        <v>126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9" t="s">
        <v>126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9" t="s">
        <v>126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9" t="s">
        <v>126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9" t="s">
        <v>126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9" t="s">
        <v>126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9" t="s">
        <v>126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9" t="s">
        <v>126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9" t="s">
        <v>126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9" t="s">
        <v>126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9" t="s">
        <v>126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9" t="s">
        <v>126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9" t="s">
        <v>126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9" t="s">
        <v>126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9" t="s">
        <v>126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9" t="s">
        <v>126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9" t="s">
        <v>126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9" t="s">
        <v>126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9" t="s">
        <v>126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9" t="s">
        <v>126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9" t="s">
        <v>126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9" t="s">
        <v>126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9" t="s">
        <v>126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9" t="s">
        <v>126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9" t="s">
        <v>126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9" t="s">
        <v>126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9" t="s">
        <v>126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9" t="s">
        <v>126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9" t="s">
        <v>126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9" t="s">
        <v>126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9" t="s">
        <v>126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9" t="s">
        <v>126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9" t="s">
        <v>126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9" t="s">
        <v>126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9" t="s">
        <v>126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9" t="s">
        <v>126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9" t="s">
        <v>126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9" t="s">
        <v>126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9" t="s">
        <v>126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9" t="s">
        <v>126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9" t="s">
        <v>126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9" t="s">
        <v>126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9" t="s">
        <v>126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9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9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9" t="s">
        <v>126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9" t="s">
        <v>126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9" t="s">
        <v>126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9" t="s">
        <v>126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9" t="s">
        <v>126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9" t="s">
        <v>126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9" t="s">
        <v>126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9" t="s">
        <v>126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9" t="s">
        <v>126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9" t="s">
        <v>126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9" t="s">
        <v>126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9" t="s">
        <v>126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9" t="s">
        <v>126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9" t="s">
        <v>126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9" t="s">
        <v>126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9" t="s">
        <v>126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9" t="s">
        <v>126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9" t="s">
        <v>126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9" t="s">
        <v>126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9" t="s">
        <v>126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9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9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9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9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9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9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9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9" t="s">
        <v>126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9" t="s">
        <v>126</v>
      </c>
      <c r="D115" s="48" t="s">
        <v>210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9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9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9" t="s">
        <v>126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9" t="s">
        <v>126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9" t="s">
        <v>126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9" t="s">
        <v>126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9" t="s">
        <v>126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9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9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9" t="s">
        <v>126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9" t="s">
        <v>126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9" t="s">
        <v>126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9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9" t="s">
        <v>126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9" t="s">
        <v>126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9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9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9" t="s">
        <v>126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9" t="s">
        <v>126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9" t="s">
        <v>126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9" t="s">
        <v>126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9" t="s">
        <v>126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9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9" t="s">
        <v>126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9" t="s">
        <v>126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9" t="s">
        <v>126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80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240</v>
      </c>
      <c r="C162" s="219" t="s">
        <v>28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9" t="s">
        <v>28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9" t="s">
        <v>28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9" t="s">
        <v>28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9" t="s">
        <v>28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9" t="s">
        <v>28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9" t="s">
        <v>28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9" t="s">
        <v>28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9" t="s">
        <v>28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9" t="s">
        <v>28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9" t="s">
        <v>28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9" t="s">
        <v>28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9" t="s">
        <v>28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9" t="s">
        <v>28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9" t="s">
        <v>28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9" t="s">
        <v>28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9" t="s">
        <v>28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9" t="s">
        <v>28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9" t="s">
        <v>28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9" t="s">
        <v>28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9" t="s">
        <v>28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9" t="s">
        <v>28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9" t="s">
        <v>28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9" t="s">
        <v>28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9" t="s">
        <v>28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9" t="s">
        <v>28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9" t="s">
        <v>28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9" t="s">
        <v>28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9" t="s">
        <v>28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9" t="s">
        <v>28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9" t="s">
        <v>28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9" t="s">
        <v>28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9" t="s">
        <v>28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9" t="s">
        <v>28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9" t="s">
        <v>28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9" t="s">
        <v>28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9" t="s">
        <v>28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9" t="s">
        <v>28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9" t="s">
        <v>28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9" t="s">
        <v>28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9" t="s">
        <v>28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9" t="s">
        <v>28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9" t="s">
        <v>28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9" t="s">
        <v>28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9" t="s">
        <v>28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9" t="s">
        <v>28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9" t="s">
        <v>28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9" t="s">
        <v>28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9" t="s">
        <v>28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9" t="s">
        <v>28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9" t="s">
        <v>28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9" t="s">
        <v>28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9" t="s">
        <v>28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9" t="s">
        <v>28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9" t="s">
        <v>28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9" t="s">
        <v>28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9" t="s">
        <v>28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9" t="s">
        <v>28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9" t="s">
        <v>28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9" t="s">
        <v>28</v>
      </c>
      <c r="D221" s="48" t="s">
        <v>178</v>
      </c>
      <c r="E221" s="43">
        <v>475.34</v>
      </c>
      <c r="F221" s="300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9" t="s">
        <v>28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9" t="s">
        <v>28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9" t="s">
        <v>28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9" t="s">
        <v>28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9" t="s">
        <v>28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9" t="s">
        <v>28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</v>
      </c>
      <c r="C228" s="219" t="s">
        <v>28</v>
      </c>
      <c r="D228" s="48" t="s">
        <v>245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9" t="s">
        <v>28</v>
      </c>
      <c r="D229" s="48" t="s">
        <v>245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312</v>
      </c>
      <c r="C230" s="219" t="s">
        <v>28</v>
      </c>
      <c r="D230" s="48" t="s">
        <v>245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313</v>
      </c>
      <c r="C231" s="219" t="s">
        <v>28</v>
      </c>
      <c r="D231" s="48" t="s">
        <v>245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314</v>
      </c>
      <c r="C232" s="219" t="s">
        <v>28</v>
      </c>
      <c r="D232" s="49" t="s">
        <v>242</v>
      </c>
      <c r="E232" s="166">
        <v>16471.25</v>
      </c>
      <c r="F232" s="301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315</v>
      </c>
      <c r="C233" s="219" t="s">
        <v>28</v>
      </c>
      <c r="D233" s="49" t="s">
        <v>242</v>
      </c>
      <c r="E233" s="166">
        <v>32931.5</v>
      </c>
      <c r="F233" s="301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316</v>
      </c>
      <c r="C234" s="219" t="s">
        <v>28</v>
      </c>
      <c r="D234" s="49" t="s">
        <v>242</v>
      </c>
      <c r="E234" s="166">
        <v>16209.5</v>
      </c>
      <c r="F234" s="301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317</v>
      </c>
      <c r="C235" s="219" t="s">
        <v>28</v>
      </c>
      <c r="D235" s="49" t="s">
        <v>242</v>
      </c>
      <c r="E235" s="166">
        <v>32417</v>
      </c>
      <c r="F235" s="301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318</v>
      </c>
      <c r="C236" s="219" t="s">
        <v>28</v>
      </c>
      <c r="D236" s="49" t="s">
        <v>242</v>
      </c>
      <c r="E236" s="166">
        <v>50250</v>
      </c>
      <c r="F236" s="301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319</v>
      </c>
      <c r="C237" s="219" t="s">
        <v>28</v>
      </c>
      <c r="D237" s="49" t="s">
        <v>242</v>
      </c>
      <c r="E237" s="166">
        <v>25131.5</v>
      </c>
      <c r="F237" s="301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320</v>
      </c>
      <c r="C238" s="219" t="s">
        <v>28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321</v>
      </c>
      <c r="C239" s="219" t="s">
        <v>28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322</v>
      </c>
      <c r="C240" s="219" t="s">
        <v>28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323</v>
      </c>
      <c r="C241" s="219" t="s">
        <v>28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324</v>
      </c>
      <c r="C242" s="219" t="s">
        <v>28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325</v>
      </c>
      <c r="C243" s="219" t="s">
        <v>28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326</v>
      </c>
      <c r="C244" s="219" t="s">
        <v>28</v>
      </c>
      <c r="D244" s="48" t="s">
        <v>245</v>
      </c>
      <c r="E244" s="43">
        <v>26000</v>
      </c>
      <c r="F244" s="193" t="s">
        <v>248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327</v>
      </c>
      <c r="C245" s="219" t="s">
        <v>28</v>
      </c>
      <c r="D245" s="48" t="s">
        <v>245</v>
      </c>
      <c r="E245" s="43">
        <v>13000</v>
      </c>
      <c r="F245" s="193" t="s">
        <v>248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328</v>
      </c>
      <c r="C246" s="276" t="s">
        <v>28</v>
      </c>
      <c r="D246" s="48" t="s">
        <v>245</v>
      </c>
      <c r="E246" s="141">
        <v>7000</v>
      </c>
      <c r="F246" s="193" t="s">
        <v>329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330</v>
      </c>
      <c r="C247" s="276" t="s">
        <v>28</v>
      </c>
      <c r="D247" s="48" t="s">
        <v>244</v>
      </c>
      <c r="E247" s="141">
        <v>12000</v>
      </c>
      <c r="F247" s="193" t="s">
        <v>329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39</v>
      </c>
      <c r="C248" s="276" t="s">
        <v>28</v>
      </c>
      <c r="D248" s="48" t="s">
        <v>115</v>
      </c>
      <c r="E248" s="141">
        <v>7266.666666666667</v>
      </c>
      <c r="F248" s="193" t="s">
        <v>329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6" t="s">
        <v>28</v>
      </c>
      <c r="D249" s="48" t="s">
        <v>115</v>
      </c>
      <c r="E249" s="141">
        <v>7266.666666666667</v>
      </c>
      <c r="F249" s="193" t="s">
        <v>329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332</v>
      </c>
      <c r="C250" s="276" t="s">
        <v>28</v>
      </c>
      <c r="D250" s="277" t="s">
        <v>115</v>
      </c>
      <c r="E250" s="141">
        <v>7266.665</v>
      </c>
      <c r="F250" s="278" t="s">
        <v>329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6" t="s">
        <v>28</v>
      </c>
      <c r="D251" s="277" t="s">
        <v>244</v>
      </c>
      <c r="E251" s="141">
        <v>5000</v>
      </c>
      <c r="F251" s="278" t="s">
        <v>329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6" t="s">
        <v>28</v>
      </c>
      <c r="D252" s="277" t="s">
        <v>245</v>
      </c>
      <c r="E252" s="303">
        <v>7183</v>
      </c>
      <c r="F252" s="278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335</v>
      </c>
      <c r="C253" s="276" t="s">
        <v>28</v>
      </c>
      <c r="D253" s="277" t="s">
        <v>245</v>
      </c>
      <c r="E253" s="303">
        <v>10597</v>
      </c>
      <c r="F253" s="278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6" t="s">
        <v>28</v>
      </c>
      <c r="D254" s="277" t="s">
        <v>115</v>
      </c>
      <c r="E254" s="141">
        <v>2866.6666666666665</v>
      </c>
      <c r="F254" s="278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6" t="s">
        <v>28</v>
      </c>
      <c r="D255" s="277" t="s">
        <v>115</v>
      </c>
      <c r="E255" s="141">
        <v>2866.6666666666665</v>
      </c>
      <c r="F255" s="278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6" t="s">
        <v>28</v>
      </c>
      <c r="D256" s="277" t="s">
        <v>248</v>
      </c>
      <c r="E256" s="141"/>
      <c r="F256" s="278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339</v>
      </c>
      <c r="C257" s="276" t="s">
        <v>28</v>
      </c>
      <c r="D257" s="277" t="s">
        <v>242</v>
      </c>
      <c r="E257" s="141">
        <v>8000</v>
      </c>
      <c r="F257" s="278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340</v>
      </c>
      <c r="C258" s="276" t="s">
        <v>28</v>
      </c>
      <c r="D258" s="277" t="s">
        <v>242</v>
      </c>
      <c r="E258" s="141">
        <v>10000</v>
      </c>
      <c r="F258" s="278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341</v>
      </c>
      <c r="C259" s="276" t="s">
        <v>28</v>
      </c>
      <c r="D259" s="277" t="s">
        <v>242</v>
      </c>
      <c r="E259" s="141">
        <v>10000</v>
      </c>
      <c r="F259" s="278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342</v>
      </c>
      <c r="C260" s="276" t="s">
        <v>28</v>
      </c>
      <c r="D260" s="277" t="s">
        <v>248</v>
      </c>
      <c r="E260" s="141"/>
      <c r="F260" s="278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343</v>
      </c>
      <c r="C261" s="276" t="s">
        <v>28</v>
      </c>
      <c r="D261" s="277" t="s">
        <v>210</v>
      </c>
      <c r="E261" s="141">
        <v>636792</v>
      </c>
      <c r="F261" s="278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344</v>
      </c>
      <c r="C262" s="276" t="s">
        <v>28</v>
      </c>
      <c r="D262" s="277" t="s">
        <v>310</v>
      </c>
      <c r="E262" s="141">
        <v>28.18</v>
      </c>
      <c r="F262" s="278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345</v>
      </c>
      <c r="C263" s="276" t="s">
        <v>28</v>
      </c>
      <c r="D263" s="277" t="s">
        <v>310</v>
      </c>
      <c r="E263" s="141">
        <v>2700</v>
      </c>
      <c r="F263" s="278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346</v>
      </c>
      <c r="C264" s="276" t="s">
        <v>28</v>
      </c>
      <c r="D264" s="277" t="s">
        <v>310</v>
      </c>
      <c r="E264" s="141">
        <v>18.53</v>
      </c>
      <c r="F264" s="278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347</v>
      </c>
      <c r="C265" s="276" t="s">
        <v>28</v>
      </c>
      <c r="D265" s="277" t="s">
        <v>245</v>
      </c>
      <c r="E265" s="141">
        <v>1800</v>
      </c>
      <c r="F265" s="278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348</v>
      </c>
      <c r="C266" s="276" t="s">
        <v>28</v>
      </c>
      <c r="D266" s="277" t="s">
        <v>245</v>
      </c>
      <c r="E266" s="141">
        <v>1057</v>
      </c>
      <c r="F266" s="278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349</v>
      </c>
      <c r="C267" s="276" t="s">
        <v>28</v>
      </c>
      <c r="D267" s="277" t="s">
        <v>310</v>
      </c>
      <c r="E267" s="141">
        <v>18.53</v>
      </c>
      <c r="F267" s="278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350</v>
      </c>
      <c r="C268" s="276" t="s">
        <v>28</v>
      </c>
      <c r="D268" s="277" t="s">
        <v>310</v>
      </c>
      <c r="E268" s="141">
        <v>22.8</v>
      </c>
      <c r="F268" s="278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351</v>
      </c>
      <c r="C269" s="276" t="s">
        <v>28</v>
      </c>
      <c r="D269" s="277" t="s">
        <v>310</v>
      </c>
      <c r="E269" s="141">
        <v>22.8</v>
      </c>
      <c r="F269" s="278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352</v>
      </c>
      <c r="C270" s="276" t="s">
        <v>28</v>
      </c>
      <c r="D270" s="277" t="s">
        <v>310</v>
      </c>
      <c r="E270" s="141">
        <v>14.73</v>
      </c>
      <c r="F270" s="278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353</v>
      </c>
      <c r="C271" s="276" t="s">
        <v>28</v>
      </c>
      <c r="D271" s="277" t="s">
        <v>310</v>
      </c>
      <c r="E271" s="141">
        <v>14.73</v>
      </c>
      <c r="F271" s="278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354</v>
      </c>
      <c r="C272" s="276" t="s">
        <v>28</v>
      </c>
      <c r="D272" s="277" t="s">
        <v>245</v>
      </c>
      <c r="E272" s="141">
        <v>819.99999999999989</v>
      </c>
      <c r="F272" s="278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355</v>
      </c>
      <c r="C273" s="276" t="s">
        <v>28</v>
      </c>
      <c r="D273" s="277" t="s">
        <v>245</v>
      </c>
      <c r="E273" s="141">
        <v>1170</v>
      </c>
      <c r="F273" s="278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356</v>
      </c>
      <c r="C274" s="276" t="s">
        <v>28</v>
      </c>
      <c r="D274" s="277" t="s">
        <v>245</v>
      </c>
      <c r="E274" s="141">
        <v>8000</v>
      </c>
      <c r="F274" s="278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357</v>
      </c>
      <c r="C275" s="276" t="s">
        <v>28</v>
      </c>
      <c r="D275" s="277" t="s">
        <v>245</v>
      </c>
      <c r="E275" s="141">
        <v>11000</v>
      </c>
      <c r="F275" s="278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358</v>
      </c>
      <c r="C276" s="276" t="s">
        <v>28</v>
      </c>
      <c r="D276" s="277" t="s">
        <v>245</v>
      </c>
      <c r="E276" s="141">
        <v>10858</v>
      </c>
      <c r="F276" s="278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359</v>
      </c>
      <c r="C277" s="276" t="s">
        <v>28</v>
      </c>
      <c r="D277" s="277" t="s">
        <v>245</v>
      </c>
      <c r="E277" s="141">
        <v>13999.16</v>
      </c>
      <c r="F277" s="278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360</v>
      </c>
      <c r="C278" s="276" t="s">
        <v>28</v>
      </c>
      <c r="D278" s="277" t="s">
        <v>242</v>
      </c>
      <c r="E278" s="141"/>
      <c r="F278" s="278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361</v>
      </c>
      <c r="C279" s="276" t="s">
        <v>28</v>
      </c>
      <c r="D279" s="277" t="s">
        <v>248</v>
      </c>
      <c r="E279" s="141"/>
      <c r="F279" s="278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362</v>
      </c>
      <c r="C280" s="276" t="s">
        <v>28</v>
      </c>
      <c r="D280" s="277" t="s">
        <v>248</v>
      </c>
      <c r="E280" s="141"/>
      <c r="F280" s="278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363</v>
      </c>
      <c r="C281" s="276" t="s">
        <v>28</v>
      </c>
      <c r="D281" s="277" t="s">
        <v>364</v>
      </c>
      <c r="E281" s="141"/>
      <c r="F281" s="277" t="s">
        <v>364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365</v>
      </c>
      <c r="C282" s="276" t="s">
        <v>28</v>
      </c>
      <c r="D282" s="277" t="s">
        <v>220</v>
      </c>
      <c r="E282" s="141">
        <v>4776.666666666667</v>
      </c>
      <c r="F282" s="278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366</v>
      </c>
      <c r="C283" s="276" t="s">
        <v>28</v>
      </c>
      <c r="D283" s="277" t="s">
        <v>245</v>
      </c>
      <c r="E283" s="141">
        <v>1035.3</v>
      </c>
      <c r="F283" s="278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367</v>
      </c>
      <c r="C284" s="276" t="s">
        <v>28</v>
      </c>
      <c r="D284" s="277" t="s">
        <v>244</v>
      </c>
      <c r="E284" s="141">
        <v>700</v>
      </c>
      <c r="F284" s="278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368</v>
      </c>
      <c r="C285" s="276" t="s">
        <v>28</v>
      </c>
      <c r="D285" s="277" t="s">
        <v>244</v>
      </c>
      <c r="E285" s="141">
        <v>1100</v>
      </c>
      <c r="F285" s="278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369</v>
      </c>
      <c r="C286" s="276" t="s">
        <v>28</v>
      </c>
      <c r="D286" s="277" t="s">
        <v>310</v>
      </c>
      <c r="E286" s="141">
        <v>1000</v>
      </c>
      <c r="F286" s="278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370</v>
      </c>
      <c r="C287" s="276" t="s">
        <v>28</v>
      </c>
      <c r="D287" s="277" t="s">
        <v>245</v>
      </c>
      <c r="E287" s="141">
        <v>700</v>
      </c>
      <c r="F287" s="278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371</v>
      </c>
      <c r="C288" s="276" t="s">
        <v>28</v>
      </c>
      <c r="D288" s="48" t="s">
        <v>245</v>
      </c>
      <c r="E288" s="166">
        <v>84</v>
      </c>
      <c r="F288" s="278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372</v>
      </c>
      <c r="C289" s="276" t="s">
        <v>28</v>
      </c>
      <c r="D289" s="277" t="s">
        <v>245</v>
      </c>
      <c r="E289" s="166">
        <v>10780</v>
      </c>
      <c r="F289" s="278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97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80</v>
      </c>
      <c r="B515" s="125" t="s">
        <v>99</v>
      </c>
      <c r="C515" s="119" t="s">
        <v>100</v>
      </c>
      <c r="D515" s="103" t="s">
        <v>101</v>
      </c>
      <c r="E515" s="69" t="s">
        <v>102</v>
      </c>
      <c r="F515" s="187" t="s">
        <v>103</v>
      </c>
      <c r="G515" s="71" t="s">
        <v>104</v>
      </c>
      <c r="H515" s="72" t="s">
        <v>105</v>
      </c>
      <c r="I515" s="72" t="s">
        <v>106</v>
      </c>
      <c r="J515" s="74" t="s">
        <v>107</v>
      </c>
    </row>
    <row r="516" spans="1:10" ht="15" customHeight="1">
      <c r="A516" s="41">
        <v>1</v>
      </c>
      <c r="B516" s="146" t="s">
        <v>373</v>
      </c>
      <c r="C516" s="219" t="s">
        <v>26</v>
      </c>
      <c r="D516" s="48" t="s">
        <v>374</v>
      </c>
      <c r="E516" s="43">
        <v>380</v>
      </c>
      <c r="F516" s="188" t="s">
        <v>374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375</v>
      </c>
      <c r="C517" s="219" t="s">
        <v>26</v>
      </c>
      <c r="D517" s="50" t="s">
        <v>374</v>
      </c>
      <c r="E517" s="52">
        <v>848.47</v>
      </c>
      <c r="F517" s="51" t="s">
        <v>374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376</v>
      </c>
      <c r="C518" s="219" t="s">
        <v>26</v>
      </c>
      <c r="D518" s="50" t="s">
        <v>374</v>
      </c>
      <c r="E518" s="43">
        <v>815</v>
      </c>
      <c r="F518" s="188" t="s">
        <v>374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377</v>
      </c>
      <c r="C519" s="219" t="s">
        <v>26</v>
      </c>
      <c r="D519" s="50" t="s">
        <v>374</v>
      </c>
      <c r="E519" s="43">
        <v>623.66666666666663</v>
      </c>
      <c r="F519" s="188" t="s">
        <v>374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378</v>
      </c>
      <c r="C520" s="219" t="s">
        <v>26</v>
      </c>
      <c r="D520" s="48" t="s">
        <v>374</v>
      </c>
      <c r="E520" s="43">
        <v>698.53</v>
      </c>
      <c r="F520" s="188" t="s">
        <v>374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</v>
      </c>
      <c r="C521" s="219" t="s">
        <v>26</v>
      </c>
      <c r="D521" s="48" t="s">
        <v>374</v>
      </c>
      <c r="E521" s="43">
        <v>390.66666666666669</v>
      </c>
      <c r="F521" s="188" t="s">
        <v>374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9" t="s">
        <v>26</v>
      </c>
      <c r="D522" s="48" t="s">
        <v>374</v>
      </c>
      <c r="E522" s="43">
        <v>477.19</v>
      </c>
      <c r="F522" s="51" t="s">
        <v>374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27</v>
      </c>
      <c r="C523" s="219" t="s">
        <v>26</v>
      </c>
      <c r="D523" s="48" t="s">
        <v>374</v>
      </c>
      <c r="E523" s="43">
        <v>998.41</v>
      </c>
      <c r="F523" s="188" t="s">
        <v>374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26</v>
      </c>
      <c r="D524" s="48" t="s">
        <v>374</v>
      </c>
      <c r="E524" s="43">
        <v>898.44999999999993</v>
      </c>
      <c r="F524" s="188" t="s">
        <v>374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26</v>
      </c>
      <c r="D525" s="215" t="s">
        <v>374</v>
      </c>
      <c r="E525" s="217">
        <v>1500</v>
      </c>
      <c r="F525" s="174" t="s">
        <v>374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26</v>
      </c>
      <c r="D526" s="48" t="s">
        <v>374</v>
      </c>
      <c r="E526" s="216">
        <v>53371.5</v>
      </c>
      <c r="F526" s="51" t="s">
        <v>374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26</v>
      </c>
      <c r="D527" s="48" t="s">
        <v>374</v>
      </c>
      <c r="E527" s="43">
        <v>897.26</v>
      </c>
      <c r="F527" s="188" t="s">
        <v>374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26</v>
      </c>
      <c r="D528" s="53" t="s">
        <v>374</v>
      </c>
      <c r="E528" s="43">
        <v>1673.3335</v>
      </c>
      <c r="F528" s="188" t="s">
        <v>374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26</v>
      </c>
      <c r="D529" s="50" t="s">
        <v>374</v>
      </c>
      <c r="E529" s="45">
        <v>250</v>
      </c>
      <c r="F529" s="51" t="s">
        <v>374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26</v>
      </c>
      <c r="D530" s="50" t="s">
        <v>374</v>
      </c>
      <c r="E530" s="52">
        <v>898.45</v>
      </c>
      <c r="F530" s="51" t="s">
        <v>374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26</v>
      </c>
      <c r="D531" s="50" t="s">
        <v>374</v>
      </c>
      <c r="E531" s="52">
        <v>898.45</v>
      </c>
      <c r="F531" s="51" t="s">
        <v>374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26</v>
      </c>
      <c r="D532" s="214" t="s">
        <v>374</v>
      </c>
      <c r="E532" s="145">
        <v>549.78</v>
      </c>
      <c r="F532" s="51" t="s">
        <v>374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26</v>
      </c>
      <c r="D533" s="214" t="s">
        <v>374</v>
      </c>
      <c r="E533" s="218">
        <v>357</v>
      </c>
      <c r="F533" s="51" t="s">
        <v>374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26</v>
      </c>
      <c r="D534" s="214" t="s">
        <v>374</v>
      </c>
      <c r="E534" s="145">
        <v>998.41</v>
      </c>
      <c r="F534" s="51" t="s">
        <v>374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9" t="s">
        <v>26</v>
      </c>
      <c r="D535" s="144" t="s">
        <v>374</v>
      </c>
      <c r="E535" s="145">
        <v>898.45</v>
      </c>
      <c r="F535" s="54" t="s">
        <v>374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9" t="s">
        <v>26</v>
      </c>
      <c r="D536" s="172" t="s">
        <v>374</v>
      </c>
      <c r="E536" s="173">
        <v>1200</v>
      </c>
      <c r="F536" s="174" t="s">
        <v>374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9" t="s">
        <v>26</v>
      </c>
      <c r="D537" s="144" t="s">
        <v>374</v>
      </c>
      <c r="E537" s="141">
        <v>1217</v>
      </c>
      <c r="F537" s="188" t="s">
        <v>374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9" t="s">
        <v>26</v>
      </c>
      <c r="D538" s="144" t="s">
        <v>374</v>
      </c>
      <c r="E538" s="145">
        <v>759.22</v>
      </c>
      <c r="F538" s="51" t="s">
        <v>374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97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80</v>
      </c>
      <c r="B561" s="178" t="s">
        <v>99</v>
      </c>
      <c r="C561" s="66" t="s">
        <v>100</v>
      </c>
      <c r="D561" s="67" t="s">
        <v>101</v>
      </c>
      <c r="E561" s="69" t="s">
        <v>102</v>
      </c>
      <c r="F561" s="187" t="s">
        <v>103</v>
      </c>
      <c r="G561" s="71" t="s">
        <v>104</v>
      </c>
      <c r="H561" s="72" t="s">
        <v>105</v>
      </c>
      <c r="I561" s="179" t="s">
        <v>106</v>
      </c>
      <c r="J561" s="75" t="s">
        <v>107</v>
      </c>
    </row>
    <row r="562" spans="1:10" ht="15" customHeight="1">
      <c r="A562" s="41">
        <v>1</v>
      </c>
      <c r="B562" s="232" t="s">
        <v>395</v>
      </c>
      <c r="C562" s="219" t="s">
        <v>30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396</v>
      </c>
      <c r="C563" s="219" t="s">
        <v>30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397</v>
      </c>
      <c r="C564" s="219" t="s">
        <v>30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398</v>
      </c>
      <c r="C565" s="219" t="s">
        <v>30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399</v>
      </c>
      <c r="C566" s="219" t="s">
        <v>30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400</v>
      </c>
      <c r="C567" s="219" t="s">
        <v>30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401</v>
      </c>
      <c r="C568" s="219" t="s">
        <v>30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402</v>
      </c>
      <c r="C569" s="219" t="s">
        <v>30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9" t="s">
        <v>30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9" t="s">
        <v>30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9" t="s">
        <v>30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9" t="s">
        <v>30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9" t="s">
        <v>30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9" t="s">
        <v>30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9" t="s">
        <v>30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9" t="s">
        <v>30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9" t="s">
        <v>30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9" t="s">
        <v>30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9" t="s">
        <v>30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9" t="s">
        <v>30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9" t="s">
        <v>30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9" t="s">
        <v>30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9" t="s">
        <v>30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9" t="s">
        <v>30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9" t="s">
        <v>30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9" t="s">
        <v>30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9" t="s">
        <v>30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9" t="s">
        <v>30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9" t="s">
        <v>30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9" t="s">
        <v>30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9" t="s">
        <v>30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9" t="s">
        <v>30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9" t="s">
        <v>30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9" t="s">
        <v>30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9" t="s">
        <v>30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9" t="s">
        <v>30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9" t="s">
        <v>30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9" t="s">
        <v>30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9" t="s">
        <v>30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9" t="s">
        <v>30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9" t="s">
        <v>30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9" t="s">
        <v>30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9" t="s">
        <v>30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9" t="s">
        <v>30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9" t="s">
        <v>30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9" t="s">
        <v>30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9" t="s">
        <v>30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9" t="s">
        <v>30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9" t="s">
        <v>30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9" t="s">
        <v>30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9" t="s">
        <v>30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9" t="s">
        <v>30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9" t="s">
        <v>30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9" t="s">
        <v>30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9" t="s">
        <v>30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9" t="s">
        <v>30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9" t="s">
        <v>30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9" t="s">
        <v>30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9" t="s">
        <v>30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9" t="s">
        <v>30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31</v>
      </c>
      <c r="C622" s="219" t="s">
        <v>30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455</v>
      </c>
      <c r="C623" s="219" t="s">
        <v>30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456</v>
      </c>
      <c r="C624" s="219" t="s">
        <v>30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457</v>
      </c>
      <c r="C625" s="219" t="s">
        <v>30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458</v>
      </c>
      <c r="C626" s="219" t="s">
        <v>30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459</v>
      </c>
      <c r="C627" s="219" t="s">
        <v>30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460</v>
      </c>
      <c r="C628" s="219" t="s">
        <v>30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461</v>
      </c>
      <c r="C629" s="219" t="s">
        <v>30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462</v>
      </c>
      <c r="C630" s="219" t="s">
        <v>30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463</v>
      </c>
      <c r="C631" s="219" t="s">
        <v>30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464</v>
      </c>
      <c r="C632" s="219" t="s">
        <v>30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465</v>
      </c>
      <c r="C633" s="219" t="s">
        <v>30</v>
      </c>
      <c r="D633" s="48" t="s">
        <v>115</v>
      </c>
      <c r="E633" s="55">
        <v>1000</v>
      </c>
      <c r="F633" s="194" t="s">
        <v>115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466</v>
      </c>
      <c r="C634" s="219" t="s">
        <v>30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467</v>
      </c>
      <c r="C635" s="219" t="s">
        <v>30</v>
      </c>
      <c r="D635" s="48" t="s">
        <v>115</v>
      </c>
      <c r="E635" s="55">
        <v>6957.9299999999994</v>
      </c>
      <c r="F635" s="194" t="s">
        <v>115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468</v>
      </c>
      <c r="C636" s="219" t="s">
        <v>30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469</v>
      </c>
      <c r="C637" s="219" t="s">
        <v>30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470</v>
      </c>
      <c r="C638" s="219" t="s">
        <v>30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471</v>
      </c>
      <c r="C639" s="219" t="s">
        <v>30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472</v>
      </c>
      <c r="C640" s="219" t="s">
        <v>30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473</v>
      </c>
      <c r="C641" s="219" t="s">
        <v>30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474</v>
      </c>
      <c r="C642" s="219" t="s">
        <v>30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475</v>
      </c>
      <c r="C643" s="219" t="s">
        <v>30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476</v>
      </c>
      <c r="C644" s="219" t="s">
        <v>30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477</v>
      </c>
      <c r="C645" s="219" t="s">
        <v>30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478</v>
      </c>
      <c r="C646" s="219" t="s">
        <v>30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479</v>
      </c>
      <c r="C647" s="219" t="s">
        <v>30</v>
      </c>
      <c r="D647" s="48" t="s">
        <v>115</v>
      </c>
      <c r="E647" s="43">
        <v>3700</v>
      </c>
      <c r="F647" s="188" t="s">
        <v>115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480</v>
      </c>
      <c r="C648" s="219" t="s">
        <v>30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481</v>
      </c>
      <c r="C649" s="219" t="s">
        <v>30</v>
      </c>
      <c r="D649" s="48" t="s">
        <v>115</v>
      </c>
      <c r="E649" s="55">
        <v>1200</v>
      </c>
      <c r="F649" s="194" t="s">
        <v>115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482</v>
      </c>
      <c r="C650" s="219" t="s">
        <v>30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483</v>
      </c>
      <c r="C651" s="219" t="s">
        <v>30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484</v>
      </c>
      <c r="C652" s="219" t="s">
        <v>30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485</v>
      </c>
      <c r="C653" s="219" t="s">
        <v>30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486</v>
      </c>
      <c r="C654" s="219" t="s">
        <v>30</v>
      </c>
      <c r="D654" s="48" t="s">
        <v>115</v>
      </c>
      <c r="E654" s="55">
        <v>873.94</v>
      </c>
      <c r="F654" s="194" t="s">
        <v>115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487</v>
      </c>
      <c r="C655" s="219" t="s">
        <v>30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488</v>
      </c>
      <c r="C656" s="219" t="s">
        <v>30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489</v>
      </c>
      <c r="C657" s="219" t="s">
        <v>30</v>
      </c>
      <c r="D657" s="48" t="s">
        <v>115</v>
      </c>
      <c r="E657" s="55">
        <v>1173.3399999999999</v>
      </c>
      <c r="F657" s="194" t="s">
        <v>115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490</v>
      </c>
      <c r="C658" s="219" t="s">
        <v>30</v>
      </c>
      <c r="D658" s="48" t="s">
        <v>115</v>
      </c>
      <c r="E658" s="55">
        <v>998.41</v>
      </c>
      <c r="F658" s="194" t="s">
        <v>115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491</v>
      </c>
      <c r="C659" s="219" t="s">
        <v>30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492</v>
      </c>
      <c r="C660" s="219" t="s">
        <v>30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9" t="s">
        <v>30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9" t="s">
        <v>30</v>
      </c>
      <c r="D662" s="48" t="s">
        <v>115</v>
      </c>
      <c r="E662" s="55">
        <v>1173.3399999999999</v>
      </c>
      <c r="F662" s="194" t="s">
        <v>115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9" t="s">
        <v>30</v>
      </c>
      <c r="D663" s="48" t="s">
        <v>115</v>
      </c>
      <c r="E663" s="55">
        <v>998.41</v>
      </c>
      <c r="F663" s="194" t="s">
        <v>115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9" t="s">
        <v>30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9" t="s">
        <v>30</v>
      </c>
      <c r="D665" s="48" t="s">
        <v>115</v>
      </c>
      <c r="E665" s="55">
        <v>1173.3399999999999</v>
      </c>
      <c r="F665" s="194" t="s">
        <v>115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9" t="s">
        <v>30</v>
      </c>
      <c r="D666" s="48" t="s">
        <v>115</v>
      </c>
      <c r="E666" s="55">
        <v>998.41</v>
      </c>
      <c r="F666" s="194" t="s">
        <v>115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33</v>
      </c>
      <c r="C667" s="219" t="s">
        <v>30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30</v>
      </c>
      <c r="D668" s="48" t="s">
        <v>115</v>
      </c>
      <c r="E668" s="55">
        <v>1018.64</v>
      </c>
      <c r="F668" s="194" t="s">
        <v>115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30</v>
      </c>
      <c r="D669" s="48" t="s">
        <v>115</v>
      </c>
      <c r="E669" s="55">
        <v>1173.3399999999999</v>
      </c>
      <c r="F669" s="194" t="s">
        <v>115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30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30</v>
      </c>
      <c r="D671" s="48" t="s">
        <v>115</v>
      </c>
      <c r="E671" s="55">
        <v>1018.64</v>
      </c>
      <c r="F671" s="194" t="s">
        <v>115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30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30</v>
      </c>
      <c r="D673" s="48" t="s">
        <v>115</v>
      </c>
      <c r="E673" s="55">
        <v>2746.52</v>
      </c>
      <c r="F673" s="194" t="s">
        <v>115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30</v>
      </c>
      <c r="D674" s="48" t="s">
        <v>115</v>
      </c>
      <c r="E674" s="55">
        <v>1173.3399999999999</v>
      </c>
      <c r="F674" s="194" t="s">
        <v>115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30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30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30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30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30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30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30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30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30</v>
      </c>
      <c r="D683" s="48" t="s">
        <v>115</v>
      </c>
      <c r="E683" s="55">
        <v>2563</v>
      </c>
      <c r="F683" s="188" t="s">
        <v>115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30</v>
      </c>
      <c r="D684" s="48" t="s">
        <v>115</v>
      </c>
      <c r="E684" s="43">
        <v>2364.5299999999997</v>
      </c>
      <c r="F684" s="188" t="s">
        <v>115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30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30</v>
      </c>
      <c r="D686" s="48" t="s">
        <v>115</v>
      </c>
      <c r="E686" s="43">
        <v>2563</v>
      </c>
      <c r="F686" s="188" t="s">
        <v>115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30</v>
      </c>
      <c r="D687" s="48" t="s">
        <v>115</v>
      </c>
      <c r="E687" s="55">
        <v>2563</v>
      </c>
      <c r="F687" s="194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30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30</v>
      </c>
      <c r="D689" s="48" t="s">
        <v>115</v>
      </c>
      <c r="E689" s="43">
        <v>2440.69</v>
      </c>
      <c r="F689" s="188" t="s">
        <v>115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30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30</v>
      </c>
      <c r="D691" s="48" t="s">
        <v>115</v>
      </c>
      <c r="E691" s="55">
        <v>873.94</v>
      </c>
      <c r="F691" s="194" t="s">
        <v>115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30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30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30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30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30</v>
      </c>
      <c r="D696" s="48" t="s">
        <v>115</v>
      </c>
      <c r="E696" s="55">
        <v>1547</v>
      </c>
      <c r="F696" s="194" t="s">
        <v>115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30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30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30</v>
      </c>
      <c r="D699" s="48" t="s">
        <v>115</v>
      </c>
      <c r="E699" s="55">
        <v>1850</v>
      </c>
      <c r="F699" s="194" t="s">
        <v>115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30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30</v>
      </c>
      <c r="D701" s="48" t="s">
        <v>115</v>
      </c>
      <c r="E701" s="55">
        <v>4799.2700000000004</v>
      </c>
      <c r="F701" s="194" t="s">
        <v>115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30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30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30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30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30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30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30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30</v>
      </c>
      <c r="D709" s="48" t="s">
        <v>115</v>
      </c>
      <c r="E709" s="55">
        <v>1000</v>
      </c>
      <c r="F709" s="194" t="s">
        <v>115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30</v>
      </c>
      <c r="D710" s="48" t="s">
        <v>115</v>
      </c>
      <c r="E710" s="55">
        <v>8973.7900000000009</v>
      </c>
      <c r="F710" s="194" t="s">
        <v>115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30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30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30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30</v>
      </c>
      <c r="D714" s="48" t="s">
        <v>115</v>
      </c>
      <c r="E714" s="55">
        <v>3844.89</v>
      </c>
      <c r="F714" s="194" t="s">
        <v>115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30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30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30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30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30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30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30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30</v>
      </c>
      <c r="D722" s="48" t="s">
        <v>115</v>
      </c>
      <c r="E722" s="55">
        <v>1661.24</v>
      </c>
      <c r="F722" s="194" t="s">
        <v>115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30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30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30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30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30</v>
      </c>
      <c r="D727" s="48" t="s">
        <v>115</v>
      </c>
      <c r="E727" s="55">
        <v>690.75</v>
      </c>
      <c r="F727" s="194" t="s">
        <v>115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30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30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30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30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30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30</v>
      </c>
      <c r="D733" s="48" t="s">
        <v>115</v>
      </c>
      <c r="E733" s="43">
        <v>690.75</v>
      </c>
      <c r="F733" s="188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30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30</v>
      </c>
      <c r="D735" s="48" t="s">
        <v>115</v>
      </c>
      <c r="E735" s="55">
        <v>690.75</v>
      </c>
      <c r="F735" s="194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30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30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30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30</v>
      </c>
      <c r="D739" s="48" t="s">
        <v>115</v>
      </c>
      <c r="E739" s="43">
        <v>690.75</v>
      </c>
      <c r="F739" s="188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30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30</v>
      </c>
      <c r="D741" s="48" t="s">
        <v>115</v>
      </c>
      <c r="E741" s="55">
        <v>690.75</v>
      </c>
      <c r="F741" s="194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30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30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30</v>
      </c>
      <c r="D744" s="48" t="s">
        <v>115</v>
      </c>
      <c r="E744" s="43">
        <v>690.75</v>
      </c>
      <c r="F744" s="188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30</v>
      </c>
      <c r="D745" s="48" t="s">
        <v>115</v>
      </c>
      <c r="E745" s="55">
        <v>690.75</v>
      </c>
      <c r="F745" s="194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30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30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30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30</v>
      </c>
      <c r="D749" s="48" t="s">
        <v>115</v>
      </c>
      <c r="E749" s="43">
        <v>690.75</v>
      </c>
      <c r="F749" s="188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30</v>
      </c>
      <c r="D750" s="48" t="s">
        <v>115</v>
      </c>
      <c r="E750" s="55">
        <v>690.75</v>
      </c>
      <c r="F750" s="194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30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30</v>
      </c>
      <c r="D752" s="48" t="s">
        <v>115</v>
      </c>
      <c r="E752" s="55">
        <v>3850</v>
      </c>
      <c r="F752" s="194" t="s">
        <v>115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30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30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30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30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30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30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30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30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30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30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30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30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596</v>
      </c>
      <c r="C765" s="219" t="s">
        <v>30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30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30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30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30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30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30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30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30</v>
      </c>
      <c r="D773" s="48" t="s">
        <v>115</v>
      </c>
      <c r="E773" s="55">
        <v>8973.7900000000009</v>
      </c>
      <c r="F773" s="194" t="s">
        <v>115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30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30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30</v>
      </c>
      <c r="D776" s="48" t="s">
        <v>115</v>
      </c>
      <c r="E776" s="55">
        <v>1661.24</v>
      </c>
      <c r="F776" s="194" t="s">
        <v>115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30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30</v>
      </c>
      <c r="D778" s="48" t="s">
        <v>115</v>
      </c>
      <c r="E778" s="55">
        <v>690.75</v>
      </c>
      <c r="F778" s="194" t="s">
        <v>115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30</v>
      </c>
      <c r="D779" s="48" t="s">
        <v>115</v>
      </c>
      <c r="E779" s="56">
        <v>1505.04</v>
      </c>
      <c r="F779" s="188" t="s">
        <v>115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30</v>
      </c>
      <c r="D780" s="48" t="s">
        <v>115</v>
      </c>
      <c r="E780" s="56">
        <v>3628.57</v>
      </c>
      <c r="F780" s="188" t="s">
        <v>115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30</v>
      </c>
      <c r="D781" s="48" t="s">
        <v>115</v>
      </c>
      <c r="E781" s="56">
        <v>1505.04</v>
      </c>
      <c r="F781" s="188" t="s">
        <v>115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30</v>
      </c>
      <c r="D782" s="48" t="s">
        <v>115</v>
      </c>
      <c r="E782" s="55">
        <v>2898.84</v>
      </c>
      <c r="F782" s="194" t="s">
        <v>115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30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30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30</v>
      </c>
      <c r="D785" s="48" t="s">
        <v>115</v>
      </c>
      <c r="E785" s="55">
        <v>833</v>
      </c>
      <c r="F785" s="194" t="s">
        <v>115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30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30</v>
      </c>
      <c r="D787" s="48" t="s">
        <v>115</v>
      </c>
      <c r="E787" s="55">
        <v>1266.6666666666667</v>
      </c>
      <c r="F787" s="194" t="s">
        <v>115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619</v>
      </c>
      <c r="C788" s="219" t="s">
        <v>30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620</v>
      </c>
      <c r="C789" s="219" t="s">
        <v>30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621</v>
      </c>
      <c r="C790" s="219" t="s">
        <v>30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622</v>
      </c>
      <c r="C791" s="219" t="s">
        <v>30</v>
      </c>
      <c r="D791" s="48" t="s">
        <v>115</v>
      </c>
      <c r="E791" s="43">
        <v>1266.6666666666667</v>
      </c>
      <c r="F791" s="188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623</v>
      </c>
      <c r="C792" s="219" t="s">
        <v>30</v>
      </c>
      <c r="D792" s="48" t="s">
        <v>115</v>
      </c>
      <c r="E792" s="55">
        <v>1266.6666666666667</v>
      </c>
      <c r="F792" s="194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624</v>
      </c>
      <c r="C793" s="219" t="s">
        <v>30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625</v>
      </c>
      <c r="C794" s="219" t="s">
        <v>30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626</v>
      </c>
      <c r="C795" s="219" t="s">
        <v>30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627</v>
      </c>
      <c r="C796" s="219" t="s">
        <v>30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628</v>
      </c>
      <c r="C797" s="219" t="s">
        <v>30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629</v>
      </c>
      <c r="C798" s="219" t="s">
        <v>30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630</v>
      </c>
      <c r="C799" s="219" t="s">
        <v>30</v>
      </c>
      <c r="D799" s="48" t="s">
        <v>115</v>
      </c>
      <c r="E799" s="55">
        <v>455.66624999999999</v>
      </c>
      <c r="F799" s="194" t="s">
        <v>115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631</v>
      </c>
      <c r="C800" s="219" t="s">
        <v>30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632</v>
      </c>
      <c r="C801" s="219" t="s">
        <v>30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633</v>
      </c>
      <c r="C802" s="219" t="s">
        <v>30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634</v>
      </c>
      <c r="C803" s="219" t="s">
        <v>30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635</v>
      </c>
      <c r="C804" s="219" t="s">
        <v>30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636</v>
      </c>
      <c r="C805" s="219" t="s">
        <v>30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637</v>
      </c>
      <c r="C806" s="219" t="s">
        <v>30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638</v>
      </c>
      <c r="C807" s="219" t="s">
        <v>30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639</v>
      </c>
      <c r="C808" s="219" t="s">
        <v>30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640</v>
      </c>
      <c r="C809" s="219" t="s">
        <v>30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641</v>
      </c>
      <c r="C810" s="219" t="s">
        <v>30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642</v>
      </c>
      <c r="C811" s="219" t="s">
        <v>30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34</v>
      </c>
      <c r="C812" s="219" t="s">
        <v>30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643</v>
      </c>
      <c r="C813" s="219" t="s">
        <v>30</v>
      </c>
      <c r="D813" s="48" t="s">
        <v>115</v>
      </c>
      <c r="E813" s="43">
        <v>3356</v>
      </c>
      <c r="F813" s="188" t="s">
        <v>115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644</v>
      </c>
      <c r="C814" s="219" t="s">
        <v>30</v>
      </c>
      <c r="D814" s="48" t="s">
        <v>115</v>
      </c>
      <c r="E814" s="55">
        <v>1900</v>
      </c>
      <c r="F814" s="194" t="s">
        <v>115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645</v>
      </c>
      <c r="C815" s="219" t="s">
        <v>30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646</v>
      </c>
      <c r="C816" s="219" t="s">
        <v>30</v>
      </c>
      <c r="D816" s="48" t="s">
        <v>115</v>
      </c>
      <c r="E816" s="55">
        <v>23075</v>
      </c>
      <c r="F816" s="194" t="s">
        <v>115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647</v>
      </c>
      <c r="C817" s="219" t="s">
        <v>30</v>
      </c>
      <c r="D817" s="48" t="s">
        <v>115</v>
      </c>
      <c r="E817" s="55">
        <v>23075.289999999997</v>
      </c>
      <c r="F817" s="188" t="s">
        <v>115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648</v>
      </c>
      <c r="C818" s="219" t="s">
        <v>30</v>
      </c>
      <c r="D818" s="48" t="s">
        <v>115</v>
      </c>
      <c r="E818" s="55">
        <v>1018.64</v>
      </c>
      <c r="F818" s="194" t="s">
        <v>115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649</v>
      </c>
      <c r="C819" s="219" t="s">
        <v>30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650</v>
      </c>
      <c r="C820" s="219" t="s">
        <v>30</v>
      </c>
      <c r="D820" s="48" t="s">
        <v>115</v>
      </c>
      <c r="E820" s="43">
        <v>3356</v>
      </c>
      <c r="F820" s="188" t="s">
        <v>115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651</v>
      </c>
      <c r="C821" s="219" t="s">
        <v>30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652</v>
      </c>
      <c r="C822" s="219" t="s">
        <v>30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653</v>
      </c>
      <c r="C823" s="219" t="s">
        <v>30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654</v>
      </c>
      <c r="C824" s="219" t="s">
        <v>30</v>
      </c>
      <c r="D824" s="48" t="s">
        <v>115</v>
      </c>
      <c r="E824" s="55">
        <v>3356</v>
      </c>
      <c r="F824" s="194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655</v>
      </c>
      <c r="C825" s="219" t="s">
        <v>30</v>
      </c>
      <c r="D825" s="48" t="s">
        <v>115</v>
      </c>
      <c r="E825" s="43">
        <v>3356</v>
      </c>
      <c r="F825" s="188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656</v>
      </c>
      <c r="C826" s="219" t="s">
        <v>30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657</v>
      </c>
      <c r="C827" s="219" t="s">
        <v>30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658</v>
      </c>
      <c r="C828" s="219" t="s">
        <v>30</v>
      </c>
      <c r="D828" s="48" t="s">
        <v>115</v>
      </c>
      <c r="E828" s="55">
        <v>198</v>
      </c>
      <c r="F828" s="194" t="s">
        <v>115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659</v>
      </c>
      <c r="C829" s="219" t="s">
        <v>30</v>
      </c>
      <c r="D829" s="48" t="s">
        <v>115</v>
      </c>
      <c r="E829" s="55">
        <v>3356</v>
      </c>
      <c r="F829" s="194" t="s">
        <v>115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660</v>
      </c>
      <c r="C830" s="219" t="s">
        <v>30</v>
      </c>
      <c r="D830" s="48" t="s">
        <v>115</v>
      </c>
      <c r="E830" s="55">
        <v>198</v>
      </c>
      <c r="F830" s="194" t="s">
        <v>115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661</v>
      </c>
      <c r="C831" s="219" t="s">
        <v>30</v>
      </c>
      <c r="D831" s="48" t="s">
        <v>115</v>
      </c>
      <c r="E831" s="55">
        <v>3356</v>
      </c>
      <c r="F831" s="194" t="s">
        <v>115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662</v>
      </c>
      <c r="C832" s="219" t="s">
        <v>30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663</v>
      </c>
      <c r="C833" s="219" t="s">
        <v>30</v>
      </c>
      <c r="D833" s="48" t="s">
        <v>115</v>
      </c>
      <c r="E833" s="43">
        <v>198</v>
      </c>
      <c r="F833" s="188" t="s">
        <v>115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664</v>
      </c>
      <c r="C834" s="219" t="s">
        <v>30</v>
      </c>
      <c r="D834" s="48" t="s">
        <v>115</v>
      </c>
      <c r="E834" s="55">
        <v>198</v>
      </c>
      <c r="F834" s="194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665</v>
      </c>
      <c r="C835" s="219" t="s">
        <v>30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666</v>
      </c>
      <c r="C836" s="219" t="s">
        <v>30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667</v>
      </c>
      <c r="C837" s="219" t="s">
        <v>30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668</v>
      </c>
      <c r="C838" s="219" t="s">
        <v>30</v>
      </c>
      <c r="D838" s="48" t="s">
        <v>115</v>
      </c>
      <c r="E838" s="55">
        <v>3356</v>
      </c>
      <c r="F838" s="194" t="s">
        <v>115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669</v>
      </c>
      <c r="C839" s="219" t="s">
        <v>30</v>
      </c>
      <c r="D839" s="48" t="s">
        <v>115</v>
      </c>
      <c r="E839" s="55">
        <v>1100</v>
      </c>
      <c r="F839" s="194" t="s">
        <v>115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670</v>
      </c>
      <c r="C840" s="219" t="s">
        <v>30</v>
      </c>
      <c r="D840" s="48" t="s">
        <v>115</v>
      </c>
      <c r="E840" s="55">
        <v>1350</v>
      </c>
      <c r="F840" s="194" t="s">
        <v>115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671</v>
      </c>
      <c r="C841" s="219" t="s">
        <v>30</v>
      </c>
      <c r="D841" s="48" t="s">
        <v>115</v>
      </c>
      <c r="E841" s="55">
        <v>925</v>
      </c>
      <c r="F841" s="194" t="s">
        <v>115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672</v>
      </c>
      <c r="C842" s="219" t="s">
        <v>30</v>
      </c>
      <c r="D842" s="48" t="s">
        <v>115</v>
      </c>
      <c r="E842" s="43">
        <v>3373</v>
      </c>
      <c r="F842" s="188" t="s">
        <v>115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673</v>
      </c>
      <c r="C843" s="219" t="s">
        <v>30</v>
      </c>
      <c r="D843" s="48" t="s">
        <v>115</v>
      </c>
      <c r="E843" s="56">
        <v>1275.68</v>
      </c>
      <c r="F843" s="188" t="s">
        <v>115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674</v>
      </c>
      <c r="C844" s="219" t="s">
        <v>30</v>
      </c>
      <c r="D844" s="48" t="s">
        <v>115</v>
      </c>
      <c r="E844" s="55">
        <v>3373</v>
      </c>
      <c r="F844" s="194" t="s">
        <v>115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675</v>
      </c>
      <c r="C845" s="219" t="s">
        <v>30</v>
      </c>
      <c r="D845" s="48" t="s">
        <v>115</v>
      </c>
      <c r="E845" s="56">
        <v>1275.68</v>
      </c>
      <c r="F845" s="188" t="s">
        <v>115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676</v>
      </c>
      <c r="C846" s="219" t="s">
        <v>30</v>
      </c>
      <c r="D846" s="48" t="s">
        <v>115</v>
      </c>
      <c r="E846" s="43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677</v>
      </c>
      <c r="C847" s="219" t="s">
        <v>30</v>
      </c>
      <c r="D847" s="48" t="s">
        <v>115</v>
      </c>
      <c r="E847" s="55">
        <v>2746.52</v>
      </c>
      <c r="F847" s="194" t="s">
        <v>115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678</v>
      </c>
      <c r="C848" s="219" t="s">
        <v>30</v>
      </c>
      <c r="D848" s="48" t="s">
        <v>115</v>
      </c>
      <c r="E848" s="43">
        <v>1275.68</v>
      </c>
      <c r="F848" s="188" t="s">
        <v>115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19" t="s">
        <v>30</v>
      </c>
      <c r="D849" s="48" t="s">
        <v>115</v>
      </c>
      <c r="E849" s="43">
        <v>1225.7</v>
      </c>
      <c r="F849" s="188" t="s">
        <v>115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19" t="s">
        <v>30</v>
      </c>
      <c r="D850" s="48" t="s">
        <v>115</v>
      </c>
      <c r="E850" s="43">
        <v>3881.78</v>
      </c>
      <c r="F850" s="188" t="s">
        <v>115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19" t="s">
        <v>30</v>
      </c>
      <c r="D851" s="48" t="s">
        <v>115</v>
      </c>
      <c r="E851" s="43">
        <v>1275.68</v>
      </c>
      <c r="F851" s="188" t="s">
        <v>115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19" t="s">
        <v>30</v>
      </c>
      <c r="D852" s="48" t="s">
        <v>115</v>
      </c>
      <c r="E852" s="43">
        <v>3881.78</v>
      </c>
      <c r="F852" s="188" t="s">
        <v>115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683</v>
      </c>
      <c r="C853" s="219" t="s">
        <v>30</v>
      </c>
      <c r="D853" s="48" t="s">
        <v>115</v>
      </c>
      <c r="E853" s="55">
        <v>1225.7</v>
      </c>
      <c r="F853" s="194" t="s">
        <v>115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19" t="s">
        <v>30</v>
      </c>
      <c r="D854" s="48" t="s">
        <v>115</v>
      </c>
      <c r="E854" s="43">
        <v>1225.7</v>
      </c>
      <c r="F854" s="188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19" t="s">
        <v>30</v>
      </c>
      <c r="D855" s="48" t="s">
        <v>115</v>
      </c>
      <c r="E855" s="43">
        <v>2400</v>
      </c>
      <c r="F855" s="188" t="s">
        <v>115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19" t="s">
        <v>30</v>
      </c>
      <c r="D856" s="48" t="s">
        <v>115</v>
      </c>
      <c r="E856" s="43">
        <v>1275.68</v>
      </c>
      <c r="F856" s="188" t="s">
        <v>115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19" t="s">
        <v>30</v>
      </c>
      <c r="D857" s="48" t="s">
        <v>115</v>
      </c>
      <c r="E857" s="43">
        <v>1225.7</v>
      </c>
      <c r="F857" s="188" t="s">
        <v>115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688</v>
      </c>
      <c r="C858" s="219" t="s">
        <v>30</v>
      </c>
      <c r="D858" s="48" t="s">
        <v>115</v>
      </c>
      <c r="E858" s="43">
        <v>1275.68</v>
      </c>
      <c r="F858" s="188" t="s">
        <v>115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689</v>
      </c>
      <c r="C859" s="219" t="s">
        <v>30</v>
      </c>
      <c r="D859" s="48" t="s">
        <v>115</v>
      </c>
      <c r="E859" s="43">
        <v>2400</v>
      </c>
      <c r="F859" s="188" t="s">
        <v>115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690</v>
      </c>
      <c r="C860" s="219" t="s">
        <v>30</v>
      </c>
      <c r="D860" s="48" t="s">
        <v>115</v>
      </c>
      <c r="E860" s="55">
        <v>873.94</v>
      </c>
      <c r="F860" s="194" t="s">
        <v>115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691</v>
      </c>
      <c r="C861" s="219" t="s">
        <v>30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692</v>
      </c>
      <c r="C862" s="219" t="s">
        <v>30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693</v>
      </c>
      <c r="C863" s="219" t="s">
        <v>30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694</v>
      </c>
      <c r="C864" s="219" t="s">
        <v>30</v>
      </c>
      <c r="D864" s="48" t="s">
        <v>115</v>
      </c>
      <c r="E864" s="43">
        <v>131.97</v>
      </c>
      <c r="F864" s="188" t="s">
        <v>115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695</v>
      </c>
      <c r="C865" s="219" t="s">
        <v>30</v>
      </c>
      <c r="D865" s="48" t="s">
        <v>115</v>
      </c>
      <c r="E865" s="55">
        <v>5450</v>
      </c>
      <c r="F865" s="194" t="s">
        <v>115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696</v>
      </c>
      <c r="C866" s="219" t="s">
        <v>30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697</v>
      </c>
      <c r="C867" s="219" t="s">
        <v>30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698</v>
      </c>
      <c r="C868" s="219" t="s">
        <v>30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699</v>
      </c>
      <c r="C869" s="219" t="s">
        <v>30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700</v>
      </c>
      <c r="C870" s="219" t="s">
        <v>30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701</v>
      </c>
      <c r="C871" s="219" t="s">
        <v>30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702</v>
      </c>
      <c r="C872" s="219" t="s">
        <v>30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703</v>
      </c>
      <c r="C873" s="219" t="s">
        <v>30</v>
      </c>
      <c r="D873" s="48" t="s">
        <v>115</v>
      </c>
      <c r="E873" s="43">
        <v>131.97</v>
      </c>
      <c r="F873" s="188" t="s">
        <v>115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704</v>
      </c>
      <c r="C874" s="219" t="s">
        <v>30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705</v>
      </c>
      <c r="C875" s="219" t="s">
        <v>30</v>
      </c>
      <c r="D875" s="48" t="s">
        <v>115</v>
      </c>
      <c r="E875" s="43">
        <v>249.9</v>
      </c>
      <c r="F875" s="188" t="s">
        <v>115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706</v>
      </c>
      <c r="C876" s="219" t="s">
        <v>30</v>
      </c>
      <c r="D876" s="48" t="s">
        <v>115</v>
      </c>
      <c r="E876" s="43">
        <v>131.97</v>
      </c>
      <c r="F876" s="188" t="s">
        <v>115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707</v>
      </c>
      <c r="C877" s="219" t="s">
        <v>30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708</v>
      </c>
      <c r="C878" s="219" t="s">
        <v>30</v>
      </c>
      <c r="D878" s="48" t="s">
        <v>115</v>
      </c>
      <c r="E878" s="55">
        <v>131.97</v>
      </c>
      <c r="F878" s="194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709</v>
      </c>
      <c r="C879" s="219" t="s">
        <v>30</v>
      </c>
      <c r="D879" s="48" t="s">
        <v>115</v>
      </c>
      <c r="E879" s="43">
        <v>131.97</v>
      </c>
      <c r="F879" s="188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710</v>
      </c>
      <c r="C880" s="219" t="s">
        <v>30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711</v>
      </c>
      <c r="C881" s="219" t="s">
        <v>30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712</v>
      </c>
      <c r="C882" s="219" t="s">
        <v>30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713</v>
      </c>
      <c r="C883" s="219" t="s">
        <v>30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714</v>
      </c>
      <c r="C884" s="219" t="s">
        <v>30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715</v>
      </c>
      <c r="C885" s="219" t="s">
        <v>30</v>
      </c>
      <c r="D885" s="48" t="s">
        <v>115</v>
      </c>
      <c r="E885" s="43">
        <v>131.97</v>
      </c>
      <c r="F885" s="194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716</v>
      </c>
      <c r="C886" s="219" t="s">
        <v>30</v>
      </c>
      <c r="D886" s="48" t="s">
        <v>115</v>
      </c>
      <c r="E886" s="43">
        <v>131.97</v>
      </c>
      <c r="F886" s="188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717</v>
      </c>
      <c r="C887" s="219" t="s">
        <v>30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718</v>
      </c>
      <c r="C888" s="219" t="s">
        <v>30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719</v>
      </c>
      <c r="C889" s="219" t="s">
        <v>30</v>
      </c>
      <c r="D889" s="48" t="s">
        <v>115</v>
      </c>
      <c r="E889" s="55">
        <v>131.97</v>
      </c>
      <c r="F889" s="194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720</v>
      </c>
      <c r="C890" s="219" t="s">
        <v>30</v>
      </c>
      <c r="D890" s="48" t="s">
        <v>115</v>
      </c>
      <c r="E890" s="43">
        <v>131.97</v>
      </c>
      <c r="F890" s="188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721</v>
      </c>
      <c r="C891" s="219" t="s">
        <v>30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722</v>
      </c>
      <c r="C892" s="219" t="s">
        <v>30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723</v>
      </c>
      <c r="C893" s="219" t="s">
        <v>30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724</v>
      </c>
      <c r="C894" s="219" t="s">
        <v>30</v>
      </c>
      <c r="D894" s="48" t="s">
        <v>115</v>
      </c>
      <c r="E894" s="55">
        <v>131.97</v>
      </c>
      <c r="F894" s="194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725</v>
      </c>
      <c r="C895" s="219" t="s">
        <v>30</v>
      </c>
      <c r="D895" s="48" t="s">
        <v>115</v>
      </c>
      <c r="E895" s="55">
        <v>6957.9299999999994</v>
      </c>
      <c r="F895" s="194" t="s">
        <v>115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726</v>
      </c>
      <c r="C896" s="219" t="s">
        <v>30</v>
      </c>
      <c r="D896" s="48" t="s">
        <v>115</v>
      </c>
      <c r="E896" s="55">
        <v>2563</v>
      </c>
      <c r="F896" s="194" t="s">
        <v>115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727</v>
      </c>
      <c r="C897" s="219" t="s">
        <v>30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728</v>
      </c>
      <c r="C898" s="219" t="s">
        <v>30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729</v>
      </c>
      <c r="C899" s="219" t="s">
        <v>30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730</v>
      </c>
      <c r="C900" s="219" t="s">
        <v>30</v>
      </c>
      <c r="D900" s="48" t="s">
        <v>115</v>
      </c>
      <c r="E900" s="55">
        <v>2885.5</v>
      </c>
      <c r="F900" s="194" t="s">
        <v>115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731</v>
      </c>
      <c r="C901" s="219" t="s">
        <v>30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732</v>
      </c>
      <c r="C902" s="219" t="s">
        <v>30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733</v>
      </c>
      <c r="C903" s="219" t="s">
        <v>30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734</v>
      </c>
      <c r="C904" s="219" t="s">
        <v>30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735</v>
      </c>
      <c r="C905" s="219" t="s">
        <v>30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736</v>
      </c>
      <c r="C906" s="219" t="s">
        <v>30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737</v>
      </c>
      <c r="C907" s="219" t="s">
        <v>30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738</v>
      </c>
      <c r="C908" s="219" t="s">
        <v>30</v>
      </c>
      <c r="D908" s="48" t="s">
        <v>115</v>
      </c>
      <c r="E908" s="55">
        <v>2785.5</v>
      </c>
      <c r="F908" s="194" t="s">
        <v>115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739</v>
      </c>
      <c r="C909" s="219" t="s">
        <v>30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740</v>
      </c>
      <c r="C910" s="219" t="s">
        <v>30</v>
      </c>
      <c r="D910" s="48" t="s">
        <v>115</v>
      </c>
      <c r="E910" s="55">
        <v>1</v>
      </c>
      <c r="F910" s="194" t="s">
        <v>115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741</v>
      </c>
      <c r="C911" s="219" t="s">
        <v>30</v>
      </c>
      <c r="D911" s="48" t="s">
        <v>115</v>
      </c>
      <c r="E911" s="55">
        <v>1200</v>
      </c>
      <c r="F911" s="194" t="s">
        <v>115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742</v>
      </c>
      <c r="C912" s="219" t="s">
        <v>30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743</v>
      </c>
      <c r="C913" s="219" t="s">
        <v>30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744</v>
      </c>
      <c r="C914" s="219" t="s">
        <v>30</v>
      </c>
      <c r="D914" s="48" t="s">
        <v>115</v>
      </c>
      <c r="E914" s="55">
        <v>500</v>
      </c>
      <c r="F914" s="194" t="s">
        <v>115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745</v>
      </c>
      <c r="C915" s="219" t="s">
        <v>30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746</v>
      </c>
      <c r="C916" s="219" t="s">
        <v>30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747</v>
      </c>
      <c r="C917" s="219" t="s">
        <v>30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748</v>
      </c>
      <c r="C918" s="219" t="s">
        <v>30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749</v>
      </c>
      <c r="C919" s="219" t="s">
        <v>30</v>
      </c>
      <c r="D919" s="48" t="s">
        <v>115</v>
      </c>
      <c r="E919" s="55">
        <v>114.24</v>
      </c>
      <c r="F919" s="194" t="s">
        <v>115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750</v>
      </c>
      <c r="C920" s="219" t="s">
        <v>30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751</v>
      </c>
      <c r="C921" s="219" t="s">
        <v>30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752</v>
      </c>
      <c r="C922" s="219" t="s">
        <v>30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753</v>
      </c>
      <c r="C923" s="219" t="s">
        <v>30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754</v>
      </c>
      <c r="C924" s="219" t="s">
        <v>30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755</v>
      </c>
      <c r="C925" s="219" t="s">
        <v>30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756</v>
      </c>
      <c r="C926" s="219" t="s">
        <v>30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757</v>
      </c>
      <c r="C927" s="219" t="s">
        <v>30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758</v>
      </c>
      <c r="C928" s="219" t="s">
        <v>30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759</v>
      </c>
      <c r="C929" s="219" t="s">
        <v>30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760</v>
      </c>
      <c r="C930" s="219" t="s">
        <v>30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761</v>
      </c>
      <c r="C931" s="219" t="s">
        <v>30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762</v>
      </c>
      <c r="C932" s="219" t="s">
        <v>30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763</v>
      </c>
      <c r="C933" s="219" t="s">
        <v>30</v>
      </c>
      <c r="D933" s="48" t="s">
        <v>115</v>
      </c>
      <c r="E933" s="55">
        <v>1800</v>
      </c>
      <c r="F933" s="194" t="s">
        <v>115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764</v>
      </c>
      <c r="C934" s="219" t="s">
        <v>30</v>
      </c>
      <c r="D934" s="48" t="s">
        <v>115</v>
      </c>
      <c r="E934" s="55">
        <v>546</v>
      </c>
      <c r="F934" s="194" t="s">
        <v>115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765</v>
      </c>
      <c r="C935" s="219" t="s">
        <v>30</v>
      </c>
      <c r="D935" s="48" t="s">
        <v>115</v>
      </c>
      <c r="E935" s="55">
        <v>114.24</v>
      </c>
      <c r="F935" s="194" t="s">
        <v>115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766</v>
      </c>
      <c r="C936" s="219" t="s">
        <v>30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767</v>
      </c>
      <c r="C937" s="219" t="s">
        <v>30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768</v>
      </c>
      <c r="C938" s="219" t="s">
        <v>30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769</v>
      </c>
      <c r="C939" s="219" t="s">
        <v>30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770</v>
      </c>
      <c r="C940" s="219" t="s">
        <v>30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771</v>
      </c>
      <c r="C941" s="219" t="s">
        <v>30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772</v>
      </c>
      <c r="C942" s="219" t="s">
        <v>30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773</v>
      </c>
      <c r="C943" s="219" t="s">
        <v>30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774</v>
      </c>
      <c r="C944" s="219" t="s">
        <v>30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775</v>
      </c>
      <c r="C945" s="219" t="s">
        <v>30</v>
      </c>
      <c r="D945" s="48" t="s">
        <v>115</v>
      </c>
      <c r="E945" s="55">
        <v>1550</v>
      </c>
      <c r="F945" s="194" t="s">
        <v>115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776</v>
      </c>
      <c r="C946" s="219" t="s">
        <v>30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777</v>
      </c>
      <c r="C947" s="219" t="s">
        <v>30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778</v>
      </c>
      <c r="C948" s="219" t="s">
        <v>30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779</v>
      </c>
      <c r="C949" s="219" t="s">
        <v>30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780</v>
      </c>
      <c r="C950" s="219" t="s">
        <v>30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781</v>
      </c>
      <c r="C951" s="219" t="s">
        <v>30</v>
      </c>
      <c r="D951" s="48" t="s">
        <v>115</v>
      </c>
      <c r="E951" s="55">
        <v>952</v>
      </c>
      <c r="F951" s="194" t="s">
        <v>115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782</v>
      </c>
      <c r="C952" s="219" t="s">
        <v>30</v>
      </c>
      <c r="D952" s="48" t="s">
        <v>115</v>
      </c>
      <c r="E952" s="55">
        <v>925</v>
      </c>
      <c r="F952" s="194" t="s">
        <v>115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783</v>
      </c>
      <c r="C953" s="219" t="s">
        <v>30</v>
      </c>
      <c r="D953" s="48" t="s">
        <v>115</v>
      </c>
      <c r="E953" s="55">
        <v>1100</v>
      </c>
      <c r="F953" s="194" t="s">
        <v>115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784</v>
      </c>
      <c r="C954" s="219" t="s">
        <v>30</v>
      </c>
      <c r="D954" s="48" t="s">
        <v>115</v>
      </c>
      <c r="E954" s="55">
        <v>1350</v>
      </c>
      <c r="F954" s="194" t="s">
        <v>115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785</v>
      </c>
      <c r="C955" s="219" t="s">
        <v>30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786</v>
      </c>
      <c r="C956" s="219" t="s">
        <v>30</v>
      </c>
      <c r="D956" s="48" t="s">
        <v>115</v>
      </c>
      <c r="E956" s="43">
        <v>2727.48</v>
      </c>
      <c r="F956" s="188" t="s">
        <v>115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787</v>
      </c>
      <c r="C957" s="219" t="s">
        <v>30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788</v>
      </c>
      <c r="C958" s="219" t="s">
        <v>30</v>
      </c>
      <c r="D958" s="48" t="s">
        <v>115</v>
      </c>
      <c r="E958" s="55">
        <v>2727.48</v>
      </c>
      <c r="F958" s="194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789</v>
      </c>
      <c r="C959" s="219" t="s">
        <v>30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790</v>
      </c>
      <c r="C960" s="219" t="s">
        <v>30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791</v>
      </c>
      <c r="C961" s="219" t="s">
        <v>30</v>
      </c>
      <c r="D961" s="48" t="s">
        <v>115</v>
      </c>
      <c r="E961" s="55">
        <v>3111.85</v>
      </c>
      <c r="F961" s="194" t="s">
        <v>115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792</v>
      </c>
      <c r="C962" s="219" t="s">
        <v>30</v>
      </c>
      <c r="D962" s="48" t="s">
        <v>115</v>
      </c>
      <c r="E962" s="43">
        <v>1550</v>
      </c>
      <c r="F962" s="188" t="s">
        <v>115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793</v>
      </c>
      <c r="C963" s="219" t="s">
        <v>30</v>
      </c>
      <c r="D963" s="48" t="s">
        <v>115</v>
      </c>
      <c r="E963" s="55">
        <v>1550</v>
      </c>
      <c r="F963" s="194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794</v>
      </c>
      <c r="C964" s="219" t="s">
        <v>30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795</v>
      </c>
      <c r="C965" s="219" t="s">
        <v>30</v>
      </c>
      <c r="D965" s="48" t="s">
        <v>115</v>
      </c>
      <c r="E965" s="43">
        <v>1550</v>
      </c>
      <c r="F965" s="188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796</v>
      </c>
      <c r="C966" s="219" t="s">
        <v>30</v>
      </c>
      <c r="D966" s="48" t="s">
        <v>115</v>
      </c>
      <c r="E966" s="55">
        <v>1550</v>
      </c>
      <c r="F966" s="194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797</v>
      </c>
      <c r="C967" s="219" t="s">
        <v>30</v>
      </c>
      <c r="D967" s="48" t="s">
        <v>115</v>
      </c>
      <c r="E967" s="55">
        <v>3844</v>
      </c>
      <c r="F967" s="194" t="s">
        <v>115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798</v>
      </c>
      <c r="C968" s="219" t="s">
        <v>30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799</v>
      </c>
      <c r="C969" s="219" t="s">
        <v>30</v>
      </c>
      <c r="D969" s="48" t="s">
        <v>115</v>
      </c>
      <c r="E969" s="55">
        <v>998.41</v>
      </c>
      <c r="F969" s="194" t="s">
        <v>115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800</v>
      </c>
      <c r="C970" s="219" t="s">
        <v>30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801</v>
      </c>
      <c r="C971" s="219" t="s">
        <v>30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802</v>
      </c>
      <c r="C972" s="219" t="s">
        <v>30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803</v>
      </c>
      <c r="C973" s="219" t="s">
        <v>30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804</v>
      </c>
      <c r="C974" s="219" t="s">
        <v>30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805</v>
      </c>
      <c r="C975" s="219" t="s">
        <v>30</v>
      </c>
      <c r="D975" s="48" t="s">
        <v>115</v>
      </c>
      <c r="E975" s="55">
        <v>3844</v>
      </c>
      <c r="F975" s="194" t="s">
        <v>115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32</v>
      </c>
      <c r="C976" s="219" t="s">
        <v>30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806</v>
      </c>
      <c r="C977" s="219" t="s">
        <v>30</v>
      </c>
      <c r="D977" s="48" t="s">
        <v>115</v>
      </c>
      <c r="E977" s="55">
        <v>998.41</v>
      </c>
      <c r="F977" s="194" t="s">
        <v>115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807</v>
      </c>
      <c r="C978" s="219" t="s">
        <v>30</v>
      </c>
      <c r="D978" s="48" t="s">
        <v>115</v>
      </c>
      <c r="E978" s="55">
        <v>3844</v>
      </c>
      <c r="F978" s="194" t="s">
        <v>115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808</v>
      </c>
      <c r="C979" s="219" t="s">
        <v>30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809</v>
      </c>
      <c r="C980" s="219" t="s">
        <v>30</v>
      </c>
      <c r="D980" s="48" t="s">
        <v>115</v>
      </c>
      <c r="E980" s="55">
        <v>1173.3399999999999</v>
      </c>
      <c r="F980" s="194" t="s">
        <v>115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810</v>
      </c>
      <c r="C981" s="219" t="s">
        <v>30</v>
      </c>
      <c r="D981" s="48" t="s">
        <v>115</v>
      </c>
      <c r="E981" s="55">
        <v>3844</v>
      </c>
      <c r="F981" s="194" t="s">
        <v>115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811</v>
      </c>
      <c r="C982" s="219" t="s">
        <v>30</v>
      </c>
      <c r="D982" s="48" t="s">
        <v>115</v>
      </c>
      <c r="E982" s="55">
        <v>1200</v>
      </c>
      <c r="F982" s="194" t="s">
        <v>115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97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6.9">
      <c r="A1010" s="118" t="s">
        <v>80</v>
      </c>
      <c r="B1010" s="128" t="s">
        <v>99</v>
      </c>
      <c r="C1010" s="119" t="s">
        <v>100</v>
      </c>
      <c r="D1010" s="103" t="s">
        <v>101</v>
      </c>
      <c r="E1010" s="69" t="s">
        <v>102</v>
      </c>
      <c r="F1010" s="187" t="s">
        <v>103</v>
      </c>
      <c r="G1010" s="71" t="s">
        <v>104</v>
      </c>
      <c r="H1010" s="72" t="s">
        <v>105</v>
      </c>
      <c r="I1010" s="72" t="s">
        <v>106</v>
      </c>
      <c r="J1010" s="74" t="s">
        <v>107</v>
      </c>
    </row>
    <row r="1011" spans="1:10">
      <c r="A1011" s="41">
        <v>1</v>
      </c>
      <c r="B1011" s="168" t="s">
        <v>812</v>
      </c>
      <c r="C1011" s="160" t="s">
        <v>35</v>
      </c>
      <c r="D1011" s="48" t="s">
        <v>245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35</v>
      </c>
      <c r="D1012" s="48" t="s">
        <v>245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35</v>
      </c>
      <c r="D1013" s="48" t="s">
        <v>245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35</v>
      </c>
      <c r="D1014" s="48" t="s">
        <v>245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35</v>
      </c>
      <c r="D1015" s="48" t="s">
        <v>244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35</v>
      </c>
      <c r="D1016" s="48" t="s">
        <v>244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35</v>
      </c>
      <c r="D1017" s="48" t="s">
        <v>245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35</v>
      </c>
      <c r="D1018" s="48" t="s">
        <v>245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35</v>
      </c>
      <c r="D1019" s="48" t="s">
        <v>244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35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35</v>
      </c>
      <c r="D1021" s="151" t="s">
        <v>245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35</v>
      </c>
      <c r="D1022" s="151" t="s">
        <v>245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35</v>
      </c>
      <c r="D1023" s="151" t="s">
        <v>245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35</v>
      </c>
      <c r="D1024" s="151" t="s">
        <v>245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35</v>
      </c>
      <c r="D1025" s="151" t="s">
        <v>245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35</v>
      </c>
      <c r="D1026" s="151" t="s">
        <v>245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35</v>
      </c>
      <c r="D1027" s="151" t="s">
        <v>245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35</v>
      </c>
      <c r="D1028" s="151" t="s">
        <v>245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35</v>
      </c>
      <c r="D1029" s="151" t="s">
        <v>245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35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38</v>
      </c>
      <c r="C1031" s="160" t="s">
        <v>35</v>
      </c>
      <c r="D1031" s="151" t="s">
        <v>245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35</v>
      </c>
      <c r="D1032" s="151" t="s">
        <v>245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35</v>
      </c>
      <c r="D1033" s="151" t="s">
        <v>245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35</v>
      </c>
      <c r="D1034" s="151" t="s">
        <v>245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35</v>
      </c>
      <c r="D1035" s="151" t="s">
        <v>245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35</v>
      </c>
      <c r="D1036" s="151" t="s">
        <v>244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35</v>
      </c>
      <c r="D1037" s="151" t="s">
        <v>244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35</v>
      </c>
      <c r="D1038" s="48" t="s">
        <v>244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839</v>
      </c>
      <c r="C1039" s="160" t="s">
        <v>35</v>
      </c>
      <c r="D1039" s="48" t="s">
        <v>245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840</v>
      </c>
      <c r="C1040" s="160" t="s">
        <v>35</v>
      </c>
      <c r="D1040" s="151" t="s">
        <v>244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841</v>
      </c>
      <c r="C1041" s="160" t="s">
        <v>35</v>
      </c>
      <c r="D1041" s="48" t="s">
        <v>244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842</v>
      </c>
      <c r="C1042" s="160" t="s">
        <v>35</v>
      </c>
      <c r="D1042" s="48" t="s">
        <v>244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36</v>
      </c>
      <c r="C1043" s="160" t="s">
        <v>35</v>
      </c>
      <c r="D1043" s="48" t="s">
        <v>245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6"/>
      <c r="D1064" s="485"/>
      <c r="E1064"/>
      <c r="F1064" s="189"/>
      <c r="H1064"/>
      <c r="I1064"/>
    </row>
    <row r="1065" spans="1:10" ht="21.6" thickBot="1">
      <c r="A1065" s="129" t="s">
        <v>97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80</v>
      </c>
      <c r="B1066" s="211" t="s">
        <v>99</v>
      </c>
      <c r="C1066" s="66" t="s">
        <v>100</v>
      </c>
      <c r="D1066" s="67" t="s">
        <v>101</v>
      </c>
      <c r="E1066" s="69" t="s">
        <v>102</v>
      </c>
      <c r="F1066" s="187" t="s">
        <v>103</v>
      </c>
      <c r="G1066" s="71" t="s">
        <v>104</v>
      </c>
      <c r="H1066" s="72" t="s">
        <v>105</v>
      </c>
      <c r="I1066" s="72" t="s">
        <v>106</v>
      </c>
      <c r="J1066" s="74" t="s">
        <v>107</v>
      </c>
    </row>
    <row r="1067" spans="1:10" ht="28.9">
      <c r="A1067" s="83">
        <v>1</v>
      </c>
      <c r="B1067" s="206" t="s">
        <v>843</v>
      </c>
      <c r="C1067" s="219" t="s">
        <v>63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844</v>
      </c>
      <c r="C1068" s="219" t="s">
        <v>63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63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846</v>
      </c>
      <c r="C1070" s="219" t="s">
        <v>63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847</v>
      </c>
      <c r="C1071" s="219" t="s">
        <v>63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848</v>
      </c>
      <c r="C1072" s="219" t="s">
        <v>63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849</v>
      </c>
      <c r="C1073" s="219" t="s">
        <v>63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97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6.9">
      <c r="A1106" s="81" t="s">
        <v>80</v>
      </c>
      <c r="B1106" s="205" t="s">
        <v>99</v>
      </c>
      <c r="C1106" s="202" t="s">
        <v>100</v>
      </c>
      <c r="D1106" s="203" t="s">
        <v>101</v>
      </c>
      <c r="E1106" s="69" t="s">
        <v>102</v>
      </c>
      <c r="F1106" s="187" t="s">
        <v>103</v>
      </c>
      <c r="G1106" s="71" t="s">
        <v>104</v>
      </c>
      <c r="H1106" s="72" t="s">
        <v>105</v>
      </c>
      <c r="I1106" s="72" t="s">
        <v>106</v>
      </c>
      <c r="J1106" s="74" t="s">
        <v>107</v>
      </c>
    </row>
    <row r="1107" spans="1:10" ht="28.9">
      <c r="A1107" s="83">
        <v>1</v>
      </c>
      <c r="B1107" s="206" t="s">
        <v>850</v>
      </c>
      <c r="C1107" s="37" t="s">
        <v>851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852</v>
      </c>
      <c r="C1108" s="37" t="s">
        <v>851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854</v>
      </c>
      <c r="C1110" s="37" t="s">
        <v>851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855</v>
      </c>
      <c r="C1111" s="37" t="s">
        <v>851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856</v>
      </c>
      <c r="C1112" s="37" t="s">
        <v>851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857</v>
      </c>
      <c r="C1113" s="37" t="s">
        <v>851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1017</v>
      </c>
      <c r="C1273" s="276" t="s">
        <v>851</v>
      </c>
      <c r="D1273" s="277" t="s">
        <v>115</v>
      </c>
      <c r="E1273" s="141">
        <v>44533.333333333336</v>
      </c>
      <c r="F1273" s="278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115</v>
      </c>
      <c r="E1274" s="141">
        <v>30900</v>
      </c>
      <c r="F1274" s="278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115</v>
      </c>
      <c r="E1276" s="141">
        <v>22370</v>
      </c>
      <c r="F1276" s="278" t="s">
        <v>115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115</v>
      </c>
      <c r="E1277" s="141">
        <v>184100</v>
      </c>
      <c r="F1277" s="278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1023</v>
      </c>
      <c r="C1278" s="276" t="s">
        <v>851</v>
      </c>
      <c r="D1278" s="277" t="s">
        <v>115</v>
      </c>
      <c r="E1278" s="141">
        <v>6333.3374999999996</v>
      </c>
      <c r="F1278" s="278" t="s">
        <v>115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1024</v>
      </c>
      <c r="C1279" s="276" t="s">
        <v>851</v>
      </c>
      <c r="D1279" s="277" t="s">
        <v>115</v>
      </c>
      <c r="E1279" s="141">
        <v>17266.599999999999</v>
      </c>
      <c r="F1279" s="278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1025</v>
      </c>
      <c r="C1280" s="276" t="s">
        <v>851</v>
      </c>
      <c r="D1280" s="277" t="s">
        <v>115</v>
      </c>
      <c r="E1280" s="141">
        <v>6796.7</v>
      </c>
      <c r="F1280" s="278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115</v>
      </c>
      <c r="E1281" s="141">
        <v>182666.66666666666</v>
      </c>
      <c r="F1281" s="278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1028</v>
      </c>
      <c r="C1283" s="276" t="s">
        <v>851</v>
      </c>
      <c r="D1283" s="277" t="s">
        <v>115</v>
      </c>
      <c r="E1283" s="141">
        <v>46996.6</v>
      </c>
      <c r="F1283" s="278" t="s">
        <v>115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1028</v>
      </c>
      <c r="C1284" s="276" t="s">
        <v>851</v>
      </c>
      <c r="D1284" s="277" t="s">
        <v>115</v>
      </c>
      <c r="E1284" s="141">
        <v>48330</v>
      </c>
      <c r="F1284" s="278" t="s">
        <v>115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115</v>
      </c>
      <c r="E1286" s="141">
        <v>104388.75</v>
      </c>
      <c r="F1286" s="278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115</v>
      </c>
      <c r="E1287" s="141">
        <v>79760</v>
      </c>
      <c r="F1287" s="278" t="s">
        <v>115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1033</v>
      </c>
      <c r="C1288" s="276" t="s">
        <v>851</v>
      </c>
      <c r="D1288" s="277" t="s">
        <v>210</v>
      </c>
      <c r="E1288" s="141">
        <v>62000</v>
      </c>
      <c r="F1288" s="278" t="s">
        <v>210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1034</v>
      </c>
      <c r="C1289" s="276" t="s">
        <v>851</v>
      </c>
      <c r="D1289" s="277" t="s">
        <v>115</v>
      </c>
      <c r="E1289" s="141">
        <v>152500</v>
      </c>
      <c r="F1289" s="278" t="s">
        <v>115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1035</v>
      </c>
      <c r="C1290" s="276" t="s">
        <v>851</v>
      </c>
      <c r="D1290" s="277" t="s">
        <v>115</v>
      </c>
      <c r="E1290" s="141">
        <v>432050</v>
      </c>
      <c r="F1290" s="278" t="s">
        <v>115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97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6.9">
      <c r="A1327" s="73" t="s">
        <v>80</v>
      </c>
      <c r="B1327" s="133" t="s">
        <v>99</v>
      </c>
      <c r="C1327" s="119" t="s">
        <v>100</v>
      </c>
      <c r="D1327" s="103" t="s">
        <v>101</v>
      </c>
      <c r="E1327" s="69" t="s">
        <v>102</v>
      </c>
      <c r="F1327" s="187" t="s">
        <v>103</v>
      </c>
      <c r="G1327" s="71" t="s">
        <v>104</v>
      </c>
      <c r="H1327" s="72" t="s">
        <v>105</v>
      </c>
      <c r="I1327" s="72" t="s">
        <v>106</v>
      </c>
      <c r="J1327" s="82" t="s">
        <v>107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1057</v>
      </c>
      <c r="C1348" s="37" t="s">
        <v>1037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1037</v>
      </c>
      <c r="D1357" s="98" t="s">
        <v>364</v>
      </c>
      <c r="E1357" s="43"/>
      <c r="F1357" s="98" t="s">
        <v>364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1037</v>
      </c>
      <c r="D1358" s="98" t="s">
        <v>364</v>
      </c>
      <c r="E1358" s="43"/>
      <c r="F1358" s="98" t="s">
        <v>364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1037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1076</v>
      </c>
      <c r="C1362" s="37" t="s">
        <v>1037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1077</v>
      </c>
      <c r="C1363" s="37" t="s">
        <v>1037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1078</v>
      </c>
      <c r="C1364" s="37" t="s">
        <v>1037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1084</v>
      </c>
      <c r="C1369" s="37" t="s">
        <v>1037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1085</v>
      </c>
      <c r="C1370" s="37" t="s">
        <v>1037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1087</v>
      </c>
      <c r="C1372" s="37" t="s">
        <v>1037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1088</v>
      </c>
      <c r="C1373" s="161" t="s">
        <v>1037</v>
      </c>
      <c r="D1373" s="297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1037</v>
      </c>
      <c r="D1374" s="290" t="s">
        <v>115</v>
      </c>
      <c r="E1374" s="62"/>
      <c r="F1374" s="191" t="s">
        <v>115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1037</v>
      </c>
      <c r="D1375" s="290" t="s">
        <v>115</v>
      </c>
      <c r="E1375" s="62"/>
      <c r="F1375" s="191" t="s">
        <v>115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1037</v>
      </c>
      <c r="D1376" s="290" t="s">
        <v>115</v>
      </c>
      <c r="E1376" s="62"/>
      <c r="F1376" s="191" t="s">
        <v>115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1037</v>
      </c>
      <c r="D1377" s="290" t="s">
        <v>115</v>
      </c>
      <c r="E1377" s="62"/>
      <c r="F1377" s="191" t="s">
        <v>115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1037</v>
      </c>
      <c r="D1378" s="290" t="s">
        <v>115</v>
      </c>
      <c r="E1378" s="62"/>
      <c r="F1378" s="191" t="s">
        <v>115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1037</v>
      </c>
      <c r="D1379" s="291" t="s">
        <v>115</v>
      </c>
      <c r="E1379" s="43"/>
      <c r="F1379" s="188" t="s">
        <v>115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1037</v>
      </c>
      <c r="D1380" s="292" t="s">
        <v>115</v>
      </c>
      <c r="E1380" s="166"/>
      <c r="F1380" s="192" t="s">
        <v>115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1037</v>
      </c>
      <c r="D1381" s="292" t="s">
        <v>115</v>
      </c>
      <c r="E1381" s="166"/>
      <c r="F1381" s="192" t="s">
        <v>115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1037</v>
      </c>
      <c r="D1382" s="293" t="s">
        <v>115</v>
      </c>
      <c r="E1382" s="222"/>
      <c r="F1382" s="193" t="s">
        <v>115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1037</v>
      </c>
      <c r="D1383" s="10" t="s">
        <v>115</v>
      </c>
      <c r="E1383" s="222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1037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1037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1037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1037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1037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1037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1037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1037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1037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1037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1037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1037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1037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1112</v>
      </c>
      <c r="C1397" s="219" t="s">
        <v>1037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1037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1037</v>
      </c>
      <c r="D1399" s="248" t="s">
        <v>115</v>
      </c>
      <c r="E1399" s="166">
        <v>19073</v>
      </c>
      <c r="F1399" s="193" t="s">
        <v>115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1116</v>
      </c>
      <c r="C1400" s="219" t="s">
        <v>1037</v>
      </c>
      <c r="D1400" s="248" t="s">
        <v>115</v>
      </c>
      <c r="E1400" s="166">
        <v>866.66499999999996</v>
      </c>
      <c r="F1400" s="193" t="s">
        <v>115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1037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1037</v>
      </c>
      <c r="D1402" s="248" t="s">
        <v>115</v>
      </c>
      <c r="E1402" s="166">
        <v>19000</v>
      </c>
      <c r="F1402" s="193" t="s">
        <v>115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1037</v>
      </c>
      <c r="D1403" s="248" t="s">
        <v>115</v>
      </c>
      <c r="E1403" s="166">
        <v>3800</v>
      </c>
      <c r="F1403" s="193" t="s">
        <v>115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1120</v>
      </c>
      <c r="C1404" s="219" t="s">
        <v>1037</v>
      </c>
      <c r="D1404" s="248" t="s">
        <v>178</v>
      </c>
      <c r="E1404" s="166">
        <v>3200</v>
      </c>
      <c r="F1404" s="193" t="s">
        <v>178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1037</v>
      </c>
      <c r="D1405" s="248" t="s">
        <v>220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1037</v>
      </c>
      <c r="D1406" s="10" t="s">
        <v>364</v>
      </c>
      <c r="E1406" s="222"/>
      <c r="F1406" s="293" t="s">
        <v>364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1037</v>
      </c>
      <c r="D1407" s="10" t="s">
        <v>364</v>
      </c>
      <c r="E1407" s="166"/>
      <c r="F1407" s="10" t="s">
        <v>364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1037</v>
      </c>
      <c r="D1408" s="10" t="s">
        <v>364</v>
      </c>
      <c r="E1408" s="166"/>
      <c r="F1408" s="10" t="s">
        <v>364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1037</v>
      </c>
      <c r="D1409" s="10" t="s">
        <v>364</v>
      </c>
      <c r="E1409" s="166"/>
      <c r="F1409" s="10" t="s">
        <v>364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1037</v>
      </c>
      <c r="D1410" s="248" t="s">
        <v>115</v>
      </c>
      <c r="E1410" s="166">
        <v>6013.33</v>
      </c>
      <c r="F1410" s="273" t="s">
        <v>115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1037</v>
      </c>
      <c r="D1411" s="248" t="s">
        <v>115</v>
      </c>
      <c r="E1411" s="166">
        <v>1101.5</v>
      </c>
      <c r="F1411" s="273" t="s">
        <v>115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1037</v>
      </c>
      <c r="D1412" s="248" t="s">
        <v>115</v>
      </c>
      <c r="E1412" s="166">
        <v>11100</v>
      </c>
      <c r="F1412" s="273" t="s">
        <v>115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1037</v>
      </c>
      <c r="D1413" s="10" t="s">
        <v>364</v>
      </c>
      <c r="E1413" s="166"/>
      <c r="F1413" s="10" t="s">
        <v>364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1037</v>
      </c>
      <c r="D1414" s="10" t="s">
        <v>364</v>
      </c>
      <c r="E1414" s="166"/>
      <c r="F1414" s="10" t="s">
        <v>364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1037</v>
      </c>
      <c r="D1415" s="10" t="s">
        <v>364</v>
      </c>
      <c r="E1415" s="222"/>
      <c r="F1415" s="10" t="s">
        <v>364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97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6.9">
      <c r="A1427" s="134" t="s">
        <v>80</v>
      </c>
      <c r="B1427" s="68" t="s">
        <v>99</v>
      </c>
      <c r="C1427" s="119" t="s">
        <v>100</v>
      </c>
      <c r="D1427" s="135" t="s">
        <v>101</v>
      </c>
      <c r="E1427" s="59" t="s">
        <v>102</v>
      </c>
      <c r="F1427" s="195" t="s">
        <v>103</v>
      </c>
      <c r="G1427" s="60" t="s">
        <v>104</v>
      </c>
      <c r="H1427" s="61" t="s">
        <v>105</v>
      </c>
      <c r="I1427" s="61" t="s">
        <v>106</v>
      </c>
      <c r="J1427" s="64" t="s">
        <v>107</v>
      </c>
    </row>
    <row r="1428" spans="1:10">
      <c r="A1428" s="41">
        <v>1</v>
      </c>
      <c r="B1428" s="42" t="s">
        <v>1132</v>
      </c>
      <c r="C1428" s="219" t="s">
        <v>60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60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60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60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60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60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60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60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60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60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60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60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60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60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60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60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60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1150</v>
      </c>
      <c r="C1445" s="219" t="s">
        <v>60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1151</v>
      </c>
      <c r="C1446" s="219" t="s">
        <v>60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60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60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60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60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60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60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60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60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60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60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60</v>
      </c>
      <c r="D1457" s="48" t="s">
        <v>1068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60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60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60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60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60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60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60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60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60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60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60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60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60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60</v>
      </c>
      <c r="D1471" s="48" t="s">
        <v>242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60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60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60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60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60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60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60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60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60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1186</v>
      </c>
      <c r="C1481" s="219" t="s">
        <v>60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1187</v>
      </c>
      <c r="C1482" s="219" t="s">
        <v>60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60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60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60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60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60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60</v>
      </c>
      <c r="D1488" s="48" t="s">
        <v>1068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60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60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60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60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60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60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60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60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60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60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60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60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60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60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1210</v>
      </c>
      <c r="C1503" s="219" t="s">
        <v>60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1211</v>
      </c>
      <c r="C1504" s="219" t="s">
        <v>60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60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60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60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60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1216</v>
      </c>
      <c r="C1509" s="219" t="s">
        <v>60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97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6.9">
      <c r="A1521" s="92" t="s">
        <v>80</v>
      </c>
      <c r="B1521" s="139" t="s">
        <v>99</v>
      </c>
      <c r="C1521" s="102" t="s">
        <v>100</v>
      </c>
      <c r="D1521" s="103" t="s">
        <v>101</v>
      </c>
      <c r="E1521" s="91" t="s">
        <v>102</v>
      </c>
      <c r="F1521" s="196" t="s">
        <v>103</v>
      </c>
      <c r="G1521" s="104" t="s">
        <v>104</v>
      </c>
      <c r="H1521" s="105" t="s">
        <v>105</v>
      </c>
      <c r="I1521" s="105" t="s">
        <v>106</v>
      </c>
      <c r="J1521" s="106" t="s">
        <v>107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45</v>
      </c>
    </row>
    <row r="3" spans="1:13" outlineLevel="1">
      <c r="A3" s="3" t="s">
        <v>1319</v>
      </c>
      <c r="B3" s="5" t="s">
        <v>220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26</v>
      </c>
    </row>
    <row r="4" spans="1:13" ht="28.9" outlineLevel="1">
      <c r="A4" s="2" t="s">
        <v>1324</v>
      </c>
      <c r="B4" s="5" t="s">
        <v>310</v>
      </c>
      <c r="D4" s="267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30</v>
      </c>
    </row>
    <row r="5" spans="1:13" ht="28.9" outlineLevel="1">
      <c r="A5" s="3" t="s">
        <v>1329</v>
      </c>
      <c r="B5" s="5" t="s">
        <v>1330</v>
      </c>
      <c r="D5" s="269" t="s">
        <v>14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851</v>
      </c>
    </row>
    <row r="6" spans="1:13" outlineLevel="1">
      <c r="A6" s="2" t="s">
        <v>329</v>
      </c>
      <c r="B6" s="5" t="s">
        <v>329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1037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28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35</v>
      </c>
    </row>
    <row r="9" spans="1:13" outlineLevel="1">
      <c r="A9" s="2" t="s">
        <v>1348</v>
      </c>
      <c r="B9" s="5" t="s">
        <v>1201</v>
      </c>
      <c r="F9" s="2" t="s">
        <v>9</v>
      </c>
      <c r="H9" t="s">
        <v>1349</v>
      </c>
      <c r="I9">
        <v>70323724</v>
      </c>
      <c r="K9" t="s">
        <v>1350</v>
      </c>
      <c r="M9" s="79" t="s">
        <v>63</v>
      </c>
    </row>
    <row r="10" spans="1:13" outlineLevel="1">
      <c r="A10" s="2" t="s">
        <v>1351</v>
      </c>
      <c r="B10" s="5" t="s">
        <v>109</v>
      </c>
      <c r="F10" s="3" t="s">
        <v>1352</v>
      </c>
      <c r="H10" s="24" t="s">
        <v>1353</v>
      </c>
      <c r="I10" s="20">
        <v>32142539</v>
      </c>
      <c r="K10" t="s">
        <v>1354</v>
      </c>
      <c r="M10" s="233" t="s">
        <v>126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3" t="s">
        <v>60</v>
      </c>
    </row>
    <row r="12" spans="1:13" ht="28.9" outlineLevel="1">
      <c r="A12" s="3" t="s">
        <v>1360</v>
      </c>
      <c r="B12" s="5" t="s">
        <v>1030</v>
      </c>
      <c r="F12" s="302" t="s">
        <v>1361</v>
      </c>
      <c r="H12" s="27" t="s">
        <v>1362</v>
      </c>
      <c r="I12" s="28">
        <v>32184975</v>
      </c>
      <c r="M12" s="233" t="s">
        <v>1219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1229</v>
      </c>
      <c r="H14" s="24" t="s">
        <v>1366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242</v>
      </c>
      <c r="H16" s="254" t="s">
        <v>1369</v>
      </c>
      <c r="I16" s="22">
        <v>71278905</v>
      </c>
    </row>
    <row r="17" spans="1:9" outlineLevel="1">
      <c r="A17" s="2" t="s">
        <v>1370</v>
      </c>
      <c r="B17" s="5" t="s">
        <v>364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1222</v>
      </c>
      <c r="H18" s="25" t="s">
        <v>1373</v>
      </c>
      <c r="I18" s="256" t="s">
        <v>1374</v>
      </c>
    </row>
    <row r="19" spans="1:9" outlineLevel="1">
      <c r="A19" s="3" t="s">
        <v>1375</v>
      </c>
      <c r="B19" s="5" t="s">
        <v>245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110</v>
      </c>
      <c r="H21" s="21" t="s">
        <v>1381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212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178</v>
      </c>
      <c r="H24" s="21" t="s">
        <v>6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1386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1387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115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