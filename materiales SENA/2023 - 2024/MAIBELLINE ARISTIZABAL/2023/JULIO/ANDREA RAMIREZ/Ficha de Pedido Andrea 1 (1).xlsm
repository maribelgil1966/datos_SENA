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ownloads\"/>
    </mc:Choice>
  </mc:AlternateContent>
  <xr:revisionPtr revIDLastSave="37" documentId="13_ncr:1_{C44EF38F-A565-455A-A7B2-4C876EEF53F9}" xr6:coauthVersionLast="47" xr6:coauthVersionMax="47" xr10:uidLastSave="{8F64D037-97D1-40CD-AE4B-F8C3425B603D}"/>
  <bookViews>
    <workbookView xWindow="-98" yWindow="-98" windowWidth="38596" windowHeight="2119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6" i="43" s="1"/>
  <c r="G18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W19" i="43" l="1"/>
  <c r="W18" i="43"/>
  <c r="O11" i="43"/>
  <c r="G13" i="59" s="1"/>
  <c r="O18" i="43"/>
  <c r="G20" i="59" s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 l="1"/>
  <c r="A1016" i="38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<sst xmlns="http://schemas.openxmlformats.org/spreadsheetml/2006/main" count="5070" uniqueCount="1394">
  <si>
    <t xml:space="preserve">CÓDIGO ÚNICO  DE   PEDIDO
</t>
  </si>
  <si>
    <t xml:space="preserve"> Pedido #</t>
  </si>
  <si>
    <t>FECHA DE 
ELABORACION</t>
  </si>
  <si>
    <t>Julio 17/2023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</si>
  <si>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</si>
  <si>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</si>
  <si>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</si>
  <si>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</si>
  <si>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</si>
  <si>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</si>
  <si>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</si>
  <si>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</si>
  <si>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</si>
  <si>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Proyecto de Mario Hernandez "1"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</si>
  <si>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</si>
  <si>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</si>
  <si>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</si>
  <si>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</si>
  <si>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</si>
  <si>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</si>
  <si>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</si>
  <si>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</si>
  <si>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</si>
  <si>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</si>
  <si>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</si>
  <si>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</si>
  <si>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</si>
  <si>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</si>
  <si>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LLAVE METÁLICA DESLIZADOR   #6 PARA CREMALLERA - CREMA</t>
  </si>
  <si>
    <t>SECUNDARIO_MEDULAR</t>
  </si>
  <si>
    <t>CREMALLERA POLIÉSTER #6</t>
  </si>
  <si>
    <t>BROCHE IMÁN NIQUELADO MEDIANO 1/2"</t>
  </si>
  <si>
    <t>OJALETE LATÓN NÍQUEL 1/4"</t>
  </si>
  <si>
    <t>HEBILLA BURBUJA MORRALERA METÁLICA 1" X 2 1/4", NÍQUEL"</t>
  </si>
  <si>
    <t>CUERO</t>
  </si>
  <si>
    <t>NAPPA</t>
  </si>
  <si>
    <t xml:space="preserve">LLAVE METÁLICA DESLIZADOR   #3 PARA CREMALLERA - NÍQUEL </t>
  </si>
  <si>
    <t>CREMALLERA POLIÉSTER #3</t>
  </si>
  <si>
    <t>SiNTETICOS_TEXTILES</t>
  </si>
  <si>
    <t>FORRO  PIQUET</t>
  </si>
  <si>
    <t>ODENA 0,5 mm</t>
  </si>
  <si>
    <t>RIBETE 24 mm (CINTA FALLA CON APRESTO)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</si>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</sst>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4141</xdr:colOff>
      <xdr:row>0</xdr:row>
      <xdr:rowOff>1</xdr:rowOff>
    </xdr:from>
    <xdr:to>
      <xdr:col>25</xdr:col>
      <xdr:colOff>4143</xdr:colOff>
      <xdr:row>6</xdr:row>
      <xdr:rowOff>298175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9D39F2F-FF37-FB02-9A77-81BC476A0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8283" y="1"/>
          <a:ext cx="3267490" cy="20706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Normal="100" workbookViewId="0">
      <pane ySplit="8" topLeftCell="A9" activePane="bottomLeft" state="frozen"/>
      <selection pane="bottomLeft" activeCell="Q22" sqref="Q22:R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MAJulio 17/2023Julio 17/2023-1</v>
      </c>
      <c r="G1" s="331"/>
      <c r="H1" s="332"/>
      <c r="I1" s="333" t="s">
        <v>1</v>
      </c>
      <c r="J1" s="334"/>
      <c r="K1" s="245">
        <v>1</v>
      </c>
      <c r="L1" s="335" t="s">
        <v>2</v>
      </c>
      <c r="M1" s="336"/>
      <c r="N1" s="336"/>
      <c r="O1" s="337" t="s">
        <v>3</v>
      </c>
      <c r="P1" s="337"/>
      <c r="Q1" s="337"/>
      <c r="R1" s="338"/>
      <c r="S1" s="383" t="s">
        <v>4</v>
      </c>
      <c r="T1" s="384"/>
      <c r="U1" s="384"/>
      <c r="V1" s="384"/>
      <c r="W1" s="384"/>
      <c r="X1" s="384"/>
      <c r="Y1" s="385"/>
      <c r="Z1" s="252" t="s">
        <v>5</v>
      </c>
    </row>
    <row r="2" spans="1:28" ht="23.25" customHeight="1">
      <c r="A2" s="348"/>
      <c r="B2" s="349"/>
      <c r="C2" s="352" t="s">
        <v>6</v>
      </c>
      <c r="D2" s="353"/>
      <c r="E2" s="354" t="s">
        <v>7</v>
      </c>
      <c r="F2" s="355"/>
      <c r="G2" s="355"/>
      <c r="H2" s="355"/>
      <c r="I2" s="355"/>
      <c r="J2" s="355"/>
      <c r="K2" s="356"/>
      <c r="L2" s="375" t="s">
        <v>8</v>
      </c>
      <c r="M2" s="376"/>
      <c r="N2" s="335"/>
      <c r="O2" s="377">
        <f>IF(E2="","",INDEX(Tabla3[],MATCH('Soli_citud '!E2,Intructores,0),2))</f>
        <v>1128404319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9</v>
      </c>
      <c r="D3" s="362"/>
      <c r="E3" s="363" t="s">
        <v>10</v>
      </c>
      <c r="F3" s="364"/>
      <c r="G3" s="364"/>
      <c r="H3" s="364"/>
      <c r="I3" s="364"/>
      <c r="J3" s="364"/>
      <c r="K3" s="365"/>
      <c r="L3" s="375" t="s">
        <v>11</v>
      </c>
      <c r="M3" s="376"/>
      <c r="N3" s="335"/>
      <c r="O3" s="314">
        <v>2472805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12</v>
      </c>
      <c r="B4" s="345"/>
      <c r="C4" s="345"/>
      <c r="D4" s="339" t="s">
        <v>13</v>
      </c>
      <c r="E4" s="340"/>
      <c r="F4" s="340"/>
      <c r="G4" s="340"/>
      <c r="H4" s="340"/>
      <c r="I4" s="340"/>
      <c r="J4" s="340"/>
      <c r="K4" s="340"/>
      <c r="L4" s="341" t="s">
        <v>14</v>
      </c>
      <c r="M4" s="341"/>
      <c r="N4" s="341"/>
      <c r="O4" s="342" t="s">
        <v>15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16</v>
      </c>
      <c r="B5" s="366"/>
      <c r="C5" s="366"/>
      <c r="D5" s="367">
        <f ca="1">IF(K5="","",(SUM(W10:Y28)-(SUMIF(U10:V28,"Restar_Pedido",W10:Y28)))/$K$5)</f>
        <v>138663.74541666667</v>
      </c>
      <c r="E5" s="368"/>
      <c r="F5" s="369"/>
      <c r="G5" s="352" t="s">
        <v>17</v>
      </c>
      <c r="H5" s="370"/>
      <c r="I5" s="370"/>
      <c r="J5" s="353"/>
      <c r="K5" s="326">
        <v>1</v>
      </c>
      <c r="L5" s="326"/>
      <c r="M5" s="327" t="s">
        <v>18</v>
      </c>
      <c r="N5" s="327"/>
      <c r="O5" s="380">
        <f ca="1">IFERROR(IF(K5=0,"",D5*K5),"")</f>
        <v>138663.74541666667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19</v>
      </c>
      <c r="B7" s="357"/>
      <c r="C7" s="357"/>
      <c r="D7" s="358" t="s">
        <v>20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21</v>
      </c>
      <c r="P7" s="359"/>
      <c r="Q7" s="360" t="s">
        <v>22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23</v>
      </c>
      <c r="T8" s="372"/>
      <c r="U8" s="372"/>
      <c r="V8" s="373">
        <f>IF(K5="","",1/K5)</f>
        <v>1</v>
      </c>
      <c r="W8" s="374"/>
      <c r="X8" s="107">
        <v>80</v>
      </c>
      <c r="Y8" s="108">
        <f>IFERROR((V8*X8)," ")</f>
        <v>80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24</v>
      </c>
      <c r="T9" s="371"/>
      <c r="U9" s="359" t="s">
        <v>25</v>
      </c>
      <c r="V9" s="359"/>
      <c r="W9" s="359" t="s">
        <v>26</v>
      </c>
      <c r="X9" s="359"/>
      <c r="Y9" s="359"/>
    </row>
    <row r="10" spans="1:28" ht="17.25" customHeight="1">
      <c r="A10" s="307" t="s">
        <v>27</v>
      </c>
      <c r="B10" s="307"/>
      <c r="C10" s="308"/>
      <c r="D10" s="320" t="s">
        <v>28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2" t="str">
        <f t="shared" ref="O10:O31" ca="1" si="0">IFERROR(IF(D10="","",INDEX(Tabla_Completa,MATCH(D10,Materiales,0),6)),"")</f>
        <v>U</v>
      </c>
      <c r="P10" s="313"/>
      <c r="Q10" s="314">
        <v>2</v>
      </c>
      <c r="R10" s="315"/>
      <c r="S10" s="316">
        <f>IFERROR(IF(Q10="Unidad","1",(Q10*$K$5)),"")</f>
        <v>2</v>
      </c>
      <c r="T10" s="317"/>
      <c r="U10" s="318"/>
      <c r="V10" s="324"/>
      <c r="W10" s="319">
        <f ca="1">IFERROR(IF(D10="","",INDEX(Tabla_Completa,MATCH('Soli_citud '!D10,Materiales,0),7)*S10),"")</f>
        <v>911.33249999999998</v>
      </c>
      <c r="X10" s="319"/>
      <c r="Y10" s="319"/>
      <c r="Z10" s="34"/>
    </row>
    <row r="11" spans="1:28" ht="17.25" customHeight="1">
      <c r="A11" s="306" t="s">
        <v>29</v>
      </c>
      <c r="B11" s="307"/>
      <c r="C11" s="308"/>
      <c r="D11" s="320" t="s">
        <v>30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2" t="str">
        <f t="shared" ca="1" si="0"/>
        <v>cm</v>
      </c>
      <c r="P11" s="313"/>
      <c r="Q11" s="314">
        <v>65</v>
      </c>
      <c r="R11" s="315"/>
      <c r="S11" s="316">
        <f t="shared" ref="S11:S31" si="1">IFERROR(IF(Q11="Unidad","1",(Q11*$K$5)),"")</f>
        <v>65</v>
      </c>
      <c r="T11" s="317"/>
      <c r="U11" s="318"/>
      <c r="V11" s="318"/>
      <c r="W11" s="319">
        <f ca="1">IFERROR(IF(D11="","",INDEX(Tabla_Completa,MATCH('Soli_citud '!D11,Materiales,0),7)*S11),"")</f>
        <v>794.95</v>
      </c>
      <c r="X11" s="319"/>
      <c r="Y11" s="319"/>
    </row>
    <row r="12" spans="1:28" ht="15.75" customHeight="1">
      <c r="A12" s="306" t="s">
        <v>27</v>
      </c>
      <c r="B12" s="307"/>
      <c r="C12" s="308"/>
      <c r="D12" s="323" t="s">
        <v>31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2" t="str">
        <f t="shared" ref="O12" ca="1" si="2">IFERROR(IF(D12="","",INDEX(Tabla_Completa,MATCH(D12,Materiales,0),6)),"")</f>
        <v>U</v>
      </c>
      <c r="P12" s="313"/>
      <c r="Q12" s="314">
        <v>1</v>
      </c>
      <c r="R12" s="315"/>
      <c r="S12" s="316">
        <f t="shared" si="1"/>
        <v>1</v>
      </c>
      <c r="T12" s="317"/>
      <c r="U12" s="318"/>
      <c r="V12" s="318"/>
      <c r="W12" s="319">
        <f ca="1">IFERROR(IF(D12="","",INDEX(Tabla_Completa,MATCH('Soli_citud '!D12,Materiales,0),7)*S12),"")</f>
        <v>1280.44</v>
      </c>
      <c r="X12" s="319"/>
      <c r="Y12" s="319"/>
    </row>
    <row r="13" spans="1:28" ht="15.75" customHeight="1">
      <c r="A13" s="306" t="s">
        <v>27</v>
      </c>
      <c r="B13" s="307"/>
      <c r="C13" s="308"/>
      <c r="D13" s="320" t="s">
        <v>32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2" t="str">
        <f t="shared" ca="1" si="0"/>
        <v>U</v>
      </c>
      <c r="P13" s="313"/>
      <c r="Q13" s="314">
        <v>10</v>
      </c>
      <c r="R13" s="315"/>
      <c r="S13" s="316">
        <f t="shared" si="1"/>
        <v>10</v>
      </c>
      <c r="T13" s="317"/>
      <c r="U13" s="318"/>
      <c r="V13" s="318"/>
      <c r="W13" s="319">
        <f ca="1">IFERROR(IF(D13="","",INDEX(Tabla_Completa,MATCH('Soli_citud '!D13,Materiales,0),7)*S13),"")</f>
        <v>1319.7</v>
      </c>
      <c r="X13" s="319"/>
      <c r="Y13" s="319"/>
    </row>
    <row r="14" spans="1:28" ht="17.25" customHeight="1">
      <c r="A14" s="306" t="s">
        <v>27</v>
      </c>
      <c r="B14" s="307"/>
      <c r="C14" s="308"/>
      <c r="D14" s="320" t="s">
        <v>33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2" t="str">
        <f t="shared" ca="1" si="0"/>
        <v>U</v>
      </c>
      <c r="P14" s="313"/>
      <c r="Q14" s="314">
        <v>2</v>
      </c>
      <c r="R14" s="315"/>
      <c r="S14" s="316">
        <f t="shared" si="1"/>
        <v>2</v>
      </c>
      <c r="T14" s="317"/>
      <c r="U14" s="318"/>
      <c r="V14" s="318"/>
      <c r="W14" s="319">
        <f ca="1">IFERROR(IF(D14="","",INDEX(Tabla_Completa,MATCH('Soli_citud '!D14,Materiales,0),7)*S14),"")</f>
        <v>9598.5400000000009</v>
      </c>
      <c r="X14" s="319"/>
      <c r="Y14" s="319"/>
    </row>
    <row r="15" spans="1:28" ht="15.75" customHeight="1">
      <c r="A15" s="306" t="s">
        <v>34</v>
      </c>
      <c r="B15" s="307"/>
      <c r="C15" s="308"/>
      <c r="D15" s="320" t="s">
        <v>35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2" t="str">
        <f t="shared" ca="1" si="0"/>
        <v>dm2</v>
      </c>
      <c r="P15" s="313"/>
      <c r="Q15" s="314">
        <v>15</v>
      </c>
      <c r="R15" s="315"/>
      <c r="S15" s="316">
        <f t="shared" si="1"/>
        <v>15</v>
      </c>
      <c r="T15" s="317"/>
      <c r="U15" s="318"/>
      <c r="V15" s="318"/>
      <c r="W15" s="319">
        <f ca="1">IFERROR(IF(D15="","",INDEX(Tabla_Completa,MATCH('Soli_citud '!D15,Materiales,0),7)*S15),"")</f>
        <v>13476.75</v>
      </c>
      <c r="X15" s="319"/>
      <c r="Y15" s="319"/>
    </row>
    <row r="16" spans="1:28" ht="15.75" customHeight="1">
      <c r="A16" s="306" t="s">
        <v>34</v>
      </c>
      <c r="B16" s="307"/>
      <c r="C16" s="308"/>
      <c r="D16" s="320" t="s">
        <v>35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2" t="str">
        <f t="shared" ca="1" si="0"/>
        <v>dm2</v>
      </c>
      <c r="P16" s="313"/>
      <c r="Q16" s="314">
        <v>90</v>
      </c>
      <c r="R16" s="315"/>
      <c r="S16" s="316">
        <f t="shared" si="1"/>
        <v>90</v>
      </c>
      <c r="T16" s="317"/>
      <c r="U16" s="318"/>
      <c r="V16" s="318"/>
      <c r="W16" s="319">
        <f ca="1">IFERROR(IF(D16="","",INDEX(Tabla_Completa,MATCH('Soli_citud '!D16,Materiales,0),7)*S16),"")</f>
        <v>80860.5</v>
      </c>
      <c r="X16" s="319"/>
      <c r="Y16" s="319"/>
    </row>
    <row r="17" spans="1:25" ht="15.75" customHeight="1">
      <c r="A17" s="306" t="s">
        <v>27</v>
      </c>
      <c r="B17" s="307"/>
      <c r="C17" s="308"/>
      <c r="D17" s="320" t="s">
        <v>36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2" t="str">
        <f t="shared" ca="1" si="0"/>
        <v>U</v>
      </c>
      <c r="P17" s="313"/>
      <c r="Q17" s="314">
        <v>1</v>
      </c>
      <c r="R17" s="315"/>
      <c r="S17" s="316">
        <f t="shared" si="1"/>
        <v>1</v>
      </c>
      <c r="T17" s="317"/>
      <c r="U17" s="318"/>
      <c r="V17" s="318"/>
      <c r="W17" s="319">
        <f ca="1">IFERROR(IF(D17="","",INDEX(Tabla_Completa,MATCH('Soli_citud '!D17,Materiales,0),7)*S17),"")</f>
        <v>455.66624999999999</v>
      </c>
      <c r="X17" s="319"/>
      <c r="Y17" s="319"/>
    </row>
    <row r="18" spans="1:25" ht="15.75" customHeight="1">
      <c r="A18" s="306" t="s">
        <v>29</v>
      </c>
      <c r="B18" s="307"/>
      <c r="C18" s="308"/>
      <c r="D18" s="320" t="s">
        <v>37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2" t="str">
        <f t="shared" ca="1" si="0"/>
        <v>cm</v>
      </c>
      <c r="P18" s="313"/>
      <c r="Q18" s="314">
        <v>80</v>
      </c>
      <c r="R18" s="315"/>
      <c r="S18" s="316">
        <f t="shared" si="1"/>
        <v>80</v>
      </c>
      <c r="T18" s="317"/>
      <c r="U18" s="318"/>
      <c r="V18" s="318"/>
      <c r="W18" s="319">
        <f ca="1">IFERROR(IF(D18="","",INDEX(Tabla_Completa,MATCH('Soli_citud '!D18,Materiales,0),7)*S18),"")</f>
        <v>754.80000000000007</v>
      </c>
      <c r="X18" s="319"/>
      <c r="Y18" s="319"/>
    </row>
    <row r="19" spans="1:25" ht="15.75">
      <c r="A19" s="306" t="s">
        <v>38</v>
      </c>
      <c r="B19" s="307"/>
      <c r="C19" s="308"/>
      <c r="D19" s="309" t="s">
        <v>39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14000</v>
      </c>
      <c r="R19" s="315"/>
      <c r="S19" s="316">
        <f t="shared" si="1"/>
        <v>14000</v>
      </c>
      <c r="T19" s="317"/>
      <c r="U19" s="318"/>
      <c r="V19" s="318"/>
      <c r="W19" s="319">
        <f ca="1">IFERROR(IF(D19="","",INDEX(Tabla_Completa,MATCH('Soli_citud '!D19,Materiales,0),7)*S19),"")</f>
        <v>28016.000000000004</v>
      </c>
      <c r="X19" s="319"/>
      <c r="Y19" s="319"/>
    </row>
    <row r="20" spans="1:25" ht="15.75">
      <c r="A20" s="306" t="s">
        <v>29</v>
      </c>
      <c r="B20" s="307"/>
      <c r="C20" s="308"/>
      <c r="D20" s="309" t="s">
        <v>40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cm2</v>
      </c>
      <c r="P20" s="313"/>
      <c r="Q20" s="314">
        <v>47</v>
      </c>
      <c r="R20" s="315"/>
      <c r="S20" s="316">
        <f t="shared" si="1"/>
        <v>47</v>
      </c>
      <c r="T20" s="317"/>
      <c r="U20" s="318"/>
      <c r="V20" s="318"/>
      <c r="W20" s="319">
        <f ca="1">IFERROR(IF(D20="","",INDEX(Tabla_Completa,MATCH('Soli_citud '!D20,Materiales,0),7)*S20),"")</f>
        <v>25.066666666666666</v>
      </c>
      <c r="X20" s="319"/>
      <c r="Y20" s="319"/>
    </row>
    <row r="21" spans="1:25" ht="15.75">
      <c r="A21" s="306" t="s">
        <v>29</v>
      </c>
      <c r="B21" s="307"/>
      <c r="C21" s="308"/>
      <c r="D21" s="309" t="s">
        <v>41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m</v>
      </c>
      <c r="P21" s="313"/>
      <c r="Q21" s="314">
        <v>1</v>
      </c>
      <c r="R21" s="315"/>
      <c r="S21" s="316">
        <f t="shared" si="1"/>
        <v>1</v>
      </c>
      <c r="T21" s="317"/>
      <c r="U21" s="318"/>
      <c r="V21" s="318"/>
      <c r="W21" s="319">
        <f ca="1">IFERROR(IF(D21="","",INDEX(Tabla_Completa,MATCH('Soli_citud '!D21,Materiales,0),7)*S21),"")</f>
        <v>1170</v>
      </c>
      <c r="X21" s="319"/>
      <c r="Y21" s="319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18"/>
      <c r="V22" s="318"/>
      <c r="W22" s="319" t="str">
        <f ca="1">IFERROR(IF(D22="","",INDEX(Tabla_Completa,MATCH('Soli_citud '!D22,Materiales,0),7)*S22),"")</f>
        <v/>
      </c>
      <c r="X22" s="319"/>
      <c r="Y22" s="319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18"/>
      <c r="V23" s="318"/>
      <c r="W23" s="319" t="str">
        <f ca="1">IFERROR(IF(D23="","",INDEX(Tabla_Completa,MATCH('Soli_citud '!D23,Materiales,0),7)*S23),"")</f>
        <v/>
      </c>
      <c r="X23" s="319"/>
      <c r="Y23" s="319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18"/>
      <c r="V24" s="318"/>
      <c r="W24" s="319" t="str">
        <f ca="1">IFERROR(IF(D24="","",INDEX(Tabla_Completa,MATCH('Soli_citud '!D24,Materiales,0),7)*S24),"")</f>
        <v/>
      </c>
      <c r="X24" s="319"/>
      <c r="Y24" s="319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18"/>
      <c r="V25" s="318"/>
      <c r="W25" s="319" t="str">
        <f ca="1">IFERROR(IF(D25="","",INDEX(Tabla_Completa,MATCH('Soli_citud '!D25,Materiales,0),7)*S25),"")</f>
        <v/>
      </c>
      <c r="X25" s="319"/>
      <c r="Y25" s="319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18"/>
      <c r="V26" s="318"/>
      <c r="W26" s="319" t="str">
        <f ca="1">IFERROR(IF(D26="","",INDEX(Tabla_Completa,MATCH('Soli_citud '!D26,Materiales,0),7)*S26),"")</f>
        <v/>
      </c>
      <c r="X26" s="319"/>
      <c r="Y26" s="319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18"/>
      <c r="V27" s="318"/>
      <c r="W27" s="319" t="str">
        <f ca="1">IFERROR(IF(D27="","",INDEX(Tabla_Completa,MATCH('Soli_citud '!D27,Materiales,0),7)*S27),"")</f>
        <v/>
      </c>
      <c r="X27" s="319"/>
      <c r="Y27" s="319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 ht="14.25"/>
    <row r="35" spans="1:25" ht="14.25"/>
    <row r="36" spans="1:25" ht="14.25"/>
    <row r="37" spans="1:25" ht="14.25"/>
    <row r="38" spans="1:25" ht="15" customHeight="1"/>
    <row r="39" spans="1:25" ht="33.75" customHeight="1">
      <c r="A39" s="400" t="s">
        <v>42</v>
      </c>
      <c r="B39" s="400"/>
      <c r="C39" s="400"/>
      <c r="D39" s="401" t="s">
        <v>43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 ht="14.25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2" t="s">
        <v>45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 ht="14.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 ht="14.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8.399999999999999">
      <c r="A44" s="398" t="s">
        <v>46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47</v>
      </c>
      <c r="O44" s="390"/>
      <c r="P44" s="390"/>
      <c r="Q44" s="390"/>
      <c r="R44" s="396" t="s">
        <v>48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49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50</v>
      </c>
      <c r="O45" s="390"/>
      <c r="P45" s="390"/>
      <c r="Q45" s="390"/>
      <c r="R45" s="397" t="s">
        <v>51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52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34</v>
      </c>
      <c r="O46" s="390"/>
      <c r="P46" s="390"/>
      <c r="Q46" s="390"/>
      <c r="R46" s="389" t="s">
        <v>53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54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27</v>
      </c>
      <c r="O47" s="390"/>
      <c r="P47" s="390"/>
      <c r="Q47" s="390"/>
      <c r="R47" s="389" t="s">
        <v>55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56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57</v>
      </c>
      <c r="O48" s="390"/>
      <c r="P48" s="390"/>
      <c r="Q48" s="390"/>
      <c r="R48" s="389" t="s">
        <v>58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59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60</v>
      </c>
      <c r="O49" s="391"/>
      <c r="P49" s="391"/>
      <c r="Q49" s="391"/>
      <c r="R49" s="397" t="s">
        <v>61</v>
      </c>
      <c r="S49" s="397"/>
      <c r="T49" s="397"/>
      <c r="U49" s="397"/>
      <c r="V49" s="397"/>
      <c r="W49" s="397"/>
      <c r="X49" s="397"/>
    </row>
    <row r="50" spans="1:24" ht="14.65">
      <c r="A50" s="395"/>
      <c r="B50" s="395"/>
      <c r="C50" s="395"/>
      <c r="D50" s="395"/>
      <c r="N50" s="390" t="s">
        <v>62</v>
      </c>
      <c r="O50" s="390"/>
      <c r="P50" s="390"/>
      <c r="Q50" s="390"/>
      <c r="R50" s="389" t="s">
        <v>63</v>
      </c>
      <c r="S50" s="389"/>
      <c r="T50" s="389"/>
      <c r="U50" s="389"/>
      <c r="V50" s="389"/>
      <c r="W50" s="389"/>
      <c r="X50" s="389"/>
    </row>
    <row r="51" spans="1:24" ht="14.65">
      <c r="N51" s="390" t="s">
        <v>38</v>
      </c>
      <c r="O51" s="390"/>
      <c r="P51" s="390"/>
      <c r="Q51" s="390"/>
      <c r="R51" s="389" t="s">
        <v>64</v>
      </c>
      <c r="S51" s="389"/>
      <c r="T51" s="389"/>
      <c r="U51" s="389"/>
      <c r="V51" s="389"/>
      <c r="W51" s="389"/>
      <c r="X51" s="389"/>
    </row>
    <row r="52" spans="1:24" ht="14.65">
      <c r="N52" s="390" t="s">
        <v>65</v>
      </c>
      <c r="O52" s="390"/>
      <c r="P52" s="390"/>
      <c r="Q52" s="390"/>
      <c r="R52" s="389" t="s">
        <v>55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N17" sqref="N17"/>
    </sheetView>
  </sheetViews>
  <sheetFormatPr defaultColWidth="11.42578125" defaultRowHeight="14.2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2" t="s">
        <v>66</v>
      </c>
      <c r="E1" s="473"/>
      <c r="F1" s="473"/>
      <c r="G1" s="473"/>
      <c r="H1" s="473"/>
      <c r="I1" s="473"/>
      <c r="J1" s="478" t="s">
        <v>67</v>
      </c>
      <c r="K1" s="479"/>
      <c r="L1" s="479"/>
      <c r="M1" s="480"/>
      <c r="N1" s="474" t="str">
        <f>IF('Soli_citud '!O1="","",'Soli_citud '!O1)</f>
        <v>Julio 17/2023</v>
      </c>
      <c r="O1" s="475"/>
      <c r="P1" s="408" t="s">
        <v>68</v>
      </c>
      <c r="Q1" s="409"/>
      <c r="R1" s="404" t="str">
        <f>IF('Soli_citud '!D4="","",'Soli_citud '!D4)</f>
        <v>Proyecto de Mario Hernandez "1"</v>
      </c>
      <c r="S1" s="405"/>
      <c r="Z1" t="s">
        <v>69</v>
      </c>
      <c r="AA1" s="251" t="s">
        <v>69</v>
      </c>
    </row>
    <row r="2" spans="1:27" ht="15.75" customHeight="1" thickBot="1">
      <c r="A2" s="256"/>
      <c r="B2" s="259"/>
      <c r="C2" s="260"/>
      <c r="D2" s="472"/>
      <c r="E2" s="473"/>
      <c r="F2" s="473"/>
      <c r="G2" s="473"/>
      <c r="H2" s="473"/>
      <c r="I2" s="473"/>
      <c r="J2" s="455" t="s">
        <v>70</v>
      </c>
      <c r="K2" s="456"/>
      <c r="L2" s="456"/>
      <c r="M2" s="457"/>
      <c r="N2" s="476" t="str">
        <f>'Soli_citud '!F1</f>
        <v>MAJulio 17/2023Julio 17/2023-1</v>
      </c>
      <c r="O2" s="460"/>
      <c r="P2" s="410"/>
      <c r="Q2" s="411"/>
      <c r="R2" s="406"/>
      <c r="S2" s="407"/>
    </row>
    <row r="3" spans="1:27" ht="15.75" customHeight="1">
      <c r="A3" s="256"/>
      <c r="B3" s="259"/>
      <c r="C3" s="260"/>
      <c r="D3" s="472"/>
      <c r="E3" s="473"/>
      <c r="F3" s="473"/>
      <c r="G3" s="473"/>
      <c r="H3" s="473"/>
      <c r="I3" s="473"/>
      <c r="J3" s="477" t="s">
        <v>71</v>
      </c>
      <c r="K3" s="477"/>
      <c r="L3" s="477"/>
      <c r="M3" s="477"/>
      <c r="N3" s="464">
        <f>IF('Soli_citud '!O3="","",'Soli_citud '!O3)</f>
        <v>2472805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6"/>
      <c r="B4" s="261"/>
      <c r="C4" s="262"/>
      <c r="D4" s="472"/>
      <c r="E4" s="473"/>
      <c r="F4" s="473"/>
      <c r="G4" s="473"/>
      <c r="H4" s="473"/>
      <c r="I4" s="473"/>
      <c r="J4" s="469" t="s">
        <v>72</v>
      </c>
      <c r="K4" s="469"/>
      <c r="L4" s="469"/>
      <c r="M4" s="470" t="str">
        <f>IF('Soli_citud '!O4="","",'Soli_citud '!O4)</f>
        <v>Marroquinería Formación</v>
      </c>
      <c r="N4" s="470"/>
      <c r="O4" s="471"/>
      <c r="P4" s="410"/>
      <c r="Q4" s="411"/>
      <c r="R4" s="313"/>
      <c r="S4" s="416"/>
    </row>
    <row r="5" spans="1:27" ht="2.25" customHeight="1">
      <c r="A5" s="256"/>
      <c r="P5" s="410"/>
      <c r="Q5" s="411"/>
    </row>
    <row r="6" spans="1:27" ht="27" customHeight="1">
      <c r="A6" s="256"/>
      <c r="B6" s="449" t="s">
        <v>73</v>
      </c>
      <c r="C6" s="450"/>
      <c r="D6" s="451"/>
      <c r="E6" s="466" t="s">
        <v>74</v>
      </c>
      <c r="F6" s="466"/>
      <c r="G6" s="466"/>
      <c r="H6" s="466"/>
      <c r="I6" s="467"/>
      <c r="J6" s="440" t="s">
        <v>75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6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6"/>
      <c r="B8" s="427">
        <f ca="1">IF('Soli_citud '!D5&lt;= 0,"",'Soli_citud '!D5)</f>
        <v>138663.74541666667</v>
      </c>
      <c r="C8" s="428"/>
      <c r="D8" s="429"/>
      <c r="E8" s="446" t="s">
        <v>76</v>
      </c>
      <c r="F8" s="447"/>
      <c r="G8" s="447"/>
      <c r="H8" s="447"/>
      <c r="I8" s="448"/>
      <c r="J8" s="442" t="str">
        <f>IF('Soli_citud '!E2="","",'Soli_citud '!E2)</f>
        <v>Maybelline Aristizabal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6"/>
      <c r="B9" s="430" t="s">
        <v>77</v>
      </c>
      <c r="C9" s="431"/>
      <c r="D9" s="423"/>
      <c r="E9" s="422" t="s">
        <v>78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6"/>
      <c r="B10" s="432"/>
      <c r="C10" s="433"/>
      <c r="D10" s="423"/>
      <c r="E10" s="422"/>
      <c r="F10" s="422"/>
      <c r="G10" s="437"/>
      <c r="H10" s="438"/>
      <c r="I10" s="439"/>
      <c r="J10" s="462" t="s">
        <v>79</v>
      </c>
      <c r="K10" s="462"/>
      <c r="L10" s="463"/>
      <c r="M10" s="241">
        <f>'Soli_citud '!K5</f>
        <v>1</v>
      </c>
      <c r="N10" s="444" t="s">
        <v>80</v>
      </c>
      <c r="O10" s="445"/>
      <c r="P10" s="412"/>
      <c r="Q10" s="413"/>
      <c r="R10" s="242" t="s">
        <v>81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82</v>
      </c>
      <c r="B11" s="263" t="s">
        <v>83</v>
      </c>
      <c r="C11" s="424" t="s">
        <v>84</v>
      </c>
      <c r="D11" s="425"/>
      <c r="E11" s="425"/>
      <c r="F11" s="426"/>
      <c r="G11" s="112" t="s">
        <v>85</v>
      </c>
      <c r="H11" s="112" t="s">
        <v>86</v>
      </c>
      <c r="I11" s="236" t="s">
        <v>87</v>
      </c>
      <c r="J11" s="110" t="s">
        <v>88</v>
      </c>
      <c r="K11" s="223" t="s">
        <v>89</v>
      </c>
      <c r="L11" s="460" t="s">
        <v>25</v>
      </c>
      <c r="M11" s="461"/>
      <c r="N11" s="239" t="s">
        <v>90</v>
      </c>
      <c r="O11" s="239" t="s">
        <v>91</v>
      </c>
      <c r="P11" s="243" t="s">
        <v>92</v>
      </c>
      <c r="Q11" s="244" t="s">
        <v>93</v>
      </c>
      <c r="R11" s="235" t="s">
        <v>94</v>
      </c>
      <c r="S11" s="224" t="s">
        <v>95</v>
      </c>
    </row>
    <row r="12" spans="1:27" ht="19.5" customHeight="1">
      <c r="A12" s="78">
        <v>1</v>
      </c>
      <c r="B12" s="264" t="str">
        <f>IF(H12="","",$N$2)</f>
        <v>MAJulio 17/2023Julio 17/2023-1</v>
      </c>
      <c r="C12" s="421" t="str">
        <f>IFERROR(IF('Soli_citud '!D10="","",'Soli_citud '!D10),"")</f>
        <v>LLAVE METÁLICA DESLIZADOR   #6 PARA CREMALLERA - CREMA</v>
      </c>
      <c r="D12" s="421"/>
      <c r="E12" s="421"/>
      <c r="F12" s="421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</v>
      </c>
      <c r="I12" s="304">
        <v>45132</v>
      </c>
      <c r="J12" s="227">
        <v>2</v>
      </c>
      <c r="K12" s="207" t="str" cm="1">
        <f t="array" ref="K12">IFERROR(_xlfn.IFS(H12="","",J12=H12,"Cumplido",J12&lt;H12,H12-J12,J12&gt;H12,"Revisar"),"")</f>
        <v>Cumplido</v>
      </c>
      <c r="L12" s="458">
        <v>300</v>
      </c>
      <c r="M12" s="459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MAJulio 17/2023Julio 17/2023-1</v>
      </c>
      <c r="C13" s="421" t="str">
        <f>IFERROR(IF('Soli_citud '!D11="","",'Soli_citud '!D11),"")</f>
        <v>CREMALLERA POLIÉSTER #6</v>
      </c>
      <c r="D13" s="421"/>
      <c r="E13" s="421"/>
      <c r="F13" s="421"/>
      <c r="G13" s="226" t="str">
        <f ca="1">IF('Soli_citud '!O11="","",'Soli_citud '!O11)</f>
        <v>cm</v>
      </c>
      <c r="H13" s="226" cm="1">
        <f t="array" ref="H13">_xlfn.IFS('Soli_citud '!S11="","",'Soli_citud '!S11&lt;=0,"",'Soli_citud '!S11&gt;0,'Soli_citud '!S11)</f>
        <v>65</v>
      </c>
      <c r="I13" s="304">
        <v>45132</v>
      </c>
      <c r="J13" s="228">
        <v>65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MAJulio 17/2023Julio 17/2023-1</v>
      </c>
      <c r="C14" s="421" t="str">
        <f>IFERROR(IF('Soli_citud '!D12="","",'Soli_citud '!D12),"")</f>
        <v>BROCHE IMÁN NIQUELADO MEDIANO 1/2"</v>
      </c>
      <c r="D14" s="421"/>
      <c r="E14" s="421"/>
      <c r="F14" s="421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1</v>
      </c>
      <c r="I14" s="305">
        <v>45142</v>
      </c>
      <c r="J14" s="228">
        <v>1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MAJulio 17/2023Julio 17/2023-1</v>
      </c>
      <c r="C15" s="421" t="str">
        <f>IFERROR(IF('Soli_citud '!D13="","",'Soli_citud '!D13),"")</f>
        <v>OJALETE LATÓN NÍQUEL 1/4"</v>
      </c>
      <c r="D15" s="421"/>
      <c r="E15" s="421"/>
      <c r="F15" s="421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10</v>
      </c>
      <c r="I15" s="305">
        <v>45142</v>
      </c>
      <c r="J15" s="228">
        <v>10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32.25" customHeight="1">
      <c r="A16" s="78">
        <v>5</v>
      </c>
      <c r="B16" s="264" t="str">
        <f t="shared" si="1"/>
        <v>MAJulio 17/2023Julio 17/2023-1</v>
      </c>
      <c r="C16" s="421" t="str">
        <f>IFERROR(IF('Soli_citud '!D14="","",'Soli_citud '!D14),"")</f>
        <v>HEBILLA BURBUJA MORRALERA METÁLICA 1" X 2 1/4", NÍQUEL"</v>
      </c>
      <c r="D16" s="421"/>
      <c r="E16" s="421"/>
      <c r="F16" s="421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305">
        <v>45142</v>
      </c>
      <c r="J16" s="228">
        <v>2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MAJulio 17/2023Julio 17/2023-1</v>
      </c>
      <c r="C17" s="421" t="str">
        <f>IFERROR(IF('Soli_citud '!D15="","",'Soli_citud '!D15),"")</f>
        <v>NAPPA</v>
      </c>
      <c r="D17" s="421"/>
      <c r="E17" s="421"/>
      <c r="F17" s="421"/>
      <c r="G17" s="226" t="str">
        <f ca="1">IF('Soli_citud '!O15="","",'Soli_citud '!O15)</f>
        <v>dm2</v>
      </c>
      <c r="H17" s="226" cm="1">
        <f t="array" ref="H17">_xlfn.IFS('Soli_citud '!S15="","",'Soli_citud '!S15&lt;=0,"",'Soli_citud '!S15&gt;0,'Soli_citud '!S15)</f>
        <v>15</v>
      </c>
      <c r="I17" s="305">
        <v>45142</v>
      </c>
      <c r="J17" s="228">
        <v>15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MAJulio 17/2023Julio 17/2023-1</v>
      </c>
      <c r="C18" s="421" t="str">
        <f>IFERROR(IF('Soli_citud '!D16="","",'Soli_citud '!D16),"")</f>
        <v>NAPPA</v>
      </c>
      <c r="D18" s="421"/>
      <c r="E18" s="421"/>
      <c r="F18" s="421"/>
      <c r="G18" s="226" t="str">
        <f ca="1">IF('Soli_citud '!O16="","",'Soli_citud '!O16)</f>
        <v>dm2</v>
      </c>
      <c r="H18" s="226" cm="1">
        <f t="array" ref="H18">_xlfn.IFS('Soli_citud '!S16="","",'Soli_citud '!S16&lt;=0,"",'Soli_citud '!S16&gt;0,'Soli_citud '!S16)</f>
        <v>90</v>
      </c>
      <c r="I18" s="304">
        <v>45131</v>
      </c>
      <c r="J18" s="228">
        <v>90</v>
      </c>
      <c r="K18" s="207" t="str" cm="1">
        <f t="array" ref="K18">IFERROR(_xlfn.IFS(H18="","",J18=H18,"Cumplido",J18&lt;H18,H18-J18,J18&gt;H18,"Revisar"),"")</f>
        <v>Cumplido</v>
      </c>
      <c r="L18" s="458"/>
      <c r="M18" s="459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35.25" customHeight="1">
      <c r="A19" s="77">
        <v>8</v>
      </c>
      <c r="B19" s="264" t="str">
        <f t="shared" si="1"/>
        <v>MAJulio 17/2023Julio 17/2023-1</v>
      </c>
      <c r="C19" s="421" t="str">
        <f>IFERROR(IF('Soli_citud '!D17="","",'Soli_citud '!D17),"")</f>
        <v xml:space="preserve">LLAVE METÁLICA DESLIZADOR   #3 PARA CREMALLERA - NÍQUEL </v>
      </c>
      <c r="D19" s="421"/>
      <c r="E19" s="421"/>
      <c r="F19" s="421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1</v>
      </c>
      <c r="I19" s="304">
        <v>45132</v>
      </c>
      <c r="J19" s="228">
        <v>1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MAJulio 17/2023Julio 17/2023-1</v>
      </c>
      <c r="C20" s="421" t="str">
        <f>IFERROR(IF('Soli_citud '!D18="","",'Soli_citud '!D18),"")</f>
        <v>CREMALLERA POLIÉSTER #3</v>
      </c>
      <c r="D20" s="421"/>
      <c r="E20" s="421"/>
      <c r="F20" s="421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80</v>
      </c>
      <c r="I20" s="304">
        <v>45132</v>
      </c>
      <c r="J20" s="228">
        <v>80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MAJulio 17/2023Julio 17/2023-1</v>
      </c>
      <c r="C21" s="421" t="str">
        <f>IFERROR(IF('Soli_citud '!D19="","",'Soli_citud '!D19),"")</f>
        <v>FORRO  PIQUET</v>
      </c>
      <c r="D21" s="421"/>
      <c r="E21" s="421"/>
      <c r="F21" s="421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14000</v>
      </c>
      <c r="I21" s="304">
        <v>45131</v>
      </c>
      <c r="J21" s="228">
        <v>14000</v>
      </c>
      <c r="K21" s="207" t="str" cm="1">
        <f t="array" ref="K21">IFERROR(_xlfn.IFS(H21="","",J21=H21,"Cumplido",J21&lt;H21,H21-J21,J21&gt;H21,"Revisar"),"")</f>
        <v>Cumplido</v>
      </c>
      <c r="L21" s="458"/>
      <c r="M21" s="459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MAJulio 17/2023Julio 17/2023-1</v>
      </c>
      <c r="C22" s="421" t="str">
        <f>IFERROR(IF('Soli_citud '!D20="","",'Soli_citud '!D20),"")</f>
        <v>ODENA 0,5 mm</v>
      </c>
      <c r="D22" s="421"/>
      <c r="E22" s="421"/>
      <c r="F22" s="421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47</v>
      </c>
      <c r="I22" s="305">
        <v>45142</v>
      </c>
      <c r="J22" s="228">
        <v>47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MAJulio 17/2023Julio 17/2023-1</v>
      </c>
      <c r="C23" s="421" t="str">
        <f>IFERROR(IF('Soli_citud '!D21="","",'Soli_citud '!D21),"")</f>
        <v>RIBETE 24 mm (CINTA FALLA CON APRESTO)</v>
      </c>
      <c r="D23" s="421"/>
      <c r="E23" s="421"/>
      <c r="F23" s="421"/>
      <c r="G23" s="226" t="str">
        <f ca="1">IF('Soli_citud '!O21="","",'Soli_citud '!O21)</f>
        <v>m</v>
      </c>
      <c r="H23" s="226" cm="1">
        <f t="array" ref="H23">_xlfn.IFS('Soli_citud '!S21="","",'Soli_citud '!S21&lt;=0,"",'Soli_citud '!S21&gt;0,'Soli_citud '!S21)</f>
        <v>1</v>
      </c>
      <c r="I23" s="305">
        <v>45142</v>
      </c>
      <c r="J23" s="228">
        <v>1</v>
      </c>
      <c r="K23" s="207" t="str" cm="1">
        <f t="array" ref="K23">IFERROR(_xlfn.IFS(H23="","",J23=H23,"Cumplido",J23&lt;H23,H23-J23,J23&gt;H23,"Revisar"),"")</f>
        <v>Cumplido</v>
      </c>
      <c r="L23" s="458"/>
      <c r="M23" s="459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8"/>
      <c r="M24" s="459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8"/>
      <c r="M25" s="459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8"/>
      <c r="M26" s="459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8"/>
      <c r="M27" s="459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8"/>
      <c r="M28" s="459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8"/>
      <c r="M29" s="459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8"/>
      <c r="M30" s="459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8"/>
      <c r="M31" s="459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8"/>
      <c r="M32" s="459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2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96</v>
      </c>
      <c r="F1" s="487"/>
      <c r="Z1" s="251" t="s">
        <v>69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97</v>
      </c>
      <c r="B6" s="303">
        <f>SUBTOTAL(3,(BD!$B$8:$B$20))</f>
        <v>13</v>
      </c>
      <c r="C6" s="483"/>
      <c r="D6" s="484"/>
      <c r="H6" s="481" t="s">
        <v>98</v>
      </c>
      <c r="I6" s="481"/>
    </row>
    <row r="7" spans="1:26" ht="47.25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47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47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47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47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47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47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47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47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47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47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47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47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4" t="s">
        <v>47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240</v>
      </c>
      <c r="C162" s="219" t="s">
        <v>29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29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29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9" t="s">
        <v>29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9" t="s">
        <v>29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9" t="s">
        <v>29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9" t="s">
        <v>29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9" t="s">
        <v>29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9" t="s">
        <v>29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9" t="s">
        <v>29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9" t="s">
        <v>29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9" t="s">
        <v>29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9" t="s">
        <v>29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9" t="s">
        <v>29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9" t="s">
        <v>29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9" t="s">
        <v>29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9" t="s">
        <v>29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9" t="s">
        <v>29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9" t="s">
        <v>29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9" t="s">
        <v>29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9" t="s">
        <v>29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9" t="s">
        <v>29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9" t="s">
        <v>29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9" t="s">
        <v>29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9" t="s">
        <v>29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9" t="s">
        <v>29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9" t="s">
        <v>29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9" t="s">
        <v>29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9" t="s">
        <v>29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9" t="s">
        <v>29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9" t="s">
        <v>29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9" t="s">
        <v>29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9" t="s">
        <v>29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9" t="s">
        <v>29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9" t="s">
        <v>29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9" t="s">
        <v>29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9" t="s">
        <v>29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9" t="s">
        <v>29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9" t="s">
        <v>29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9" t="s">
        <v>29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9" t="s">
        <v>29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9" t="s">
        <v>29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9" t="s">
        <v>29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9" t="s">
        <v>29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9" t="s">
        <v>29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9" t="s">
        <v>29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9" t="s">
        <v>29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9" t="s">
        <v>29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9" t="s">
        <v>29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9" t="s">
        <v>29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9" t="s">
        <v>29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9" t="s">
        <v>29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9" t="s">
        <v>29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9" t="s">
        <v>29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9" t="s">
        <v>29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9" t="s">
        <v>29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9" t="s">
        <v>29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9" t="s">
        <v>29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9" t="s">
        <v>29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9" t="s">
        <v>29</v>
      </c>
      <c r="D221" s="48" t="s">
        <v>178</v>
      </c>
      <c r="E221" s="43">
        <v>475.34</v>
      </c>
      <c r="F221" s="299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9" t="s">
        <v>29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9" t="s">
        <v>29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9" t="s">
        <v>29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9" t="s">
        <v>29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9" t="s">
        <v>29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9" t="s">
        <v>29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9" t="s">
        <v>29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37</v>
      </c>
      <c r="C229" s="219" t="s">
        <v>29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9" t="s">
        <v>29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</v>
      </c>
      <c r="C231" s="219" t="s">
        <v>29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9" t="s">
        <v>29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9" t="s">
        <v>29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9" t="s">
        <v>29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9" t="s">
        <v>29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9" t="s">
        <v>29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9" t="s">
        <v>29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9" t="s">
        <v>29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9" t="s">
        <v>29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9" t="s">
        <v>29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29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29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29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29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29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5" t="s">
        <v>29</v>
      </c>
      <c r="D246" s="48" t="s">
        <v>245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5" t="s">
        <v>29</v>
      </c>
      <c r="D247" s="48" t="s">
        <v>244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5" t="s">
        <v>29</v>
      </c>
      <c r="D248" s="48" t="s">
        <v>115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5" t="s">
        <v>29</v>
      </c>
      <c r="D249" s="48" t="s">
        <v>115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5" t="s">
        <v>29</v>
      </c>
      <c r="D250" s="276" t="s">
        <v>115</v>
      </c>
      <c r="E250" s="141">
        <v>7266.665</v>
      </c>
      <c r="F250" s="277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5" t="s">
        <v>29</v>
      </c>
      <c r="D251" s="276" t="s">
        <v>244</v>
      </c>
      <c r="E251" s="141">
        <v>5000</v>
      </c>
      <c r="F251" s="277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5" t="s">
        <v>29</v>
      </c>
      <c r="D252" s="276" t="s">
        <v>245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5" t="s">
        <v>29</v>
      </c>
      <c r="D253" s="276" t="s">
        <v>245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5" t="s">
        <v>29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5" t="s">
        <v>29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5" t="s">
        <v>29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40</v>
      </c>
      <c r="C257" s="275" t="s">
        <v>29</v>
      </c>
      <c r="D257" s="276" t="s">
        <v>242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29</v>
      </c>
      <c r="D258" s="276" t="s">
        <v>242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29</v>
      </c>
      <c r="D259" s="276" t="s">
        <v>242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29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29</v>
      </c>
      <c r="D261" s="276" t="s">
        <v>210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29</v>
      </c>
      <c r="D262" s="276" t="s">
        <v>311</v>
      </c>
      <c r="E262" s="141">
        <v>28.18</v>
      </c>
      <c r="F262" s="277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29</v>
      </c>
      <c r="D263" s="276" t="s">
        <v>311</v>
      </c>
      <c r="E263" s="141">
        <v>2700</v>
      </c>
      <c r="F263" s="277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29</v>
      </c>
      <c r="D264" s="276" t="s">
        <v>311</v>
      </c>
      <c r="E264" s="141">
        <v>18.53</v>
      </c>
      <c r="F264" s="277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29</v>
      </c>
      <c r="D265" s="276" t="s">
        <v>245</v>
      </c>
      <c r="E265" s="141">
        <v>1800</v>
      </c>
      <c r="F265" s="277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29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29</v>
      </c>
      <c r="D267" s="276" t="s">
        <v>311</v>
      </c>
      <c r="E267" s="141">
        <v>18.53</v>
      </c>
      <c r="F267" s="277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29</v>
      </c>
      <c r="D268" s="276" t="s">
        <v>311</v>
      </c>
      <c r="E268" s="141">
        <v>22.8</v>
      </c>
      <c r="F268" s="277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29</v>
      </c>
      <c r="D269" s="276" t="s">
        <v>311</v>
      </c>
      <c r="E269" s="141">
        <v>22.8</v>
      </c>
      <c r="F269" s="277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29</v>
      </c>
      <c r="D270" s="276" t="s">
        <v>311</v>
      </c>
      <c r="E270" s="141">
        <v>14.73</v>
      </c>
      <c r="F270" s="277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29</v>
      </c>
      <c r="D271" s="276" t="s">
        <v>311</v>
      </c>
      <c r="E271" s="141">
        <v>14.73</v>
      </c>
      <c r="F271" s="277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29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41</v>
      </c>
      <c r="C273" s="275" t="s">
        <v>29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29</v>
      </c>
      <c r="D274" s="276" t="s">
        <v>245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29</v>
      </c>
      <c r="D275" s="276" t="s">
        <v>245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29</v>
      </c>
      <c r="D276" s="276" t="s">
        <v>245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29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29</v>
      </c>
      <c r="D278" s="276" t="s">
        <v>242</v>
      </c>
      <c r="E278" s="141"/>
      <c r="F278" s="277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29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29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29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29</v>
      </c>
      <c r="D282" s="276" t="s">
        <v>220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29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29</v>
      </c>
      <c r="D284" s="276" t="s">
        <v>244</v>
      </c>
      <c r="E284" s="141">
        <v>700</v>
      </c>
      <c r="F284" s="277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29</v>
      </c>
      <c r="D285" s="276" t="s">
        <v>244</v>
      </c>
      <c r="E285" s="141">
        <v>1100</v>
      </c>
      <c r="F285" s="277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29</v>
      </c>
      <c r="D286" s="276" t="s">
        <v>311</v>
      </c>
      <c r="E286" s="141">
        <v>1000</v>
      </c>
      <c r="F286" s="277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29</v>
      </c>
      <c r="D287" s="276" t="s">
        <v>245</v>
      </c>
      <c r="E287" s="141">
        <v>700</v>
      </c>
      <c r="F287" s="277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29</v>
      </c>
      <c r="D288" s="48" t="s">
        <v>245</v>
      </c>
      <c r="E288" s="166">
        <v>84</v>
      </c>
      <c r="F288" s="277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29</v>
      </c>
      <c r="D289" s="276" t="s">
        <v>245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82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371</v>
      </c>
      <c r="C516" s="219" t="s">
        <v>34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34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34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34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34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34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34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34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34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34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34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34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34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34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34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34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34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34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34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35</v>
      </c>
      <c r="C535" s="219" t="s">
        <v>34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391</v>
      </c>
      <c r="C536" s="219" t="s">
        <v>34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9" t="s">
        <v>34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9" t="s">
        <v>34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97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82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1" t="s">
        <v>394</v>
      </c>
      <c r="C562" s="219" t="s">
        <v>27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395</v>
      </c>
      <c r="C563" s="219" t="s">
        <v>27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396</v>
      </c>
      <c r="C564" s="219" t="s">
        <v>27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397</v>
      </c>
      <c r="C565" s="219" t="s">
        <v>27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398</v>
      </c>
      <c r="C566" s="219" t="s">
        <v>27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399</v>
      </c>
      <c r="C567" s="219" t="s">
        <v>27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400</v>
      </c>
      <c r="C568" s="219" t="s">
        <v>27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401</v>
      </c>
      <c r="C569" s="219" t="s">
        <v>27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9" t="s">
        <v>27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9" t="s">
        <v>27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9" t="s">
        <v>27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9" t="s">
        <v>27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9" t="s">
        <v>27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9" t="s">
        <v>27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9" t="s">
        <v>27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9" t="s">
        <v>27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9" t="s">
        <v>27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9" t="s">
        <v>27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9" t="s">
        <v>27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9" t="s">
        <v>27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9" t="s">
        <v>27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9" t="s">
        <v>27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9" t="s">
        <v>27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9" t="s">
        <v>27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9" t="s">
        <v>27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9" t="s">
        <v>27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9" t="s">
        <v>27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9" t="s">
        <v>27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9" t="s">
        <v>27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9" t="s">
        <v>27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9" t="s">
        <v>27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9" t="s">
        <v>27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9" t="s">
        <v>27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9" t="s">
        <v>27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9" t="s">
        <v>27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9" t="s">
        <v>27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9" t="s">
        <v>27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9" t="s">
        <v>27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9" t="s">
        <v>27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9" t="s">
        <v>27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9" t="s">
        <v>27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9" t="s">
        <v>27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9" t="s">
        <v>27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9" t="s">
        <v>27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9" t="s">
        <v>27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9" t="s">
        <v>27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9" t="s">
        <v>27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9" t="s">
        <v>27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9" t="s">
        <v>27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9" t="s">
        <v>27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9" t="s">
        <v>27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9" t="s">
        <v>27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9" t="s">
        <v>27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9" t="s">
        <v>27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9" t="s">
        <v>27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9" t="s">
        <v>27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9" t="s">
        <v>27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9" t="s">
        <v>27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9" t="s">
        <v>27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9" t="s">
        <v>27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9" t="s">
        <v>27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9" t="s">
        <v>27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9" t="s">
        <v>27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9" t="s">
        <v>27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31</v>
      </c>
      <c r="C626" s="219" t="s">
        <v>27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27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27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27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27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27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27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27</v>
      </c>
      <c r="D633" s="48" t="s">
        <v>115</v>
      </c>
      <c r="E633" s="55">
        <v>1000</v>
      </c>
      <c r="F633" s="194" t="s">
        <v>115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27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27</v>
      </c>
      <c r="D635" s="48" t="s">
        <v>115</v>
      </c>
      <c r="E635" s="55">
        <v>6957.9299999999994</v>
      </c>
      <c r="F635" s="194" t="s">
        <v>115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27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27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27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27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27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27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27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27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27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27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27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27</v>
      </c>
      <c r="D647" s="48" t="s">
        <v>115</v>
      </c>
      <c r="E647" s="43">
        <v>3700</v>
      </c>
      <c r="F647" s="188" t="s">
        <v>115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27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27</v>
      </c>
      <c r="D649" s="48" t="s">
        <v>115</v>
      </c>
      <c r="E649" s="55">
        <v>1200</v>
      </c>
      <c r="F649" s="194" t="s">
        <v>115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27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27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27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27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27</v>
      </c>
      <c r="D654" s="48" t="s">
        <v>115</v>
      </c>
      <c r="E654" s="55">
        <v>873.94</v>
      </c>
      <c r="F654" s="194" t="s">
        <v>115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27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27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27</v>
      </c>
      <c r="D657" s="48" t="s">
        <v>115</v>
      </c>
      <c r="E657" s="55">
        <v>1173.3399999999999</v>
      </c>
      <c r="F657" s="194" t="s">
        <v>115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27</v>
      </c>
      <c r="D658" s="48" t="s">
        <v>115</v>
      </c>
      <c r="E658" s="55">
        <v>998.41</v>
      </c>
      <c r="F658" s="194" t="s">
        <v>115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27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27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27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27</v>
      </c>
      <c r="D662" s="48" t="s">
        <v>115</v>
      </c>
      <c r="E662" s="55">
        <v>1173.3399999999999</v>
      </c>
      <c r="F662" s="194" t="s">
        <v>115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27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27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27</v>
      </c>
      <c r="D665" s="48" t="s">
        <v>115</v>
      </c>
      <c r="E665" s="55">
        <v>1173.3399999999999</v>
      </c>
      <c r="F665" s="194" t="s">
        <v>115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27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27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27</v>
      </c>
      <c r="D668" s="48" t="s">
        <v>115</v>
      </c>
      <c r="E668" s="55">
        <v>1018.64</v>
      </c>
      <c r="F668" s="194" t="s">
        <v>115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27</v>
      </c>
      <c r="D669" s="48" t="s">
        <v>115</v>
      </c>
      <c r="E669" s="55">
        <v>1173.3399999999999</v>
      </c>
      <c r="F669" s="194" t="s">
        <v>115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27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27</v>
      </c>
      <c r="D671" s="48" t="s">
        <v>115</v>
      </c>
      <c r="E671" s="55">
        <v>1018.64</v>
      </c>
      <c r="F671" s="194" t="s">
        <v>115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27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27</v>
      </c>
      <c r="D673" s="48" t="s">
        <v>115</v>
      </c>
      <c r="E673" s="55">
        <v>2746.52</v>
      </c>
      <c r="F673" s="194" t="s">
        <v>115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27</v>
      </c>
      <c r="D674" s="48" t="s">
        <v>115</v>
      </c>
      <c r="E674" s="55">
        <v>1173.3399999999999</v>
      </c>
      <c r="F674" s="194" t="s">
        <v>115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27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27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27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27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27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27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27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27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27</v>
      </c>
      <c r="D683" s="48" t="s">
        <v>115</v>
      </c>
      <c r="E683" s="55">
        <v>2563</v>
      </c>
      <c r="F683" s="188" t="s">
        <v>115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27</v>
      </c>
      <c r="D684" s="48" t="s">
        <v>115</v>
      </c>
      <c r="E684" s="43">
        <v>2364.5299999999997</v>
      </c>
      <c r="F684" s="188" t="s">
        <v>115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27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27</v>
      </c>
      <c r="D686" s="48" t="s">
        <v>115</v>
      </c>
      <c r="E686" s="43">
        <v>2563</v>
      </c>
      <c r="F686" s="188" t="s">
        <v>115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27</v>
      </c>
      <c r="D687" s="48" t="s">
        <v>115</v>
      </c>
      <c r="E687" s="55">
        <v>2563</v>
      </c>
      <c r="F687" s="194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27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27</v>
      </c>
      <c r="D689" s="48" t="s">
        <v>115</v>
      </c>
      <c r="E689" s="43">
        <v>2440.69</v>
      </c>
      <c r="F689" s="188" t="s">
        <v>115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27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27</v>
      </c>
      <c r="D691" s="48" t="s">
        <v>115</v>
      </c>
      <c r="E691" s="55">
        <v>873.94</v>
      </c>
      <c r="F691" s="194" t="s">
        <v>115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27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27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27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27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27</v>
      </c>
      <c r="D696" s="48" t="s">
        <v>115</v>
      </c>
      <c r="E696" s="55">
        <v>1547</v>
      </c>
      <c r="F696" s="194" t="s">
        <v>115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27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27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27</v>
      </c>
      <c r="D699" s="48" t="s">
        <v>115</v>
      </c>
      <c r="E699" s="55">
        <v>1850</v>
      </c>
      <c r="F699" s="194" t="s">
        <v>115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27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27</v>
      </c>
      <c r="D701" s="48" t="s">
        <v>115</v>
      </c>
      <c r="E701" s="55">
        <v>4799.2700000000004</v>
      </c>
      <c r="F701" s="194" t="s">
        <v>115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27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33</v>
      </c>
      <c r="C703" s="219" t="s">
        <v>27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27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27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27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27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27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27</v>
      </c>
      <c r="D709" s="48" t="s">
        <v>115</v>
      </c>
      <c r="E709" s="55">
        <v>1000</v>
      </c>
      <c r="F709" s="194" t="s">
        <v>115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27</v>
      </c>
      <c r="D710" s="48" t="s">
        <v>115</v>
      </c>
      <c r="E710" s="55">
        <v>8973.7900000000009</v>
      </c>
      <c r="F710" s="194" t="s">
        <v>115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27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27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27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27</v>
      </c>
      <c r="D714" s="48" t="s">
        <v>115</v>
      </c>
      <c r="E714" s="55">
        <v>3844.89</v>
      </c>
      <c r="F714" s="194" t="s">
        <v>115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27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27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27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27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27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27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27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27</v>
      </c>
      <c r="D722" s="48" t="s">
        <v>115</v>
      </c>
      <c r="E722" s="55">
        <v>1661.24</v>
      </c>
      <c r="F722" s="194" t="s">
        <v>115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27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27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27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27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27</v>
      </c>
      <c r="D727" s="48" t="s">
        <v>115</v>
      </c>
      <c r="E727" s="55">
        <v>690.75</v>
      </c>
      <c r="F727" s="194" t="s">
        <v>115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27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27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27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27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27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27</v>
      </c>
      <c r="D733" s="48" t="s">
        <v>115</v>
      </c>
      <c r="E733" s="43">
        <v>690.75</v>
      </c>
      <c r="F733" s="188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27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27</v>
      </c>
      <c r="D735" s="48" t="s">
        <v>115</v>
      </c>
      <c r="E735" s="55">
        <v>690.75</v>
      </c>
      <c r="F735" s="194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27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27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27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27</v>
      </c>
      <c r="D739" s="48" t="s">
        <v>115</v>
      </c>
      <c r="E739" s="43">
        <v>690.75</v>
      </c>
      <c r="F739" s="188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27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27</v>
      </c>
      <c r="D741" s="48" t="s">
        <v>115</v>
      </c>
      <c r="E741" s="55">
        <v>690.75</v>
      </c>
      <c r="F741" s="194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27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27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27</v>
      </c>
      <c r="D744" s="48" t="s">
        <v>115</v>
      </c>
      <c r="E744" s="43">
        <v>690.75</v>
      </c>
      <c r="F744" s="188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27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27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27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27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27</v>
      </c>
      <c r="D749" s="48" t="s">
        <v>115</v>
      </c>
      <c r="E749" s="43">
        <v>690.75</v>
      </c>
      <c r="F749" s="188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27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27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27</v>
      </c>
      <c r="D752" s="48" t="s">
        <v>115</v>
      </c>
      <c r="E752" s="55">
        <v>3850</v>
      </c>
      <c r="F752" s="194" t="s">
        <v>115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27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27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27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27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27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27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27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27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27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27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27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27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5">
      <c r="A765" s="41">
        <f t="shared" si="26"/>
        <v>204</v>
      </c>
      <c r="B765" s="168" t="s">
        <v>595</v>
      </c>
      <c r="C765" s="219" t="s">
        <v>27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27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27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27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27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27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27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27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27</v>
      </c>
      <c r="D773" s="48" t="s">
        <v>115</v>
      </c>
      <c r="E773" s="55">
        <v>8973.7900000000009</v>
      </c>
      <c r="F773" s="194" t="s">
        <v>115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27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27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27</v>
      </c>
      <c r="D776" s="48" t="s">
        <v>115</v>
      </c>
      <c r="E776" s="55">
        <v>1661.24</v>
      </c>
      <c r="F776" s="194" t="s">
        <v>115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27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27</v>
      </c>
      <c r="D778" s="48" t="s">
        <v>115</v>
      </c>
      <c r="E778" s="55">
        <v>690.75</v>
      </c>
      <c r="F778" s="194" t="s">
        <v>115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27</v>
      </c>
      <c r="D779" s="48" t="s">
        <v>115</v>
      </c>
      <c r="E779" s="56">
        <v>1505.04</v>
      </c>
      <c r="F779" s="188" t="s">
        <v>115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27</v>
      </c>
      <c r="D780" s="48" t="s">
        <v>115</v>
      </c>
      <c r="E780" s="56">
        <v>3628.57</v>
      </c>
      <c r="F780" s="188" t="s">
        <v>115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27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27</v>
      </c>
      <c r="D782" s="48" t="s">
        <v>115</v>
      </c>
      <c r="E782" s="55">
        <v>2898.84</v>
      </c>
      <c r="F782" s="194" t="s">
        <v>115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27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9" t="s">
        <v>27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9" t="s">
        <v>27</v>
      </c>
      <c r="D785" s="48" t="s">
        <v>115</v>
      </c>
      <c r="E785" s="55">
        <v>833</v>
      </c>
      <c r="F785" s="194" t="s">
        <v>115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9" t="s">
        <v>27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27</v>
      </c>
      <c r="D787" s="48" t="s">
        <v>115</v>
      </c>
      <c r="E787" s="55">
        <v>1266.6666666666667</v>
      </c>
      <c r="F787" s="194" t="s">
        <v>115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5">
      <c r="A788" s="41">
        <f t="shared" si="26"/>
        <v>227</v>
      </c>
      <c r="B788" s="168" t="s">
        <v>618</v>
      </c>
      <c r="C788" s="219" t="s">
        <v>27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5">
      <c r="A789" s="41">
        <f t="shared" si="26"/>
        <v>228</v>
      </c>
      <c r="B789" s="168" t="s">
        <v>619</v>
      </c>
      <c r="C789" s="219" t="s">
        <v>27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5">
      <c r="A790" s="41">
        <f t="shared" si="26"/>
        <v>229</v>
      </c>
      <c r="B790" s="168" t="s">
        <v>620</v>
      </c>
      <c r="C790" s="219" t="s">
        <v>27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5">
      <c r="A791" s="41">
        <f t="shared" si="26"/>
        <v>230</v>
      </c>
      <c r="B791" s="168" t="s">
        <v>621</v>
      </c>
      <c r="C791" s="219" t="s">
        <v>27</v>
      </c>
      <c r="D791" s="48" t="s">
        <v>115</v>
      </c>
      <c r="E791" s="43">
        <v>1266.6666666666667</v>
      </c>
      <c r="F791" s="188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5">
      <c r="A792" s="41">
        <f t="shared" si="26"/>
        <v>231</v>
      </c>
      <c r="B792" s="168" t="s">
        <v>622</v>
      </c>
      <c r="C792" s="219" t="s">
        <v>27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5">
      <c r="A793" s="41">
        <f t="shared" si="26"/>
        <v>232</v>
      </c>
      <c r="B793" s="168" t="s">
        <v>623</v>
      </c>
      <c r="C793" s="219" t="s">
        <v>27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5">
      <c r="A794" s="41">
        <f t="shared" si="26"/>
        <v>233</v>
      </c>
      <c r="B794" s="168" t="s">
        <v>624</v>
      </c>
      <c r="C794" s="219" t="s">
        <v>27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5">
      <c r="A795" s="41">
        <f t="shared" si="26"/>
        <v>234</v>
      </c>
      <c r="B795" s="168" t="s">
        <v>625</v>
      </c>
      <c r="C795" s="219" t="s">
        <v>27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5">
      <c r="A796" s="41">
        <f t="shared" si="26"/>
        <v>235</v>
      </c>
      <c r="B796" s="168" t="s">
        <v>626</v>
      </c>
      <c r="C796" s="219" t="s">
        <v>27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5">
      <c r="A797" s="41">
        <f t="shared" si="26"/>
        <v>236</v>
      </c>
      <c r="B797" s="168" t="s">
        <v>627</v>
      </c>
      <c r="C797" s="219" t="s">
        <v>27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5">
      <c r="A798" s="41">
        <f t="shared" si="26"/>
        <v>237</v>
      </c>
      <c r="B798" s="168" t="s">
        <v>628</v>
      </c>
      <c r="C798" s="219" t="s">
        <v>27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5">
      <c r="A799" s="41">
        <f t="shared" si="26"/>
        <v>238</v>
      </c>
      <c r="B799" s="168" t="s">
        <v>36</v>
      </c>
      <c r="C799" s="219" t="s">
        <v>27</v>
      </c>
      <c r="D799" s="48" t="s">
        <v>115</v>
      </c>
      <c r="E799" s="55">
        <v>455.66624999999999</v>
      </c>
      <c r="F799" s="194" t="s">
        <v>115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5">
      <c r="A800" s="41">
        <f t="shared" si="26"/>
        <v>239</v>
      </c>
      <c r="B800" s="168" t="s">
        <v>629</v>
      </c>
      <c r="C800" s="219" t="s">
        <v>27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5">
      <c r="A801" s="41">
        <f t="shared" si="26"/>
        <v>240</v>
      </c>
      <c r="B801" s="168" t="s">
        <v>630</v>
      </c>
      <c r="C801" s="219" t="s">
        <v>27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5">
      <c r="A802" s="41">
        <f t="shared" si="26"/>
        <v>241</v>
      </c>
      <c r="B802" s="168" t="s">
        <v>631</v>
      </c>
      <c r="C802" s="219" t="s">
        <v>27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5">
      <c r="A803" s="41">
        <f t="shared" si="26"/>
        <v>242</v>
      </c>
      <c r="B803" s="168" t="s">
        <v>28</v>
      </c>
      <c r="C803" s="219" t="s">
        <v>27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5">
      <c r="A804" s="41">
        <f t="shared" si="26"/>
        <v>243</v>
      </c>
      <c r="B804" s="168" t="s">
        <v>632</v>
      </c>
      <c r="C804" s="219" t="s">
        <v>27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5">
      <c r="A805" s="41">
        <f t="shared" si="26"/>
        <v>244</v>
      </c>
      <c r="B805" s="168" t="s">
        <v>633</v>
      </c>
      <c r="C805" s="219" t="s">
        <v>27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5">
      <c r="A806" s="41">
        <f t="shared" si="26"/>
        <v>245</v>
      </c>
      <c r="B806" s="168" t="s">
        <v>634</v>
      </c>
      <c r="C806" s="219" t="s">
        <v>27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5">
      <c r="A807" s="41">
        <f t="shared" si="26"/>
        <v>246</v>
      </c>
      <c r="B807" s="168" t="s">
        <v>635</v>
      </c>
      <c r="C807" s="219" t="s">
        <v>27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5">
      <c r="A808" s="41">
        <f t="shared" si="26"/>
        <v>247</v>
      </c>
      <c r="B808" s="168" t="s">
        <v>636</v>
      </c>
      <c r="C808" s="219" t="s">
        <v>27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5">
      <c r="A809" s="41">
        <f t="shared" si="26"/>
        <v>248</v>
      </c>
      <c r="B809" s="168" t="s">
        <v>637</v>
      </c>
      <c r="C809" s="219" t="s">
        <v>27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5">
      <c r="A810" s="41">
        <f t="shared" si="26"/>
        <v>249</v>
      </c>
      <c r="B810" s="168" t="s">
        <v>638</v>
      </c>
      <c r="C810" s="219" t="s">
        <v>27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5">
      <c r="A811" s="41">
        <f t="shared" si="26"/>
        <v>250</v>
      </c>
      <c r="B811" s="168" t="s">
        <v>639</v>
      </c>
      <c r="C811" s="219" t="s">
        <v>27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5">
      <c r="A812" s="41">
        <f t="shared" si="26"/>
        <v>251</v>
      </c>
      <c r="B812" s="168" t="s">
        <v>640</v>
      </c>
      <c r="C812" s="219" t="s">
        <v>27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27</v>
      </c>
      <c r="D813" s="48" t="s">
        <v>115</v>
      </c>
      <c r="E813" s="43">
        <v>3356</v>
      </c>
      <c r="F813" s="188" t="s">
        <v>115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642</v>
      </c>
      <c r="C814" s="219" t="s">
        <v>27</v>
      </c>
      <c r="D814" s="48" t="s">
        <v>115</v>
      </c>
      <c r="E814" s="55">
        <v>1900</v>
      </c>
      <c r="F814" s="194" t="s">
        <v>115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643</v>
      </c>
      <c r="C815" s="219" t="s">
        <v>27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644</v>
      </c>
      <c r="C816" s="219" t="s">
        <v>27</v>
      </c>
      <c r="D816" s="48" t="s">
        <v>115</v>
      </c>
      <c r="E816" s="55">
        <v>23075</v>
      </c>
      <c r="F816" s="194" t="s">
        <v>115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645</v>
      </c>
      <c r="C817" s="219" t="s">
        <v>27</v>
      </c>
      <c r="D817" s="48" t="s">
        <v>115</v>
      </c>
      <c r="E817" s="55">
        <v>23075.289999999997</v>
      </c>
      <c r="F817" s="188" t="s">
        <v>115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646</v>
      </c>
      <c r="C818" s="219" t="s">
        <v>27</v>
      </c>
      <c r="D818" s="48" t="s">
        <v>115</v>
      </c>
      <c r="E818" s="55">
        <v>1018.64</v>
      </c>
      <c r="F818" s="194" t="s">
        <v>115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647</v>
      </c>
      <c r="C819" s="219" t="s">
        <v>27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27</v>
      </c>
      <c r="D820" s="48" t="s">
        <v>115</v>
      </c>
      <c r="E820" s="43">
        <v>3356</v>
      </c>
      <c r="F820" s="188" t="s">
        <v>115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5">
      <c r="A821" s="41">
        <f t="shared" si="28"/>
        <v>260</v>
      </c>
      <c r="B821" s="36" t="s">
        <v>649</v>
      </c>
      <c r="C821" s="219" t="s">
        <v>27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27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27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652</v>
      </c>
      <c r="C824" s="219" t="s">
        <v>27</v>
      </c>
      <c r="D824" s="48" t="s">
        <v>115</v>
      </c>
      <c r="E824" s="55">
        <v>3356</v>
      </c>
      <c r="F824" s="194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27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9" t="s">
        <v>27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655</v>
      </c>
      <c r="C827" s="219" t="s">
        <v>27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656</v>
      </c>
      <c r="C828" s="219" t="s">
        <v>27</v>
      </c>
      <c r="D828" s="48" t="s">
        <v>115</v>
      </c>
      <c r="E828" s="55">
        <v>198</v>
      </c>
      <c r="F828" s="194" t="s">
        <v>115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657</v>
      </c>
      <c r="C829" s="219" t="s">
        <v>27</v>
      </c>
      <c r="D829" s="48" t="s">
        <v>115</v>
      </c>
      <c r="E829" s="55">
        <v>3356</v>
      </c>
      <c r="F829" s="194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658</v>
      </c>
      <c r="C830" s="219" t="s">
        <v>27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659</v>
      </c>
      <c r="C831" s="219" t="s">
        <v>27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660</v>
      </c>
      <c r="C832" s="219" t="s">
        <v>27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661</v>
      </c>
      <c r="C833" s="219" t="s">
        <v>27</v>
      </c>
      <c r="D833" s="48" t="s">
        <v>115</v>
      </c>
      <c r="E833" s="43">
        <v>198</v>
      </c>
      <c r="F833" s="188" t="s">
        <v>115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662</v>
      </c>
      <c r="C834" s="219" t="s">
        <v>27</v>
      </c>
      <c r="D834" s="48" t="s">
        <v>115</v>
      </c>
      <c r="E834" s="55">
        <v>198</v>
      </c>
      <c r="F834" s="194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663</v>
      </c>
      <c r="C835" s="219" t="s">
        <v>27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664</v>
      </c>
      <c r="C836" s="219" t="s">
        <v>27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665</v>
      </c>
      <c r="C837" s="219" t="s">
        <v>27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666</v>
      </c>
      <c r="C838" s="219" t="s">
        <v>27</v>
      </c>
      <c r="D838" s="48" t="s">
        <v>115</v>
      </c>
      <c r="E838" s="55">
        <v>3356</v>
      </c>
      <c r="F838" s="194" t="s">
        <v>115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667</v>
      </c>
      <c r="C839" s="219" t="s">
        <v>27</v>
      </c>
      <c r="D839" s="48" t="s">
        <v>115</v>
      </c>
      <c r="E839" s="55">
        <v>1100</v>
      </c>
      <c r="F839" s="194" t="s">
        <v>115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668</v>
      </c>
      <c r="C840" s="219" t="s">
        <v>27</v>
      </c>
      <c r="D840" s="48" t="s">
        <v>115</v>
      </c>
      <c r="E840" s="55">
        <v>1350</v>
      </c>
      <c r="F840" s="194" t="s">
        <v>115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669</v>
      </c>
      <c r="C841" s="219" t="s">
        <v>27</v>
      </c>
      <c r="D841" s="48" t="s">
        <v>115</v>
      </c>
      <c r="E841" s="55">
        <v>925</v>
      </c>
      <c r="F841" s="194" t="s">
        <v>115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27</v>
      </c>
      <c r="D842" s="48" t="s">
        <v>115</v>
      </c>
      <c r="E842" s="43">
        <v>3373</v>
      </c>
      <c r="F842" s="188" t="s">
        <v>115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27</v>
      </c>
      <c r="D843" s="48" t="s">
        <v>115</v>
      </c>
      <c r="E843" s="56">
        <v>1275.68</v>
      </c>
      <c r="F843" s="188" t="s">
        <v>115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672</v>
      </c>
      <c r="C844" s="219" t="s">
        <v>27</v>
      </c>
      <c r="D844" s="48" t="s">
        <v>115</v>
      </c>
      <c r="E844" s="55">
        <v>3373</v>
      </c>
      <c r="F844" s="194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27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27</v>
      </c>
      <c r="D846" s="48" t="s">
        <v>115</v>
      </c>
      <c r="E846" s="43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675</v>
      </c>
      <c r="C847" s="219" t="s">
        <v>27</v>
      </c>
      <c r="D847" s="48" t="s">
        <v>115</v>
      </c>
      <c r="E847" s="55">
        <v>2746.52</v>
      </c>
      <c r="F847" s="194" t="s">
        <v>115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27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27</v>
      </c>
      <c r="D849" s="48" t="s">
        <v>115</v>
      </c>
      <c r="E849" s="43">
        <v>1225.7</v>
      </c>
      <c r="F849" s="188" t="s">
        <v>115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27</v>
      </c>
      <c r="D850" s="48" t="s">
        <v>115</v>
      </c>
      <c r="E850" s="43">
        <v>3881.78</v>
      </c>
      <c r="F850" s="188" t="s">
        <v>115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27</v>
      </c>
      <c r="D851" s="48" t="s">
        <v>115</v>
      </c>
      <c r="E851" s="43">
        <v>1275.68</v>
      </c>
      <c r="F851" s="188" t="s">
        <v>115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27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681</v>
      </c>
      <c r="C853" s="219" t="s">
        <v>27</v>
      </c>
      <c r="D853" s="48" t="s">
        <v>115</v>
      </c>
      <c r="E853" s="55">
        <v>1225.7</v>
      </c>
      <c r="F853" s="194" t="s">
        <v>115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27</v>
      </c>
      <c r="D854" s="48" t="s">
        <v>115</v>
      </c>
      <c r="E854" s="43">
        <v>1225.7</v>
      </c>
      <c r="F854" s="188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27</v>
      </c>
      <c r="D855" s="48" t="s">
        <v>115</v>
      </c>
      <c r="E855" s="43">
        <v>2400</v>
      </c>
      <c r="F855" s="188" t="s">
        <v>115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27</v>
      </c>
      <c r="D856" s="48" t="s">
        <v>115</v>
      </c>
      <c r="E856" s="43">
        <v>1275.68</v>
      </c>
      <c r="F856" s="188" t="s">
        <v>115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27</v>
      </c>
      <c r="D857" s="48" t="s">
        <v>115</v>
      </c>
      <c r="E857" s="43">
        <v>1225.7</v>
      </c>
      <c r="F857" s="188" t="s">
        <v>115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27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27</v>
      </c>
      <c r="D859" s="48" t="s">
        <v>115</v>
      </c>
      <c r="E859" s="43">
        <v>2400</v>
      </c>
      <c r="F859" s="188" t="s">
        <v>115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5">
      <c r="A860" s="41">
        <f t="shared" si="28"/>
        <v>299</v>
      </c>
      <c r="B860" s="168" t="s">
        <v>688</v>
      </c>
      <c r="C860" s="219" t="s">
        <v>27</v>
      </c>
      <c r="D860" s="48" t="s">
        <v>115</v>
      </c>
      <c r="E860" s="55">
        <v>873.94</v>
      </c>
      <c r="F860" s="194" t="s">
        <v>115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689</v>
      </c>
      <c r="C861" s="219" t="s">
        <v>27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690</v>
      </c>
      <c r="C862" s="219" t="s">
        <v>27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691</v>
      </c>
      <c r="C863" s="219" t="s">
        <v>27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27</v>
      </c>
      <c r="D864" s="48" t="s">
        <v>115</v>
      </c>
      <c r="E864" s="43">
        <v>131.97</v>
      </c>
      <c r="F864" s="188" t="s">
        <v>115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693</v>
      </c>
      <c r="C865" s="219" t="s">
        <v>27</v>
      </c>
      <c r="D865" s="48" t="s">
        <v>115</v>
      </c>
      <c r="E865" s="55">
        <v>5450</v>
      </c>
      <c r="F865" s="194" t="s">
        <v>115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694</v>
      </c>
      <c r="C866" s="219" t="s">
        <v>27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5">
      <c r="A867" s="41">
        <f t="shared" si="28"/>
        <v>306</v>
      </c>
      <c r="B867" s="168" t="s">
        <v>695</v>
      </c>
      <c r="C867" s="219" t="s">
        <v>27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5">
      <c r="A868" s="41">
        <f t="shared" si="28"/>
        <v>307</v>
      </c>
      <c r="B868" s="168" t="s">
        <v>696</v>
      </c>
      <c r="C868" s="219" t="s">
        <v>27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5">
      <c r="A869" s="41">
        <f t="shared" si="28"/>
        <v>308</v>
      </c>
      <c r="B869" s="168" t="s">
        <v>697</v>
      </c>
      <c r="C869" s="219" t="s">
        <v>27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5">
      <c r="A870" s="41">
        <f t="shared" si="28"/>
        <v>309</v>
      </c>
      <c r="B870" s="168" t="s">
        <v>698</v>
      </c>
      <c r="C870" s="219" t="s">
        <v>27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5">
      <c r="A871" s="41">
        <f t="shared" si="28"/>
        <v>310</v>
      </c>
      <c r="B871" s="168" t="s">
        <v>699</v>
      </c>
      <c r="C871" s="219" t="s">
        <v>27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5">
      <c r="A872" s="41">
        <f t="shared" si="28"/>
        <v>311</v>
      </c>
      <c r="B872" s="168" t="s">
        <v>700</v>
      </c>
      <c r="C872" s="219" t="s">
        <v>27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27</v>
      </c>
      <c r="D873" s="48" t="s">
        <v>115</v>
      </c>
      <c r="E873" s="43">
        <v>131.97</v>
      </c>
      <c r="F873" s="188" t="s">
        <v>115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27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27</v>
      </c>
      <c r="D875" s="48" t="s">
        <v>115</v>
      </c>
      <c r="E875" s="43">
        <v>249.9</v>
      </c>
      <c r="F875" s="188" t="s">
        <v>115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27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27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706</v>
      </c>
      <c r="C878" s="219" t="s">
        <v>27</v>
      </c>
      <c r="D878" s="48" t="s">
        <v>115</v>
      </c>
      <c r="E878" s="55">
        <v>131.97</v>
      </c>
      <c r="F878" s="194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27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27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27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32</v>
      </c>
      <c r="C882" s="219" t="s">
        <v>27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9" t="s">
        <v>27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9" t="s">
        <v>27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9" t="s">
        <v>27</v>
      </c>
      <c r="D885" s="48" t="s">
        <v>115</v>
      </c>
      <c r="E885" s="43">
        <v>131.97</v>
      </c>
      <c r="F885" s="194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713</v>
      </c>
      <c r="C886" s="219" t="s">
        <v>27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714</v>
      </c>
      <c r="C887" s="219" t="s">
        <v>27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715</v>
      </c>
      <c r="C888" s="219" t="s">
        <v>27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716</v>
      </c>
      <c r="C889" s="219" t="s">
        <v>27</v>
      </c>
      <c r="D889" s="48" t="s">
        <v>115</v>
      </c>
      <c r="E889" s="55">
        <v>131.97</v>
      </c>
      <c r="F889" s="194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717</v>
      </c>
      <c r="C890" s="219" t="s">
        <v>27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718</v>
      </c>
      <c r="C891" s="219" t="s">
        <v>27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719</v>
      </c>
      <c r="C892" s="219" t="s">
        <v>27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720</v>
      </c>
      <c r="C893" s="219" t="s">
        <v>27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721</v>
      </c>
      <c r="C894" s="219" t="s">
        <v>27</v>
      </c>
      <c r="D894" s="48" t="s">
        <v>115</v>
      </c>
      <c r="E894" s="55">
        <v>131.97</v>
      </c>
      <c r="F894" s="194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722</v>
      </c>
      <c r="C895" s="219" t="s">
        <v>27</v>
      </c>
      <c r="D895" s="48" t="s">
        <v>115</v>
      </c>
      <c r="E895" s="55">
        <v>6957.9299999999994</v>
      </c>
      <c r="F895" s="194" t="s">
        <v>115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723</v>
      </c>
      <c r="C896" s="219" t="s">
        <v>27</v>
      </c>
      <c r="D896" s="48" t="s">
        <v>115</v>
      </c>
      <c r="E896" s="55">
        <v>2563</v>
      </c>
      <c r="F896" s="194" t="s">
        <v>115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724</v>
      </c>
      <c r="C897" s="219" t="s">
        <v>27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725</v>
      </c>
      <c r="C898" s="219" t="s">
        <v>27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726</v>
      </c>
      <c r="C899" s="219" t="s">
        <v>27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5">
      <c r="A900" s="41">
        <f t="shared" si="30"/>
        <v>15</v>
      </c>
      <c r="B900" s="168" t="s">
        <v>727</v>
      </c>
      <c r="C900" s="219" t="s">
        <v>27</v>
      </c>
      <c r="D900" s="48" t="s">
        <v>115</v>
      </c>
      <c r="E900" s="55">
        <v>2885.5</v>
      </c>
      <c r="F900" s="194" t="s">
        <v>115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5">
      <c r="A901" s="41">
        <f t="shared" si="30"/>
        <v>16</v>
      </c>
      <c r="B901" s="168" t="s">
        <v>728</v>
      </c>
      <c r="C901" s="219" t="s">
        <v>27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5">
      <c r="A902" s="41">
        <f t="shared" si="30"/>
        <v>17</v>
      </c>
      <c r="B902" s="168" t="s">
        <v>729</v>
      </c>
      <c r="C902" s="219" t="s">
        <v>27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5">
      <c r="A903" s="41">
        <f t="shared" si="30"/>
        <v>18</v>
      </c>
      <c r="B903" s="168" t="s">
        <v>730</v>
      </c>
      <c r="C903" s="219" t="s">
        <v>27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5">
      <c r="A904" s="41">
        <f t="shared" si="30"/>
        <v>19</v>
      </c>
      <c r="B904" s="168" t="s">
        <v>731</v>
      </c>
      <c r="C904" s="219" t="s">
        <v>27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5">
      <c r="A905" s="41">
        <f t="shared" si="30"/>
        <v>20</v>
      </c>
      <c r="B905" s="168" t="s">
        <v>732</v>
      </c>
      <c r="C905" s="219" t="s">
        <v>27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5">
      <c r="A906" s="41">
        <f t="shared" si="30"/>
        <v>21</v>
      </c>
      <c r="B906" s="168" t="s">
        <v>733</v>
      </c>
      <c r="C906" s="219" t="s">
        <v>27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5">
      <c r="A907" s="41">
        <f t="shared" si="30"/>
        <v>22</v>
      </c>
      <c r="B907" s="168" t="s">
        <v>734</v>
      </c>
      <c r="C907" s="219" t="s">
        <v>27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5">
      <c r="A908" s="41">
        <f t="shared" si="30"/>
        <v>23</v>
      </c>
      <c r="B908" s="168" t="s">
        <v>735</v>
      </c>
      <c r="C908" s="219" t="s">
        <v>27</v>
      </c>
      <c r="D908" s="48" t="s">
        <v>115</v>
      </c>
      <c r="E908" s="55">
        <v>2785.5</v>
      </c>
      <c r="F908" s="194" t="s">
        <v>115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5">
      <c r="A909" s="41">
        <f t="shared" si="30"/>
        <v>24</v>
      </c>
      <c r="B909" s="168" t="s">
        <v>736</v>
      </c>
      <c r="C909" s="219" t="s">
        <v>27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5">
      <c r="A910" s="41">
        <f t="shared" si="30"/>
        <v>25</v>
      </c>
      <c r="B910" s="168" t="s">
        <v>737</v>
      </c>
      <c r="C910" s="219" t="s">
        <v>27</v>
      </c>
      <c r="D910" s="48" t="s">
        <v>115</v>
      </c>
      <c r="E910" s="55">
        <v>1</v>
      </c>
      <c r="F910" s="194" t="s">
        <v>115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5">
      <c r="A911" s="41">
        <f t="shared" si="30"/>
        <v>26</v>
      </c>
      <c r="B911" s="168" t="s">
        <v>738</v>
      </c>
      <c r="C911" s="219" t="s">
        <v>27</v>
      </c>
      <c r="D911" s="48" t="s">
        <v>115</v>
      </c>
      <c r="E911" s="55">
        <v>1200</v>
      </c>
      <c r="F911" s="194" t="s">
        <v>115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5">
      <c r="A912" s="41">
        <f t="shared" si="30"/>
        <v>27</v>
      </c>
      <c r="B912" s="168" t="s">
        <v>739</v>
      </c>
      <c r="C912" s="219" t="s">
        <v>27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740</v>
      </c>
      <c r="C913" s="219" t="s">
        <v>27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741</v>
      </c>
      <c r="C914" s="219" t="s">
        <v>27</v>
      </c>
      <c r="D914" s="48" t="s">
        <v>115</v>
      </c>
      <c r="E914" s="55">
        <v>500</v>
      </c>
      <c r="F914" s="194" t="s">
        <v>115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742</v>
      </c>
      <c r="C915" s="219" t="s">
        <v>27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743</v>
      </c>
      <c r="C916" s="219" t="s">
        <v>27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744</v>
      </c>
      <c r="C917" s="219" t="s">
        <v>27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745</v>
      </c>
      <c r="C918" s="219" t="s">
        <v>27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746</v>
      </c>
      <c r="C919" s="219" t="s">
        <v>27</v>
      </c>
      <c r="D919" s="48" t="s">
        <v>115</v>
      </c>
      <c r="E919" s="55">
        <v>114.24</v>
      </c>
      <c r="F919" s="194" t="s">
        <v>115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747</v>
      </c>
      <c r="C920" s="219" t="s">
        <v>27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748</v>
      </c>
      <c r="C921" s="219" t="s">
        <v>27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749</v>
      </c>
      <c r="C922" s="219" t="s">
        <v>27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750</v>
      </c>
      <c r="C923" s="219" t="s">
        <v>27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751</v>
      </c>
      <c r="C924" s="219" t="s">
        <v>27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752</v>
      </c>
      <c r="C925" s="219" t="s">
        <v>27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753</v>
      </c>
      <c r="C926" s="219" t="s">
        <v>27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754</v>
      </c>
      <c r="C927" s="219" t="s">
        <v>27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755</v>
      </c>
      <c r="C928" s="219" t="s">
        <v>27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756</v>
      </c>
      <c r="C929" s="219" t="s">
        <v>27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757</v>
      </c>
      <c r="C930" s="219" t="s">
        <v>27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758</v>
      </c>
      <c r="C931" s="219" t="s">
        <v>27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759</v>
      </c>
      <c r="C932" s="219" t="s">
        <v>27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760</v>
      </c>
      <c r="C933" s="219" t="s">
        <v>27</v>
      </c>
      <c r="D933" s="48" t="s">
        <v>115</v>
      </c>
      <c r="E933" s="55">
        <v>1800</v>
      </c>
      <c r="F933" s="194" t="s">
        <v>115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761</v>
      </c>
      <c r="C934" s="219" t="s">
        <v>27</v>
      </c>
      <c r="D934" s="48" t="s">
        <v>115</v>
      </c>
      <c r="E934" s="55">
        <v>546</v>
      </c>
      <c r="F934" s="194" t="s">
        <v>115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762</v>
      </c>
      <c r="C935" s="219" t="s">
        <v>27</v>
      </c>
      <c r="D935" s="48" t="s">
        <v>115</v>
      </c>
      <c r="E935" s="55">
        <v>114.24</v>
      </c>
      <c r="F935" s="194" t="s">
        <v>115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763</v>
      </c>
      <c r="C936" s="219" t="s">
        <v>27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764</v>
      </c>
      <c r="C937" s="219" t="s">
        <v>27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765</v>
      </c>
      <c r="C938" s="219" t="s">
        <v>27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766</v>
      </c>
      <c r="C939" s="219" t="s">
        <v>27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767</v>
      </c>
      <c r="C940" s="219" t="s">
        <v>27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768</v>
      </c>
      <c r="C941" s="219" t="s">
        <v>27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769</v>
      </c>
      <c r="C942" s="219" t="s">
        <v>27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770</v>
      </c>
      <c r="C943" s="219" t="s">
        <v>27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771</v>
      </c>
      <c r="C944" s="219" t="s">
        <v>27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772</v>
      </c>
      <c r="C945" s="219" t="s">
        <v>27</v>
      </c>
      <c r="D945" s="48" t="s">
        <v>115</v>
      </c>
      <c r="E945" s="55">
        <v>1550</v>
      </c>
      <c r="F945" s="194" t="s">
        <v>115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773</v>
      </c>
      <c r="C946" s="219" t="s">
        <v>27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774</v>
      </c>
      <c r="C947" s="219" t="s">
        <v>27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775</v>
      </c>
      <c r="C948" s="219" t="s">
        <v>27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776</v>
      </c>
      <c r="C949" s="219" t="s">
        <v>27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777</v>
      </c>
      <c r="C950" s="219" t="s">
        <v>27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778</v>
      </c>
      <c r="C951" s="219" t="s">
        <v>27</v>
      </c>
      <c r="D951" s="48" t="s">
        <v>115</v>
      </c>
      <c r="E951" s="55">
        <v>952</v>
      </c>
      <c r="F951" s="194" t="s">
        <v>115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779</v>
      </c>
      <c r="C952" s="219" t="s">
        <v>27</v>
      </c>
      <c r="D952" s="48" t="s">
        <v>115</v>
      </c>
      <c r="E952" s="55">
        <v>925</v>
      </c>
      <c r="F952" s="194" t="s">
        <v>115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780</v>
      </c>
      <c r="C953" s="219" t="s">
        <v>27</v>
      </c>
      <c r="D953" s="48" t="s">
        <v>115</v>
      </c>
      <c r="E953" s="55">
        <v>1100</v>
      </c>
      <c r="F953" s="194" t="s">
        <v>115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781</v>
      </c>
      <c r="C954" s="219" t="s">
        <v>27</v>
      </c>
      <c r="D954" s="48" t="s">
        <v>115</v>
      </c>
      <c r="E954" s="55">
        <v>1350</v>
      </c>
      <c r="F954" s="194" t="s">
        <v>115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782</v>
      </c>
      <c r="C955" s="219" t="s">
        <v>27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783</v>
      </c>
      <c r="C956" s="219" t="s">
        <v>27</v>
      </c>
      <c r="D956" s="48" t="s">
        <v>115</v>
      </c>
      <c r="E956" s="43">
        <v>2727.48</v>
      </c>
      <c r="F956" s="188" t="s">
        <v>115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784</v>
      </c>
      <c r="C957" s="219" t="s">
        <v>27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785</v>
      </c>
      <c r="C958" s="219" t="s">
        <v>27</v>
      </c>
      <c r="D958" s="48" t="s">
        <v>115</v>
      </c>
      <c r="E958" s="55">
        <v>2727.48</v>
      </c>
      <c r="F958" s="194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786</v>
      </c>
      <c r="C959" s="219" t="s">
        <v>27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787</v>
      </c>
      <c r="C960" s="219" t="s">
        <v>27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788</v>
      </c>
      <c r="C961" s="219" t="s">
        <v>27</v>
      </c>
      <c r="D961" s="48" t="s">
        <v>115</v>
      </c>
      <c r="E961" s="55">
        <v>3111.85</v>
      </c>
      <c r="F961" s="194" t="s">
        <v>115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5">
      <c r="A962" s="41">
        <f t="shared" si="33"/>
        <v>77</v>
      </c>
      <c r="B962" s="168" t="s">
        <v>789</v>
      </c>
      <c r="C962" s="219" t="s">
        <v>27</v>
      </c>
      <c r="D962" s="48" t="s">
        <v>115</v>
      </c>
      <c r="E962" s="43">
        <v>1550</v>
      </c>
      <c r="F962" s="188" t="s">
        <v>115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790</v>
      </c>
      <c r="C963" s="219" t="s">
        <v>27</v>
      </c>
      <c r="D963" s="48" t="s">
        <v>115</v>
      </c>
      <c r="E963" s="55">
        <v>1550</v>
      </c>
      <c r="F963" s="194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5">
      <c r="A964" s="41">
        <f t="shared" si="33"/>
        <v>79</v>
      </c>
      <c r="B964" s="168" t="s">
        <v>791</v>
      </c>
      <c r="C964" s="219" t="s">
        <v>27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792</v>
      </c>
      <c r="C965" s="219" t="s">
        <v>27</v>
      </c>
      <c r="D965" s="48" t="s">
        <v>115</v>
      </c>
      <c r="E965" s="43">
        <v>1550</v>
      </c>
      <c r="F965" s="188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793</v>
      </c>
      <c r="C966" s="219" t="s">
        <v>27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794</v>
      </c>
      <c r="C967" s="219" t="s">
        <v>27</v>
      </c>
      <c r="D967" s="48" t="s">
        <v>115</v>
      </c>
      <c r="E967" s="55">
        <v>3844</v>
      </c>
      <c r="F967" s="194" t="s">
        <v>115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795</v>
      </c>
      <c r="C968" s="219" t="s">
        <v>27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796</v>
      </c>
      <c r="C969" s="219" t="s">
        <v>27</v>
      </c>
      <c r="D969" s="48" t="s">
        <v>115</v>
      </c>
      <c r="E969" s="55">
        <v>998.41</v>
      </c>
      <c r="F969" s="194" t="s">
        <v>115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797</v>
      </c>
      <c r="C970" s="219" t="s">
        <v>27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798</v>
      </c>
      <c r="C971" s="219" t="s">
        <v>27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799</v>
      </c>
      <c r="C972" s="219" t="s">
        <v>27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800</v>
      </c>
      <c r="C973" s="219" t="s">
        <v>27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801</v>
      </c>
      <c r="C974" s="219" t="s">
        <v>27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802</v>
      </c>
      <c r="C975" s="219" t="s">
        <v>27</v>
      </c>
      <c r="D975" s="48" t="s">
        <v>115</v>
      </c>
      <c r="E975" s="55">
        <v>3844</v>
      </c>
      <c r="F975" s="194" t="s">
        <v>115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803</v>
      </c>
      <c r="C976" s="219" t="s">
        <v>27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804</v>
      </c>
      <c r="C977" s="219" t="s">
        <v>27</v>
      </c>
      <c r="D977" s="48" t="s">
        <v>115</v>
      </c>
      <c r="E977" s="55">
        <v>998.41</v>
      </c>
      <c r="F977" s="194" t="s">
        <v>115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805</v>
      </c>
      <c r="C978" s="219" t="s">
        <v>27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806</v>
      </c>
      <c r="C979" s="219" t="s">
        <v>27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807</v>
      </c>
      <c r="C980" s="219" t="s">
        <v>27</v>
      </c>
      <c r="D980" s="48" t="s">
        <v>115</v>
      </c>
      <c r="E980" s="55">
        <v>1173.3399999999999</v>
      </c>
      <c r="F980" s="194" t="s">
        <v>115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808</v>
      </c>
      <c r="C981" s="219" t="s">
        <v>27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809</v>
      </c>
      <c r="C982" s="219" t="s">
        <v>27</v>
      </c>
      <c r="D982" s="48" t="s">
        <v>115</v>
      </c>
      <c r="E982" s="55">
        <v>1200</v>
      </c>
      <c r="F982" s="194" t="s">
        <v>115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97</v>
      </c>
      <c r="B1009" s="249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82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810</v>
      </c>
      <c r="C1011" s="160" t="s">
        <v>38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38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39</v>
      </c>
      <c r="C1013" s="160" t="s">
        <v>38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812</v>
      </c>
      <c r="C1014" s="160" t="s">
        <v>38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813</v>
      </c>
      <c r="C1015" s="160" t="s">
        <v>38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814</v>
      </c>
      <c r="C1016" s="160" t="s">
        <v>38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815</v>
      </c>
      <c r="C1017" s="160" t="s">
        <v>38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816</v>
      </c>
      <c r="C1018" s="160" t="s">
        <v>38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817</v>
      </c>
      <c r="C1019" s="160" t="s">
        <v>38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818</v>
      </c>
      <c r="C1020" s="160" t="s">
        <v>38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819</v>
      </c>
      <c r="C1021" s="160" t="s">
        <v>38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820</v>
      </c>
      <c r="C1022" s="160" t="s">
        <v>38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821</v>
      </c>
      <c r="C1023" s="160" t="s">
        <v>38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822</v>
      </c>
      <c r="C1024" s="160" t="s">
        <v>38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5">
      <c r="A1025" s="41">
        <f t="shared" si="35"/>
        <v>15</v>
      </c>
      <c r="B1025" s="150" t="s">
        <v>823</v>
      </c>
      <c r="C1025" s="160" t="s">
        <v>38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5">
      <c r="A1026" s="41">
        <f t="shared" si="35"/>
        <v>16</v>
      </c>
      <c r="B1026" s="150" t="s">
        <v>824</v>
      </c>
      <c r="C1026" s="160" t="s">
        <v>38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38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38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38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38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829</v>
      </c>
      <c r="C1031" s="160" t="s">
        <v>38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830</v>
      </c>
      <c r="C1032" s="160" t="s">
        <v>38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831</v>
      </c>
      <c r="C1033" s="160" t="s">
        <v>38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38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38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38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38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38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5">
      <c r="A1039" s="41">
        <f t="shared" si="35"/>
        <v>29</v>
      </c>
      <c r="B1039" s="36" t="s">
        <v>837</v>
      </c>
      <c r="C1039" s="160" t="s">
        <v>38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5">
      <c r="A1040" s="41">
        <f t="shared" si="35"/>
        <v>30</v>
      </c>
      <c r="B1040" s="150" t="s">
        <v>838</v>
      </c>
      <c r="C1040" s="160" t="s">
        <v>38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5">
      <c r="A1041" s="41">
        <f t="shared" si="35"/>
        <v>31</v>
      </c>
      <c r="B1041" s="36" t="s">
        <v>839</v>
      </c>
      <c r="C1041" s="160" t="s">
        <v>38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5">
      <c r="A1042" s="41">
        <f t="shared" si="35"/>
        <v>32</v>
      </c>
      <c r="B1042" s="36" t="s">
        <v>840</v>
      </c>
      <c r="C1042" s="160" t="s">
        <v>38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38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4.65" thickBot="1">
      <c r="B1064"/>
      <c r="C1064" s="492"/>
      <c r="D1064" s="491"/>
      <c r="E1064"/>
      <c r="F1064" s="189"/>
      <c r="H1064"/>
      <c r="I1064"/>
    </row>
    <row r="1065" spans="1:10" ht="21.4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82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8.5">
      <c r="A1067" s="83">
        <v>1</v>
      </c>
      <c r="B1067" s="206" t="s">
        <v>842</v>
      </c>
      <c r="C1067" s="219" t="s">
        <v>65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5">
      <c r="A1068" s="83">
        <v>2</v>
      </c>
      <c r="B1068" s="206" t="s">
        <v>843</v>
      </c>
      <c r="C1068" s="219" t="s">
        <v>65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65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5">
      <c r="A1070" s="83">
        <f>A1069+1</f>
        <v>4</v>
      </c>
      <c r="B1070" s="206" t="s">
        <v>845</v>
      </c>
      <c r="C1070" s="219" t="s">
        <v>65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5">
      <c r="A1071" s="83">
        <f>A1070+1</f>
        <v>5</v>
      </c>
      <c r="B1071" s="206" t="s">
        <v>846</v>
      </c>
      <c r="C1071" s="219" t="s">
        <v>65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5">
      <c r="A1072" s="83">
        <f>A1071+1</f>
        <v>6</v>
      </c>
      <c r="B1072" s="206" t="s">
        <v>847</v>
      </c>
      <c r="C1072" s="219" t="s">
        <v>65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5">
      <c r="A1073" s="233">
        <f>A1072+1</f>
        <v>7</v>
      </c>
      <c r="B1073" s="206" t="s">
        <v>848</v>
      </c>
      <c r="C1073" s="219" t="s">
        <v>65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4.6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82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8.5">
      <c r="A1107" s="83">
        <v>1</v>
      </c>
      <c r="B1107" s="206" t="s">
        <v>849</v>
      </c>
      <c r="C1107" s="37" t="s">
        <v>850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5">
      <c r="A1108" s="83">
        <f>A1107+1</f>
        <v>2</v>
      </c>
      <c r="B1108" s="206" t="s">
        <v>851</v>
      </c>
      <c r="C1108" s="37" t="s">
        <v>850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5">
      <c r="A1110" s="83">
        <f t="shared" si="38"/>
        <v>4</v>
      </c>
      <c r="B1110" s="206" t="s">
        <v>853</v>
      </c>
      <c r="C1110" s="37" t="s">
        <v>850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5">
      <c r="A1111" s="83">
        <f t="shared" si="38"/>
        <v>5</v>
      </c>
      <c r="B1111" s="206" t="s">
        <v>854</v>
      </c>
      <c r="C1111" s="37" t="s">
        <v>850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5">
      <c r="A1112" s="83">
        <f t="shared" si="38"/>
        <v>6</v>
      </c>
      <c r="B1112" s="206" t="s">
        <v>855</v>
      </c>
      <c r="C1112" s="37" t="s">
        <v>850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2.75">
      <c r="A1113" s="83">
        <f t="shared" si="38"/>
        <v>7</v>
      </c>
      <c r="B1113" s="206" t="s">
        <v>856</v>
      </c>
      <c r="C1113" s="37" t="s">
        <v>850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4" t="s">
        <v>850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876</v>
      </c>
      <c r="C1133" s="275" t="s">
        <v>850</v>
      </c>
      <c r="D1133" s="276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877</v>
      </c>
      <c r="C1134" s="275" t="s">
        <v>850</v>
      </c>
      <c r="D1134" s="276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878</v>
      </c>
      <c r="C1135" s="275" t="s">
        <v>850</v>
      </c>
      <c r="D1135" s="276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879</v>
      </c>
      <c r="C1136" s="275" t="s">
        <v>850</v>
      </c>
      <c r="D1136" s="276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880</v>
      </c>
      <c r="C1137" s="275" t="s">
        <v>850</v>
      </c>
      <c r="D1137" s="276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881</v>
      </c>
      <c r="C1138" s="275" t="s">
        <v>850</v>
      </c>
      <c r="D1138" s="276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882</v>
      </c>
      <c r="C1139" s="275" t="s">
        <v>850</v>
      </c>
      <c r="D1139" s="276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883</v>
      </c>
      <c r="C1140" s="275" t="s">
        <v>850</v>
      </c>
      <c r="D1140" s="276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884</v>
      </c>
      <c r="C1141" s="275" t="s">
        <v>850</v>
      </c>
      <c r="D1141" s="276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885</v>
      </c>
      <c r="C1142" s="275" t="s">
        <v>850</v>
      </c>
      <c r="D1142" s="276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886</v>
      </c>
      <c r="C1143" s="275" t="s">
        <v>850</v>
      </c>
      <c r="D1143" s="276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887</v>
      </c>
      <c r="C1144" s="275" t="s">
        <v>850</v>
      </c>
      <c r="D1144" s="276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888</v>
      </c>
      <c r="C1145" s="275" t="s">
        <v>850</v>
      </c>
      <c r="D1145" s="276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889</v>
      </c>
      <c r="C1146" s="275" t="s">
        <v>850</v>
      </c>
      <c r="D1146" s="276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890</v>
      </c>
      <c r="C1147" s="275" t="s">
        <v>850</v>
      </c>
      <c r="D1147" s="276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891</v>
      </c>
      <c r="C1148" s="275" t="s">
        <v>850</v>
      </c>
      <c r="D1148" s="276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892</v>
      </c>
      <c r="C1149" s="275" t="s">
        <v>850</v>
      </c>
      <c r="D1149" s="276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893</v>
      </c>
      <c r="C1150" s="275" t="s">
        <v>850</v>
      </c>
      <c r="D1150" s="276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894</v>
      </c>
      <c r="C1151" s="275" t="s">
        <v>850</v>
      </c>
      <c r="D1151" s="276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895</v>
      </c>
      <c r="C1152" s="275" t="s">
        <v>850</v>
      </c>
      <c r="D1152" s="276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896</v>
      </c>
      <c r="C1153" s="275" t="s">
        <v>850</v>
      </c>
      <c r="D1153" s="276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897</v>
      </c>
      <c r="C1154" s="275" t="s">
        <v>850</v>
      </c>
      <c r="D1154" s="276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898</v>
      </c>
      <c r="C1155" s="275" t="s">
        <v>850</v>
      </c>
      <c r="D1155" s="276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899</v>
      </c>
      <c r="C1156" s="275" t="s">
        <v>850</v>
      </c>
      <c r="D1156" s="276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900</v>
      </c>
      <c r="C1157" s="275" t="s">
        <v>850</v>
      </c>
      <c r="D1157" s="276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901</v>
      </c>
      <c r="C1158" s="275" t="s">
        <v>850</v>
      </c>
      <c r="D1158" s="276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902</v>
      </c>
      <c r="C1159" s="275" t="s">
        <v>850</v>
      </c>
      <c r="D1159" s="276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903</v>
      </c>
      <c r="C1160" s="275" t="s">
        <v>850</v>
      </c>
      <c r="D1160" s="276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904</v>
      </c>
      <c r="C1161" s="275" t="s">
        <v>850</v>
      </c>
      <c r="D1161" s="276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905</v>
      </c>
      <c r="C1162" s="275" t="s">
        <v>850</v>
      </c>
      <c r="D1162" s="276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906</v>
      </c>
      <c r="C1163" s="275" t="s">
        <v>850</v>
      </c>
      <c r="D1163" s="276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907</v>
      </c>
      <c r="C1164" s="275" t="s">
        <v>850</v>
      </c>
      <c r="D1164" s="276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908</v>
      </c>
      <c r="C1165" s="275" t="s">
        <v>850</v>
      </c>
      <c r="D1165" s="276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909</v>
      </c>
      <c r="C1166" s="275" t="s">
        <v>850</v>
      </c>
      <c r="D1166" s="276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910</v>
      </c>
      <c r="C1167" s="275" t="s">
        <v>850</v>
      </c>
      <c r="D1167" s="276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911</v>
      </c>
      <c r="C1168" s="275" t="s">
        <v>850</v>
      </c>
      <c r="D1168" s="276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912</v>
      </c>
      <c r="C1169" s="275" t="s">
        <v>850</v>
      </c>
      <c r="D1169" s="276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913</v>
      </c>
      <c r="C1170" s="275" t="s">
        <v>850</v>
      </c>
      <c r="D1170" s="276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914</v>
      </c>
      <c r="C1171" s="275" t="s">
        <v>850</v>
      </c>
      <c r="D1171" s="276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915</v>
      </c>
      <c r="C1172" s="275" t="s">
        <v>850</v>
      </c>
      <c r="D1172" s="276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916</v>
      </c>
      <c r="C1173" s="275" t="s">
        <v>850</v>
      </c>
      <c r="D1173" s="276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917</v>
      </c>
      <c r="C1174" s="275" t="s">
        <v>850</v>
      </c>
      <c r="D1174" s="276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918</v>
      </c>
      <c r="C1175" s="275" t="s">
        <v>850</v>
      </c>
      <c r="D1175" s="276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919</v>
      </c>
      <c r="C1176" s="275" t="s">
        <v>850</v>
      </c>
      <c r="D1176" s="276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920</v>
      </c>
      <c r="C1177" s="275" t="s">
        <v>850</v>
      </c>
      <c r="D1177" s="276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921</v>
      </c>
      <c r="C1178" s="275" t="s">
        <v>850</v>
      </c>
      <c r="D1178" s="276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922</v>
      </c>
      <c r="C1179" s="275" t="s">
        <v>850</v>
      </c>
      <c r="D1179" s="276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923</v>
      </c>
      <c r="C1180" s="275" t="s">
        <v>850</v>
      </c>
      <c r="D1180" s="276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924</v>
      </c>
      <c r="C1181" s="275" t="s">
        <v>850</v>
      </c>
      <c r="D1181" s="276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925</v>
      </c>
      <c r="C1182" s="275" t="s">
        <v>850</v>
      </c>
      <c r="D1182" s="276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926</v>
      </c>
      <c r="C1183" s="275" t="s">
        <v>850</v>
      </c>
      <c r="D1183" s="276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927</v>
      </c>
      <c r="C1184" s="275" t="s">
        <v>850</v>
      </c>
      <c r="D1184" s="276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928</v>
      </c>
      <c r="C1185" s="275" t="s">
        <v>850</v>
      </c>
      <c r="D1185" s="276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929</v>
      </c>
      <c r="C1186" s="275" t="s">
        <v>850</v>
      </c>
      <c r="D1186" s="276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930</v>
      </c>
      <c r="C1187" s="275" t="s">
        <v>850</v>
      </c>
      <c r="D1187" s="276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931</v>
      </c>
      <c r="C1188" s="275" t="s">
        <v>850</v>
      </c>
      <c r="D1188" s="276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932</v>
      </c>
      <c r="C1189" s="275" t="s">
        <v>850</v>
      </c>
      <c r="D1189" s="276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933</v>
      </c>
      <c r="C1190" s="275" t="s">
        <v>850</v>
      </c>
      <c r="D1190" s="276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934</v>
      </c>
      <c r="C1191" s="275" t="s">
        <v>850</v>
      </c>
      <c r="D1191" s="276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935</v>
      </c>
      <c r="C1192" s="275" t="s">
        <v>850</v>
      </c>
      <c r="D1192" s="276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936</v>
      </c>
      <c r="C1193" s="275" t="s">
        <v>850</v>
      </c>
      <c r="D1193" s="276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937</v>
      </c>
      <c r="C1194" s="275" t="s">
        <v>850</v>
      </c>
      <c r="D1194" s="276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938</v>
      </c>
      <c r="C1195" s="275" t="s">
        <v>850</v>
      </c>
      <c r="D1195" s="276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939</v>
      </c>
      <c r="C1196" s="275" t="s">
        <v>850</v>
      </c>
      <c r="D1196" s="276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940</v>
      </c>
      <c r="C1197" s="275" t="s">
        <v>850</v>
      </c>
      <c r="D1197" s="276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941</v>
      </c>
      <c r="C1198" s="275" t="s">
        <v>850</v>
      </c>
      <c r="D1198" s="276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942</v>
      </c>
      <c r="C1199" s="275" t="s">
        <v>850</v>
      </c>
      <c r="D1199" s="276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943</v>
      </c>
      <c r="C1200" s="275" t="s">
        <v>850</v>
      </c>
      <c r="D1200" s="276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944</v>
      </c>
      <c r="C1201" s="275" t="s">
        <v>850</v>
      </c>
      <c r="D1201" s="276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945</v>
      </c>
      <c r="C1202" s="275" t="s">
        <v>850</v>
      </c>
      <c r="D1202" s="276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946</v>
      </c>
      <c r="C1203" s="275" t="s">
        <v>850</v>
      </c>
      <c r="D1203" s="276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947</v>
      </c>
      <c r="C1204" s="275" t="s">
        <v>850</v>
      </c>
      <c r="D1204" s="276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948</v>
      </c>
      <c r="C1205" s="275" t="s">
        <v>850</v>
      </c>
      <c r="D1205" s="276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949</v>
      </c>
      <c r="C1206" s="275" t="s">
        <v>850</v>
      </c>
      <c r="D1206" s="276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950</v>
      </c>
      <c r="C1207" s="275" t="s">
        <v>850</v>
      </c>
      <c r="D1207" s="276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951</v>
      </c>
      <c r="C1208" s="275" t="s">
        <v>850</v>
      </c>
      <c r="D1208" s="276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952</v>
      </c>
      <c r="C1209" s="275" t="s">
        <v>850</v>
      </c>
      <c r="D1209" s="276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953</v>
      </c>
      <c r="C1210" s="275" t="s">
        <v>850</v>
      </c>
      <c r="D1210" s="276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954</v>
      </c>
      <c r="C1211" s="275" t="s">
        <v>850</v>
      </c>
      <c r="D1211" s="276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955</v>
      </c>
      <c r="C1212" s="275" t="s">
        <v>850</v>
      </c>
      <c r="D1212" s="276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956</v>
      </c>
      <c r="C1213" s="275" t="s">
        <v>850</v>
      </c>
      <c r="D1213" s="276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957</v>
      </c>
      <c r="C1214" s="275" t="s">
        <v>850</v>
      </c>
      <c r="D1214" s="276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958</v>
      </c>
      <c r="C1215" s="275" t="s">
        <v>850</v>
      </c>
      <c r="D1215" s="276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959</v>
      </c>
      <c r="C1216" s="275" t="s">
        <v>850</v>
      </c>
      <c r="D1216" s="276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960</v>
      </c>
      <c r="C1217" s="275" t="s">
        <v>850</v>
      </c>
      <c r="D1217" s="276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961</v>
      </c>
      <c r="C1218" s="275" t="s">
        <v>850</v>
      </c>
      <c r="D1218" s="276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962</v>
      </c>
      <c r="C1219" s="275" t="s">
        <v>850</v>
      </c>
      <c r="D1219" s="276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963</v>
      </c>
      <c r="C1220" s="275" t="s">
        <v>850</v>
      </c>
      <c r="D1220" s="276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964</v>
      </c>
      <c r="C1221" s="275" t="s">
        <v>850</v>
      </c>
      <c r="D1221" s="276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965</v>
      </c>
      <c r="C1222" s="275" t="s">
        <v>850</v>
      </c>
      <c r="D1222" s="276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966</v>
      </c>
      <c r="C1223" s="275" t="s">
        <v>850</v>
      </c>
      <c r="D1223" s="276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967</v>
      </c>
      <c r="C1224" s="275" t="s">
        <v>850</v>
      </c>
      <c r="D1224" s="276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968</v>
      </c>
      <c r="C1225" s="275" t="s">
        <v>850</v>
      </c>
      <c r="D1225" s="276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969</v>
      </c>
      <c r="C1226" s="275" t="s">
        <v>850</v>
      </c>
      <c r="D1226" s="276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970</v>
      </c>
      <c r="C1227" s="275" t="s">
        <v>850</v>
      </c>
      <c r="D1227" s="276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971</v>
      </c>
      <c r="C1228" s="275" t="s">
        <v>850</v>
      </c>
      <c r="D1228" s="276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972</v>
      </c>
      <c r="C1229" s="275" t="s">
        <v>850</v>
      </c>
      <c r="D1229" s="276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973</v>
      </c>
      <c r="C1230" s="275" t="s">
        <v>850</v>
      </c>
      <c r="D1230" s="276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974</v>
      </c>
      <c r="C1231" s="275" t="s">
        <v>850</v>
      </c>
      <c r="D1231" s="276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975</v>
      </c>
      <c r="C1232" s="275" t="s">
        <v>850</v>
      </c>
      <c r="D1232" s="276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976</v>
      </c>
      <c r="C1233" s="275" t="s">
        <v>850</v>
      </c>
      <c r="D1233" s="276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977</v>
      </c>
      <c r="C1234" s="275" t="s">
        <v>850</v>
      </c>
      <c r="D1234" s="276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978</v>
      </c>
      <c r="C1235" s="275" t="s">
        <v>850</v>
      </c>
      <c r="D1235" s="276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979</v>
      </c>
      <c r="C1236" s="275" t="s">
        <v>850</v>
      </c>
      <c r="D1236" s="276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980</v>
      </c>
      <c r="C1237" s="275" t="s">
        <v>850</v>
      </c>
      <c r="D1237" s="276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981</v>
      </c>
      <c r="C1238" s="275" t="s">
        <v>850</v>
      </c>
      <c r="D1238" s="276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982</v>
      </c>
      <c r="C1239" s="275" t="s">
        <v>850</v>
      </c>
      <c r="D1239" s="276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983</v>
      </c>
      <c r="C1240" s="275" t="s">
        <v>850</v>
      </c>
      <c r="D1240" s="276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984</v>
      </c>
      <c r="C1241" s="275" t="s">
        <v>850</v>
      </c>
      <c r="D1241" s="276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985</v>
      </c>
      <c r="C1242" s="275" t="s">
        <v>850</v>
      </c>
      <c r="D1242" s="276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986</v>
      </c>
      <c r="C1243" s="275" t="s">
        <v>850</v>
      </c>
      <c r="D1243" s="276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987</v>
      </c>
      <c r="C1244" s="275" t="s">
        <v>850</v>
      </c>
      <c r="D1244" s="276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988</v>
      </c>
      <c r="C1245" s="275" t="s">
        <v>850</v>
      </c>
      <c r="D1245" s="276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989</v>
      </c>
      <c r="C1246" s="275" t="s">
        <v>850</v>
      </c>
      <c r="D1246" s="276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990</v>
      </c>
      <c r="C1247" s="275" t="s">
        <v>850</v>
      </c>
      <c r="D1247" s="276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991</v>
      </c>
      <c r="C1248" s="275" t="s">
        <v>850</v>
      </c>
      <c r="D1248" s="276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992</v>
      </c>
      <c r="C1249" s="275" t="s">
        <v>850</v>
      </c>
      <c r="D1249" s="276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993</v>
      </c>
      <c r="C1250" s="275" t="s">
        <v>850</v>
      </c>
      <c r="D1250" s="276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994</v>
      </c>
      <c r="C1251" s="275" t="s">
        <v>850</v>
      </c>
      <c r="D1251" s="276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995</v>
      </c>
      <c r="C1252" s="275" t="s">
        <v>850</v>
      </c>
      <c r="D1252" s="276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996</v>
      </c>
      <c r="C1253" s="275" t="s">
        <v>850</v>
      </c>
      <c r="D1253" s="276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997</v>
      </c>
      <c r="C1254" s="275" t="s">
        <v>850</v>
      </c>
      <c r="D1254" s="276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998</v>
      </c>
      <c r="C1255" s="275" t="s">
        <v>850</v>
      </c>
      <c r="D1255" s="276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999</v>
      </c>
      <c r="C1256" s="275" t="s">
        <v>850</v>
      </c>
      <c r="D1256" s="276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1000</v>
      </c>
      <c r="C1257" s="275" t="s">
        <v>850</v>
      </c>
      <c r="D1257" s="276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1001</v>
      </c>
      <c r="C1258" s="275" t="s">
        <v>850</v>
      </c>
      <c r="D1258" s="276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1002</v>
      </c>
      <c r="C1259" s="275" t="s">
        <v>850</v>
      </c>
      <c r="D1259" s="276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1003</v>
      </c>
      <c r="C1260" s="275" t="s">
        <v>850</v>
      </c>
      <c r="D1260" s="276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1004</v>
      </c>
      <c r="C1261" s="275" t="s">
        <v>850</v>
      </c>
      <c r="D1261" s="276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1005</v>
      </c>
      <c r="C1262" s="275" t="s">
        <v>850</v>
      </c>
      <c r="D1262" s="276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1006</v>
      </c>
      <c r="C1263" s="275" t="s">
        <v>850</v>
      </c>
      <c r="D1263" s="276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1007</v>
      </c>
      <c r="C1264" s="275" t="s">
        <v>850</v>
      </c>
      <c r="D1264" s="276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1008</v>
      </c>
      <c r="C1265" s="275" t="s">
        <v>850</v>
      </c>
      <c r="D1265" s="276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1009</v>
      </c>
      <c r="C1266" s="275" t="s">
        <v>850</v>
      </c>
      <c r="D1266" s="276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1010</v>
      </c>
      <c r="C1267" s="275" t="s">
        <v>850</v>
      </c>
      <c r="D1267" s="276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1011</v>
      </c>
      <c r="C1268" s="275" t="s">
        <v>850</v>
      </c>
      <c r="D1268" s="276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1012</v>
      </c>
      <c r="C1269" s="275" t="s">
        <v>850</v>
      </c>
      <c r="D1269" s="276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1013</v>
      </c>
      <c r="C1270" s="275" t="s">
        <v>850</v>
      </c>
      <c r="D1270" s="276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1014</v>
      </c>
      <c r="C1271" s="275" t="s">
        <v>850</v>
      </c>
      <c r="D1271" s="276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1015</v>
      </c>
      <c r="C1272" s="275" t="s">
        <v>850</v>
      </c>
      <c r="D1272" s="276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5">
      <c r="A1273" s="83">
        <f t="shared" si="44"/>
        <v>167</v>
      </c>
      <c r="B1273" s="231" t="s">
        <v>1016</v>
      </c>
      <c r="C1273" s="275" t="s">
        <v>850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1017</v>
      </c>
      <c r="C1274" s="275" t="s">
        <v>850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5">
      <c r="A1275" s="83">
        <f t="shared" si="44"/>
        <v>169</v>
      </c>
      <c r="B1275" s="231" t="s">
        <v>1018</v>
      </c>
      <c r="C1275" s="275" t="s">
        <v>850</v>
      </c>
      <c r="D1275" s="276" t="s">
        <v>1019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1020</v>
      </c>
      <c r="C1276" s="275" t="s">
        <v>850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1021</v>
      </c>
      <c r="C1277" s="275" t="s">
        <v>850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5">
      <c r="A1278" s="83">
        <f t="shared" si="44"/>
        <v>172</v>
      </c>
      <c r="B1278" s="231" t="s">
        <v>1022</v>
      </c>
      <c r="C1278" s="275" t="s">
        <v>850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5">
      <c r="A1279" s="83">
        <f t="shared" si="44"/>
        <v>173</v>
      </c>
      <c r="B1279" s="231" t="s">
        <v>1023</v>
      </c>
      <c r="C1279" s="275" t="s">
        <v>850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5">
      <c r="A1280" s="83">
        <f t="shared" si="44"/>
        <v>174</v>
      </c>
      <c r="B1280" s="286" t="s">
        <v>1024</v>
      </c>
      <c r="C1280" s="275" t="s">
        <v>850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1025</v>
      </c>
      <c r="C1281" s="275" t="s">
        <v>850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5">
      <c r="A1282" s="83">
        <f t="shared" si="44"/>
        <v>176</v>
      </c>
      <c r="B1282" s="286" t="s">
        <v>1026</v>
      </c>
      <c r="C1282" s="275" t="s">
        <v>850</v>
      </c>
      <c r="D1282" s="276" t="s">
        <v>1019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5">
      <c r="A1283" s="83">
        <f t="shared" si="44"/>
        <v>177</v>
      </c>
      <c r="B1283" s="231" t="s">
        <v>1027</v>
      </c>
      <c r="C1283" s="275" t="s">
        <v>850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5">
      <c r="A1284" s="83">
        <f t="shared" si="44"/>
        <v>178</v>
      </c>
      <c r="B1284" s="231" t="s">
        <v>1027</v>
      </c>
      <c r="C1284" s="275" t="s">
        <v>850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5">
      <c r="A1285" s="83">
        <f t="shared" si="44"/>
        <v>179</v>
      </c>
      <c r="B1285" s="231" t="s">
        <v>1028</v>
      </c>
      <c r="C1285" s="275" t="s">
        <v>850</v>
      </c>
      <c r="D1285" s="276" t="s">
        <v>1029</v>
      </c>
      <c r="E1285" s="141">
        <v>10166.700000000001</v>
      </c>
      <c r="F1285" s="277" t="s">
        <v>1029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1030</v>
      </c>
      <c r="C1286" s="275" t="s">
        <v>850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1031</v>
      </c>
      <c r="C1287" s="275" t="s">
        <v>850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5">
      <c r="A1288" s="83">
        <f t="shared" si="44"/>
        <v>182</v>
      </c>
      <c r="B1288" s="231" t="s">
        <v>1032</v>
      </c>
      <c r="C1288" s="275" t="s">
        <v>850</v>
      </c>
      <c r="D1288" s="276" t="s">
        <v>210</v>
      </c>
      <c r="E1288" s="141">
        <v>62000</v>
      </c>
      <c r="F1288" s="277" t="s">
        <v>210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2.75">
      <c r="A1289" s="83">
        <f t="shared" si="44"/>
        <v>183</v>
      </c>
      <c r="B1289" s="231" t="s">
        <v>1033</v>
      </c>
      <c r="C1289" s="275" t="s">
        <v>850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5">
      <c r="A1290" s="83">
        <f t="shared" si="44"/>
        <v>184</v>
      </c>
      <c r="B1290" s="231" t="s">
        <v>1034</v>
      </c>
      <c r="C1290" s="275" t="s">
        <v>850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4.65" thickBot="1">
      <c r="B1325"/>
      <c r="C1325"/>
      <c r="D1325"/>
      <c r="E1325"/>
      <c r="F1325" s="189"/>
      <c r="H1325"/>
      <c r="I1325"/>
    </row>
    <row r="1326" spans="1:10" ht="21.4" thickBot="1">
      <c r="A1326" s="131" t="s">
        <v>97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82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5">
      <c r="A1348" s="41">
        <f t="shared" si="48"/>
        <v>21</v>
      </c>
      <c r="B1348" s="150" t="s">
        <v>1056</v>
      </c>
      <c r="C1348" s="37" t="s">
        <v>1036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5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5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5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5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5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1070</v>
      </c>
      <c r="C1357" s="37" t="s">
        <v>1036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1071</v>
      </c>
      <c r="C1358" s="37" t="s">
        <v>1036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1072</v>
      </c>
      <c r="C1359" s="37" t="s">
        <v>1036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5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5">
      <c r="A1362" s="41">
        <f t="shared" si="50"/>
        <v>35</v>
      </c>
      <c r="B1362" s="184" t="s">
        <v>1075</v>
      </c>
      <c r="C1362" s="37" t="s">
        <v>1036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5">
      <c r="A1363" s="41">
        <f t="shared" si="50"/>
        <v>36</v>
      </c>
      <c r="B1363" s="167" t="s">
        <v>1076</v>
      </c>
      <c r="C1363" s="37" t="s">
        <v>1036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5">
      <c r="A1364" s="41">
        <f t="shared" si="50"/>
        <v>37</v>
      </c>
      <c r="B1364" s="167" t="s">
        <v>1077</v>
      </c>
      <c r="C1364" s="37" t="s">
        <v>1036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5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5">
      <c r="A1369" s="41">
        <f t="shared" si="50"/>
        <v>42</v>
      </c>
      <c r="B1369" s="184" t="s">
        <v>1083</v>
      </c>
      <c r="C1369" s="37" t="s">
        <v>1036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5">
      <c r="A1370" s="41">
        <f t="shared" si="50"/>
        <v>43</v>
      </c>
      <c r="B1370" s="184" t="s">
        <v>1084</v>
      </c>
      <c r="C1370" s="37" t="s">
        <v>1036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5">
      <c r="A1372" s="41">
        <f t="shared" si="50"/>
        <v>45</v>
      </c>
      <c r="B1372" s="169" t="s">
        <v>1086</v>
      </c>
      <c r="C1372" s="37" t="s">
        <v>1036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5">
      <c r="A1373" s="41">
        <f t="shared" si="50"/>
        <v>46</v>
      </c>
      <c r="B1373" s="40" t="s">
        <v>1087</v>
      </c>
      <c r="C1373" s="161" t="s">
        <v>1036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1088</v>
      </c>
      <c r="C1374" s="161" t="s">
        <v>1036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1089</v>
      </c>
      <c r="C1375" s="161" t="s">
        <v>1036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1090</v>
      </c>
      <c r="C1376" s="161" t="s">
        <v>1036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1091</v>
      </c>
      <c r="C1377" s="161" t="s">
        <v>1036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1092</v>
      </c>
      <c r="C1378" s="161" t="s">
        <v>1036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1093</v>
      </c>
      <c r="C1379" s="37" t="s">
        <v>1036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1094</v>
      </c>
      <c r="C1380" s="219" t="s">
        <v>1036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7" t="s">
        <v>1095</v>
      </c>
      <c r="C1381" s="219" t="s">
        <v>1036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8" t="s">
        <v>1096</v>
      </c>
      <c r="C1382" s="221" t="s">
        <v>1036</v>
      </c>
      <c r="D1382" s="292" t="s">
        <v>115</v>
      </c>
      <c r="E1382" s="222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115</v>
      </c>
      <c r="E1383" s="222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1098</v>
      </c>
      <c r="C1384" s="219" t="s">
        <v>1036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1099</v>
      </c>
      <c r="C1385" s="219" t="s">
        <v>1036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1100</v>
      </c>
      <c r="C1386" s="219" t="s">
        <v>1036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1101</v>
      </c>
      <c r="C1387" s="219" t="s">
        <v>1036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1102</v>
      </c>
      <c r="C1388" s="219" t="s">
        <v>1036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1103</v>
      </c>
      <c r="C1389" s="219" t="s">
        <v>1036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1104</v>
      </c>
      <c r="C1390" s="219" t="s">
        <v>1036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1105</v>
      </c>
      <c r="C1391" s="219" t="s">
        <v>1036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1106</v>
      </c>
      <c r="C1392" s="219" t="s">
        <v>1036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1107</v>
      </c>
      <c r="C1393" s="219" t="s">
        <v>1036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1108</v>
      </c>
      <c r="C1394" s="219" t="s">
        <v>1036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1109</v>
      </c>
      <c r="C1395" s="219" t="s">
        <v>1036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1110</v>
      </c>
      <c r="C1396" s="219" t="s">
        <v>1036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8.5">
      <c r="A1397" s="282">
        <f t="shared" si="52"/>
        <v>70</v>
      </c>
      <c r="B1397" s="284" t="s">
        <v>1111</v>
      </c>
      <c r="C1397" s="219" t="s">
        <v>1036</v>
      </c>
      <c r="D1397" s="247" t="s">
        <v>1058</v>
      </c>
      <c r="E1397" s="166">
        <v>74866.666666666672</v>
      </c>
      <c r="F1397" s="193" t="s">
        <v>1058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1112</v>
      </c>
      <c r="C1398" s="219" t="s">
        <v>1036</v>
      </c>
      <c r="D1398" s="247" t="s">
        <v>1113</v>
      </c>
      <c r="E1398" s="166">
        <v>74866.666666666672</v>
      </c>
      <c r="F1398" s="193" t="s">
        <v>1113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1114</v>
      </c>
      <c r="C1399" s="219" t="s">
        <v>1036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5">
      <c r="A1400" s="282">
        <f t="shared" si="52"/>
        <v>73</v>
      </c>
      <c r="B1400" s="284" t="s">
        <v>1115</v>
      </c>
      <c r="C1400" s="219" t="s">
        <v>1036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1116</v>
      </c>
      <c r="C1401" s="219" t="s">
        <v>1036</v>
      </c>
      <c r="D1401" s="247" t="s">
        <v>1067</v>
      </c>
      <c r="E1401" s="166">
        <v>513.33285714285716</v>
      </c>
      <c r="F1401" s="193" t="s">
        <v>1067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1117</v>
      </c>
      <c r="C1402" s="219" t="s">
        <v>1036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1118</v>
      </c>
      <c r="C1403" s="219" t="s">
        <v>1036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5">
      <c r="A1404" s="282">
        <f t="shared" si="52"/>
        <v>77</v>
      </c>
      <c r="B1404" s="284" t="s">
        <v>1119</v>
      </c>
      <c r="C1404" s="219" t="s">
        <v>1036</v>
      </c>
      <c r="D1404" s="247" t="s">
        <v>178</v>
      </c>
      <c r="E1404" s="166">
        <v>3200</v>
      </c>
      <c r="F1404" s="193" t="s">
        <v>178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1120</v>
      </c>
      <c r="C1405" s="219" t="s">
        <v>1036</v>
      </c>
      <c r="D1405" s="247" t="s">
        <v>220</v>
      </c>
      <c r="E1405" s="166">
        <v>7200</v>
      </c>
      <c r="F1405" s="193" t="s">
        <v>1058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1121</v>
      </c>
      <c r="C1406" s="221" t="s">
        <v>1036</v>
      </c>
      <c r="D1406" s="10" t="s">
        <v>362</v>
      </c>
      <c r="E1406" s="222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1122</v>
      </c>
      <c r="C1407" s="219" t="s">
        <v>1036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1123</v>
      </c>
      <c r="C1408" s="219" t="s">
        <v>1036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1124</v>
      </c>
      <c r="C1409" s="219" t="s">
        <v>1036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1125</v>
      </c>
      <c r="C1410" s="219" t="s">
        <v>1036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1126</v>
      </c>
      <c r="C1411" s="219" t="s">
        <v>1036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1127</v>
      </c>
      <c r="C1412" s="219" t="s">
        <v>1036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1128</v>
      </c>
      <c r="C1413" s="219" t="s">
        <v>1036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1129</v>
      </c>
      <c r="C1414" s="219" t="s">
        <v>1036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1130</v>
      </c>
      <c r="C1415" s="221" t="s">
        <v>1036</v>
      </c>
      <c r="D1415" s="10" t="s">
        <v>362</v>
      </c>
      <c r="E1415" s="222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97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82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1131</v>
      </c>
      <c r="C1428" s="219" t="s">
        <v>62</v>
      </c>
      <c r="D1428" s="234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62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62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62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62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62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62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62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62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62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62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62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62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62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62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62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62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>
      <c r="A1445" s="41">
        <f t="shared" si="54"/>
        <v>18</v>
      </c>
      <c r="B1445" s="36" t="s">
        <v>1149</v>
      </c>
      <c r="C1445" s="219" t="s">
        <v>62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5">
      <c r="A1446" s="41">
        <f t="shared" si="54"/>
        <v>19</v>
      </c>
      <c r="B1446" s="36" t="s">
        <v>1150</v>
      </c>
      <c r="C1446" s="219" t="s">
        <v>62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62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62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62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62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62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62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62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62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62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62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62</v>
      </c>
      <c r="D1457" s="48" t="s">
        <v>1067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62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62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62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62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62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62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62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62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62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62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62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62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62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62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62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62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62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62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62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62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62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62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62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5">
      <c r="A1481" s="41">
        <f t="shared" si="56"/>
        <v>54</v>
      </c>
      <c r="B1481" s="42" t="s">
        <v>1185</v>
      </c>
      <c r="C1481" s="219" t="s">
        <v>62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2.75">
      <c r="A1482" s="41">
        <f t="shared" si="56"/>
        <v>55</v>
      </c>
      <c r="B1482" s="42" t="s">
        <v>1186</v>
      </c>
      <c r="C1482" s="219" t="s">
        <v>62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62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62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62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62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62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62</v>
      </c>
      <c r="D1488" s="48" t="s">
        <v>1067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62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62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62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62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62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62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62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62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62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62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62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62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62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62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>
      <c r="A1503" s="41">
        <f t="shared" si="56"/>
        <v>76</v>
      </c>
      <c r="B1503" s="42" t="s">
        <v>1209</v>
      </c>
      <c r="C1503" s="219" t="s">
        <v>62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1210</v>
      </c>
      <c r="C1504" s="219" t="s">
        <v>62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62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62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62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62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5">
      <c r="A1509" s="41">
        <f t="shared" si="56"/>
        <v>82</v>
      </c>
      <c r="B1509" s="42" t="s">
        <v>1215</v>
      </c>
      <c r="C1509" s="219" t="s">
        <v>62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97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82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2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1307</v>
      </c>
      <c r="F1" s="12" t="s">
        <v>1308</v>
      </c>
      <c r="H1" s="15" t="s">
        <v>1309</v>
      </c>
      <c r="I1" s="15" t="s">
        <v>1310</v>
      </c>
      <c r="K1" s="15" t="s">
        <v>25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5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47</v>
      </c>
    </row>
    <row r="3" spans="1:13" outlineLevel="1">
      <c r="A3" s="3" t="s">
        <v>1318</v>
      </c>
      <c r="B3" s="5" t="s">
        <v>220</v>
      </c>
      <c r="D3" s="265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34</v>
      </c>
    </row>
    <row r="4" spans="1:13" ht="28.5" outlineLevel="1">
      <c r="A4" s="2" t="s">
        <v>1323</v>
      </c>
      <c r="B4" s="5" t="s">
        <v>311</v>
      </c>
      <c r="D4" s="266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27</v>
      </c>
    </row>
    <row r="5" spans="1:13" ht="28.5" outlineLevel="1">
      <c r="A5" s="3" t="s">
        <v>1328</v>
      </c>
      <c r="B5" s="5" t="s">
        <v>1329</v>
      </c>
      <c r="D5" s="268" t="s">
        <v>15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850</v>
      </c>
    </row>
    <row r="6" spans="1:13" outlineLevel="1">
      <c r="A6" s="2" t="s">
        <v>328</v>
      </c>
      <c r="B6" s="5" t="s">
        <v>328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29</v>
      </c>
    </row>
    <row r="8" spans="1:13" ht="15.4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38</v>
      </c>
    </row>
    <row r="9" spans="1:13" outlineLevel="1">
      <c r="A9" s="2" t="s">
        <v>1347</v>
      </c>
      <c r="B9" s="5" t="s">
        <v>1200</v>
      </c>
      <c r="F9" s="2" t="s">
        <v>10</v>
      </c>
      <c r="H9" t="s">
        <v>1348</v>
      </c>
      <c r="I9">
        <v>70323724</v>
      </c>
      <c r="K9" t="s">
        <v>1349</v>
      </c>
      <c r="M9" s="79" t="s">
        <v>65</v>
      </c>
    </row>
    <row r="10" spans="1:13" outlineLevel="1">
      <c r="A10" s="2" t="s">
        <v>1350</v>
      </c>
      <c r="B10" s="5" t="s">
        <v>109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126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62</v>
      </c>
    </row>
    <row r="12" spans="1:13" ht="28.5" outlineLevel="1">
      <c r="A12" s="3" t="s">
        <v>1359</v>
      </c>
      <c r="B12" s="5" t="s">
        <v>1029</v>
      </c>
      <c r="F12" s="301" t="s">
        <v>1360</v>
      </c>
      <c r="H12" s="27" t="s">
        <v>1361</v>
      </c>
      <c r="I12" s="28">
        <v>32184975</v>
      </c>
      <c r="M12" s="232" t="s">
        <v>1218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1228</v>
      </c>
      <c r="H14" s="24" t="s">
        <v>1365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242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362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1221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245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110</v>
      </c>
      <c r="H21" s="21" t="s">
        <v>1380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212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178</v>
      </c>
      <c r="H24" s="21" t="s">
        <v>7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115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4" t="s">
        <v>1392</v>
      </c>
      <c r="I31" s="254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