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<sst xmlns="http://schemas.openxmlformats.org/spreadsheetml/2006/main" count="5038" uniqueCount="1392">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</sst>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/>
      </c>
      <c r="G1" s="330"/>
      <c r="H1" s="331"/>
      <c r="I1" s="332" t="s">
        <v>1</v>
      </c>
      <c r="J1" s="333"/>
      <c r="K1" s="247"/>
      <c r="L1" s="334" t="s">
        <v>2</v>
      </c>
      <c r="M1" s="335"/>
      <c r="N1" s="335"/>
      <c r="O1" s="336"/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/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 t="str">
        <f>IF(E2="","",INDEX(Listas!H2:I30,MATCH('Soli_citud '!E2,Listas!H2:H30,0),2))</f>
        <v/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/>
      <c r="F3" s="363"/>
      <c r="G3" s="363"/>
      <c r="H3" s="363"/>
      <c r="I3" s="363"/>
      <c r="J3" s="363"/>
      <c r="K3" s="364"/>
      <c r="L3" s="374" t="s">
        <v>8</v>
      </c>
      <c r="M3" s="375"/>
      <c r="N3" s="334"/>
      <c r="O3" s="313"/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9</v>
      </c>
      <c r="B4" s="344"/>
      <c r="C4" s="344"/>
      <c r="D4" s="338"/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11</v>
      </c>
      <c r="B5" s="365"/>
      <c r="C5" s="365"/>
      <c r="D5" s="366">
        <f>IF(K5="","",(SUM(W10:Y28)-(SUMIF(U10:V28,"Restar_Pedido",W10:Y28)))/$K$5)</f>
        <v>0</v>
      </c>
      <c r="E5" s="367"/>
      <c r="F5" s="368"/>
      <c r="G5" s="351" t="s">
        <v>12</v>
      </c>
      <c r="H5" s="369"/>
      <c r="I5" s="369"/>
      <c r="J5" s="352"/>
      <c r="K5" s="325">
        <v>3</v>
      </c>
      <c r="L5" s="325"/>
      <c r="M5" s="326" t="s">
        <v>13</v>
      </c>
      <c r="N5" s="326"/>
      <c r="O5" s="379">
        <f>IFERROR(IF(K5=0,"",D5*K5),"")</f>
        <v>0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16</v>
      </c>
      <c r="P7" s="358"/>
      <c r="Q7" s="359" t="s">
        <v>17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18</v>
      </c>
      <c r="T8" s="371"/>
      <c r="U8" s="371"/>
      <c r="V8" s="372">
        <f>IF(K5="","",1/K5)</f>
        <v>0.33333333333333331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19</v>
      </c>
      <c r="T9" s="370"/>
      <c r="U9" s="358" t="s">
        <v>20</v>
      </c>
      <c r="V9" s="358"/>
      <c r="W9" s="358" t="s">
        <v>21</v>
      </c>
      <c r="X9" s="358"/>
      <c r="Y9" s="358"/>
    </row>
    <row r="10" spans="1:28" ht="17.25" customHeight="1">
      <c r="A10" s="306"/>
      <c r="B10" s="306"/>
      <c r="C10" s="307"/>
      <c r="D10" s="319"/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si="0">IFERROR(IF(D10="","",INDEX(Tabla_Completa,MATCH(D10,Materiales,0),6)),"")</f>
        <v/>
      </c>
      <c r="P10" s="312"/>
      <c r="Q10" s="313"/>
      <c r="R10" s="314"/>
      <c r="S10" s="315">
        <f>IFERROR(IF(Q10="Unidad","1",(Q10*$K$5)),"")</f>
        <v>0</v>
      </c>
      <c r="T10" s="316"/>
      <c r="U10" s="317"/>
      <c r="V10" s="323"/>
      <c r="W10" s="318" t="str">
        <f>IFERROR(IF(D10="","",INDEX(Tabla_Completa,MATCH('Soli_citud '!D10,Materiales,0),7)*S10),"")</f>
        <v/>
      </c>
      <c r="X10" s="318"/>
      <c r="Y10" s="318"/>
      <c r="Z10" s="34"/>
    </row>
    <row r="11" spans="1:28" ht="17.25" customHeight="1">
      <c r="A11" s="305"/>
      <c r="B11" s="306"/>
      <c r="C11" s="307"/>
      <c r="D11" s="319"/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si="0"/>
        <v/>
      </c>
      <c r="P11" s="312"/>
      <c r="Q11" s="313"/>
      <c r="R11" s="314"/>
      <c r="S11" s="315">
        <f t="shared" ref="S11:S31" si="1">IFERROR(IF(Q11="Unidad","1",(Q11*$K$5)),"")</f>
        <v>0</v>
      </c>
      <c r="T11" s="316"/>
      <c r="U11" s="317"/>
      <c r="V11" s="317"/>
      <c r="W11" s="318" t="str">
        <f>IFERROR(IF(D11="","",INDEX(Tabla_Completa,MATCH('Soli_citud '!D11,Materiales,0),7)*S11),"")</f>
        <v/>
      </c>
      <c r="X11" s="318"/>
      <c r="Y11" s="318"/>
    </row>
    <row r="12" spans="1:28" ht="15.75" customHeight="1">
      <c r="A12" s="305"/>
      <c r="B12" s="306"/>
      <c r="C12" s="307"/>
      <c r="D12" s="322"/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si="2">IFERROR(IF(D12="","",INDEX(Tabla_Completa,MATCH(D12,Materiales,0),6)),"")</f>
        <v/>
      </c>
      <c r="P12" s="312"/>
      <c r="Q12" s="313"/>
      <c r="R12" s="314"/>
      <c r="S12" s="315">
        <f t="shared" si="1"/>
        <v>0</v>
      </c>
      <c r="T12" s="316"/>
      <c r="U12" s="317"/>
      <c r="V12" s="317"/>
      <c r="W12" s="318" t="str">
        <f>IFERROR(IF(D12="","",INDEX(Tabla_Completa,MATCH('Soli_citud '!D12,Materiales,0),7)*S12),"")</f>
        <v/>
      </c>
      <c r="X12" s="318"/>
      <c r="Y12" s="318"/>
    </row>
    <row r="13" spans="1:28" ht="15.75" customHeight="1">
      <c r="A13" s="305"/>
      <c r="B13" s="306"/>
      <c r="C13" s="307"/>
      <c r="D13" s="319"/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22</v>
      </c>
      <c r="B39" s="399"/>
      <c r="C39" s="399"/>
      <c r="D39" s="400" t="s">
        <v>23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25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26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27</v>
      </c>
      <c r="O44" s="389"/>
      <c r="P44" s="389"/>
      <c r="Q44" s="389"/>
      <c r="R44" s="395" t="s">
        <v>28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29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30</v>
      </c>
      <c r="O45" s="389"/>
      <c r="P45" s="389"/>
      <c r="Q45" s="389"/>
      <c r="R45" s="396" t="s">
        <v>31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32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33</v>
      </c>
      <c r="O46" s="389"/>
      <c r="P46" s="389"/>
      <c r="Q46" s="389"/>
      <c r="R46" s="388" t="s">
        <v>34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35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36</v>
      </c>
      <c r="O47" s="389"/>
      <c r="P47" s="389"/>
      <c r="Q47" s="389"/>
      <c r="R47" s="388" t="s">
        <v>37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38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39</v>
      </c>
      <c r="O48" s="389"/>
      <c r="P48" s="389"/>
      <c r="Q48" s="389"/>
      <c r="R48" s="388" t="s">
        <v>40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42</v>
      </c>
      <c r="O49" s="390"/>
      <c r="P49" s="390"/>
      <c r="Q49" s="390"/>
      <c r="R49" s="396" t="s">
        <v>43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44</v>
      </c>
      <c r="O50" s="389"/>
      <c r="P50" s="389"/>
      <c r="Q50" s="389"/>
      <c r="R50" s="388" t="s">
        <v>45</v>
      </c>
      <c r="S50" s="388"/>
      <c r="T50" s="388"/>
      <c r="U50" s="388"/>
      <c r="V50" s="388"/>
      <c r="W50" s="388"/>
      <c r="X50" s="388"/>
    </row>
    <row r="51" spans="1:24" ht="15.75">
      <c r="N51" s="389" t="s">
        <v>46</v>
      </c>
      <c r="O51" s="389"/>
      <c r="P51" s="389"/>
      <c r="Q51" s="389"/>
      <c r="R51" s="388" t="s">
        <v>47</v>
      </c>
      <c r="S51" s="388"/>
      <c r="T51" s="388"/>
      <c r="U51" s="388"/>
      <c r="V51" s="388"/>
      <c r="W51" s="388"/>
      <c r="X51" s="388"/>
    </row>
    <row r="52" spans="1:24" ht="15.75">
      <c r="N52" s="389" t="s">
        <v>48</v>
      </c>
      <c r="O52" s="389"/>
      <c r="P52" s="389"/>
      <c r="Q52" s="389"/>
      <c r="R52" s="388" t="s">
        <v>37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49</v>
      </c>
      <c r="E1" s="472"/>
      <c r="F1" s="472"/>
      <c r="G1" s="472"/>
      <c r="H1" s="472"/>
      <c r="I1" s="472"/>
      <c r="J1" s="477" t="s">
        <v>50</v>
      </c>
      <c r="K1" s="478"/>
      <c r="L1" s="478"/>
      <c r="M1" s="479"/>
      <c r="N1" s="473" t="str">
        <f>IF('Soli_citud '!O1="","",'Soli_citud '!O1)</f>
        <v/>
      </c>
      <c r="O1" s="474"/>
      <c r="P1" s="407" t="s">
        <v>51</v>
      </c>
      <c r="Q1" s="408"/>
      <c r="R1" s="403" t="str">
        <f>IF('Soli_citud '!D4="","",'Soli_citud '!D4)</f>
        <v/>
      </c>
      <c r="S1" s="40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53</v>
      </c>
      <c r="K2" s="455"/>
      <c r="L2" s="455"/>
      <c r="M2" s="456"/>
      <c r="N2" s="475" t="str">
        <f>'Soli_citud '!F1</f>
        <v/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54</v>
      </c>
      <c r="K3" s="476"/>
      <c r="L3" s="476"/>
      <c r="M3" s="476"/>
      <c r="N3" s="463" t="str">
        <f>IF('Soli_citud '!O3="","",'Soli_citud '!O3)</f>
        <v/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55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56</v>
      </c>
      <c r="C6" s="449"/>
      <c r="D6" s="450"/>
      <c r="E6" s="465" t="s">
        <v>57</v>
      </c>
      <c r="F6" s="465"/>
      <c r="G6" s="465"/>
      <c r="H6" s="465"/>
      <c r="I6" s="466"/>
      <c r="J6" s="439" t="s">
        <v>58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>IFERROR(IF(R3="","",G9*M10),"")</f>
        <v/>
      </c>
      <c r="S7" s="419"/>
    </row>
    <row r="8" spans="1:27" ht="20.25" customHeight="1">
      <c r="A8" s="258"/>
      <c r="B8" s="426" t="str">
        <f>IF('Soli_citud '!D5&lt;= 0,"",'Soli_citud '!D5)</f>
        <v/>
      </c>
      <c r="C8" s="427"/>
      <c r="D8" s="428"/>
      <c r="E8" s="445" t="s">
        <v>59</v>
      </c>
      <c r="F8" s="446"/>
      <c r="G8" s="446"/>
      <c r="H8" s="446"/>
      <c r="I8" s="447"/>
      <c r="J8" s="441" t="str">
        <f>IF('Soli_citud '!E2="","",'Soli_citud '!E2)</f>
        <v/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60</v>
      </c>
      <c r="C9" s="430"/>
      <c r="D9" s="422"/>
      <c r="E9" s="421" t="s">
        <v>61</v>
      </c>
      <c r="F9" s="421"/>
      <c r="G9" s="433" t="str">
        <f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62</v>
      </c>
      <c r="K10" s="461"/>
      <c r="L10" s="462"/>
      <c r="M10" s="243">
        <f>'Soli_citud '!K5</f>
        <v>3</v>
      </c>
      <c r="N10" s="443" t="s">
        <v>63</v>
      </c>
      <c r="O10" s="444"/>
      <c r="P10" s="411"/>
      <c r="Q10" s="41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23" t="s">
        <v>67</v>
      </c>
      <c r="D11" s="424"/>
      <c r="E11" s="424"/>
      <c r="F11" s="425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59" t="s">
        <v>20</v>
      </c>
      <c r="M11" s="460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20" t="str">
        <f>IFERROR(IF('Soli_citud '!D10="","",'Soli_citud '!D10),"")</f>
        <v/>
      </c>
      <c r="D12" s="420"/>
      <c r="E12" s="420"/>
      <c r="F12" s="420"/>
      <c r="G12" s="227" t="str">
        <f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20" t="str">
        <f>IFERROR(IF('Soli_citud '!D11="","",'Soli_citud '!D11),"")</f>
        <v/>
      </c>
      <c r="D13" s="420"/>
      <c r="E13" s="420"/>
      <c r="F13" s="420"/>
      <c r="G13" s="227" t="str">
        <f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20" t="str">
        <f>IFERROR(IF('Soli_citud '!D12="","",'Soli_citud '!D12),"")</f>
        <v/>
      </c>
      <c r="D14" s="420"/>
      <c r="E14" s="420"/>
      <c r="F14" s="420"/>
      <c r="G14" s="227" t="str">
        <f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20" t="str">
        <f>IFERROR(IF('Soli_citud '!D13="","",'Soli_citud '!D13),"")</f>
        <v/>
      </c>
      <c r="D15" s="420"/>
      <c r="E15" s="420"/>
      <c r="F15" s="420"/>
      <c r="G15" s="227" t="str">
        <f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7" t="str">
        <f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7" t="str">
        <f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7" t="str">
        <f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7" t="str">
        <f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7" t="str">
        <f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topRight" activeCell="D13" sqref="D13:N13"/>
      <selection pane="bottomLeft" activeCell="D13" sqref="D13:N13"/>
      <selection pane="bottomRight" sqref="A1:D3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79</v>
      </c>
      <c r="F1" s="486"/>
      <c r="Z1" s="253" t="s">
        <v>52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2"/>
      <c r="D6" s="483"/>
      <c r="H6" s="480" t="s">
        <v>81</v>
      </c>
      <c r="I6" s="480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activeCell="D13" sqref="D13:N13"/>
      <selection pane="bottomLeft" activeCell="F15" sqref="F15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2023-05-19T12:34:17Z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