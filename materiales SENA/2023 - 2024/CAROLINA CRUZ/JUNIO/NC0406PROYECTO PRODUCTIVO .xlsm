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CAROLINA CRUZ/JUNIO/"/>
    </mc:Choice>
  </mc:AlternateContent>
  <xr:revisionPtr revIDLastSave="5" documentId="8_{4DC73992-C000-4850-9F51-C932C9A324FB}" xr6:coauthVersionLast="47" xr6:coauthVersionMax="47" xr10:uidLastSave="{A4A3510D-5288-4B4C-9FFE-13301EA3B3C8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BD32E319-9EB2-4791-BE8A-D9AB0644BE42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<sst xmlns="http://schemas.openxmlformats.org/spreadsheetml/2006/main" count="5061" uniqueCount="1393">
  <si>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</si>
  <si>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</si>
  <si>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</si>
  <si>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</si>
  <si>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</si>
  <si>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</si>
  <si>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Cruz Mazo</t>
  </si>
  <si>
    <t>CÉDULA</t>
  </si>
  <si>
    <t>PROGRAMA</t>
  </si>
  <si>
    <t>MAN_ PROD_ EN CUERO CON TÉCNICAS MANUALES</t>
  </si>
  <si>
    <t>FICHA(#)</t>
  </si>
  <si>
    <t>NOMBRE DEL PRODUCTO</t>
  </si>
  <si>
    <t>CONSUMIBLE-PROYECTO PRODUCTIVO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</si>
  <si>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</si>
  <si>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</si>
  <si>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</si>
  <si>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</si>
  <si>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</si>
  <si>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</si>
  <si>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</si>
  <si>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</si>
  <si>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</si>
  <si>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</si>
  <si>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</si>
  <si>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</si>
  <si>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</si>
  <si>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</si>
  <si>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</si>
  <si>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</si>
  <si>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</si>
  <si>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 xml:space="preserve">CARTULINA PLANA </t>
  </si>
  <si>
    <t>SECUNDARIO_MEDULAR</t>
  </si>
  <si>
    <t>SALPA 0.5mm</t>
  </si>
  <si>
    <t>ADHESIVOS_Solventes</t>
  </si>
  <si>
    <t xml:space="preserve">PEGANTE CEMENTO DE CONTACTO BASE CLOROPRENO
</t>
  </si>
  <si>
    <t>lAMBRILLA 3 mm ( EVA)</t>
  </si>
  <si>
    <t xml:space="preserve">HILO ENCERADO 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</si>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</sst>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6" sqref="D16:N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NC0406-1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45081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1037584367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2486121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23575.549209284774</v>
      </c>
      <c r="E5" s="395"/>
      <c r="F5" s="396"/>
      <c r="G5" s="380" t="s">
        <v>16</v>
      </c>
      <c r="H5" s="397"/>
      <c r="I5" s="397"/>
      <c r="J5" s="381"/>
      <c r="K5" s="355">
        <v>18</v>
      </c>
      <c r="L5" s="355"/>
      <c r="M5" s="356" t="s">
        <v>17</v>
      </c>
      <c r="N5" s="356"/>
      <c r="O5" s="345">
        <f ca="1">IFERROR(IF(K5=0,"",D5*K5),"")</f>
        <v>424359.88576712593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5.5555555555555552E-2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14000</v>
      </c>
      <c r="R10" s="316"/>
      <c r="S10" s="317">
        <f>IFERROR(IF(Q10="Unidad","1",(Q10*$K$5)),"")</f>
        <v>252000</v>
      </c>
      <c r="T10" s="318"/>
      <c r="U10" s="305"/>
      <c r="V10" s="401"/>
      <c r="W10" s="306">
        <f ca="1">IFERROR(IF(D10="","",INDEX(Tabla_Completa,MATCH('Soli_citud '!D10,Materiales,0),7)*S10),"")</f>
        <v>173325.6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14000</v>
      </c>
      <c r="R11" s="316"/>
      <c r="S11" s="317">
        <f t="shared" ref="S11:S31" si="1">IFERROR(IF(Q11="Unidad","1",(Q11*$K$5)),"")</f>
        <v>252000</v>
      </c>
      <c r="T11" s="318"/>
      <c r="U11" s="305"/>
      <c r="V11" s="305"/>
      <c r="W11" s="306">
        <f ca="1">IFERROR(IF(D11="","",INDEX(Tabla_Completa,MATCH('Soli_citud '!D11,Materiales,0),7)*S11),"")</f>
        <v>59640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2</v>
      </c>
      <c r="R12" s="316"/>
      <c r="S12" s="317">
        <f t="shared" si="1"/>
        <v>36</v>
      </c>
      <c r="T12" s="318"/>
      <c r="U12" s="305"/>
      <c r="V12" s="305"/>
      <c r="W12" s="306">
        <f ca="1">IFERROR(IF(D12="","",INDEX(Tabla_Completa,MATCH('Soli_citud '!D12,Materiales,0),7)*S12),"")</f>
        <v>56993.520000000004</v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cm2</v>
      </c>
      <c r="P13" s="314"/>
      <c r="Q13" s="315">
        <v>1500</v>
      </c>
      <c r="R13" s="316"/>
      <c r="S13" s="317">
        <f t="shared" si="1"/>
        <v>27000</v>
      </c>
      <c r="T13" s="318"/>
      <c r="U13" s="305"/>
      <c r="V13" s="305"/>
      <c r="W13" s="306">
        <f ca="1">IFERROR(IF(D13="","",INDEX(Tabla_Completa,MATCH('Soli_citud '!D13,Materiales,0),7)*S13),"")</f>
        <v>21214.285714285714</v>
      </c>
      <c r="X13" s="306"/>
      <c r="Y13" s="306"/>
    </row>
    <row r="14" spans="1:28" ht="17.25" customHeight="1">
      <c r="A14" s="307" t="s">
        <v>33</v>
      </c>
      <c r="B14" s="308"/>
      <c r="C14" s="309"/>
      <c r="D14" s="398" t="s">
        <v>34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ml</v>
      </c>
      <c r="P14" s="314"/>
      <c r="Q14" s="315">
        <v>167</v>
      </c>
      <c r="R14" s="316"/>
      <c r="S14" s="317">
        <f t="shared" si="1"/>
        <v>3006</v>
      </c>
      <c r="T14" s="318"/>
      <c r="U14" s="305"/>
      <c r="V14" s="305"/>
      <c r="W14" s="306">
        <f ca="1">IFERROR(IF(D14="","",INDEX(Tabla_Completa,MATCH('Soli_citud '!D14,Materiales,0),7)*S14),"")</f>
        <v>52502.152708058122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cm2</v>
      </c>
      <c r="P15" s="314"/>
      <c r="Q15" s="315">
        <v>1500</v>
      </c>
      <c r="R15" s="316"/>
      <c r="S15" s="317">
        <f t="shared" si="1"/>
        <v>27000</v>
      </c>
      <c r="T15" s="318"/>
      <c r="U15" s="305"/>
      <c r="V15" s="305"/>
      <c r="W15" s="306">
        <f ca="1">IFERROR(IF(D15="","",INDEX(Tabla_Completa,MATCH('Soli_citud '!D15,Materiales,0),7)*S15),"")</f>
        <v>12929.4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Cono</v>
      </c>
      <c r="P16" s="314"/>
      <c r="Q16" s="315">
        <v>0.2</v>
      </c>
      <c r="R16" s="316"/>
      <c r="S16" s="317">
        <f t="shared" si="1"/>
        <v>3.6</v>
      </c>
      <c r="T16" s="318"/>
      <c r="U16" s="305"/>
      <c r="V16" s="305"/>
      <c r="W16" s="306">
        <f ca="1">IFERROR(IF(D16="","",INDEX(Tabla_Completa,MATCH('Soli_citud '!D16,Materiales,0),7)*S16),"")</f>
        <v>25200</v>
      </c>
      <c r="X16" s="306"/>
      <c r="Y16" s="306"/>
    </row>
    <row r="17" spans="1:25" ht="15.75" customHeight="1">
      <c r="A17" s="307" t="s">
        <v>33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ml</v>
      </c>
      <c r="P17" s="314"/>
      <c r="Q17" s="315">
        <v>167</v>
      </c>
      <c r="R17" s="316"/>
      <c r="S17" s="317">
        <f t="shared" si="1"/>
        <v>3006</v>
      </c>
      <c r="T17" s="318"/>
      <c r="U17" s="305"/>
      <c r="V17" s="305"/>
      <c r="W17" s="306">
        <f ca="1">IFERROR(IF(D17="","",INDEX(Tabla_Completa,MATCH('Soli_citud '!D17,Materiales,0),7)*S17),"")</f>
        <v>22554.927344782034</v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38</v>
      </c>
      <c r="B39" s="319"/>
      <c r="C39" s="319"/>
      <c r="D39" s="320" t="s">
        <v>39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40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41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42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33</v>
      </c>
      <c r="O44" s="332"/>
      <c r="P44" s="332"/>
      <c r="Q44" s="332"/>
      <c r="R44" s="327" t="s">
        <v>43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44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45</v>
      </c>
      <c r="O45" s="332"/>
      <c r="P45" s="332"/>
      <c r="Q45" s="332"/>
      <c r="R45" s="328" t="s">
        <v>46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47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48</v>
      </c>
      <c r="O46" s="332"/>
      <c r="P46" s="332"/>
      <c r="Q46" s="332"/>
      <c r="R46" s="329" t="s">
        <v>49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50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51</v>
      </c>
      <c r="O47" s="332"/>
      <c r="P47" s="332"/>
      <c r="Q47" s="332"/>
      <c r="R47" s="329" t="s">
        <v>52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53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54</v>
      </c>
      <c r="O48" s="332"/>
      <c r="P48" s="332"/>
      <c r="Q48" s="332"/>
      <c r="R48" s="329" t="s">
        <v>55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56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57</v>
      </c>
      <c r="O49" s="333"/>
      <c r="P49" s="333"/>
      <c r="Q49" s="333"/>
      <c r="R49" s="328" t="s">
        <v>58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59</v>
      </c>
      <c r="O50" s="332"/>
      <c r="P50" s="332"/>
      <c r="Q50" s="332"/>
      <c r="R50" s="329" t="s">
        <v>60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61</v>
      </c>
      <c r="S51" s="329"/>
      <c r="T51" s="329"/>
      <c r="U51" s="329"/>
      <c r="V51" s="329"/>
      <c r="W51" s="329"/>
      <c r="X51" s="329"/>
    </row>
    <row r="52" spans="1:24" ht="15.75">
      <c r="N52" s="332" t="s">
        <v>62</v>
      </c>
      <c r="O52" s="332"/>
      <c r="P52" s="332"/>
      <c r="Q52" s="332"/>
      <c r="R52" s="329" t="s">
        <v>52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C14" sqref="C14:F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63</v>
      </c>
      <c r="E1" s="415"/>
      <c r="F1" s="415"/>
      <c r="G1" s="415"/>
      <c r="H1" s="415"/>
      <c r="I1" s="415"/>
      <c r="J1" s="421" t="s">
        <v>64</v>
      </c>
      <c r="K1" s="422"/>
      <c r="L1" s="422"/>
      <c r="M1" s="423"/>
      <c r="N1" s="416">
        <f>IF('Soli_citud '!O1="","",'Soli_citud '!O1)</f>
        <v>45081</v>
      </c>
      <c r="O1" s="417"/>
      <c r="P1" s="467" t="s">
        <v>65</v>
      </c>
      <c r="Q1" s="468"/>
      <c r="R1" s="463" t="str">
        <f>IF('Soli_citud '!D4="","",'Soli_citud '!D4)</f>
        <v>CONSUMIBLE-PROYECTO PRODUCTIVO</v>
      </c>
      <c r="S1" s="464"/>
      <c r="Z1" t="s">
        <v>66</v>
      </c>
      <c r="AA1" s="252" t="s">
        <v>66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67</v>
      </c>
      <c r="K2" s="425"/>
      <c r="L2" s="425"/>
      <c r="M2" s="426"/>
      <c r="N2" s="418" t="str">
        <f>'Soli_citud '!F1</f>
        <v>NC0406-1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68</v>
      </c>
      <c r="K3" s="420"/>
      <c r="L3" s="420"/>
      <c r="M3" s="420"/>
      <c r="N3" s="406">
        <f>IF('Soli_citud '!O3="","",'Soli_citud '!O3)</f>
        <v>2486121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69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70</v>
      </c>
      <c r="C6" s="453"/>
      <c r="D6" s="454"/>
      <c r="E6" s="408" t="s">
        <v>71</v>
      </c>
      <c r="F6" s="408"/>
      <c r="G6" s="408"/>
      <c r="H6" s="408"/>
      <c r="I6" s="409"/>
      <c r="J6" s="443" t="s">
        <v>72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23575.549209284774</v>
      </c>
      <c r="C8" s="431"/>
      <c r="D8" s="432"/>
      <c r="E8" s="449" t="s">
        <v>73</v>
      </c>
      <c r="F8" s="450"/>
      <c r="G8" s="450"/>
      <c r="H8" s="450"/>
      <c r="I8" s="451"/>
      <c r="J8" s="445" t="str">
        <f>IF('Soli_citud '!E2="","",'Soli_citud '!E2)</f>
        <v>Narly Cruz Mazo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74</v>
      </c>
      <c r="C9" s="434"/>
      <c r="D9" s="459"/>
      <c r="E9" s="458" t="s">
        <v>75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76</v>
      </c>
      <c r="K10" s="428"/>
      <c r="L10" s="429"/>
      <c r="M10" s="242">
        <f>'Soli_citud '!K5</f>
        <v>18</v>
      </c>
      <c r="N10" s="447" t="s">
        <v>77</v>
      </c>
      <c r="O10" s="448"/>
      <c r="P10" s="471"/>
      <c r="Q10" s="472"/>
      <c r="R10" s="243" t="s">
        <v>78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4" t="s">
        <v>80</v>
      </c>
      <c r="C11" s="460" t="s">
        <v>81</v>
      </c>
      <c r="D11" s="461"/>
      <c r="E11" s="461"/>
      <c r="F11" s="462"/>
      <c r="G11" s="112" t="s">
        <v>82</v>
      </c>
      <c r="H11" s="112" t="s">
        <v>83</v>
      </c>
      <c r="I11" s="237" t="s">
        <v>84</v>
      </c>
      <c r="J11" s="110" t="s">
        <v>85</v>
      </c>
      <c r="K11" s="223" t="s">
        <v>86</v>
      </c>
      <c r="L11" s="419" t="s">
        <v>24</v>
      </c>
      <c r="M11" s="427"/>
      <c r="N11" s="240" t="s">
        <v>87</v>
      </c>
      <c r="O11" s="240" t="s">
        <v>88</v>
      </c>
      <c r="P11" s="244" t="s">
        <v>89</v>
      </c>
      <c r="Q11" s="245" t="s">
        <v>90</v>
      </c>
      <c r="R11" s="236" t="s">
        <v>91</v>
      </c>
      <c r="S11" s="224" t="s">
        <v>92</v>
      </c>
    </row>
    <row r="12" spans="1:27" ht="19.5" customHeight="1">
      <c r="A12" s="78">
        <v>1</v>
      </c>
      <c r="B12" s="265" t="str">
        <f>IF(H12="","",$N$2)</f>
        <v>NC0406-1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252000</v>
      </c>
      <c r="I12" s="227">
        <v>45083</v>
      </c>
      <c r="J12" s="228">
        <v>252000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NC0406-1</v>
      </c>
      <c r="C13" s="403" t="str">
        <f>IFERROR(IF('Soli_citud '!D11="","",'Soli_citud '!D11),"")</f>
        <v>POLITEX-KAMBREL 100 GR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252000</v>
      </c>
      <c r="I13" s="227">
        <v>45083</v>
      </c>
      <c r="J13" s="229">
        <v>252000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NC0406-1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36</v>
      </c>
      <c r="I14" s="227">
        <v>45083</v>
      </c>
      <c r="J14" s="229">
        <v>36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NC0406-1</v>
      </c>
      <c r="C15" s="403" t="str">
        <f>IFERROR(IF('Soli_citud '!D13="","",'Soli_citud '!D13),"")</f>
        <v>SALPA 0.5mm</v>
      </c>
      <c r="D15" s="403"/>
      <c r="E15" s="403"/>
      <c r="F15" s="403"/>
      <c r="G15" s="226" t="str">
        <f ca="1">IF('Soli_citud '!O13="","",'Soli_citud '!O13)</f>
        <v>cm2</v>
      </c>
      <c r="H15" s="226" cm="1">
        <f t="array" ref="H15">_xlfn.IFS('Soli_citud '!S13="","",'Soli_citud '!S13&lt;=0,"",'Soli_citud '!S13&gt;0,'Soli_citud '!S13)</f>
        <v>27000</v>
      </c>
      <c r="I15" s="227">
        <v>45083</v>
      </c>
      <c r="J15" s="229">
        <v>27000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NC0406-1</v>
      </c>
      <c r="C16" s="403" t="str">
        <f>IFERROR(IF('Soli_citud '!D14="","",'Soli_citud '!D14),"")</f>
        <v xml:space="preserve">PEGANTE CEMENTO DE CONTACTO BASE CLOROPRENO
</v>
      </c>
      <c r="D16" s="403"/>
      <c r="E16" s="403"/>
      <c r="F16" s="403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3006</v>
      </c>
      <c r="I16" s="227">
        <v>45083</v>
      </c>
      <c r="J16" s="229">
        <v>3006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NC0406-1</v>
      </c>
      <c r="C17" s="403" t="str">
        <f>IFERROR(IF('Soli_citud '!D15="","",'Soli_citud '!D15),"")</f>
        <v>lAMBRILLA 3 mm ( EVA)</v>
      </c>
      <c r="D17" s="403"/>
      <c r="E17" s="403"/>
      <c r="F17" s="403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27000</v>
      </c>
      <c r="I17" s="227">
        <v>45083</v>
      </c>
      <c r="J17" s="229">
        <v>27000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NC0406-1</v>
      </c>
      <c r="C18" s="403" t="str">
        <f>IFERROR(IF('Soli_citud '!D16="","",'Soli_citud '!D16),"")</f>
        <v xml:space="preserve">HILO ENCERADO </v>
      </c>
      <c r="D18" s="403"/>
      <c r="E18" s="403"/>
      <c r="F18" s="403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3.6</v>
      </c>
      <c r="I18" s="227">
        <v>45083</v>
      </c>
      <c r="J18" s="229">
        <v>3.6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NC0406-1</v>
      </c>
      <c r="C19" s="403" t="str">
        <f>IFERROR(IF('Soli_citud '!D17="","",'Soli_citud '!D17),"")</f>
        <v>SOLUCIÓN DE CAUCHO</v>
      </c>
      <c r="D19" s="403"/>
      <c r="E19" s="403"/>
      <c r="F19" s="403"/>
      <c r="G19" s="226" t="str">
        <f ca="1">IF('Soli_citud '!O17="","",'Soli_citud '!O17)</f>
        <v>ml</v>
      </c>
      <c r="H19" s="226" cm="1">
        <f t="array" ref="H19">_xlfn.IFS('Soli_citud '!S17="","",'Soli_citud '!S17&lt;=0,"",'Soli_citud '!S17&gt;0,'Soli_citud '!S17)</f>
        <v>3006</v>
      </c>
      <c r="I19" s="227">
        <v>45083</v>
      </c>
      <c r="J19" s="229">
        <v>3006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93</v>
      </c>
      <c r="F1" s="490"/>
      <c r="Z1" s="252" t="s">
        <v>66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8"/>
      <c r="D6" s="489"/>
      <c r="H6" s="486" t="s">
        <v>95</v>
      </c>
      <c r="I6" s="486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33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33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33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33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33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33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33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34</v>
      </c>
      <c r="C15" s="140" t="s">
        <v>33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33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33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37</v>
      </c>
      <c r="C18" s="140" t="s">
        <v>33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33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33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120</v>
      </c>
      <c r="C34" s="219" t="s">
        <v>121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9" t="s">
        <v>121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9" t="s">
        <v>121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9" t="s">
        <v>121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9" t="s">
        <v>121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9" t="s">
        <v>121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9" t="s">
        <v>121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9" t="s">
        <v>121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9" t="s">
        <v>121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9" t="s">
        <v>121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9" t="s">
        <v>121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9" t="s">
        <v>121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9" t="s">
        <v>121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9" t="s">
        <v>121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9" t="s">
        <v>121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9" t="s">
        <v>121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9" t="s">
        <v>121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9" t="s">
        <v>121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9" t="s">
        <v>121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9" t="s">
        <v>121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9" t="s">
        <v>121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9" t="s">
        <v>121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9" t="s">
        <v>121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9" t="s">
        <v>121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9" t="s">
        <v>121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9" t="s">
        <v>121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9" t="s">
        <v>121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9" t="s">
        <v>121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9" t="s">
        <v>121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9" t="s">
        <v>121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9" t="s">
        <v>121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9" t="s">
        <v>121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9" t="s">
        <v>121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9" t="s">
        <v>121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9" t="s">
        <v>121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9" t="s">
        <v>121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9" t="s">
        <v>121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9" t="s">
        <v>121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9" t="s">
        <v>121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9" t="s">
        <v>121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9" t="s">
        <v>121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9" t="s">
        <v>121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9" t="s">
        <v>121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9" t="s">
        <v>121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9" t="s">
        <v>121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9" t="s">
        <v>121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9" t="s">
        <v>121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9" t="s">
        <v>121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9" t="s">
        <v>121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9" t="s">
        <v>121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9" t="s">
        <v>121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9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9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9" t="s">
        <v>121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9" t="s">
        <v>121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9" t="s">
        <v>121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9" t="s">
        <v>121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9" t="s">
        <v>121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9" t="s">
        <v>121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9" t="s">
        <v>121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9" t="s">
        <v>121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9" t="s">
        <v>121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9" t="s">
        <v>121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9" t="s">
        <v>121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9" t="s">
        <v>121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9" t="s">
        <v>121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9" t="s">
        <v>121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9" t="s">
        <v>121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9" t="s">
        <v>121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9" t="s">
        <v>121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9" t="s">
        <v>121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9" t="s">
        <v>121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9" t="s">
        <v>121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9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9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9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9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9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9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9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9" t="s">
        <v>121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9" t="s">
        <v>121</v>
      </c>
      <c r="D115" s="48" t="s">
        <v>205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9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9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9" t="s">
        <v>121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9" t="s">
        <v>121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9" t="s">
        <v>121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9" t="s">
        <v>121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9" t="s">
        <v>121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9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9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9" t="s">
        <v>121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9" t="s">
        <v>121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9" t="s">
        <v>121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9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9" t="s">
        <v>121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9" t="s">
        <v>121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9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9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9" t="s">
        <v>121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9" t="s">
        <v>121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9" t="s">
        <v>121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9" t="s">
        <v>121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9" t="s">
        <v>121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9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9" t="s">
        <v>121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9" t="s">
        <v>121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9" t="s">
        <v>121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235</v>
      </c>
      <c r="C162" s="219" t="s">
        <v>31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236</v>
      </c>
      <c r="C163" s="219" t="s">
        <v>31</v>
      </c>
      <c r="D163" s="48" t="s">
        <v>237</v>
      </c>
      <c r="E163" s="43">
        <v>45667</v>
      </c>
      <c r="F163" s="188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238</v>
      </c>
      <c r="C164" s="219" t="s">
        <v>31</v>
      </c>
      <c r="D164" s="48" t="s">
        <v>239</v>
      </c>
      <c r="E164" s="43">
        <v>41000</v>
      </c>
      <c r="F164" s="188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241</v>
      </c>
      <c r="C165" s="219" t="s">
        <v>31</v>
      </c>
      <c r="D165" s="48" t="s">
        <v>239</v>
      </c>
      <c r="E165" s="43">
        <v>58500</v>
      </c>
      <c r="F165" s="188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9" t="s">
        <v>31</v>
      </c>
      <c r="D166" s="48" t="s">
        <v>237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9" t="s">
        <v>31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9" t="s">
        <v>31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9" t="s">
        <v>31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9" t="s">
        <v>31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9" t="s">
        <v>31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9" t="s">
        <v>31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9" t="s">
        <v>31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9" t="s">
        <v>31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9" t="s">
        <v>31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9" t="s">
        <v>31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9" t="s">
        <v>31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9" t="s">
        <v>31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9" t="s">
        <v>31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257</v>
      </c>
      <c r="C180" s="219" t="s">
        <v>31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258</v>
      </c>
      <c r="C181" s="219" t="s">
        <v>31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259</v>
      </c>
      <c r="C182" s="219" t="s">
        <v>31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260</v>
      </c>
      <c r="C183" s="219" t="s">
        <v>31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261</v>
      </c>
      <c r="C184" s="219" t="s">
        <v>31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262</v>
      </c>
      <c r="C185" s="219" t="s">
        <v>31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263</v>
      </c>
      <c r="C186" s="219" t="s">
        <v>31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264</v>
      </c>
      <c r="C187" s="219" t="s">
        <v>31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265</v>
      </c>
      <c r="C188" s="219" t="s">
        <v>31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266</v>
      </c>
      <c r="C189" s="219" t="s">
        <v>31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267</v>
      </c>
      <c r="C190" s="219" t="s">
        <v>31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268</v>
      </c>
      <c r="C191" s="219" t="s">
        <v>31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269</v>
      </c>
      <c r="C192" s="219" t="s">
        <v>31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270</v>
      </c>
      <c r="C193" s="219" t="s">
        <v>31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271</v>
      </c>
      <c r="C194" s="219" t="s">
        <v>31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272</v>
      </c>
      <c r="C195" s="219" t="s">
        <v>31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273</v>
      </c>
      <c r="C196" s="219" t="s">
        <v>31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274</v>
      </c>
      <c r="C197" s="219" t="s">
        <v>31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275</v>
      </c>
      <c r="C198" s="219" t="s">
        <v>31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276</v>
      </c>
      <c r="C199" s="219" t="s">
        <v>31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277</v>
      </c>
      <c r="C200" s="219" t="s">
        <v>31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278</v>
      </c>
      <c r="C201" s="219" t="s">
        <v>31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279</v>
      </c>
      <c r="C202" s="219" t="s">
        <v>31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280</v>
      </c>
      <c r="C203" s="219" t="s">
        <v>31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281</v>
      </c>
      <c r="C204" s="219" t="s">
        <v>31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282</v>
      </c>
      <c r="C205" s="219" t="s">
        <v>31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283</v>
      </c>
      <c r="C206" s="219" t="s">
        <v>31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284</v>
      </c>
      <c r="C207" s="219" t="s">
        <v>31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285</v>
      </c>
      <c r="C208" s="219" t="s">
        <v>31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286</v>
      </c>
      <c r="C209" s="219" t="s">
        <v>31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287</v>
      </c>
      <c r="C210" s="219" t="s">
        <v>31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288</v>
      </c>
      <c r="C211" s="219" t="s">
        <v>31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289</v>
      </c>
      <c r="C212" s="219" t="s">
        <v>31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290</v>
      </c>
      <c r="C213" s="219" t="s">
        <v>31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291</v>
      </c>
      <c r="C214" s="219" t="s">
        <v>31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292</v>
      </c>
      <c r="C215" s="219" t="s">
        <v>31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293</v>
      </c>
      <c r="C216" s="219" t="s">
        <v>31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294</v>
      </c>
      <c r="C217" s="219" t="s">
        <v>31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295</v>
      </c>
      <c r="C218" s="219" t="s">
        <v>31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296</v>
      </c>
      <c r="C219" s="219" t="s">
        <v>31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297</v>
      </c>
      <c r="C220" s="219" t="s">
        <v>31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298</v>
      </c>
      <c r="C221" s="219" t="s">
        <v>31</v>
      </c>
      <c r="D221" s="48" t="s">
        <v>173</v>
      </c>
      <c r="E221" s="43">
        <v>475.34</v>
      </c>
      <c r="F221" s="300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299</v>
      </c>
      <c r="C222" s="219" t="s">
        <v>31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300</v>
      </c>
      <c r="C223" s="219" t="s">
        <v>31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301</v>
      </c>
      <c r="C224" s="219" t="s">
        <v>31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302</v>
      </c>
      <c r="C225" s="219" t="s">
        <v>31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303</v>
      </c>
      <c r="C226" s="219" t="s">
        <v>31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304</v>
      </c>
      <c r="C227" s="219" t="s">
        <v>31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305</v>
      </c>
      <c r="C228" s="219" t="s">
        <v>31</v>
      </c>
      <c r="D228" s="48" t="s">
        <v>240</v>
      </c>
      <c r="E228" s="166">
        <v>9800</v>
      </c>
      <c r="F228" s="192" t="s">
        <v>306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307</v>
      </c>
      <c r="C229" s="219" t="s">
        <v>31</v>
      </c>
      <c r="D229" s="48" t="s">
        <v>240</v>
      </c>
      <c r="E229" s="166">
        <v>943.5</v>
      </c>
      <c r="F229" s="192" t="s">
        <v>306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308</v>
      </c>
      <c r="C230" s="219" t="s">
        <v>31</v>
      </c>
      <c r="D230" s="48" t="s">
        <v>240</v>
      </c>
      <c r="E230" s="166">
        <v>943.5</v>
      </c>
      <c r="F230" s="192" t="s">
        <v>306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309</v>
      </c>
      <c r="C231" s="219" t="s">
        <v>31</v>
      </c>
      <c r="D231" s="48" t="s">
        <v>240</v>
      </c>
      <c r="E231" s="166">
        <v>1223</v>
      </c>
      <c r="F231" s="192" t="s">
        <v>306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310</v>
      </c>
      <c r="C232" s="219" t="s">
        <v>31</v>
      </c>
      <c r="D232" s="49" t="s">
        <v>237</v>
      </c>
      <c r="E232" s="166">
        <v>16471.25</v>
      </c>
      <c r="F232" s="301" t="s">
        <v>237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311</v>
      </c>
      <c r="C233" s="219" t="s">
        <v>31</v>
      </c>
      <c r="D233" s="49" t="s">
        <v>237</v>
      </c>
      <c r="E233" s="166">
        <v>32931.5</v>
      </c>
      <c r="F233" s="301" t="s">
        <v>237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312</v>
      </c>
      <c r="C234" s="219" t="s">
        <v>31</v>
      </c>
      <c r="D234" s="49" t="s">
        <v>237</v>
      </c>
      <c r="E234" s="166">
        <v>16209.5</v>
      </c>
      <c r="F234" s="301" t="s">
        <v>237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313</v>
      </c>
      <c r="C235" s="219" t="s">
        <v>31</v>
      </c>
      <c r="D235" s="49" t="s">
        <v>237</v>
      </c>
      <c r="E235" s="166">
        <v>32417</v>
      </c>
      <c r="F235" s="301" t="s">
        <v>237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314</v>
      </c>
      <c r="C236" s="219" t="s">
        <v>31</v>
      </c>
      <c r="D236" s="49" t="s">
        <v>237</v>
      </c>
      <c r="E236" s="166">
        <v>50250</v>
      </c>
      <c r="F236" s="301" t="s">
        <v>237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315</v>
      </c>
      <c r="C237" s="219" t="s">
        <v>31</v>
      </c>
      <c r="D237" s="49" t="s">
        <v>237</v>
      </c>
      <c r="E237" s="166">
        <v>25131.5</v>
      </c>
      <c r="F237" s="301" t="s">
        <v>237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316</v>
      </c>
      <c r="C238" s="219" t="s">
        <v>31</v>
      </c>
      <c r="D238" s="48" t="s">
        <v>239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317</v>
      </c>
      <c r="C239" s="219" t="s">
        <v>31</v>
      </c>
      <c r="D239" s="48" t="s">
        <v>240</v>
      </c>
      <c r="E239" s="43">
        <v>92</v>
      </c>
      <c r="F239" s="193" t="s">
        <v>240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318</v>
      </c>
      <c r="C240" s="219" t="s">
        <v>31</v>
      </c>
      <c r="D240" s="48" t="s">
        <v>240</v>
      </c>
      <c r="E240" s="43">
        <v>92</v>
      </c>
      <c r="F240" s="193" t="s">
        <v>240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319</v>
      </c>
      <c r="C241" s="219" t="s">
        <v>31</v>
      </c>
      <c r="D241" s="48" t="s">
        <v>240</v>
      </c>
      <c r="E241" s="43">
        <v>92</v>
      </c>
      <c r="F241" s="193" t="s">
        <v>240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31</v>
      </c>
      <c r="D242" s="48" t="s">
        <v>243</v>
      </c>
      <c r="E242" s="43">
        <v>8591.7999999999993</v>
      </c>
      <c r="F242" s="193" t="s">
        <v>240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31</v>
      </c>
      <c r="D243" s="48" t="s">
        <v>240</v>
      </c>
      <c r="E243" s="43">
        <v>10740.701999999999</v>
      </c>
      <c r="F243" s="193" t="s">
        <v>240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31</v>
      </c>
      <c r="D244" s="48" t="s">
        <v>240</v>
      </c>
      <c r="E244" s="43">
        <v>26000</v>
      </c>
      <c r="F244" s="193" t="s">
        <v>243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31</v>
      </c>
      <c r="D245" s="48" t="s">
        <v>240</v>
      </c>
      <c r="E245" s="43">
        <v>13000</v>
      </c>
      <c r="F245" s="193" t="s">
        <v>243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36</v>
      </c>
      <c r="C246" s="276" t="s">
        <v>31</v>
      </c>
      <c r="D246" s="48" t="s">
        <v>240</v>
      </c>
      <c r="E246" s="141">
        <v>7000</v>
      </c>
      <c r="F246" s="193" t="s">
        <v>324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325</v>
      </c>
      <c r="C247" s="276" t="s">
        <v>31</v>
      </c>
      <c r="D247" s="48" t="s">
        <v>239</v>
      </c>
      <c r="E247" s="141">
        <v>12000</v>
      </c>
      <c r="F247" s="193" t="s">
        <v>324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326</v>
      </c>
      <c r="C248" s="276" t="s">
        <v>31</v>
      </c>
      <c r="D248" s="48" t="s">
        <v>112</v>
      </c>
      <c r="E248" s="141">
        <v>7266.666666666667</v>
      </c>
      <c r="F248" s="193" t="s">
        <v>324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327</v>
      </c>
      <c r="C249" s="276" t="s">
        <v>31</v>
      </c>
      <c r="D249" s="48" t="s">
        <v>112</v>
      </c>
      <c r="E249" s="141">
        <v>7266.666666666667</v>
      </c>
      <c r="F249" s="193" t="s">
        <v>324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31</v>
      </c>
      <c r="D250" s="277" t="s">
        <v>112</v>
      </c>
      <c r="E250" s="141">
        <v>7266.665</v>
      </c>
      <c r="F250" s="278" t="s">
        <v>324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31</v>
      </c>
      <c r="D251" s="277" t="s">
        <v>239</v>
      </c>
      <c r="E251" s="141">
        <v>5000</v>
      </c>
      <c r="F251" s="278" t="s">
        <v>324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35</v>
      </c>
      <c r="C252" s="276" t="s">
        <v>31</v>
      </c>
      <c r="D252" s="277" t="s">
        <v>240</v>
      </c>
      <c r="E252" s="303">
        <v>7183</v>
      </c>
      <c r="F252" s="278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330</v>
      </c>
      <c r="C253" s="276" t="s">
        <v>31</v>
      </c>
      <c r="D253" s="277" t="s">
        <v>240</v>
      </c>
      <c r="E253" s="303">
        <v>10597</v>
      </c>
      <c r="F253" s="278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6" t="s">
        <v>31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6" t="s">
        <v>31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6" t="s">
        <v>31</v>
      </c>
      <c r="D256" s="277" t="s">
        <v>243</v>
      </c>
      <c r="E256" s="141"/>
      <c r="F256" s="278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6" t="s">
        <v>31</v>
      </c>
      <c r="D257" s="277" t="s">
        <v>237</v>
      </c>
      <c r="E257" s="141">
        <v>8000</v>
      </c>
      <c r="F257" s="278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6" t="s">
        <v>31</v>
      </c>
      <c r="D258" s="277" t="s">
        <v>237</v>
      </c>
      <c r="E258" s="141">
        <v>10000</v>
      </c>
      <c r="F258" s="278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6" t="s">
        <v>31</v>
      </c>
      <c r="D259" s="277" t="s">
        <v>237</v>
      </c>
      <c r="E259" s="141">
        <v>10000</v>
      </c>
      <c r="F259" s="278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6" t="s">
        <v>31</v>
      </c>
      <c r="D260" s="277" t="s">
        <v>243</v>
      </c>
      <c r="E260" s="141"/>
      <c r="F260" s="278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6" t="s">
        <v>31</v>
      </c>
      <c r="D261" s="277" t="s">
        <v>205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6" t="s">
        <v>31</v>
      </c>
      <c r="D262" s="277" t="s">
        <v>306</v>
      </c>
      <c r="E262" s="141">
        <v>28.18</v>
      </c>
      <c r="F262" s="278" t="s">
        <v>306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6" t="s">
        <v>31</v>
      </c>
      <c r="D263" s="277" t="s">
        <v>306</v>
      </c>
      <c r="E263" s="141">
        <v>2700</v>
      </c>
      <c r="F263" s="278" t="s">
        <v>306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6" t="s">
        <v>31</v>
      </c>
      <c r="D264" s="277" t="s">
        <v>306</v>
      </c>
      <c r="E264" s="141">
        <v>18.53</v>
      </c>
      <c r="F264" s="278" t="s">
        <v>306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6" t="s">
        <v>31</v>
      </c>
      <c r="D265" s="277" t="s">
        <v>240</v>
      </c>
      <c r="E265" s="141">
        <v>1800</v>
      </c>
      <c r="F265" s="278" t="s">
        <v>306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6" t="s">
        <v>31</v>
      </c>
      <c r="D266" s="277" t="s">
        <v>240</v>
      </c>
      <c r="E266" s="141">
        <v>1057</v>
      </c>
      <c r="F266" s="278" t="s">
        <v>240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6" t="s">
        <v>31</v>
      </c>
      <c r="D267" s="277" t="s">
        <v>306</v>
      </c>
      <c r="E267" s="141">
        <v>18.53</v>
      </c>
      <c r="F267" s="278" t="s">
        <v>306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6" t="s">
        <v>31</v>
      </c>
      <c r="D268" s="277" t="s">
        <v>306</v>
      </c>
      <c r="E268" s="141">
        <v>22.8</v>
      </c>
      <c r="F268" s="278" t="s">
        <v>306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6" t="s">
        <v>31</v>
      </c>
      <c r="D269" s="277" t="s">
        <v>306</v>
      </c>
      <c r="E269" s="141">
        <v>22.8</v>
      </c>
      <c r="F269" s="278" t="s">
        <v>306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6" t="s">
        <v>31</v>
      </c>
      <c r="D270" s="277" t="s">
        <v>306</v>
      </c>
      <c r="E270" s="141">
        <v>14.73</v>
      </c>
      <c r="F270" s="278" t="s">
        <v>306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6" t="s">
        <v>31</v>
      </c>
      <c r="D271" s="277" t="s">
        <v>306</v>
      </c>
      <c r="E271" s="141">
        <v>14.73</v>
      </c>
      <c r="F271" s="278" t="s">
        <v>306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6" t="s">
        <v>31</v>
      </c>
      <c r="D272" s="277" t="s">
        <v>240</v>
      </c>
      <c r="E272" s="141">
        <v>819.99999999999989</v>
      </c>
      <c r="F272" s="278" t="s">
        <v>240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6" t="s">
        <v>31</v>
      </c>
      <c r="D273" s="277" t="s">
        <v>240</v>
      </c>
      <c r="E273" s="141">
        <v>1170</v>
      </c>
      <c r="F273" s="278" t="s">
        <v>240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6" t="s">
        <v>31</v>
      </c>
      <c r="D274" s="277" t="s">
        <v>240</v>
      </c>
      <c r="E274" s="141">
        <v>8000</v>
      </c>
      <c r="F274" s="278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32</v>
      </c>
      <c r="C275" s="276" t="s">
        <v>31</v>
      </c>
      <c r="D275" s="277" t="s">
        <v>240</v>
      </c>
      <c r="E275" s="141">
        <v>11000</v>
      </c>
      <c r="F275" s="278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352</v>
      </c>
      <c r="C276" s="276" t="s">
        <v>31</v>
      </c>
      <c r="D276" s="277" t="s">
        <v>240</v>
      </c>
      <c r="E276" s="141">
        <v>10858</v>
      </c>
      <c r="F276" s="278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353</v>
      </c>
      <c r="C277" s="276" t="s">
        <v>31</v>
      </c>
      <c r="D277" s="277" t="s">
        <v>240</v>
      </c>
      <c r="E277" s="141">
        <v>13999.16</v>
      </c>
      <c r="F277" s="278" t="s">
        <v>240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354</v>
      </c>
      <c r="C278" s="276" t="s">
        <v>31</v>
      </c>
      <c r="D278" s="277" t="s">
        <v>237</v>
      </c>
      <c r="E278" s="141"/>
      <c r="F278" s="278" t="s">
        <v>306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355</v>
      </c>
      <c r="C279" s="276" t="s">
        <v>31</v>
      </c>
      <c r="D279" s="277" t="s">
        <v>243</v>
      </c>
      <c r="E279" s="141"/>
      <c r="F279" s="278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356</v>
      </c>
      <c r="C280" s="276" t="s">
        <v>31</v>
      </c>
      <c r="D280" s="277" t="s">
        <v>243</v>
      </c>
      <c r="E280" s="141"/>
      <c r="F280" s="278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357</v>
      </c>
      <c r="C281" s="276" t="s">
        <v>31</v>
      </c>
      <c r="D281" s="277" t="s">
        <v>358</v>
      </c>
      <c r="E281" s="141"/>
      <c r="F281" s="277" t="s">
        <v>358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359</v>
      </c>
      <c r="C282" s="276" t="s">
        <v>31</v>
      </c>
      <c r="D282" s="277" t="s">
        <v>215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360</v>
      </c>
      <c r="C283" s="276" t="s">
        <v>31</v>
      </c>
      <c r="D283" s="277" t="s">
        <v>240</v>
      </c>
      <c r="E283" s="141">
        <v>1035.3</v>
      </c>
      <c r="F283" s="278" t="s">
        <v>240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361</v>
      </c>
      <c r="C284" s="276" t="s">
        <v>31</v>
      </c>
      <c r="D284" s="277" t="s">
        <v>239</v>
      </c>
      <c r="E284" s="141">
        <v>700</v>
      </c>
      <c r="F284" s="278" t="s">
        <v>306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362</v>
      </c>
      <c r="C285" s="276" t="s">
        <v>31</v>
      </c>
      <c r="D285" s="277" t="s">
        <v>239</v>
      </c>
      <c r="E285" s="141">
        <v>1100</v>
      </c>
      <c r="F285" s="278" t="s">
        <v>306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363</v>
      </c>
      <c r="C286" s="276" t="s">
        <v>31</v>
      </c>
      <c r="D286" s="277" t="s">
        <v>306</v>
      </c>
      <c r="E286" s="141">
        <v>1000</v>
      </c>
      <c r="F286" s="278" t="s">
        <v>306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364</v>
      </c>
      <c r="C287" s="276" t="s">
        <v>31</v>
      </c>
      <c r="D287" s="277" t="s">
        <v>240</v>
      </c>
      <c r="E287" s="141">
        <v>700</v>
      </c>
      <c r="F287" s="278" t="s">
        <v>306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365</v>
      </c>
      <c r="C288" s="276" t="s">
        <v>31</v>
      </c>
      <c r="D288" s="48" t="s">
        <v>240</v>
      </c>
      <c r="E288" s="166">
        <v>84</v>
      </c>
      <c r="F288" s="278" t="s">
        <v>306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366</v>
      </c>
      <c r="C289" s="276" t="s">
        <v>31</v>
      </c>
      <c r="D289" s="277" t="s">
        <v>240</v>
      </c>
      <c r="E289" s="166">
        <v>10780</v>
      </c>
      <c r="F289" s="278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367</v>
      </c>
      <c r="C516" s="219" t="s">
        <v>48</v>
      </c>
      <c r="D516" s="48" t="s">
        <v>368</v>
      </c>
      <c r="E516" s="43">
        <v>380</v>
      </c>
      <c r="F516" s="188" t="s">
        <v>368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369</v>
      </c>
      <c r="C517" s="219" t="s">
        <v>48</v>
      </c>
      <c r="D517" s="50" t="s">
        <v>368</v>
      </c>
      <c r="E517" s="52">
        <v>848.47</v>
      </c>
      <c r="F517" s="51" t="s">
        <v>368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370</v>
      </c>
      <c r="C518" s="219" t="s">
        <v>48</v>
      </c>
      <c r="D518" s="50" t="s">
        <v>368</v>
      </c>
      <c r="E518" s="43">
        <v>815</v>
      </c>
      <c r="F518" s="188" t="s">
        <v>368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371</v>
      </c>
      <c r="C519" s="219" t="s">
        <v>48</v>
      </c>
      <c r="D519" s="50" t="s">
        <v>368</v>
      </c>
      <c r="E519" s="43">
        <v>623.66666666666663</v>
      </c>
      <c r="F519" s="188" t="s">
        <v>368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372</v>
      </c>
      <c r="C520" s="219" t="s">
        <v>48</v>
      </c>
      <c r="D520" s="48" t="s">
        <v>368</v>
      </c>
      <c r="E520" s="43">
        <v>698.53</v>
      </c>
      <c r="F520" s="188" t="s">
        <v>368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373</v>
      </c>
      <c r="C521" s="219" t="s">
        <v>48</v>
      </c>
      <c r="D521" s="48" t="s">
        <v>368</v>
      </c>
      <c r="E521" s="43">
        <v>390.66666666666669</v>
      </c>
      <c r="F521" s="188" t="s">
        <v>368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374</v>
      </c>
      <c r="C522" s="219" t="s">
        <v>48</v>
      </c>
      <c r="D522" s="48" t="s">
        <v>368</v>
      </c>
      <c r="E522" s="43">
        <v>477.19</v>
      </c>
      <c r="F522" s="51" t="s">
        <v>368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375</v>
      </c>
      <c r="C523" s="219" t="s">
        <v>48</v>
      </c>
      <c r="D523" s="48" t="s">
        <v>368</v>
      </c>
      <c r="E523" s="43">
        <v>998.41</v>
      </c>
      <c r="F523" s="188" t="s">
        <v>368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376</v>
      </c>
      <c r="C524" s="219" t="s">
        <v>48</v>
      </c>
      <c r="D524" s="48" t="s">
        <v>368</v>
      </c>
      <c r="E524" s="43">
        <v>898.44999999999993</v>
      </c>
      <c r="F524" s="188" t="s">
        <v>368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48</v>
      </c>
      <c r="D525" s="215" t="s">
        <v>368</v>
      </c>
      <c r="E525" s="217">
        <v>1500</v>
      </c>
      <c r="F525" s="174" t="s">
        <v>368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48</v>
      </c>
      <c r="D526" s="48" t="s">
        <v>368</v>
      </c>
      <c r="E526" s="216">
        <v>53371.5</v>
      </c>
      <c r="F526" s="51" t="s">
        <v>368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48</v>
      </c>
      <c r="D527" s="48" t="s">
        <v>368</v>
      </c>
      <c r="E527" s="43">
        <v>897.26</v>
      </c>
      <c r="F527" s="188" t="s">
        <v>368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48</v>
      </c>
      <c r="D528" s="53" t="s">
        <v>368</v>
      </c>
      <c r="E528" s="43">
        <v>1673.3335</v>
      </c>
      <c r="F528" s="188" t="s">
        <v>368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48</v>
      </c>
      <c r="D529" s="50" t="s">
        <v>368</v>
      </c>
      <c r="E529" s="45">
        <v>250</v>
      </c>
      <c r="F529" s="51" t="s">
        <v>368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48</v>
      </c>
      <c r="D530" s="50" t="s">
        <v>368</v>
      </c>
      <c r="E530" s="52">
        <v>898.45</v>
      </c>
      <c r="F530" s="51" t="s">
        <v>368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48</v>
      </c>
      <c r="D531" s="50" t="s">
        <v>368</v>
      </c>
      <c r="E531" s="52">
        <v>898.45</v>
      </c>
      <c r="F531" s="51" t="s">
        <v>368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48</v>
      </c>
      <c r="D532" s="214" t="s">
        <v>368</v>
      </c>
      <c r="E532" s="145">
        <v>549.78</v>
      </c>
      <c r="F532" s="51" t="s">
        <v>368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48</v>
      </c>
      <c r="D533" s="214" t="s">
        <v>368</v>
      </c>
      <c r="E533" s="218">
        <v>357</v>
      </c>
      <c r="F533" s="51" t="s">
        <v>368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48</v>
      </c>
      <c r="D534" s="214" t="s">
        <v>368</v>
      </c>
      <c r="E534" s="145">
        <v>998.41</v>
      </c>
      <c r="F534" s="51" t="s">
        <v>368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48</v>
      </c>
      <c r="D535" s="144" t="s">
        <v>368</v>
      </c>
      <c r="E535" s="145">
        <v>898.45</v>
      </c>
      <c r="F535" s="54" t="s">
        <v>368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48</v>
      </c>
      <c r="D536" s="172" t="s">
        <v>368</v>
      </c>
      <c r="E536" s="173">
        <v>1200</v>
      </c>
      <c r="F536" s="174" t="s">
        <v>368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48</v>
      </c>
      <c r="D537" s="144" t="s">
        <v>368</v>
      </c>
      <c r="E537" s="141">
        <v>1217</v>
      </c>
      <c r="F537" s="188" t="s">
        <v>368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48</v>
      </c>
      <c r="D538" s="144" t="s">
        <v>368</v>
      </c>
      <c r="E538" s="145">
        <v>759.22</v>
      </c>
      <c r="F538" s="51" t="s">
        <v>368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391</v>
      </c>
      <c r="C562" s="219" t="s">
        <v>51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51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51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51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51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51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51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51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51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51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51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51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51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51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51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51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51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51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51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51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51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51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51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51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51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51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51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51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51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51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51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51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51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51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51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51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51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51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51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51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51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51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51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51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51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51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51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51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51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51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51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51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51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51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51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51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51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51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51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51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51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51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51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51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51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51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51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51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51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51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51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51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51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51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51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51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51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51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51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51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51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51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51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51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51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51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51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51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51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51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51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51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51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51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51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51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51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51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51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51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19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51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51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51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51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51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51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51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51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51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51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51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51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19" t="s">
        <v>51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19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19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19" t="s">
        <v>51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19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19" t="s">
        <v>51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19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19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19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19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19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19" t="s">
        <v>51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19" t="s">
        <v>51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19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19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19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19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51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51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51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51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51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51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51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51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51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51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51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51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51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51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51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51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51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51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51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51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51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51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51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51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51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51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51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51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51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51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51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51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51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51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51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51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51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51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51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51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51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51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51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51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51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51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51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51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51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51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51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51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51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51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51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51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51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51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51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19" t="s">
        <v>51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19" t="s">
        <v>51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19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19" t="s">
        <v>51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19" t="s">
        <v>51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19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19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19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19" t="s">
        <v>51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19" t="s">
        <v>51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19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19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19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19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19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19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19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19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19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19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19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19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19" t="s">
        <v>51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19" t="s">
        <v>51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19" t="s">
        <v>51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19" t="s">
        <v>51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19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19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19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19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19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19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19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19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19" t="s">
        <v>51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19" t="s">
        <v>51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19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19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19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19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19" t="s">
        <v>51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19" t="s">
        <v>51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19" t="s">
        <v>51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19" t="s">
        <v>51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19" t="s">
        <v>51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51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51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19" t="s">
        <v>51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19" t="s">
        <v>51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19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19" t="s">
        <v>51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19" t="s">
        <v>51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19" t="s">
        <v>51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19" t="s">
        <v>51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51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19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19" t="s">
        <v>51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19" t="s">
        <v>51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19" t="s">
        <v>51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19" t="s">
        <v>51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19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19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19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19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19" t="s">
        <v>51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19" t="s">
        <v>51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19" t="s">
        <v>51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19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19" t="s">
        <v>51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19" t="s">
        <v>51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19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19" t="s">
        <v>51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812</v>
      </c>
      <c r="C1011" s="160" t="s">
        <v>26</v>
      </c>
      <c r="D1011" s="48" t="s">
        <v>240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26</v>
      </c>
      <c r="D1012" s="48" t="s">
        <v>240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26</v>
      </c>
      <c r="D1013" s="48" t="s">
        <v>240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26</v>
      </c>
      <c r="D1014" s="48" t="s">
        <v>240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26</v>
      </c>
      <c r="D1015" s="48" t="s">
        <v>239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239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26</v>
      </c>
      <c r="D1017" s="48" t="s">
        <v>240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26</v>
      </c>
      <c r="D1018" s="48" t="s">
        <v>240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26</v>
      </c>
      <c r="D1019" s="48" t="s">
        <v>239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26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26</v>
      </c>
      <c r="D1021" s="151" t="s">
        <v>240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26</v>
      </c>
      <c r="D1022" s="151" t="s">
        <v>240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26</v>
      </c>
      <c r="D1023" s="151" t="s">
        <v>240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26</v>
      </c>
      <c r="D1024" s="151" t="s">
        <v>240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26</v>
      </c>
      <c r="D1025" s="151" t="s">
        <v>240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26</v>
      </c>
      <c r="D1026" s="151" t="s">
        <v>240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26</v>
      </c>
      <c r="D1027" s="151" t="s">
        <v>240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26</v>
      </c>
      <c r="D1028" s="151" t="s">
        <v>240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26</v>
      </c>
      <c r="D1029" s="151" t="s">
        <v>240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28</v>
      </c>
      <c r="C1030" s="160" t="s">
        <v>26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830</v>
      </c>
      <c r="C1031" s="160" t="s">
        <v>26</v>
      </c>
      <c r="D1031" s="151" t="s">
        <v>240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26</v>
      </c>
      <c r="D1032" s="151" t="s">
        <v>240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832</v>
      </c>
      <c r="C1033" s="160" t="s">
        <v>26</v>
      </c>
      <c r="D1033" s="151" t="s">
        <v>240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26</v>
      </c>
      <c r="D1034" s="151" t="s">
        <v>240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26</v>
      </c>
      <c r="D1035" s="151" t="s">
        <v>240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26</v>
      </c>
      <c r="D1036" s="151" t="s">
        <v>239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26</v>
      </c>
      <c r="D1037" s="151" t="s">
        <v>239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26</v>
      </c>
      <c r="D1038" s="48" t="s">
        <v>239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26</v>
      </c>
      <c r="D1039" s="48" t="s">
        <v>240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26</v>
      </c>
      <c r="D1040" s="151" t="s">
        <v>239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26</v>
      </c>
      <c r="D1041" s="48" t="s">
        <v>239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26</v>
      </c>
      <c r="D1042" s="48" t="s">
        <v>239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26</v>
      </c>
      <c r="D1043" s="48" t="s">
        <v>240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843</v>
      </c>
      <c r="C1067" s="219" t="s">
        <v>62</v>
      </c>
      <c r="D1067" s="48" t="s">
        <v>237</v>
      </c>
      <c r="E1067" s="43">
        <v>49000</v>
      </c>
      <c r="F1067" s="188" t="s">
        <v>237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9" t="s">
        <v>62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62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9" t="s">
        <v>62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9" t="s">
        <v>62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9" t="s">
        <v>62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849</v>
      </c>
      <c r="C1073" s="219" t="s">
        <v>62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851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851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851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851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851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851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851</v>
      </c>
      <c r="D1288" s="277" t="s">
        <v>205</v>
      </c>
      <c r="E1288" s="141">
        <v>62000</v>
      </c>
      <c r="F1288" s="278" t="s">
        <v>205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851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851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1036</v>
      </c>
      <c r="C1328" s="37" t="s">
        <v>29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29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29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29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29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29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29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29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29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29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29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29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29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29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29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29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29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29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29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29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29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29</v>
      </c>
      <c r="D1349" s="48" t="s">
        <v>1058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29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29</v>
      </c>
      <c r="D1351" s="48" t="s">
        <v>1062</v>
      </c>
      <c r="E1351" s="43">
        <v>19776</v>
      </c>
      <c r="F1351" s="188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29</v>
      </c>
      <c r="D1352" s="48" t="s">
        <v>1060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29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30</v>
      </c>
      <c r="C1354" s="37" t="s">
        <v>29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29</v>
      </c>
      <c r="D1355" s="48" t="s">
        <v>239</v>
      </c>
      <c r="E1355" s="43">
        <v>4180</v>
      </c>
      <c r="F1355" s="188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29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29</v>
      </c>
      <c r="D1357" s="98" t="s">
        <v>358</v>
      </c>
      <c r="E1357" s="43"/>
      <c r="F1357" s="98" t="s">
        <v>358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29</v>
      </c>
      <c r="D1358" s="98" t="s">
        <v>358</v>
      </c>
      <c r="E1358" s="43"/>
      <c r="F1358" s="98" t="s">
        <v>358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29</v>
      </c>
      <c r="D1359" s="97" t="s">
        <v>240</v>
      </c>
      <c r="E1359" s="43">
        <v>0</v>
      </c>
      <c r="F1359" s="188" t="s">
        <v>240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29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29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29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29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29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29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29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29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29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29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29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29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29</v>
      </c>
      <c r="D1372" s="58" t="s">
        <v>237</v>
      </c>
      <c r="E1372" s="62">
        <v>867804</v>
      </c>
      <c r="F1372" s="191" t="s">
        <v>237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29</v>
      </c>
      <c r="D1373" s="297" t="s">
        <v>237</v>
      </c>
      <c r="E1373" s="62">
        <v>1097662</v>
      </c>
      <c r="F1373" s="191" t="s">
        <v>237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29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29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29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29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29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29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29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29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29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29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29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29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29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29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29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29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29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29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29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29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29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29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29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29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29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29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29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29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29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29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29</v>
      </c>
      <c r="D1404" s="248" t="s">
        <v>173</v>
      </c>
      <c r="E1404" s="166">
        <v>3200</v>
      </c>
      <c r="F1404" s="193" t="s">
        <v>173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29</v>
      </c>
      <c r="D1405" s="248" t="s">
        <v>215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29</v>
      </c>
      <c r="D1406" s="10" t="s">
        <v>358</v>
      </c>
      <c r="E1406" s="222"/>
      <c r="F1406" s="293" t="s">
        <v>358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29</v>
      </c>
      <c r="D1407" s="10" t="s">
        <v>358</v>
      </c>
      <c r="E1407" s="166"/>
      <c r="F1407" s="10" t="s">
        <v>358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29</v>
      </c>
      <c r="D1408" s="10" t="s">
        <v>358</v>
      </c>
      <c r="E1408" s="166"/>
      <c r="F1408" s="10" t="s">
        <v>358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29</v>
      </c>
      <c r="D1409" s="10" t="s">
        <v>358</v>
      </c>
      <c r="E1409" s="166"/>
      <c r="F1409" s="10" t="s">
        <v>358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29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29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29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29</v>
      </c>
      <c r="D1413" s="10" t="s">
        <v>358</v>
      </c>
      <c r="E1413" s="166"/>
      <c r="F1413" s="10" t="s">
        <v>358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29</v>
      </c>
      <c r="D1414" s="10" t="s">
        <v>358</v>
      </c>
      <c r="E1414" s="166"/>
      <c r="F1414" s="10" t="s">
        <v>358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29</v>
      </c>
      <c r="D1415" s="10" t="s">
        <v>358</v>
      </c>
      <c r="E1415" s="222"/>
      <c r="F1415" s="10" t="s">
        <v>358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1130</v>
      </c>
      <c r="C1428" s="219" t="s">
        <v>59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59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59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59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59</v>
      </c>
      <c r="D1457" s="48" t="s">
        <v>1066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59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59</v>
      </c>
      <c r="D1471" s="48" t="s">
        <v>237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59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59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59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59</v>
      </c>
      <c r="D1485" s="48" t="s">
        <v>239</v>
      </c>
      <c r="E1485" s="43">
        <v>107770</v>
      </c>
      <c r="F1485" s="188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59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59</v>
      </c>
      <c r="D1488" s="48" t="s">
        <v>1066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59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59</v>
      </c>
      <c r="D1491" s="48" t="s">
        <v>239</v>
      </c>
      <c r="E1491" s="43">
        <v>38155</v>
      </c>
      <c r="F1491" s="188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59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59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59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59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59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29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33</v>
      </c>
    </row>
    <row r="3" spans="1:13" outlineLevel="1">
      <c r="A3" s="3" t="s">
        <v>1317</v>
      </c>
      <c r="B3" s="5" t="s">
        <v>215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48</v>
      </c>
    </row>
    <row r="4" spans="1:13" ht="30" outlineLevel="1">
      <c r="A4" s="2" t="s">
        <v>1322</v>
      </c>
      <c r="B4" s="5" t="s">
        <v>306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51</v>
      </c>
    </row>
    <row r="5" spans="1:13" ht="30" outlineLevel="1">
      <c r="A5" s="3" t="s">
        <v>1327</v>
      </c>
      <c r="B5" s="5" t="s">
        <v>1328</v>
      </c>
      <c r="D5" s="269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851</v>
      </c>
    </row>
    <row r="6" spans="1:13" outlineLevel="1">
      <c r="A6" s="2" t="s">
        <v>324</v>
      </c>
      <c r="B6" s="5" t="s">
        <v>324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29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26</v>
      </c>
    </row>
    <row r="9" spans="1:13" outlineLevel="1">
      <c r="A9" s="2" t="s">
        <v>1346</v>
      </c>
      <c r="B9" s="5" t="s">
        <v>1199</v>
      </c>
      <c r="F9" s="2" t="s">
        <v>1347</v>
      </c>
      <c r="H9" t="s">
        <v>1348</v>
      </c>
      <c r="I9">
        <v>70323724</v>
      </c>
      <c r="K9" t="s">
        <v>1349</v>
      </c>
      <c r="M9" s="79" t="s">
        <v>62</v>
      </c>
    </row>
    <row r="10" spans="1:13" outlineLevel="1">
      <c r="A10" s="2" t="s">
        <v>1350</v>
      </c>
      <c r="B10" s="5" t="s">
        <v>106</v>
      </c>
      <c r="F10" s="3" t="s">
        <v>1351</v>
      </c>
      <c r="H10" s="24" t="s">
        <v>1352</v>
      </c>
      <c r="I10" s="20">
        <v>32142539</v>
      </c>
      <c r="K10" t="s">
        <v>1353</v>
      </c>
      <c r="M10" s="233" t="s">
        <v>121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59</v>
      </c>
    </row>
    <row r="12" spans="1:13" ht="30" outlineLevel="1">
      <c r="A12" s="3" t="s">
        <v>1359</v>
      </c>
      <c r="B12" s="5" t="s">
        <v>1030</v>
      </c>
      <c r="F12" s="302" t="s">
        <v>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237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358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240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107</v>
      </c>
      <c r="H21" s="21" t="s">
        <v>1379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207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173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6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