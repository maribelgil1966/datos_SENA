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0" documentId="13_ncr:1_{9306F485-D599-44F8-BD55-7FD488DB56F4}" xr6:coauthVersionLast="47" xr6:coauthVersionMax="47" xr10:uidLastSave="{00000000-0000-0000-0000-000000000000}"/>
  <bookViews>
    <workbookView xWindow="0" yWindow="7770" windowWidth="28800" windowHeight="783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40646828-0AE4-4DFE-BDE4-DCFBFBF4F78B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<sst xmlns="http://schemas.openxmlformats.org/spreadsheetml/2006/main" count="5060" uniqueCount="1393">
  <si>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</si>
  <si>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</si>
  <si>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</si>
  <si>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</si>
  <si>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</si>
  <si>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</si>
  <si>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Narly Cruz Mazo</t>
  </si>
  <si>
    <t>CÉDULA</t>
  </si>
  <si>
    <t>PROGRAMA</t>
  </si>
  <si>
    <t>PRODUCCION MARROQUINERIA</t>
  </si>
  <si>
    <t>FICHA(#)</t>
  </si>
  <si>
    <t>NOMBRE DEL PRODUCTO</t>
  </si>
  <si>
    <t xml:space="preserve">consumible prototipo morral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</si>
  <si>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</si>
  <si>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</si>
  <si>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</si>
  <si>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</si>
  <si>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</si>
  <si>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</si>
  <si>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</si>
  <si>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</si>
  <si>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</si>
  <si>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</si>
  <si>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</si>
  <si>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</si>
  <si>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</si>
  <si>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</si>
  <si>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</si>
  <si>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INSUMOS_COMPL_</t>
  </si>
  <si>
    <t xml:space="preserve">CARTULINA PLANA </t>
  </si>
  <si>
    <t>AGUJA CORTA CABO GRUESO 100</t>
  </si>
  <si>
    <t>CINTA DE ENMASCARAR  2 "</t>
  </si>
  <si>
    <t>ADHESIVOS_Solventes</t>
  </si>
  <si>
    <t>SOLUCIÓN DE CAUCHO</t>
  </si>
  <si>
    <t xml:space="preserve">AGUJAS CAPOTERA CON PUNTA #5
</t>
  </si>
  <si>
    <t>SECUNDARIO_MEDULAR</t>
  </si>
  <si>
    <t>YUMBOLON 4mm (CM²)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</si>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</sst>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7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23</xdr:col>
      <xdr:colOff>324401</xdr:colOff>
      <xdr:row>7</xdr:row>
      <xdr:rowOff>16565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C891FE-C782-416D-A226-E1A78A5D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3043" y="0"/>
          <a:ext cx="2444749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17</xdr:col>
      <xdr:colOff>700170</xdr:colOff>
      <xdr:row>10</xdr:row>
      <xdr:rowOff>210553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96E162-46A6-489F-82DB-2C5E701BE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737" y="0"/>
          <a:ext cx="2444749" cy="2095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NC1205-1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45058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1037584367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2487724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14706.769118450018</v>
      </c>
      <c r="E5" s="395"/>
      <c r="F5" s="396"/>
      <c r="G5" s="380" t="s">
        <v>15</v>
      </c>
      <c r="H5" s="397"/>
      <c r="I5" s="397"/>
      <c r="J5" s="381"/>
      <c r="K5" s="355">
        <v>17</v>
      </c>
      <c r="L5" s="355"/>
      <c r="M5" s="356" t="s">
        <v>16</v>
      </c>
      <c r="N5" s="356"/>
      <c r="O5" s="345">
        <f ca="1">IFERROR(IF(K5=0,"",D5*K5),"")</f>
        <v>250015.07501365032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5.8823529411764705E-2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9300</v>
      </c>
      <c r="R10" s="316"/>
      <c r="S10" s="317">
        <f>IFERROR(IF(Q10="Unidad","1",(Q10*$K$5)),"")</f>
        <v>158100</v>
      </c>
      <c r="T10" s="318"/>
      <c r="U10" s="305"/>
      <c r="V10" s="401"/>
      <c r="W10" s="306">
        <f ca="1">IFERROR(IF(D10="","",INDEX(Tabla_Completa,MATCH('Soli_citud '!D10,Materiales,0),7)*S10),"")</f>
        <v>108741.18</v>
      </c>
      <c r="X10" s="306"/>
      <c r="Y10" s="306"/>
      <c r="Z10" s="34"/>
    </row>
    <row r="11" spans="1:28" ht="17.25" customHeight="1">
      <c r="A11" s="307" t="s">
        <v>25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9300</v>
      </c>
      <c r="R11" s="316"/>
      <c r="S11" s="317">
        <f t="shared" ref="S11:S31" si="1">IFERROR(IF(Q11="Unidad","1",(Q11*$K$5)),"")</f>
        <v>158100</v>
      </c>
      <c r="T11" s="318"/>
      <c r="U11" s="305"/>
      <c r="V11" s="305"/>
      <c r="W11" s="306">
        <f ca="1">IFERROR(IF(D11="","",INDEX(Tabla_Completa,MATCH('Soli_citud '!D11,Materiales,0),7)*S11),"")</f>
        <v>37417</v>
      </c>
      <c r="X11" s="306"/>
      <c r="Y11" s="306"/>
    </row>
    <row r="12" spans="1:28" ht="15.75" customHeight="1">
      <c r="A12" s="307" t="s">
        <v>28</v>
      </c>
      <c r="B12" s="308"/>
      <c r="C12" s="309"/>
      <c r="D12" s="402" t="s">
        <v>29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Pliego</v>
      </c>
      <c r="P12" s="314"/>
      <c r="Q12" s="315">
        <v>2</v>
      </c>
      <c r="R12" s="316"/>
      <c r="S12" s="317">
        <f t="shared" si="1"/>
        <v>34</v>
      </c>
      <c r="T12" s="318"/>
      <c r="U12" s="305"/>
      <c r="V12" s="305"/>
      <c r="W12" s="306">
        <f ca="1">IFERROR(IF(D12="","",INDEX(Tabla_Completa,MATCH('Soli_citud '!D12,Materiales,0),7)*S12),"")</f>
        <v>53827.213333333333</v>
      </c>
      <c r="X12" s="306"/>
      <c r="Y12" s="306"/>
    </row>
    <row r="13" spans="1:28" ht="15.75" customHeight="1">
      <c r="A13" s="307" t="s">
        <v>28</v>
      </c>
      <c r="B13" s="308"/>
      <c r="C13" s="309"/>
      <c r="D13" s="398" t="s">
        <v>30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U</v>
      </c>
      <c r="P13" s="314"/>
      <c r="Q13" s="315">
        <v>0.6</v>
      </c>
      <c r="R13" s="316"/>
      <c r="S13" s="317">
        <f t="shared" si="1"/>
        <v>10.199999999999999</v>
      </c>
      <c r="T13" s="318"/>
      <c r="U13" s="305"/>
      <c r="V13" s="305"/>
      <c r="W13" s="306">
        <f ca="1">IFERROR(IF(D13="","",INDEX(Tabla_Completa,MATCH('Soli_citud '!D13,Materiales,0),7)*S13),"")</f>
        <v>3501.9659999999994</v>
      </c>
      <c r="X13" s="306"/>
      <c r="Y13" s="306"/>
    </row>
    <row r="14" spans="1:28" ht="17.25" customHeight="1">
      <c r="A14" s="307" t="s">
        <v>28</v>
      </c>
      <c r="B14" s="308"/>
      <c r="C14" s="309"/>
      <c r="D14" s="398" t="s">
        <v>31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0.1</v>
      </c>
      <c r="R14" s="316"/>
      <c r="S14" s="317">
        <f t="shared" si="1"/>
        <v>1.7000000000000002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 t="s">
        <v>32</v>
      </c>
      <c r="B15" s="308"/>
      <c r="C15" s="309"/>
      <c r="D15" s="398" t="s">
        <v>33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ml</v>
      </c>
      <c r="P15" s="314"/>
      <c r="Q15" s="315">
        <v>180</v>
      </c>
      <c r="R15" s="316"/>
      <c r="S15" s="317">
        <f t="shared" si="1"/>
        <v>3060</v>
      </c>
      <c r="T15" s="318"/>
      <c r="U15" s="305"/>
      <c r="V15" s="305"/>
      <c r="W15" s="306">
        <f ca="1">IFERROR(IF(D15="","",INDEX(Tabla_Completa,MATCH('Soli_citud '!D15,Materiales,0),7)*S15),"")</f>
        <v>22960.105680317043</v>
      </c>
      <c r="X15" s="306"/>
      <c r="Y15" s="306"/>
    </row>
    <row r="16" spans="1:28" ht="15.75" customHeight="1">
      <c r="A16" s="307" t="s">
        <v>28</v>
      </c>
      <c r="B16" s="308"/>
      <c r="C16" s="309"/>
      <c r="D16" s="398" t="s">
        <v>34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U</v>
      </c>
      <c r="P16" s="314"/>
      <c r="Q16" s="315">
        <v>1</v>
      </c>
      <c r="R16" s="316"/>
      <c r="S16" s="317">
        <f t="shared" si="1"/>
        <v>17</v>
      </c>
      <c r="T16" s="318"/>
      <c r="U16" s="305"/>
      <c r="V16" s="305"/>
      <c r="W16" s="306">
        <f ca="1">IFERROR(IF(D16="","",INDEX(Tabla_Completa,MATCH('Soli_citud '!D16,Materiales,0),7)*S16),"")</f>
        <v>5241.6099999999997</v>
      </c>
      <c r="X16" s="306"/>
      <c r="Y16" s="306"/>
    </row>
    <row r="17" spans="1:25" ht="15.75" customHeight="1">
      <c r="A17" s="307" t="s">
        <v>35</v>
      </c>
      <c r="B17" s="308"/>
      <c r="C17" s="309"/>
      <c r="D17" s="398" t="s">
        <v>36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cm2</v>
      </c>
      <c r="P17" s="314"/>
      <c r="Q17" s="315">
        <v>1400</v>
      </c>
      <c r="R17" s="316"/>
      <c r="S17" s="317">
        <f t="shared" si="1"/>
        <v>23800</v>
      </c>
      <c r="T17" s="318"/>
      <c r="U17" s="305"/>
      <c r="V17" s="305"/>
      <c r="W17" s="306">
        <f ca="1">IFERROR(IF(D17="","",INDEX(Tabla_Completa,MATCH('Soli_citud '!D17,Materiales,0),7)*S17),"")</f>
        <v>18326</v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37</v>
      </c>
      <c r="B39" s="319"/>
      <c r="C39" s="319"/>
      <c r="D39" s="320" t="s">
        <v>38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39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40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41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32</v>
      </c>
      <c r="O44" s="332"/>
      <c r="P44" s="332"/>
      <c r="Q44" s="332"/>
      <c r="R44" s="327" t="s">
        <v>42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43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44</v>
      </c>
      <c r="O45" s="332"/>
      <c r="P45" s="332"/>
      <c r="Q45" s="332"/>
      <c r="R45" s="328" t="s">
        <v>45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46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47</v>
      </c>
      <c r="O46" s="332"/>
      <c r="P46" s="332"/>
      <c r="Q46" s="332"/>
      <c r="R46" s="329" t="s">
        <v>48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49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50</v>
      </c>
      <c r="O47" s="332"/>
      <c r="P47" s="332"/>
      <c r="Q47" s="332"/>
      <c r="R47" s="329" t="s">
        <v>51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52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53</v>
      </c>
      <c r="O48" s="332"/>
      <c r="P48" s="332"/>
      <c r="Q48" s="332"/>
      <c r="R48" s="329" t="s">
        <v>54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55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56</v>
      </c>
      <c r="O49" s="333"/>
      <c r="P49" s="333"/>
      <c r="Q49" s="333"/>
      <c r="R49" s="328" t="s">
        <v>57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58</v>
      </c>
      <c r="O50" s="332"/>
      <c r="P50" s="332"/>
      <c r="Q50" s="332"/>
      <c r="R50" s="329" t="s">
        <v>59</v>
      </c>
      <c r="S50" s="329"/>
      <c r="T50" s="329"/>
      <c r="U50" s="329"/>
      <c r="V50" s="329"/>
      <c r="W50" s="329"/>
      <c r="X50" s="329"/>
    </row>
    <row r="51" spans="1:24" ht="15.75">
      <c r="N51" s="332" t="s">
        <v>25</v>
      </c>
      <c r="O51" s="332"/>
      <c r="P51" s="332"/>
      <c r="Q51" s="332"/>
      <c r="R51" s="329" t="s">
        <v>60</v>
      </c>
      <c r="S51" s="329"/>
      <c r="T51" s="329"/>
      <c r="U51" s="329"/>
      <c r="V51" s="329"/>
      <c r="W51" s="329"/>
      <c r="X51" s="329"/>
    </row>
    <row r="52" spans="1:24" ht="15.75">
      <c r="N52" s="332" t="s">
        <v>61</v>
      </c>
      <c r="O52" s="332"/>
      <c r="P52" s="332"/>
      <c r="Q52" s="332"/>
      <c r="R52" s="329" t="s">
        <v>51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8:Q33 D19:D33">
    <cfRule type="containsBlanks" dxfId="196" priority="23">
      <formula>LEN(TRIM(D18))=0</formula>
    </cfRule>
  </conditionalFormatting>
  <conditionalFormatting sqref="O1">
    <cfRule type="containsBlanks" dxfId="195" priority="22">
      <formula>LEN(TRIM(O1))=0</formula>
    </cfRule>
  </conditionalFormatting>
  <conditionalFormatting sqref="K5:L5">
    <cfRule type="containsBlanks" dxfId="194" priority="21">
      <formula>LEN(TRIM(K5))=0</formula>
    </cfRule>
  </conditionalFormatting>
  <conditionalFormatting sqref="O3">
    <cfRule type="containsBlanks" dxfId="193" priority="20">
      <formula>LEN(TRIM(O3))=0</formula>
    </cfRule>
  </conditionalFormatting>
  <conditionalFormatting sqref="O10:P33">
    <cfRule type="containsBlanks" dxfId="192" priority="19">
      <formula>LEN(TRIM(O10))=0</formula>
    </cfRule>
  </conditionalFormatting>
  <conditionalFormatting sqref="D4:K4">
    <cfRule type="containsBlanks" dxfId="191" priority="18">
      <formula>LEN(TRIM(D4))=0</formula>
    </cfRule>
  </conditionalFormatting>
  <conditionalFormatting sqref="A18:C33">
    <cfRule type="containsText" dxfId="190" priority="12" operator="containsText" text="Auxiliares">
      <formula>NOT(ISERROR(SEARCH("Auxiliares",A18)))</formula>
    </cfRule>
    <cfRule type="containsText" dxfId="189" priority="13" operator="containsText" text="Terminación">
      <formula>NOT(ISERROR(SEARCH("Terminación",A18)))</formula>
    </cfRule>
    <cfRule type="containsText" dxfId="188" priority="14" operator="containsText" text="Montaje y Ensuelado">
      <formula>NOT(ISERROR(SEARCH("Montaje y Ensuelado",A18)))</formula>
    </cfRule>
    <cfRule type="containsText" dxfId="187" priority="15" operator="containsText" text="Costura">
      <formula>NOT(ISERROR(SEARCH("Costura",A18)))</formula>
    </cfRule>
    <cfRule type="containsText" dxfId="186" priority="16" operator="containsText" text="Armado">
      <formula>NOT(ISERROR(SEARCH("Armado",A18)))</formula>
    </cfRule>
    <cfRule type="containsText" dxfId="185" priority="17" operator="containsText" text="Corte">
      <formula>NOT(ISERROR(SEARCH("Corte",A18)))</formula>
    </cfRule>
  </conditionalFormatting>
  <conditionalFormatting sqref="D18">
    <cfRule type="containsBlanks" dxfId="184" priority="9">
      <formula>LEN(TRIM(D18))=0</formula>
    </cfRule>
  </conditionalFormatting>
  <conditionalFormatting sqref="A10 A11:C17">
    <cfRule type="containsText" dxfId="183" priority="3" operator="containsText" text="Auxiliares">
      <formula>NOT(ISERROR(SEARCH("Auxiliares",A10)))</formula>
    </cfRule>
    <cfRule type="containsText" dxfId="182" priority="4" operator="containsText" text="Terminación">
      <formula>NOT(ISERROR(SEARCH("Terminación",A10)))</formula>
    </cfRule>
    <cfRule type="containsText" dxfId="181" priority="5" operator="containsText" text="Montaje y Ensuelado">
      <formula>NOT(ISERROR(SEARCH("Montaje y Ensuelado",A10)))</formula>
    </cfRule>
    <cfRule type="containsText" dxfId="180" priority="6" operator="containsText" text="Costura">
      <formula>NOT(ISERROR(SEARCH("Costura",A10)))</formula>
    </cfRule>
    <cfRule type="containsText" dxfId="179" priority="7" operator="containsText" text="Armado">
      <formula>NOT(ISERROR(SEARCH("Armado",A10)))</formula>
    </cfRule>
    <cfRule type="containsText" dxfId="178" priority="8" operator="containsText" text="Corte">
      <formula>NOT(ISERROR(SEARCH("Corte",A10)))</formula>
    </cfRule>
  </conditionalFormatting>
  <conditionalFormatting sqref="D10:D17">
    <cfRule type="containsBlanks" dxfId="177" priority="2">
      <formula>LEN(TRIM(D10))=0</formula>
    </cfRule>
  </conditionalFormatting>
  <conditionalFormatting sqref="Q10:Q17">
    <cfRule type="containsBlanks" dxfId="176" priority="1">
      <formula>LEN(TRIM(Q10))=0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N1" zoomScale="95" zoomScaleNormal="95" workbookViewId="0">
      <pane ySplit="11" topLeftCell="A12" activePane="bottomLeft" state="frozen"/>
      <selection pane="bottomLeft" activeCell="P1" sqref="P1:Q10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62</v>
      </c>
      <c r="E1" s="415"/>
      <c r="F1" s="415"/>
      <c r="G1" s="415"/>
      <c r="H1" s="415"/>
      <c r="I1" s="415"/>
      <c r="J1" s="421" t="s">
        <v>63</v>
      </c>
      <c r="K1" s="422"/>
      <c r="L1" s="422"/>
      <c r="M1" s="423"/>
      <c r="N1" s="416">
        <f>IF('Soli_citud '!O1="","",'Soli_citud '!O1)</f>
        <v>45058</v>
      </c>
      <c r="O1" s="417"/>
      <c r="P1" s="467" t="s">
        <v>64</v>
      </c>
      <c r="Q1" s="468"/>
      <c r="R1" s="463" t="str">
        <f>IF('Soli_citud '!D4="","",'Soli_citud '!D4)</f>
        <v xml:space="preserve">consumible prototipo morral </v>
      </c>
      <c r="S1" s="464"/>
      <c r="Z1" t="s">
        <v>65</v>
      </c>
      <c r="AA1" s="252" t="s">
        <v>65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66</v>
      </c>
      <c r="K2" s="425"/>
      <c r="L2" s="425"/>
      <c r="M2" s="426"/>
      <c r="N2" s="418" t="str">
        <f>'Soli_citud '!F1</f>
        <v>NC1205-1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67</v>
      </c>
      <c r="K3" s="420"/>
      <c r="L3" s="420"/>
      <c r="M3" s="420"/>
      <c r="N3" s="406">
        <f>IF('Soli_citud '!O3="","",'Soli_citud '!O3)</f>
        <v>2487724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68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69</v>
      </c>
      <c r="C6" s="453"/>
      <c r="D6" s="454"/>
      <c r="E6" s="408" t="s">
        <v>70</v>
      </c>
      <c r="F6" s="408"/>
      <c r="G6" s="408"/>
      <c r="H6" s="408"/>
      <c r="I6" s="409"/>
      <c r="J6" s="443" t="s">
        <v>71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14706.769118450018</v>
      </c>
      <c r="C8" s="431"/>
      <c r="D8" s="432"/>
      <c r="E8" s="449" t="s">
        <v>72</v>
      </c>
      <c r="F8" s="450"/>
      <c r="G8" s="450"/>
      <c r="H8" s="450"/>
      <c r="I8" s="451"/>
      <c r="J8" s="445" t="str">
        <f>IF('Soli_citud '!E2="","",'Soli_citud '!E2)</f>
        <v>Narly Cruz Mazo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73</v>
      </c>
      <c r="C9" s="434"/>
      <c r="D9" s="459"/>
      <c r="E9" s="458" t="s">
        <v>74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75</v>
      </c>
      <c r="K10" s="428"/>
      <c r="L10" s="429"/>
      <c r="M10" s="242">
        <f>'Soli_citud '!K5</f>
        <v>17</v>
      </c>
      <c r="N10" s="447" t="s">
        <v>76</v>
      </c>
      <c r="O10" s="448"/>
      <c r="P10" s="471"/>
      <c r="Q10" s="472"/>
      <c r="R10" s="243" t="s">
        <v>77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78</v>
      </c>
      <c r="B11" s="264" t="s">
        <v>79</v>
      </c>
      <c r="C11" s="460" t="s">
        <v>80</v>
      </c>
      <c r="D11" s="461"/>
      <c r="E11" s="461"/>
      <c r="F11" s="462"/>
      <c r="G11" s="112" t="s">
        <v>81</v>
      </c>
      <c r="H11" s="112" t="s">
        <v>82</v>
      </c>
      <c r="I11" s="237" t="s">
        <v>83</v>
      </c>
      <c r="J11" s="110" t="s">
        <v>84</v>
      </c>
      <c r="K11" s="223" t="s">
        <v>85</v>
      </c>
      <c r="L11" s="419" t="s">
        <v>23</v>
      </c>
      <c r="M11" s="427"/>
      <c r="N11" s="240" t="s">
        <v>86</v>
      </c>
      <c r="O11" s="240" t="s">
        <v>87</v>
      </c>
      <c r="P11" s="244" t="s">
        <v>88</v>
      </c>
      <c r="Q11" s="245" t="s">
        <v>89</v>
      </c>
      <c r="R11" s="236" t="s">
        <v>90</v>
      </c>
      <c r="S11" s="224" t="s">
        <v>91</v>
      </c>
    </row>
    <row r="12" spans="1:27" ht="19.5" customHeight="1">
      <c r="A12" s="78">
        <v>1</v>
      </c>
      <c r="B12" s="265" t="str">
        <f>IF(H12="","",$N$2)</f>
        <v>NC1205-1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158100</v>
      </c>
      <c r="I12" s="227">
        <v>45062</v>
      </c>
      <c r="J12" s="228">
        <v>158100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NC1205-1</v>
      </c>
      <c r="C13" s="403" t="str">
        <f>IFERROR(IF('Soli_citud '!D11="","",'Soli_citud '!D11),"")</f>
        <v>POLITEX-KAMBREL 100 GR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158100</v>
      </c>
      <c r="I13" s="227">
        <v>45062</v>
      </c>
      <c r="J13" s="229">
        <v>158100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NC1205-1</v>
      </c>
      <c r="C14" s="403" t="str">
        <f>IFERROR(IF('Soli_citud '!D12="","",'Soli_citud '!D12),"")</f>
        <v xml:space="preserve">CARTULINA PLANA </v>
      </c>
      <c r="D14" s="403"/>
      <c r="E14" s="403"/>
      <c r="F14" s="403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34</v>
      </c>
      <c r="I14" s="227">
        <v>45062</v>
      </c>
      <c r="J14" s="229">
        <v>34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NC1205-1</v>
      </c>
      <c r="C15" s="403" t="str">
        <f>IFERROR(IF('Soli_citud '!D13="","",'Soli_citud '!D13),"")</f>
        <v>AGUJA CORTA CABO GRUESO 100</v>
      </c>
      <c r="D15" s="403"/>
      <c r="E15" s="403"/>
      <c r="F15" s="403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10.199999999999999</v>
      </c>
      <c r="I15" s="227">
        <v>45062</v>
      </c>
      <c r="J15" s="229">
        <v>10</v>
      </c>
      <c r="K15" s="207" cm="1">
        <f t="array" ref="K15">IFERROR(_xlfn.IFS(H15="","",J15=H15,"Cumplido",J15&lt;H15,H15-J15,J15&gt;H15,"Revisar"),"")</f>
        <v>0.19999999999999929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NC1205-1</v>
      </c>
      <c r="C16" s="403" t="str">
        <f>IFERROR(IF('Soli_citud '!D14="","",'Soli_citud '!D14),"")</f>
        <v>CINTA DE ENMASCARAR  2 "</v>
      </c>
      <c r="D16" s="403"/>
      <c r="E16" s="403"/>
      <c r="F16" s="403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1.7000000000000002</v>
      </c>
      <c r="I16" s="227">
        <v>45062</v>
      </c>
      <c r="J16" s="229">
        <v>2</v>
      </c>
      <c r="K16" s="207" t="str" cm="1">
        <f t="array" ref="K16">IFERROR(_xlfn.IFS(H16="","",J16=H16,"Cumplido",J16&lt;H16,H16-J16,J16&gt;H16,"Revisar"),"")</f>
        <v>Revisar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NC1205-1</v>
      </c>
      <c r="C17" s="403" t="str">
        <f>IFERROR(IF('Soli_citud '!D15="","",'Soli_citud '!D15),"")</f>
        <v>SOLUCIÓN DE CAUCHO</v>
      </c>
      <c r="D17" s="403"/>
      <c r="E17" s="403"/>
      <c r="F17" s="403"/>
      <c r="G17" s="226" t="str">
        <f ca="1">IF('Soli_citud '!O15="","",'Soli_citud '!O15)</f>
        <v>ml</v>
      </c>
      <c r="H17" s="226" cm="1">
        <f t="array" ref="H17">_xlfn.IFS('Soli_citud '!S15="","",'Soli_citud '!S15&lt;=0,"",'Soli_citud '!S15&gt;0,'Soli_citud '!S15)</f>
        <v>3060</v>
      </c>
      <c r="I17" s="227">
        <v>45062</v>
      </c>
      <c r="J17" s="229">
        <v>3000</v>
      </c>
      <c r="K17" s="207" cm="1">
        <f t="array" ref="K17">IFERROR(_xlfn.IFS(H17="","",J17=H17,"Cumplido",J17&lt;H17,H17-J17,J17&gt;H17,"Revisar"),"")</f>
        <v>60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NC1205-1</v>
      </c>
      <c r="C18" s="403" t="str">
        <f>IFERROR(IF('Soli_citud '!D16="","",'Soli_citud '!D16),"")</f>
        <v xml:space="preserve">AGUJAS CAPOTERA CON PUNTA #5
</v>
      </c>
      <c r="D18" s="403"/>
      <c r="E18" s="403"/>
      <c r="F18" s="403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17</v>
      </c>
      <c r="I18" s="227">
        <v>45062</v>
      </c>
      <c r="J18" s="229">
        <v>17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NC1205-1</v>
      </c>
      <c r="C19" s="403" t="str">
        <f>IFERROR(IF('Soli_citud '!D17="","",'Soli_citud '!D17),"")</f>
        <v>YUMBOLON 4mm (CM²)</v>
      </c>
      <c r="D19" s="403"/>
      <c r="E19" s="403"/>
      <c r="F19" s="403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23800</v>
      </c>
      <c r="I19" s="227">
        <v>45062</v>
      </c>
      <c r="J19" s="229">
        <v>23800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92</v>
      </c>
      <c r="F1" s="490"/>
      <c r="Z1" s="252" t="s">
        <v>65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88"/>
      <c r="D6" s="489"/>
      <c r="H6" s="486" t="s">
        <v>94</v>
      </c>
      <c r="I6" s="486"/>
    </row>
    <row r="7" spans="1:26" ht="47.25">
      <c r="A7" s="73" t="s">
        <v>78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32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32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32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32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32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32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32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32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32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32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33</v>
      </c>
      <c r="C18" s="140" t="s">
        <v>32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32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5" t="s">
        <v>32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120</v>
      </c>
      <c r="C34" s="219" t="s">
        <v>121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9" t="s">
        <v>121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9" t="s">
        <v>121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9" t="s">
        <v>121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9" t="s">
        <v>121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9" t="s">
        <v>121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9" t="s">
        <v>121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9" t="s">
        <v>121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9" t="s">
        <v>121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9" t="s">
        <v>121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9" t="s">
        <v>121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9" t="s">
        <v>121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9" t="s">
        <v>121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9" t="s">
        <v>121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9" t="s">
        <v>121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9" t="s">
        <v>121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9" t="s">
        <v>121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9" t="s">
        <v>121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9" t="s">
        <v>121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9" t="s">
        <v>121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9" t="s">
        <v>121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9" t="s">
        <v>121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9" t="s">
        <v>121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9" t="s">
        <v>121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9" t="s">
        <v>121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9" t="s">
        <v>121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9" t="s">
        <v>121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9" t="s">
        <v>121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9" t="s">
        <v>121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9" t="s">
        <v>121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9" t="s">
        <v>121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9" t="s">
        <v>121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9" t="s">
        <v>121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9" t="s">
        <v>121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9" t="s">
        <v>121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9" t="s">
        <v>121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9" t="s">
        <v>121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9" t="s">
        <v>121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9" t="s">
        <v>121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9" t="s">
        <v>121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9" t="s">
        <v>121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9" t="s">
        <v>121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9" t="s">
        <v>121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9" t="s">
        <v>121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9" t="s">
        <v>121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9" t="s">
        <v>121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9" t="s">
        <v>121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9" t="s">
        <v>121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9" t="s">
        <v>121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9" t="s">
        <v>121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9" t="s">
        <v>121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9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9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9" t="s">
        <v>121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9" t="s">
        <v>121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9" t="s">
        <v>121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9" t="s">
        <v>121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9" t="s">
        <v>121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9" t="s">
        <v>121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9" t="s">
        <v>121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9" t="s">
        <v>121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9" t="s">
        <v>121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9" t="s">
        <v>121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9" t="s">
        <v>121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9" t="s">
        <v>121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9" t="s">
        <v>121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9" t="s">
        <v>121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9" t="s">
        <v>121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9" t="s">
        <v>121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9" t="s">
        <v>121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9" t="s">
        <v>121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9" t="s">
        <v>121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9" t="s">
        <v>121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9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9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9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9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9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9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9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9" t="s">
        <v>121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9" t="s">
        <v>121</v>
      </c>
      <c r="D115" s="48" t="s">
        <v>205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9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9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9" t="s">
        <v>121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9" t="s">
        <v>121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9" t="s">
        <v>121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9" t="s">
        <v>121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9" t="s">
        <v>121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9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9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9" t="s">
        <v>121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9" t="s">
        <v>121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9" t="s">
        <v>121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9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9" t="s">
        <v>121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9" t="s">
        <v>121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9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9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9" t="s">
        <v>121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9" t="s">
        <v>121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9" t="s">
        <v>121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9" t="s">
        <v>121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9" t="s">
        <v>121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9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9" t="s">
        <v>121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9" t="s">
        <v>121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9" t="s">
        <v>121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235</v>
      </c>
      <c r="C162" s="219" t="s">
        <v>35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236</v>
      </c>
      <c r="C163" s="219" t="s">
        <v>35</v>
      </c>
      <c r="D163" s="48" t="s">
        <v>237</v>
      </c>
      <c r="E163" s="43">
        <v>45667</v>
      </c>
      <c r="F163" s="188" t="s">
        <v>237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238</v>
      </c>
      <c r="C164" s="219" t="s">
        <v>35</v>
      </c>
      <c r="D164" s="48" t="s">
        <v>239</v>
      </c>
      <c r="E164" s="43">
        <v>41000</v>
      </c>
      <c r="F164" s="188" t="s">
        <v>240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241</v>
      </c>
      <c r="C165" s="219" t="s">
        <v>35</v>
      </c>
      <c r="D165" s="48" t="s">
        <v>239</v>
      </c>
      <c r="E165" s="43">
        <v>58500</v>
      </c>
      <c r="F165" s="188" t="s">
        <v>240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242</v>
      </c>
      <c r="C166" s="219" t="s">
        <v>35</v>
      </c>
      <c r="D166" s="48" t="s">
        <v>237</v>
      </c>
      <c r="E166" s="43">
        <v>17830</v>
      </c>
      <c r="F166" s="188" t="s">
        <v>243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244</v>
      </c>
      <c r="C167" s="219" t="s">
        <v>35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245</v>
      </c>
      <c r="C168" s="219" t="s">
        <v>35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246</v>
      </c>
      <c r="C169" s="219" t="s">
        <v>35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247</v>
      </c>
      <c r="C170" s="219" t="s">
        <v>35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248</v>
      </c>
      <c r="C171" s="219" t="s">
        <v>35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249</v>
      </c>
      <c r="C172" s="219" t="s">
        <v>35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250</v>
      </c>
      <c r="C173" s="219" t="s">
        <v>35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251</v>
      </c>
      <c r="C174" s="219" t="s">
        <v>35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252</v>
      </c>
      <c r="C175" s="219" t="s">
        <v>35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253</v>
      </c>
      <c r="C176" s="219" t="s">
        <v>35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254</v>
      </c>
      <c r="C177" s="219" t="s">
        <v>35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255</v>
      </c>
      <c r="C178" s="219" t="s">
        <v>35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256</v>
      </c>
      <c r="C179" s="219" t="s">
        <v>35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257</v>
      </c>
      <c r="C180" s="219" t="s">
        <v>35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258</v>
      </c>
      <c r="C181" s="219" t="s">
        <v>35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259</v>
      </c>
      <c r="C182" s="219" t="s">
        <v>35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260</v>
      </c>
      <c r="C183" s="219" t="s">
        <v>35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261</v>
      </c>
      <c r="C184" s="219" t="s">
        <v>35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262</v>
      </c>
      <c r="C185" s="219" t="s">
        <v>35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263</v>
      </c>
      <c r="C186" s="219" t="s">
        <v>35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264</v>
      </c>
      <c r="C187" s="219" t="s">
        <v>35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265</v>
      </c>
      <c r="C188" s="219" t="s">
        <v>35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266</v>
      </c>
      <c r="C189" s="219" t="s">
        <v>35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267</v>
      </c>
      <c r="C190" s="219" t="s">
        <v>35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268</v>
      </c>
      <c r="C191" s="219" t="s">
        <v>35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269</v>
      </c>
      <c r="C192" s="219" t="s">
        <v>35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270</v>
      </c>
      <c r="C193" s="219" t="s">
        <v>35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271</v>
      </c>
      <c r="C194" s="219" t="s">
        <v>35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272</v>
      </c>
      <c r="C195" s="219" t="s">
        <v>35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273</v>
      </c>
      <c r="C196" s="219" t="s">
        <v>35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274</v>
      </c>
      <c r="C197" s="219" t="s">
        <v>35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275</v>
      </c>
      <c r="C198" s="219" t="s">
        <v>35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276</v>
      </c>
      <c r="C199" s="219" t="s">
        <v>35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277</v>
      </c>
      <c r="C200" s="219" t="s">
        <v>35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278</v>
      </c>
      <c r="C201" s="219" t="s">
        <v>35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279</v>
      </c>
      <c r="C202" s="219" t="s">
        <v>35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280</v>
      </c>
      <c r="C203" s="219" t="s">
        <v>35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281</v>
      </c>
      <c r="C204" s="219" t="s">
        <v>35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282</v>
      </c>
      <c r="C205" s="219" t="s">
        <v>35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283</v>
      </c>
      <c r="C206" s="219" t="s">
        <v>35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284</v>
      </c>
      <c r="C207" s="219" t="s">
        <v>35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285</v>
      </c>
      <c r="C208" s="219" t="s">
        <v>35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286</v>
      </c>
      <c r="C209" s="219" t="s">
        <v>35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287</v>
      </c>
      <c r="C210" s="219" t="s">
        <v>35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288</v>
      </c>
      <c r="C211" s="219" t="s">
        <v>35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289</v>
      </c>
      <c r="C212" s="219" t="s">
        <v>35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290</v>
      </c>
      <c r="C213" s="219" t="s">
        <v>35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291</v>
      </c>
      <c r="C214" s="219" t="s">
        <v>35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292</v>
      </c>
      <c r="C215" s="219" t="s">
        <v>35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293</v>
      </c>
      <c r="C216" s="219" t="s">
        <v>35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294</v>
      </c>
      <c r="C217" s="219" t="s">
        <v>35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295</v>
      </c>
      <c r="C218" s="219" t="s">
        <v>35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296</v>
      </c>
      <c r="C219" s="219" t="s">
        <v>35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297</v>
      </c>
      <c r="C220" s="219" t="s">
        <v>35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298</v>
      </c>
      <c r="C221" s="219" t="s">
        <v>35</v>
      </c>
      <c r="D221" s="48" t="s">
        <v>173</v>
      </c>
      <c r="E221" s="43">
        <v>475.34</v>
      </c>
      <c r="F221" s="300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299</v>
      </c>
      <c r="C222" s="219" t="s">
        <v>35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300</v>
      </c>
      <c r="C223" s="219" t="s">
        <v>35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301</v>
      </c>
      <c r="C224" s="219" t="s">
        <v>35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302</v>
      </c>
      <c r="C225" s="219" t="s">
        <v>35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303</v>
      </c>
      <c r="C226" s="219" t="s">
        <v>35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304</v>
      </c>
      <c r="C227" s="219" t="s">
        <v>35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305</v>
      </c>
      <c r="C228" s="219" t="s">
        <v>35</v>
      </c>
      <c r="D228" s="48" t="s">
        <v>240</v>
      </c>
      <c r="E228" s="166">
        <v>9800</v>
      </c>
      <c r="F228" s="192" t="s">
        <v>306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307</v>
      </c>
      <c r="C229" s="219" t="s">
        <v>35</v>
      </c>
      <c r="D229" s="48" t="s">
        <v>240</v>
      </c>
      <c r="E229" s="166">
        <v>943.5</v>
      </c>
      <c r="F229" s="192" t="s">
        <v>306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308</v>
      </c>
      <c r="C230" s="219" t="s">
        <v>35</v>
      </c>
      <c r="D230" s="48" t="s">
        <v>240</v>
      </c>
      <c r="E230" s="166">
        <v>943.5</v>
      </c>
      <c r="F230" s="192" t="s">
        <v>306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309</v>
      </c>
      <c r="C231" s="219" t="s">
        <v>35</v>
      </c>
      <c r="D231" s="48" t="s">
        <v>240</v>
      </c>
      <c r="E231" s="166">
        <v>1223</v>
      </c>
      <c r="F231" s="192" t="s">
        <v>306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310</v>
      </c>
      <c r="C232" s="219" t="s">
        <v>35</v>
      </c>
      <c r="D232" s="49" t="s">
        <v>237</v>
      </c>
      <c r="E232" s="166">
        <v>16471.25</v>
      </c>
      <c r="F232" s="301" t="s">
        <v>237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311</v>
      </c>
      <c r="C233" s="219" t="s">
        <v>35</v>
      </c>
      <c r="D233" s="49" t="s">
        <v>237</v>
      </c>
      <c r="E233" s="166">
        <v>32931.5</v>
      </c>
      <c r="F233" s="301" t="s">
        <v>237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312</v>
      </c>
      <c r="C234" s="219" t="s">
        <v>35</v>
      </c>
      <c r="D234" s="49" t="s">
        <v>237</v>
      </c>
      <c r="E234" s="166">
        <v>16209.5</v>
      </c>
      <c r="F234" s="301" t="s">
        <v>237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313</v>
      </c>
      <c r="C235" s="219" t="s">
        <v>35</v>
      </c>
      <c r="D235" s="49" t="s">
        <v>237</v>
      </c>
      <c r="E235" s="166">
        <v>32417</v>
      </c>
      <c r="F235" s="301" t="s">
        <v>237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314</v>
      </c>
      <c r="C236" s="219" t="s">
        <v>35</v>
      </c>
      <c r="D236" s="49" t="s">
        <v>237</v>
      </c>
      <c r="E236" s="166">
        <v>50250</v>
      </c>
      <c r="F236" s="301" t="s">
        <v>237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315</v>
      </c>
      <c r="C237" s="219" t="s">
        <v>35</v>
      </c>
      <c r="D237" s="49" t="s">
        <v>237</v>
      </c>
      <c r="E237" s="166">
        <v>25131.5</v>
      </c>
      <c r="F237" s="301" t="s">
        <v>237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316</v>
      </c>
      <c r="C238" s="219" t="s">
        <v>35</v>
      </c>
      <c r="D238" s="48" t="s">
        <v>239</v>
      </c>
      <c r="E238" s="166">
        <v>3700</v>
      </c>
      <c r="F238" s="192" t="s">
        <v>243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317</v>
      </c>
      <c r="C239" s="219" t="s">
        <v>35</v>
      </c>
      <c r="D239" s="48" t="s">
        <v>240</v>
      </c>
      <c r="E239" s="43">
        <v>92</v>
      </c>
      <c r="F239" s="193" t="s">
        <v>240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318</v>
      </c>
      <c r="C240" s="219" t="s">
        <v>35</v>
      </c>
      <c r="D240" s="48" t="s">
        <v>240</v>
      </c>
      <c r="E240" s="43">
        <v>92</v>
      </c>
      <c r="F240" s="193" t="s">
        <v>240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319</v>
      </c>
      <c r="C241" s="219" t="s">
        <v>35</v>
      </c>
      <c r="D241" s="48" t="s">
        <v>240</v>
      </c>
      <c r="E241" s="43">
        <v>92</v>
      </c>
      <c r="F241" s="193" t="s">
        <v>240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320</v>
      </c>
      <c r="C242" s="219" t="s">
        <v>35</v>
      </c>
      <c r="D242" s="48" t="s">
        <v>243</v>
      </c>
      <c r="E242" s="43">
        <v>8591.7999999999993</v>
      </c>
      <c r="F242" s="193" t="s">
        <v>240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321</v>
      </c>
      <c r="C243" s="219" t="s">
        <v>35</v>
      </c>
      <c r="D243" s="48" t="s">
        <v>240</v>
      </c>
      <c r="E243" s="43">
        <v>10740.701999999999</v>
      </c>
      <c r="F243" s="193" t="s">
        <v>240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322</v>
      </c>
      <c r="C244" s="219" t="s">
        <v>35</v>
      </c>
      <c r="D244" s="48" t="s">
        <v>240</v>
      </c>
      <c r="E244" s="43">
        <v>26000</v>
      </c>
      <c r="F244" s="193" t="s">
        <v>243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323</v>
      </c>
      <c r="C245" s="219" t="s">
        <v>35</v>
      </c>
      <c r="D245" s="48" t="s">
        <v>240</v>
      </c>
      <c r="E245" s="43">
        <v>13000</v>
      </c>
      <c r="F245" s="193" t="s">
        <v>243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324</v>
      </c>
      <c r="C246" s="276" t="s">
        <v>35</v>
      </c>
      <c r="D246" s="48" t="s">
        <v>240</v>
      </c>
      <c r="E246" s="141">
        <v>7000</v>
      </c>
      <c r="F246" s="193" t="s">
        <v>325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326</v>
      </c>
      <c r="C247" s="276" t="s">
        <v>35</v>
      </c>
      <c r="D247" s="48" t="s">
        <v>239</v>
      </c>
      <c r="E247" s="141">
        <v>12000</v>
      </c>
      <c r="F247" s="193" t="s">
        <v>325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327</v>
      </c>
      <c r="C248" s="276" t="s">
        <v>35</v>
      </c>
      <c r="D248" s="48" t="s">
        <v>111</v>
      </c>
      <c r="E248" s="141">
        <v>7266.666666666667</v>
      </c>
      <c r="F248" s="193" t="s">
        <v>325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328</v>
      </c>
      <c r="C249" s="276" t="s">
        <v>35</v>
      </c>
      <c r="D249" s="48" t="s">
        <v>111</v>
      </c>
      <c r="E249" s="141">
        <v>7266.666666666667</v>
      </c>
      <c r="F249" s="193" t="s">
        <v>325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329</v>
      </c>
      <c r="C250" s="276" t="s">
        <v>35</v>
      </c>
      <c r="D250" s="277" t="s">
        <v>111</v>
      </c>
      <c r="E250" s="141">
        <v>7266.665</v>
      </c>
      <c r="F250" s="278" t="s">
        <v>325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330</v>
      </c>
      <c r="C251" s="276" t="s">
        <v>35</v>
      </c>
      <c r="D251" s="277" t="s">
        <v>239</v>
      </c>
      <c r="E251" s="141">
        <v>5000</v>
      </c>
      <c r="F251" s="278" t="s">
        <v>325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331</v>
      </c>
      <c r="C252" s="276" t="s">
        <v>35</v>
      </c>
      <c r="D252" s="277" t="s">
        <v>240</v>
      </c>
      <c r="E252" s="303">
        <v>7183</v>
      </c>
      <c r="F252" s="278" t="s">
        <v>243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35</v>
      </c>
      <c r="D253" s="277" t="s">
        <v>240</v>
      </c>
      <c r="E253" s="303">
        <v>10597</v>
      </c>
      <c r="F253" s="278" t="s">
        <v>243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35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35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35</v>
      </c>
      <c r="D256" s="277" t="s">
        <v>243</v>
      </c>
      <c r="E256" s="141"/>
      <c r="F256" s="278" t="s">
        <v>243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35</v>
      </c>
      <c r="D257" s="277" t="s">
        <v>237</v>
      </c>
      <c r="E257" s="141">
        <v>8000</v>
      </c>
      <c r="F257" s="278" t="s">
        <v>243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337</v>
      </c>
      <c r="C258" s="276" t="s">
        <v>35</v>
      </c>
      <c r="D258" s="277" t="s">
        <v>237</v>
      </c>
      <c r="E258" s="141">
        <v>10000</v>
      </c>
      <c r="F258" s="278" t="s">
        <v>243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338</v>
      </c>
      <c r="C259" s="276" t="s">
        <v>35</v>
      </c>
      <c r="D259" s="277" t="s">
        <v>237</v>
      </c>
      <c r="E259" s="141">
        <v>10000</v>
      </c>
      <c r="F259" s="278" t="s">
        <v>243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339</v>
      </c>
      <c r="C260" s="276" t="s">
        <v>35</v>
      </c>
      <c r="D260" s="277" t="s">
        <v>243</v>
      </c>
      <c r="E260" s="141"/>
      <c r="F260" s="278" t="s">
        <v>243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340</v>
      </c>
      <c r="C261" s="276" t="s">
        <v>35</v>
      </c>
      <c r="D261" s="277" t="s">
        <v>205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341</v>
      </c>
      <c r="C262" s="276" t="s">
        <v>35</v>
      </c>
      <c r="D262" s="277" t="s">
        <v>306</v>
      </c>
      <c r="E262" s="141">
        <v>28.18</v>
      </c>
      <c r="F262" s="278" t="s">
        <v>306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342</v>
      </c>
      <c r="C263" s="276" t="s">
        <v>35</v>
      </c>
      <c r="D263" s="277" t="s">
        <v>306</v>
      </c>
      <c r="E263" s="141">
        <v>2700</v>
      </c>
      <c r="F263" s="278" t="s">
        <v>306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343</v>
      </c>
      <c r="C264" s="276" t="s">
        <v>35</v>
      </c>
      <c r="D264" s="277" t="s">
        <v>306</v>
      </c>
      <c r="E264" s="141">
        <v>18.53</v>
      </c>
      <c r="F264" s="278" t="s">
        <v>306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344</v>
      </c>
      <c r="C265" s="276" t="s">
        <v>35</v>
      </c>
      <c r="D265" s="277" t="s">
        <v>240</v>
      </c>
      <c r="E265" s="141">
        <v>1800</v>
      </c>
      <c r="F265" s="278" t="s">
        <v>306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345</v>
      </c>
      <c r="C266" s="276" t="s">
        <v>35</v>
      </c>
      <c r="D266" s="277" t="s">
        <v>240</v>
      </c>
      <c r="E266" s="141">
        <v>1057</v>
      </c>
      <c r="F266" s="278" t="s">
        <v>240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346</v>
      </c>
      <c r="C267" s="276" t="s">
        <v>35</v>
      </c>
      <c r="D267" s="277" t="s">
        <v>306</v>
      </c>
      <c r="E267" s="141">
        <v>18.53</v>
      </c>
      <c r="F267" s="278" t="s">
        <v>306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6" t="s">
        <v>35</v>
      </c>
      <c r="D268" s="277" t="s">
        <v>306</v>
      </c>
      <c r="E268" s="141">
        <v>22.8</v>
      </c>
      <c r="F268" s="278" t="s">
        <v>306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6" t="s">
        <v>35</v>
      </c>
      <c r="D269" s="277" t="s">
        <v>306</v>
      </c>
      <c r="E269" s="141">
        <v>22.8</v>
      </c>
      <c r="F269" s="278" t="s">
        <v>306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6" t="s">
        <v>35</v>
      </c>
      <c r="D270" s="277" t="s">
        <v>306</v>
      </c>
      <c r="E270" s="141">
        <v>14.73</v>
      </c>
      <c r="F270" s="278" t="s">
        <v>306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6" t="s">
        <v>35</v>
      </c>
      <c r="D271" s="277" t="s">
        <v>306</v>
      </c>
      <c r="E271" s="141">
        <v>14.73</v>
      </c>
      <c r="F271" s="278" t="s">
        <v>306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351</v>
      </c>
      <c r="C272" s="276" t="s">
        <v>35</v>
      </c>
      <c r="D272" s="277" t="s">
        <v>240</v>
      </c>
      <c r="E272" s="141">
        <v>819.99999999999989</v>
      </c>
      <c r="F272" s="278" t="s">
        <v>240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352</v>
      </c>
      <c r="C273" s="276" t="s">
        <v>35</v>
      </c>
      <c r="D273" s="277" t="s">
        <v>240</v>
      </c>
      <c r="E273" s="141">
        <v>1170</v>
      </c>
      <c r="F273" s="278" t="s">
        <v>240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353</v>
      </c>
      <c r="C274" s="276" t="s">
        <v>35</v>
      </c>
      <c r="D274" s="277" t="s">
        <v>240</v>
      </c>
      <c r="E274" s="141">
        <v>8000</v>
      </c>
      <c r="F274" s="278" t="s">
        <v>243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354</v>
      </c>
      <c r="C275" s="276" t="s">
        <v>35</v>
      </c>
      <c r="D275" s="277" t="s">
        <v>240</v>
      </c>
      <c r="E275" s="141">
        <v>11000</v>
      </c>
      <c r="F275" s="278" t="s">
        <v>243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355</v>
      </c>
      <c r="C276" s="276" t="s">
        <v>35</v>
      </c>
      <c r="D276" s="277" t="s">
        <v>240</v>
      </c>
      <c r="E276" s="141">
        <v>10858</v>
      </c>
      <c r="F276" s="278" t="s">
        <v>243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356</v>
      </c>
      <c r="C277" s="276" t="s">
        <v>35</v>
      </c>
      <c r="D277" s="277" t="s">
        <v>240</v>
      </c>
      <c r="E277" s="141">
        <v>13999.16</v>
      </c>
      <c r="F277" s="278" t="s">
        <v>240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357</v>
      </c>
      <c r="C278" s="276" t="s">
        <v>35</v>
      </c>
      <c r="D278" s="277" t="s">
        <v>237</v>
      </c>
      <c r="E278" s="141"/>
      <c r="F278" s="278" t="s">
        <v>306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358</v>
      </c>
      <c r="C279" s="276" t="s">
        <v>35</v>
      </c>
      <c r="D279" s="277" t="s">
        <v>243</v>
      </c>
      <c r="E279" s="141"/>
      <c r="F279" s="278" t="s">
        <v>243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359</v>
      </c>
      <c r="C280" s="276" t="s">
        <v>35</v>
      </c>
      <c r="D280" s="277" t="s">
        <v>243</v>
      </c>
      <c r="E280" s="141"/>
      <c r="F280" s="278" t="s">
        <v>243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360</v>
      </c>
      <c r="C281" s="276" t="s">
        <v>35</v>
      </c>
      <c r="D281" s="277" t="s">
        <v>361</v>
      </c>
      <c r="E281" s="141"/>
      <c r="F281" s="277" t="s">
        <v>361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362</v>
      </c>
      <c r="C282" s="276" t="s">
        <v>35</v>
      </c>
      <c r="D282" s="277" t="s">
        <v>215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363</v>
      </c>
      <c r="C283" s="276" t="s">
        <v>35</v>
      </c>
      <c r="D283" s="277" t="s">
        <v>240</v>
      </c>
      <c r="E283" s="141">
        <v>1035.3</v>
      </c>
      <c r="F283" s="278" t="s">
        <v>240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364</v>
      </c>
      <c r="C284" s="276" t="s">
        <v>35</v>
      </c>
      <c r="D284" s="277" t="s">
        <v>239</v>
      </c>
      <c r="E284" s="141">
        <v>700</v>
      </c>
      <c r="F284" s="278" t="s">
        <v>306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365</v>
      </c>
      <c r="C285" s="276" t="s">
        <v>35</v>
      </c>
      <c r="D285" s="277" t="s">
        <v>239</v>
      </c>
      <c r="E285" s="141">
        <v>1100</v>
      </c>
      <c r="F285" s="278" t="s">
        <v>306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366</v>
      </c>
      <c r="C286" s="276" t="s">
        <v>35</v>
      </c>
      <c r="D286" s="277" t="s">
        <v>306</v>
      </c>
      <c r="E286" s="141">
        <v>1000</v>
      </c>
      <c r="F286" s="278" t="s">
        <v>306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367</v>
      </c>
      <c r="C287" s="276" t="s">
        <v>35</v>
      </c>
      <c r="D287" s="277" t="s">
        <v>240</v>
      </c>
      <c r="E287" s="141">
        <v>700</v>
      </c>
      <c r="F287" s="278" t="s">
        <v>306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368</v>
      </c>
      <c r="C288" s="276" t="s">
        <v>35</v>
      </c>
      <c r="D288" s="48" t="s">
        <v>240</v>
      </c>
      <c r="E288" s="166">
        <v>84</v>
      </c>
      <c r="F288" s="278" t="s">
        <v>306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</v>
      </c>
      <c r="C289" s="276" t="s">
        <v>35</v>
      </c>
      <c r="D289" s="277" t="s">
        <v>240</v>
      </c>
      <c r="E289" s="166">
        <v>10780</v>
      </c>
      <c r="F289" s="278" t="s">
        <v>243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78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369</v>
      </c>
      <c r="C516" s="219" t="s">
        <v>47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47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47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47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47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47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47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47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47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47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47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47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47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47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47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47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47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47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47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47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47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47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47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78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393</v>
      </c>
      <c r="C562" s="219" t="s">
        <v>50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50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50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50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50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50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50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50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50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50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50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50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50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50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50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50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50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50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50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50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50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50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50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50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50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50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50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50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50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50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50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50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50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50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50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50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50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50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50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50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50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50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50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50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50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50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50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50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50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50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50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50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50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50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50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50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50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50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50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50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50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50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50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50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50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50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50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50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50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50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50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50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50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50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50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50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50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50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50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50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50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50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50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50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50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50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50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50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50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50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50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50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50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50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50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50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50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50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50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50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50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50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50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50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50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50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50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50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50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50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50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50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50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50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50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50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50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50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50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50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50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50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50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50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50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50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50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50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50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50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50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50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50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50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50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50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50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50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50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50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50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50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50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50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50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50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50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50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50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50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50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50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50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50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50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50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50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50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50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50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50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50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50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50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50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50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50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50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50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50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50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50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50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50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50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50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50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50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50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50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50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50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50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50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50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50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50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50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50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50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50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50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50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50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50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50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50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50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50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50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50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50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50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9" t="s">
        <v>50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50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50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50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50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50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50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50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50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50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50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50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50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50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50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50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50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50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50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50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50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50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50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9" t="s">
        <v>50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9" t="s">
        <v>50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9" t="s">
        <v>50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9" t="s">
        <v>50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9" t="s">
        <v>50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9" t="s">
        <v>50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9" t="s">
        <v>50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9" t="s">
        <v>50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9" t="s">
        <v>50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9" t="s">
        <v>50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9" t="s">
        <v>50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630</v>
      </c>
      <c r="C799" s="219" t="s">
        <v>50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631</v>
      </c>
      <c r="C800" s="219" t="s">
        <v>50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632</v>
      </c>
      <c r="C801" s="219" t="s">
        <v>50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633</v>
      </c>
      <c r="C802" s="219" t="s">
        <v>50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9" t="s">
        <v>50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9" t="s">
        <v>50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636</v>
      </c>
      <c r="C805" s="219" t="s">
        <v>50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637</v>
      </c>
      <c r="C806" s="219" t="s">
        <v>50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638</v>
      </c>
      <c r="C807" s="219" t="s">
        <v>50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639</v>
      </c>
      <c r="C808" s="219" t="s">
        <v>50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640</v>
      </c>
      <c r="C809" s="219" t="s">
        <v>50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641</v>
      </c>
      <c r="C810" s="219" t="s">
        <v>50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642</v>
      </c>
      <c r="C811" s="219" t="s">
        <v>50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643</v>
      </c>
      <c r="C812" s="219" t="s">
        <v>50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50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645</v>
      </c>
      <c r="C814" s="219" t="s">
        <v>50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646</v>
      </c>
      <c r="C815" s="219" t="s">
        <v>50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647</v>
      </c>
      <c r="C816" s="219" t="s">
        <v>50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648</v>
      </c>
      <c r="C817" s="219" t="s">
        <v>50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649</v>
      </c>
      <c r="C818" s="219" t="s">
        <v>50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650</v>
      </c>
      <c r="C819" s="219" t="s">
        <v>50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50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652</v>
      </c>
      <c r="C821" s="219" t="s">
        <v>50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50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50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655</v>
      </c>
      <c r="C824" s="219" t="s">
        <v>50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50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657</v>
      </c>
      <c r="C826" s="219" t="s">
        <v>50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658</v>
      </c>
      <c r="C827" s="219" t="s">
        <v>50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659</v>
      </c>
      <c r="C828" s="219" t="s">
        <v>50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660</v>
      </c>
      <c r="C829" s="219" t="s">
        <v>50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661</v>
      </c>
      <c r="C830" s="219" t="s">
        <v>50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662</v>
      </c>
      <c r="C831" s="219" t="s">
        <v>50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663</v>
      </c>
      <c r="C832" s="219" t="s">
        <v>50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664</v>
      </c>
      <c r="C833" s="219" t="s">
        <v>50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665</v>
      </c>
      <c r="C834" s="219" t="s">
        <v>50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666</v>
      </c>
      <c r="C835" s="219" t="s">
        <v>50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667</v>
      </c>
      <c r="C836" s="219" t="s">
        <v>50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668</v>
      </c>
      <c r="C837" s="219" t="s">
        <v>50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669</v>
      </c>
      <c r="C838" s="219" t="s">
        <v>50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670</v>
      </c>
      <c r="C839" s="219" t="s">
        <v>50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671</v>
      </c>
      <c r="C840" s="219" t="s">
        <v>50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672</v>
      </c>
      <c r="C841" s="219" t="s">
        <v>50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50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50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675</v>
      </c>
      <c r="C844" s="219" t="s">
        <v>50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50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50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678</v>
      </c>
      <c r="C847" s="219" t="s">
        <v>50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50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50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50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50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50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684</v>
      </c>
      <c r="C853" s="219" t="s">
        <v>50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50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50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50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50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50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50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691</v>
      </c>
      <c r="C860" s="219" t="s">
        <v>50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692</v>
      </c>
      <c r="C861" s="219" t="s">
        <v>50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693</v>
      </c>
      <c r="C862" s="219" t="s">
        <v>50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694</v>
      </c>
      <c r="C863" s="219" t="s">
        <v>50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50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696</v>
      </c>
      <c r="C865" s="219" t="s">
        <v>50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697</v>
      </c>
      <c r="C866" s="219" t="s">
        <v>50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698</v>
      </c>
      <c r="C867" s="219" t="s">
        <v>50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699</v>
      </c>
      <c r="C868" s="219" t="s">
        <v>50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700</v>
      </c>
      <c r="C869" s="219" t="s">
        <v>50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701</v>
      </c>
      <c r="C870" s="219" t="s">
        <v>50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702</v>
      </c>
      <c r="C871" s="219" t="s">
        <v>50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703</v>
      </c>
      <c r="C872" s="219" t="s">
        <v>50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50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50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50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50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50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709</v>
      </c>
      <c r="C878" s="219" t="s">
        <v>50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50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50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50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50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50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50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50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50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50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50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720</v>
      </c>
      <c r="C889" s="219" t="s">
        <v>50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50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50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50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50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725</v>
      </c>
      <c r="C894" s="219" t="s">
        <v>50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726</v>
      </c>
      <c r="C895" s="219" t="s">
        <v>50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727</v>
      </c>
      <c r="C896" s="219" t="s">
        <v>50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728</v>
      </c>
      <c r="C897" s="219" t="s">
        <v>50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729</v>
      </c>
      <c r="C898" s="219" t="s">
        <v>50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730</v>
      </c>
      <c r="C899" s="219" t="s">
        <v>50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731</v>
      </c>
      <c r="C900" s="219" t="s">
        <v>50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732</v>
      </c>
      <c r="C901" s="219" t="s">
        <v>50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733</v>
      </c>
      <c r="C902" s="219" t="s">
        <v>50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734</v>
      </c>
      <c r="C903" s="219" t="s">
        <v>50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735</v>
      </c>
      <c r="C904" s="219" t="s">
        <v>50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736</v>
      </c>
      <c r="C905" s="219" t="s">
        <v>50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737</v>
      </c>
      <c r="C906" s="219" t="s">
        <v>50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738</v>
      </c>
      <c r="C907" s="219" t="s">
        <v>50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739</v>
      </c>
      <c r="C908" s="219" t="s">
        <v>50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740</v>
      </c>
      <c r="C909" s="219" t="s">
        <v>50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741</v>
      </c>
      <c r="C910" s="219" t="s">
        <v>50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742</v>
      </c>
      <c r="C911" s="219" t="s">
        <v>50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743</v>
      </c>
      <c r="C912" s="219" t="s">
        <v>50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744</v>
      </c>
      <c r="C913" s="219" t="s">
        <v>50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745</v>
      </c>
      <c r="C914" s="219" t="s">
        <v>50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746</v>
      </c>
      <c r="C915" s="219" t="s">
        <v>50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747</v>
      </c>
      <c r="C916" s="219" t="s">
        <v>50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748</v>
      </c>
      <c r="C917" s="219" t="s">
        <v>50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749</v>
      </c>
      <c r="C918" s="219" t="s">
        <v>50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750</v>
      </c>
      <c r="C919" s="219" t="s">
        <v>50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751</v>
      </c>
      <c r="C920" s="219" t="s">
        <v>50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752</v>
      </c>
      <c r="C921" s="219" t="s">
        <v>50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753</v>
      </c>
      <c r="C922" s="219" t="s">
        <v>50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754</v>
      </c>
      <c r="C923" s="219" t="s">
        <v>50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755</v>
      </c>
      <c r="C924" s="219" t="s">
        <v>50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756</v>
      </c>
      <c r="C925" s="219" t="s">
        <v>50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757</v>
      </c>
      <c r="C926" s="219" t="s">
        <v>50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758</v>
      </c>
      <c r="C927" s="219" t="s">
        <v>50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759</v>
      </c>
      <c r="C928" s="219" t="s">
        <v>50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760</v>
      </c>
      <c r="C929" s="219" t="s">
        <v>50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761</v>
      </c>
      <c r="C930" s="219" t="s">
        <v>50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762</v>
      </c>
      <c r="C931" s="219" t="s">
        <v>50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763</v>
      </c>
      <c r="C932" s="219" t="s">
        <v>50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764</v>
      </c>
      <c r="C933" s="219" t="s">
        <v>50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765</v>
      </c>
      <c r="C934" s="219" t="s">
        <v>50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766</v>
      </c>
      <c r="C935" s="219" t="s">
        <v>50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767</v>
      </c>
      <c r="C936" s="219" t="s">
        <v>50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768</v>
      </c>
      <c r="C937" s="219" t="s">
        <v>50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769</v>
      </c>
      <c r="C938" s="219" t="s">
        <v>50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770</v>
      </c>
      <c r="C939" s="219" t="s">
        <v>50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771</v>
      </c>
      <c r="C940" s="219" t="s">
        <v>50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772</v>
      </c>
      <c r="C941" s="219" t="s">
        <v>50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773</v>
      </c>
      <c r="C942" s="219" t="s">
        <v>50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774</v>
      </c>
      <c r="C943" s="219" t="s">
        <v>50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775</v>
      </c>
      <c r="C944" s="219" t="s">
        <v>50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776</v>
      </c>
      <c r="C945" s="219" t="s">
        <v>50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777</v>
      </c>
      <c r="C946" s="219" t="s">
        <v>50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778</v>
      </c>
      <c r="C947" s="219" t="s">
        <v>50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779</v>
      </c>
      <c r="C948" s="219" t="s">
        <v>50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780</v>
      </c>
      <c r="C949" s="219" t="s">
        <v>50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781</v>
      </c>
      <c r="C950" s="219" t="s">
        <v>50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782</v>
      </c>
      <c r="C951" s="219" t="s">
        <v>50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783</v>
      </c>
      <c r="C952" s="219" t="s">
        <v>50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784</v>
      </c>
      <c r="C953" s="219" t="s">
        <v>50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785</v>
      </c>
      <c r="C954" s="219" t="s">
        <v>50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786</v>
      </c>
      <c r="C955" s="219" t="s">
        <v>50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50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50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789</v>
      </c>
      <c r="C958" s="219" t="s">
        <v>50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790</v>
      </c>
      <c r="C959" s="219" t="s">
        <v>50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791</v>
      </c>
      <c r="C960" s="219" t="s">
        <v>50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792</v>
      </c>
      <c r="C961" s="219" t="s">
        <v>50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793</v>
      </c>
      <c r="C962" s="219" t="s">
        <v>50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794</v>
      </c>
      <c r="C963" s="219" t="s">
        <v>50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795</v>
      </c>
      <c r="C964" s="219" t="s">
        <v>50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50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797</v>
      </c>
      <c r="C966" s="219" t="s">
        <v>50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798</v>
      </c>
      <c r="C967" s="219" t="s">
        <v>50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799</v>
      </c>
      <c r="C968" s="219" t="s">
        <v>50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800</v>
      </c>
      <c r="C969" s="219" t="s">
        <v>50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801</v>
      </c>
      <c r="C970" s="219" t="s">
        <v>50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802</v>
      </c>
      <c r="C971" s="219" t="s">
        <v>50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803</v>
      </c>
      <c r="C972" s="219" t="s">
        <v>50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804</v>
      </c>
      <c r="C973" s="219" t="s">
        <v>50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805</v>
      </c>
      <c r="C974" s="219" t="s">
        <v>50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806</v>
      </c>
      <c r="C975" s="219" t="s">
        <v>50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807</v>
      </c>
      <c r="C976" s="219" t="s">
        <v>50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808</v>
      </c>
      <c r="C977" s="219" t="s">
        <v>50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809</v>
      </c>
      <c r="C978" s="219" t="s">
        <v>50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810</v>
      </c>
      <c r="C979" s="219" t="s">
        <v>50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811</v>
      </c>
      <c r="C980" s="219" t="s">
        <v>50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812</v>
      </c>
      <c r="C981" s="219" t="s">
        <v>50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813</v>
      </c>
      <c r="C982" s="219" t="s">
        <v>50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93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78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814</v>
      </c>
      <c r="C1011" s="160" t="s">
        <v>25</v>
      </c>
      <c r="D1011" s="48" t="s">
        <v>240</v>
      </c>
      <c r="E1011" s="43">
        <v>8770.3333333333339</v>
      </c>
      <c r="F1011" s="188" t="s">
        <v>243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815</v>
      </c>
      <c r="C1012" s="160" t="s">
        <v>25</v>
      </c>
      <c r="D1012" s="48" t="s">
        <v>240</v>
      </c>
      <c r="E1012" s="43">
        <v>17830</v>
      </c>
      <c r="F1012" s="188" t="s">
        <v>243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816</v>
      </c>
      <c r="C1013" s="160" t="s">
        <v>25</v>
      </c>
      <c r="D1013" s="48" t="s">
        <v>240</v>
      </c>
      <c r="E1013" s="43">
        <v>28016</v>
      </c>
      <c r="F1013" s="188" t="s">
        <v>243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817</v>
      </c>
      <c r="C1014" s="160" t="s">
        <v>25</v>
      </c>
      <c r="D1014" s="48" t="s">
        <v>240</v>
      </c>
      <c r="E1014" s="43">
        <v>18321</v>
      </c>
      <c r="F1014" s="188" t="s">
        <v>243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818</v>
      </c>
      <c r="C1015" s="160" t="s">
        <v>25</v>
      </c>
      <c r="D1015" s="48" t="s">
        <v>239</v>
      </c>
      <c r="E1015" s="43">
        <v>28016</v>
      </c>
      <c r="F1015" s="188" t="s">
        <v>243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26</v>
      </c>
      <c r="C1016" s="160" t="s">
        <v>25</v>
      </c>
      <c r="D1016" s="48" t="s">
        <v>239</v>
      </c>
      <c r="E1016" s="43">
        <v>10317</v>
      </c>
      <c r="F1016" s="188" t="s">
        <v>243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25</v>
      </c>
      <c r="D1017" s="48" t="s">
        <v>240</v>
      </c>
      <c r="E1017" s="43">
        <v>10200</v>
      </c>
      <c r="F1017" s="188" t="s">
        <v>243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25</v>
      </c>
      <c r="D1018" s="48" t="s">
        <v>240</v>
      </c>
      <c r="E1018" s="43">
        <v>39999.47</v>
      </c>
      <c r="F1018" s="188" t="s">
        <v>243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25</v>
      </c>
      <c r="D1019" s="48" t="s">
        <v>239</v>
      </c>
      <c r="E1019" s="43">
        <v>10200</v>
      </c>
      <c r="F1019" s="188" t="s">
        <v>243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25</v>
      </c>
      <c r="D1020" s="48" t="s">
        <v>243</v>
      </c>
      <c r="E1020" s="43">
        <v>28550</v>
      </c>
      <c r="F1020" s="188" t="s">
        <v>243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25</v>
      </c>
      <c r="D1021" s="151" t="s">
        <v>240</v>
      </c>
      <c r="E1021" s="152">
        <v>34999.089999999997</v>
      </c>
      <c r="F1021" s="188" t="s">
        <v>243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25</v>
      </c>
      <c r="D1022" s="151" t="s">
        <v>240</v>
      </c>
      <c r="E1022" s="152">
        <v>24999.52</v>
      </c>
      <c r="F1022" s="188" t="s">
        <v>243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25</v>
      </c>
      <c r="D1023" s="151" t="s">
        <v>240</v>
      </c>
      <c r="E1023" s="152">
        <v>13269</v>
      </c>
      <c r="F1023" s="188" t="s">
        <v>243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25</v>
      </c>
      <c r="D1024" s="151" t="s">
        <v>240</v>
      </c>
      <c r="E1024" s="152">
        <v>20059.829999999998</v>
      </c>
      <c r="F1024" s="188" t="s">
        <v>243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25</v>
      </c>
      <c r="D1025" s="151" t="s">
        <v>240</v>
      </c>
      <c r="E1025" s="152">
        <v>31945</v>
      </c>
      <c r="F1025" s="188" t="s">
        <v>243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25</v>
      </c>
      <c r="D1026" s="151" t="s">
        <v>240</v>
      </c>
      <c r="E1026" s="152">
        <v>59308.5</v>
      </c>
      <c r="F1026" s="188" t="s">
        <v>243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25</v>
      </c>
      <c r="D1027" s="151" t="s">
        <v>240</v>
      </c>
      <c r="E1027" s="152">
        <v>22911.759999999998</v>
      </c>
      <c r="F1027" s="188" t="s">
        <v>243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25</v>
      </c>
      <c r="D1028" s="151" t="s">
        <v>240</v>
      </c>
      <c r="E1028" s="152">
        <v>39358.5</v>
      </c>
      <c r="F1028" s="188" t="s">
        <v>243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25</v>
      </c>
      <c r="D1029" s="151" t="s">
        <v>240</v>
      </c>
      <c r="E1029" s="152">
        <v>34666.660000000003</v>
      </c>
      <c r="F1029" s="188" t="s">
        <v>243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27</v>
      </c>
      <c r="C1030" s="160" t="s">
        <v>25</v>
      </c>
      <c r="D1030" s="151" t="s">
        <v>243</v>
      </c>
      <c r="E1030" s="152">
        <v>3550</v>
      </c>
      <c r="F1030" s="188" t="s">
        <v>243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25</v>
      </c>
      <c r="D1031" s="151" t="s">
        <v>240</v>
      </c>
      <c r="E1031" s="152">
        <v>6970</v>
      </c>
      <c r="F1031" s="188" t="s">
        <v>243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25</v>
      </c>
      <c r="D1032" s="151" t="s">
        <v>240</v>
      </c>
      <c r="E1032" s="152">
        <v>9500</v>
      </c>
      <c r="F1032" s="188" t="s">
        <v>243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25</v>
      </c>
      <c r="D1033" s="151" t="s">
        <v>240</v>
      </c>
      <c r="E1033" s="152">
        <v>4098</v>
      </c>
      <c r="F1033" s="188" t="s">
        <v>243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25</v>
      </c>
      <c r="D1034" s="151" t="s">
        <v>240</v>
      </c>
      <c r="E1034" s="152">
        <v>8770.3333333333339</v>
      </c>
      <c r="F1034" s="188" t="s">
        <v>243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25</v>
      </c>
      <c r="D1035" s="151" t="s">
        <v>240</v>
      </c>
      <c r="E1035" s="152">
        <v>44000</v>
      </c>
      <c r="F1035" s="188" t="s">
        <v>243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25</v>
      </c>
      <c r="D1036" s="151" t="s">
        <v>239</v>
      </c>
      <c r="E1036" s="152">
        <v>18500</v>
      </c>
      <c r="F1036" s="188" t="s">
        <v>243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25</v>
      </c>
      <c r="D1037" s="151" t="s">
        <v>239</v>
      </c>
      <c r="E1037" s="152">
        <v>39100</v>
      </c>
      <c r="F1037" s="188" t="s">
        <v>243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25</v>
      </c>
      <c r="D1038" s="48" t="s">
        <v>239</v>
      </c>
      <c r="E1038" s="43">
        <v>11950</v>
      </c>
      <c r="F1038" s="188" t="s">
        <v>243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840</v>
      </c>
      <c r="C1039" s="160" t="s">
        <v>25</v>
      </c>
      <c r="D1039" s="48" t="s">
        <v>240</v>
      </c>
      <c r="E1039" s="43">
        <v>5194</v>
      </c>
      <c r="F1039" s="188" t="s">
        <v>243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841</v>
      </c>
      <c r="C1040" s="160" t="s">
        <v>25</v>
      </c>
      <c r="D1040" s="151" t="s">
        <v>239</v>
      </c>
      <c r="E1040" s="152">
        <v>39358.5</v>
      </c>
      <c r="F1040" s="188" t="s">
        <v>243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842</v>
      </c>
      <c r="C1041" s="160" t="s">
        <v>25</v>
      </c>
      <c r="D1041" s="48" t="s">
        <v>239</v>
      </c>
      <c r="E1041" s="43">
        <v>31945</v>
      </c>
      <c r="F1041" s="188" t="s">
        <v>243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843</v>
      </c>
      <c r="C1042" s="160" t="s">
        <v>25</v>
      </c>
      <c r="D1042" s="48" t="s">
        <v>239</v>
      </c>
      <c r="E1042" s="43">
        <v>59308.5</v>
      </c>
      <c r="F1042" s="188" t="s">
        <v>243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25</v>
      </c>
      <c r="D1043" s="48" t="s">
        <v>240</v>
      </c>
      <c r="E1043" s="43">
        <v>0</v>
      </c>
      <c r="F1043" s="188" t="s">
        <v>243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30">
      <c r="A1067" s="83">
        <v>1</v>
      </c>
      <c r="B1067" s="206" t="s">
        <v>845</v>
      </c>
      <c r="C1067" s="219" t="s">
        <v>61</v>
      </c>
      <c r="D1067" s="48" t="s">
        <v>237</v>
      </c>
      <c r="E1067" s="43">
        <v>49000</v>
      </c>
      <c r="F1067" s="188" t="s">
        <v>237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846</v>
      </c>
      <c r="C1068" s="219" t="s">
        <v>61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61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848</v>
      </c>
      <c r="C1070" s="219" t="s">
        <v>61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849</v>
      </c>
      <c r="C1071" s="219" t="s">
        <v>61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850</v>
      </c>
      <c r="C1072" s="219" t="s">
        <v>61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851</v>
      </c>
      <c r="C1073" s="219" t="s">
        <v>61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78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30">
      <c r="A1107" s="83">
        <v>1</v>
      </c>
      <c r="B1107" s="206" t="s">
        <v>852</v>
      </c>
      <c r="C1107" s="37" t="s">
        <v>853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854</v>
      </c>
      <c r="C1108" s="37" t="s">
        <v>853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856</v>
      </c>
      <c r="C1110" s="37" t="s">
        <v>853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857</v>
      </c>
      <c r="C1111" s="37" t="s">
        <v>853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858</v>
      </c>
      <c r="C1112" s="37" t="s">
        <v>853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859</v>
      </c>
      <c r="C1113" s="37" t="s">
        <v>853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1019</v>
      </c>
      <c r="C1273" s="276" t="s">
        <v>853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1025</v>
      </c>
      <c r="C1278" s="276" t="s">
        <v>853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1026</v>
      </c>
      <c r="C1279" s="276" t="s">
        <v>853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1027</v>
      </c>
      <c r="C1280" s="276" t="s">
        <v>853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1030</v>
      </c>
      <c r="C1283" s="276" t="s">
        <v>853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1030</v>
      </c>
      <c r="C1284" s="276" t="s">
        <v>853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1035</v>
      </c>
      <c r="C1288" s="276" t="s">
        <v>853</v>
      </c>
      <c r="D1288" s="277" t="s">
        <v>205</v>
      </c>
      <c r="E1288" s="141">
        <v>62000</v>
      </c>
      <c r="F1288" s="278" t="s">
        <v>205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1036</v>
      </c>
      <c r="C1289" s="276" t="s">
        <v>853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1037</v>
      </c>
      <c r="C1290" s="276" t="s">
        <v>853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93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78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1038</v>
      </c>
      <c r="C1328" s="37" t="s">
        <v>28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28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28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28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28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30</v>
      </c>
      <c r="C1333" s="37" t="s">
        <v>28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28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28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28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28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28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28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28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28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28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28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28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28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28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28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34</v>
      </c>
      <c r="C1348" s="37" t="s">
        <v>28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28</v>
      </c>
      <c r="D1349" s="48" t="s">
        <v>1058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28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28</v>
      </c>
      <c r="D1351" s="48" t="s">
        <v>1062</v>
      </c>
      <c r="E1351" s="43">
        <v>19776</v>
      </c>
      <c r="F1351" s="188" t="s">
        <v>239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28</v>
      </c>
      <c r="D1352" s="48" t="s">
        <v>1060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28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29</v>
      </c>
      <c r="C1354" s="37" t="s">
        <v>28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28</v>
      </c>
      <c r="D1355" s="48" t="s">
        <v>239</v>
      </c>
      <c r="E1355" s="43">
        <v>4180</v>
      </c>
      <c r="F1355" s="188" t="s">
        <v>239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31</v>
      </c>
      <c r="C1356" s="37" t="s">
        <v>28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1068</v>
      </c>
      <c r="C1357" s="37" t="s">
        <v>28</v>
      </c>
      <c r="D1357" s="98" t="s">
        <v>361</v>
      </c>
      <c r="E1357" s="43"/>
      <c r="F1357" s="98" t="s">
        <v>361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1069</v>
      </c>
      <c r="C1358" s="37" t="s">
        <v>28</v>
      </c>
      <c r="D1358" s="98" t="s">
        <v>361</v>
      </c>
      <c r="E1358" s="43"/>
      <c r="F1358" s="98" t="s">
        <v>361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1070</v>
      </c>
      <c r="C1359" s="37" t="s">
        <v>28</v>
      </c>
      <c r="D1359" s="97" t="s">
        <v>240</v>
      </c>
      <c r="E1359" s="43">
        <v>0</v>
      </c>
      <c r="F1359" s="188" t="s">
        <v>240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28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28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28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28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28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28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28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28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28</v>
      </c>
      <c r="D1368" s="48" t="s">
        <v>1080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28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28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28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28</v>
      </c>
      <c r="D1372" s="58" t="s">
        <v>237</v>
      </c>
      <c r="E1372" s="62">
        <v>867804</v>
      </c>
      <c r="F1372" s="191" t="s">
        <v>237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28</v>
      </c>
      <c r="D1373" s="297" t="s">
        <v>237</v>
      </c>
      <c r="E1373" s="62">
        <v>1097662</v>
      </c>
      <c r="F1373" s="191" t="s">
        <v>237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1086</v>
      </c>
      <c r="C1374" s="161" t="s">
        <v>28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1087</v>
      </c>
      <c r="C1375" s="161" t="s">
        <v>28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1088</v>
      </c>
      <c r="C1376" s="161" t="s">
        <v>28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1089</v>
      </c>
      <c r="C1377" s="161" t="s">
        <v>28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1090</v>
      </c>
      <c r="C1378" s="161" t="s">
        <v>28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1091</v>
      </c>
      <c r="C1379" s="37" t="s">
        <v>28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1092</v>
      </c>
      <c r="C1380" s="219" t="s">
        <v>28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1093</v>
      </c>
      <c r="C1381" s="219" t="s">
        <v>28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1094</v>
      </c>
      <c r="C1382" s="221" t="s">
        <v>28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1" t="s">
        <v>28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1096</v>
      </c>
      <c r="C1384" s="219" t="s">
        <v>28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1097</v>
      </c>
      <c r="C1385" s="219" t="s">
        <v>28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1098</v>
      </c>
      <c r="C1386" s="219" t="s">
        <v>28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1099</v>
      </c>
      <c r="C1387" s="219" t="s">
        <v>28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1100</v>
      </c>
      <c r="C1388" s="219" t="s">
        <v>28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1101</v>
      </c>
      <c r="C1389" s="219" t="s">
        <v>28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1102</v>
      </c>
      <c r="C1390" s="219" t="s">
        <v>28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1103</v>
      </c>
      <c r="C1391" s="219" t="s">
        <v>28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1104</v>
      </c>
      <c r="C1392" s="219" t="s">
        <v>28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1105</v>
      </c>
      <c r="C1393" s="219" t="s">
        <v>28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1106</v>
      </c>
      <c r="C1394" s="219" t="s">
        <v>28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1107</v>
      </c>
      <c r="C1395" s="219" t="s">
        <v>28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1108</v>
      </c>
      <c r="C1396" s="219" t="s">
        <v>28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1109</v>
      </c>
      <c r="C1397" s="219" t="s">
        <v>28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1110</v>
      </c>
      <c r="C1398" s="219" t="s">
        <v>28</v>
      </c>
      <c r="D1398" s="248" t="s">
        <v>1111</v>
      </c>
      <c r="E1398" s="166">
        <v>74866.666666666672</v>
      </c>
      <c r="F1398" s="193" t="s">
        <v>1111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1112</v>
      </c>
      <c r="C1399" s="219" t="s">
        <v>28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1113</v>
      </c>
      <c r="C1400" s="219" t="s">
        <v>28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1114</v>
      </c>
      <c r="C1401" s="219" t="s">
        <v>28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1115</v>
      </c>
      <c r="C1402" s="219" t="s">
        <v>28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1116</v>
      </c>
      <c r="C1403" s="219" t="s">
        <v>28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1117</v>
      </c>
      <c r="C1404" s="219" t="s">
        <v>28</v>
      </c>
      <c r="D1404" s="248" t="s">
        <v>173</v>
      </c>
      <c r="E1404" s="166">
        <v>3200</v>
      </c>
      <c r="F1404" s="193" t="s">
        <v>173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1118</v>
      </c>
      <c r="C1405" s="219" t="s">
        <v>28</v>
      </c>
      <c r="D1405" s="248" t="s">
        <v>215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1119</v>
      </c>
      <c r="C1406" s="221" t="s">
        <v>28</v>
      </c>
      <c r="D1406" s="10" t="s">
        <v>361</v>
      </c>
      <c r="E1406" s="222"/>
      <c r="F1406" s="293" t="s">
        <v>361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1120</v>
      </c>
      <c r="C1407" s="219" t="s">
        <v>28</v>
      </c>
      <c r="D1407" s="10" t="s">
        <v>361</v>
      </c>
      <c r="E1407" s="166"/>
      <c r="F1407" s="10" t="s">
        <v>361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1121</v>
      </c>
      <c r="C1408" s="219" t="s">
        <v>28</v>
      </c>
      <c r="D1408" s="10" t="s">
        <v>361</v>
      </c>
      <c r="E1408" s="166"/>
      <c r="F1408" s="10" t="s">
        <v>361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1122</v>
      </c>
      <c r="C1409" s="219" t="s">
        <v>28</v>
      </c>
      <c r="D1409" s="10" t="s">
        <v>361</v>
      </c>
      <c r="E1409" s="166"/>
      <c r="F1409" s="10" t="s">
        <v>361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1123</v>
      </c>
      <c r="C1410" s="219" t="s">
        <v>28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1124</v>
      </c>
      <c r="C1411" s="219" t="s">
        <v>28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1125</v>
      </c>
      <c r="C1412" s="219" t="s">
        <v>28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1126</v>
      </c>
      <c r="C1413" s="219" t="s">
        <v>28</v>
      </c>
      <c r="D1413" s="10" t="s">
        <v>361</v>
      </c>
      <c r="E1413" s="166"/>
      <c r="F1413" s="10" t="s">
        <v>361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1127</v>
      </c>
      <c r="C1414" s="219" t="s">
        <v>28</v>
      </c>
      <c r="D1414" s="10" t="s">
        <v>361</v>
      </c>
      <c r="E1414" s="166"/>
      <c r="F1414" s="10" t="s">
        <v>361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1128</v>
      </c>
      <c r="C1415" s="221" t="s">
        <v>28</v>
      </c>
      <c r="D1415" s="10" t="s">
        <v>361</v>
      </c>
      <c r="E1415" s="222"/>
      <c r="F1415" s="10" t="s">
        <v>361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78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1129</v>
      </c>
      <c r="C1428" s="219" t="s">
        <v>58</v>
      </c>
      <c r="D1428" s="235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19" t="s">
        <v>58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19" t="s">
        <v>58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19" t="s">
        <v>58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19" t="s">
        <v>58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19" t="s">
        <v>58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19" t="s">
        <v>58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19" t="s">
        <v>58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19" t="s">
        <v>58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19" t="s">
        <v>58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19" t="s">
        <v>58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19" t="s">
        <v>58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19" t="s">
        <v>58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19" t="s">
        <v>58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19" t="s">
        <v>58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19" t="s">
        <v>58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19" t="s">
        <v>58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19" t="s">
        <v>58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19" t="s">
        <v>58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19" t="s">
        <v>58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19" t="s">
        <v>58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19" t="s">
        <v>58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19" t="s">
        <v>58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19" t="s">
        <v>58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19" t="s">
        <v>58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19" t="s">
        <v>58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19" t="s">
        <v>58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19" t="s">
        <v>58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19" t="s">
        <v>58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19" t="s">
        <v>58</v>
      </c>
      <c r="D1457" s="48" t="s">
        <v>1066</v>
      </c>
      <c r="E1457" s="43">
        <v>3145</v>
      </c>
      <c r="F1457" s="188" t="s">
        <v>243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19" t="s">
        <v>58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19" t="s">
        <v>58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19" t="s">
        <v>58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19" t="s">
        <v>58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19" t="s">
        <v>58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19" t="s">
        <v>58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19" t="s">
        <v>58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19" t="s">
        <v>58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19" t="s">
        <v>58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19" t="s">
        <v>58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19" t="s">
        <v>58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19" t="s">
        <v>58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19" t="s">
        <v>58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19" t="s">
        <v>58</v>
      </c>
      <c r="D1471" s="48" t="s">
        <v>237</v>
      </c>
      <c r="E1471" s="43">
        <v>90973.666666666672</v>
      </c>
      <c r="F1471" s="188" t="s">
        <v>243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19" t="s">
        <v>58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19" t="s">
        <v>58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19" t="s">
        <v>58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19" t="s">
        <v>58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19" t="s">
        <v>58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19" t="s">
        <v>58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19" t="s">
        <v>58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19" t="s">
        <v>58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19" t="s">
        <v>58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19" t="s">
        <v>58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19" t="s">
        <v>58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19" t="s">
        <v>58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19" t="s">
        <v>58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19" t="s">
        <v>58</v>
      </c>
      <c r="D1485" s="48" t="s">
        <v>239</v>
      </c>
      <c r="E1485" s="43">
        <v>107770</v>
      </c>
      <c r="F1485" s="188" t="s">
        <v>239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19" t="s">
        <v>58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19" t="s">
        <v>58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19" t="s">
        <v>58</v>
      </c>
      <c r="D1488" s="48" t="s">
        <v>1066</v>
      </c>
      <c r="E1488" s="43">
        <v>9196.3666666666668</v>
      </c>
      <c r="F1488" s="188" t="s">
        <v>243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19" t="s">
        <v>58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19" t="s">
        <v>58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19" t="s">
        <v>58</v>
      </c>
      <c r="D1491" s="48" t="s">
        <v>239</v>
      </c>
      <c r="E1491" s="43">
        <v>38155</v>
      </c>
      <c r="F1491" s="188" t="s">
        <v>239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19" t="s">
        <v>58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19" t="s">
        <v>58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19" t="s">
        <v>58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19" t="s">
        <v>58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19" t="s">
        <v>58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19" t="s">
        <v>58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19" t="s">
        <v>58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19" t="s">
        <v>58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19" t="s">
        <v>58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19" t="s">
        <v>58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19" t="s">
        <v>58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19" t="s">
        <v>58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19" t="s">
        <v>58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19" t="s">
        <v>58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19" t="s">
        <v>58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19" t="s">
        <v>58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19" t="s">
        <v>58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19" t="s">
        <v>58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28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93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78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32</v>
      </c>
    </row>
    <row r="3" spans="1:13" outlineLevel="1">
      <c r="A3" s="3" t="s">
        <v>1316</v>
      </c>
      <c r="B3" s="5" t="s">
        <v>215</v>
      </c>
      <c r="D3" s="266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47</v>
      </c>
    </row>
    <row r="4" spans="1:13" ht="30" outlineLevel="1">
      <c r="A4" s="2" t="s">
        <v>1321</v>
      </c>
      <c r="B4" s="5" t="s">
        <v>306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50</v>
      </c>
    </row>
    <row r="5" spans="1:13" ht="30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853</v>
      </c>
    </row>
    <row r="6" spans="1:13" outlineLevel="1">
      <c r="A6" s="2" t="s">
        <v>325</v>
      </c>
      <c r="B6" s="5" t="s">
        <v>325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28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35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25</v>
      </c>
    </row>
    <row r="9" spans="1:13" outlineLevel="1">
      <c r="A9" s="2" t="s">
        <v>1346</v>
      </c>
      <c r="B9" s="5" t="s">
        <v>1198</v>
      </c>
      <c r="F9" s="2" t="s">
        <v>1347</v>
      </c>
      <c r="H9" t="s">
        <v>1348</v>
      </c>
      <c r="I9">
        <v>70323724</v>
      </c>
      <c r="K9" t="s">
        <v>1349</v>
      </c>
      <c r="M9" s="79" t="s">
        <v>61</v>
      </c>
    </row>
    <row r="10" spans="1:13" outlineLevel="1">
      <c r="A10" s="2" t="s">
        <v>1350</v>
      </c>
      <c r="B10" s="5" t="s">
        <v>105</v>
      </c>
      <c r="F10" s="3" t="s">
        <v>9</v>
      </c>
      <c r="H10" s="24" t="s">
        <v>1351</v>
      </c>
      <c r="I10" s="20">
        <v>32142539</v>
      </c>
      <c r="K10" t="s">
        <v>1352</v>
      </c>
      <c r="M10" s="233" t="s">
        <v>121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58</v>
      </c>
    </row>
    <row r="12" spans="1:13" ht="30" outlineLevel="1">
      <c r="A12" s="3" t="s">
        <v>1358</v>
      </c>
      <c r="B12" s="5" t="s">
        <v>1032</v>
      </c>
      <c r="F12" s="302" t="s">
        <v>1359</v>
      </c>
      <c r="H12" s="27" t="s">
        <v>1360</v>
      </c>
      <c r="I12" s="28">
        <v>32184975</v>
      </c>
      <c r="M12" s="233" t="s">
        <v>1216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1226</v>
      </c>
      <c r="H14" s="24" t="s">
        <v>1364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237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361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1219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240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106</v>
      </c>
      <c r="H21" s="21" t="s">
        <v>1379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207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173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6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1385</v>
      </c>
      <c r="I26" s="26">
        <v>70114326</v>
      </c>
    </row>
    <row r="27" spans="1:9" outlineLevel="1">
      <c r="A27" t="s">
        <v>239</v>
      </c>
      <c r="B27" s="5" t="s">
        <v>239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111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2024-10-24T19:51:41Z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