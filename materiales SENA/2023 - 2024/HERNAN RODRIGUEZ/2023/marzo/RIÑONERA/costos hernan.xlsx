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HERNAN/marzo/RIÑONERA/"/>
    </mc:Choice>
  </mc:AlternateContent>
  <xr:revisionPtr revIDLastSave="2" documentId="13_ncr:1_{A3569669-BEA0-4371-84E9-71C6E0F0A3CC}" xr6:coauthVersionLast="47" xr6:coauthVersionMax="47" xr10:uidLastSave="{0A856A9A-CC3A-483E-911F-E1A1E3C041EE}"/>
  <bookViews>
    <workbookView xWindow="-120" yWindow="-120" windowWidth="29040" windowHeight="15840" xr2:uid="{ACAC63C4-3DB4-49D3-A206-DF7A38CF6FD6}"/>
  </bookViews>
  <sheets>
    <sheet name="Hoja1" sheetId="1" r:id="rId1"/>
  </sheets>
  <externalReferences>
    <externalReference r:id="rId2"/>
  </externalReferences>
  <definedNames>
    <definedName name="broche">[1]INVENTARIO!$B$3:$C$145</definedName>
    <definedName name="INVENTARIO">[1]INVENTARIO!$A$3:$B$145</definedName>
    <definedName name="listo">[1]INVENTARIO!$A$3:$A$147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9" i="1" s="1"/>
  <c r="F10" i="1"/>
  <c r="F11" i="1"/>
  <c r="F12" i="1"/>
  <c r="F13" i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D6" authorId="0" shapeId="0" xr:uid="{58F3B656-8705-40EA-97A8-687371F9A32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CADA METRO DE SINTETICO POR 140 CM DE ANCHO CONTIENE 14000 CM CUADRADOS, PARA QUE TENGAN UNA REFERENCIA SOBRE EL MATERIAL QUE SE VA A PEDIR</t>
        </r>
      </text>
    </comment>
  </commentList>
</comments>
</file>

<file path=xl/sharedStrings.xml><?xml version="1.0" encoding="utf-8"?>
<sst xmlns="http://schemas.openxmlformats.org/spreadsheetml/2006/main" count="28" uniqueCount="23">
  <si>
    <t>DOCENTE ENCARGADO</t>
  </si>
  <si>
    <t>HERNAN JOSE RODRIGUEZ</t>
  </si>
  <si>
    <t>CURSO/TECNICO</t>
  </si>
  <si>
    <t>NOMBRE DEL PRODUCTO</t>
  </si>
  <si>
    <t>RIÑONERA</t>
  </si>
  <si>
    <t>FECHA DE ELABORACION DEL PRODUCTO</t>
  </si>
  <si>
    <t>NUMERO DE CEDULA</t>
  </si>
  <si>
    <t>NUMERO DE FICHA</t>
  </si>
  <si>
    <t>FECHA ENTREGA DEL PRODUCTO</t>
  </si>
  <si>
    <t>Lona Sintetica Colores  (cm²)</t>
  </si>
  <si>
    <t xml:space="preserve">n/a </t>
  </si>
  <si>
    <t>Seda 30-100 Colores  (cm²)</t>
  </si>
  <si>
    <t xml:space="preserve">tono a tono </t>
  </si>
  <si>
    <t>Cremallera Nylon #6(cm)</t>
  </si>
  <si>
    <t xml:space="preserve">llaves #6 Nq de lujo </t>
  </si>
  <si>
    <t xml:space="preserve">niquel tono a tono </t>
  </si>
  <si>
    <t>velcro</t>
  </si>
  <si>
    <t xml:space="preserve">negro </t>
  </si>
  <si>
    <t>Forro Malla  (cm²)</t>
  </si>
  <si>
    <t>Cinta Falla de 25mm  (Cm)</t>
  </si>
  <si>
    <t>Reata Algodón 1 1/2"- 40mm (cm)</t>
  </si>
  <si>
    <t>Chapa burbuja plastica 1 1/2</t>
  </si>
  <si>
    <t>trabilla plastica 1 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</si>
</sst>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"/>
    <numFmt numFmtId="166" formatCode="&quot;$&quot;\ #,##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/>
    <xf numFmtId="1" fontId="4" fillId="2" borderId="1" xfId="0" applyNumberFormat="1" applyFont="1" applyFill="1" applyBorder="1" applyProtection="1">
      <protection locked="0"/>
    </xf>
    <xf numFmtId="165" fontId="2" fillId="2" borderId="1" xfId="1" applyNumberFormat="1" applyFont="1" applyFill="1" applyBorder="1" applyAlignment="1" applyProtection="1">
      <alignment horizontal="right"/>
      <protection locked="0"/>
    </xf>
    <xf numFmtId="166" fontId="2" fillId="2" borderId="1" xfId="0" applyNumberFormat="1" applyFont="1" applyFill="1" applyBorder="1" applyAlignment="1">
      <alignment horizontal="right"/>
    </xf>
    <xf numFmtId="166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vertical="center" wrapText="1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4" fontId="3" fillId="3" borderId="2" xfId="0" applyNumberFormat="1" applyFont="1" applyFill="1" applyBorder="1" applyAlignment="1">
      <alignment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vertical="center"/>
    </xf>
    <xf numFmtId="14" fontId="8" fillId="3" borderId="2" xfId="0" applyNumberFormat="1" applyFont="1" applyFill="1" applyBorder="1" applyAlignment="1" applyProtection="1">
      <alignment wrapText="1"/>
      <protection locked="0"/>
    </xf>
    <xf numFmtId="1" fontId="3" fillId="3" borderId="8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166" fontId="9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1" fontId="3" fillId="2" borderId="0" xfId="0" applyNumberFormat="1" applyFont="1" applyFill="1"/>
    <xf numFmtId="1" fontId="4" fillId="2" borderId="0" xfId="0" applyNumberFormat="1" applyFont="1" applyFill="1" applyProtection="1">
      <protection locked="0"/>
    </xf>
    <xf numFmtId="165" fontId="2" fillId="2" borderId="0" xfId="1" applyNumberFormat="1" applyFont="1" applyFill="1" applyBorder="1" applyAlignment="1" applyProtection="1">
      <alignment horizontal="right"/>
      <protection locked="0"/>
    </xf>
    <xf numFmtId="166" fontId="2" fillId="2" borderId="0" xfId="0" applyNumberFormat="1" applyFont="1" applyFill="1" applyAlignment="1">
      <alignment horizontal="right"/>
    </xf>
    <xf numFmtId="166" fontId="0" fillId="0" borderId="1" xfId="0" applyNumberFormat="1" applyBorder="1"/>
    <xf numFmtId="0" fontId="0" fillId="0" borderId="1" xfId="0" applyBorder="1"/>
    <xf numFmtId="0" fontId="7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 wrapText="1"/>
    </xf>
    <xf numFmtId="1" fontId="3" fillId="3" borderId="7" xfId="0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152400</xdr:rowOff>
    </xdr:from>
    <xdr:to>
      <xdr:col>7</xdr:col>
      <xdr:colOff>276225</xdr:colOff>
      <xdr:row>30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187BC1-675A-46FE-9A6D-20F8A66D7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451" b="3899"/>
        <a:stretch>
          <a:fillRect/>
        </a:stretch>
      </xdr:blipFill>
      <xdr:spPr bwMode="auto">
        <a:xfrm>
          <a:off x="2562225" y="5343525"/>
          <a:ext cx="325755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perez\Downloads\Copia%20de%20FICHA%20DE%20PEDIDOS2023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os"/>
      <sheetName val="lista"/>
      <sheetName val="PEDIDO"/>
      <sheetName val="MEDIDAS"/>
      <sheetName val="INVENTARIO"/>
      <sheetName val="Hoja3"/>
    </sheetNames>
    <sheetDataSet>
      <sheetData sheetId="0"/>
      <sheetData sheetId="1"/>
      <sheetData sheetId="2"/>
      <sheetData sheetId="3"/>
      <sheetData sheetId="4">
        <row r="3">
          <cell r="A3">
            <v>0</v>
          </cell>
          <cell r="B3">
            <v>0</v>
          </cell>
          <cell r="C3">
            <v>0</v>
          </cell>
        </row>
        <row r="4">
          <cell r="A4" t="str">
            <v>argolla para llaveros</v>
          </cell>
          <cell r="B4">
            <v>50</v>
          </cell>
          <cell r="C4">
            <v>1</v>
          </cell>
        </row>
        <row r="5">
          <cell r="A5" t="str">
            <v xml:space="preserve">argolla plana 1" ¼ niquel </v>
          </cell>
          <cell r="B5">
            <v>1392</v>
          </cell>
          <cell r="C5">
            <v>1</v>
          </cell>
        </row>
        <row r="6">
          <cell r="A6" t="str">
            <v xml:space="preserve">argolla plana 2" niquel </v>
          </cell>
          <cell r="B6">
            <v>2204</v>
          </cell>
          <cell r="C6">
            <v>1</v>
          </cell>
        </row>
        <row r="7">
          <cell r="A7" t="str">
            <v xml:space="preserve">argolla  1" niquel </v>
          </cell>
          <cell r="B7">
            <v>800</v>
          </cell>
          <cell r="C7">
            <v>1</v>
          </cell>
        </row>
        <row r="8">
          <cell r="A8" t="str">
            <v xml:space="preserve">argolla 1" ¼ niquel </v>
          </cell>
          <cell r="B8">
            <v>800</v>
          </cell>
          <cell r="C8">
            <v>1</v>
          </cell>
        </row>
        <row r="9">
          <cell r="A9" t="str">
            <v xml:space="preserve">argolla  1"  ½ niquel </v>
          </cell>
          <cell r="B9">
            <v>800</v>
          </cell>
          <cell r="C9">
            <v>1</v>
          </cell>
        </row>
        <row r="10">
          <cell r="A10" t="str">
            <v>argolla  1" pb</v>
          </cell>
          <cell r="B10">
            <v>800</v>
          </cell>
          <cell r="C10">
            <v>1</v>
          </cell>
        </row>
        <row r="11">
          <cell r="A11" t="str">
            <v>argolla 1"  ½ pb</v>
          </cell>
          <cell r="B11">
            <v>800</v>
          </cell>
          <cell r="C11">
            <v>1</v>
          </cell>
        </row>
        <row r="12">
          <cell r="A12" t="str">
            <v>Broche Billetera (unidad)</v>
          </cell>
          <cell r="B12">
            <v>58</v>
          </cell>
          <cell r="C12">
            <v>1</v>
          </cell>
        </row>
        <row r="13">
          <cell r="A13" t="str">
            <v>Broche Cazuela  Grande (unidad)</v>
          </cell>
          <cell r="B13">
            <v>63.8</v>
          </cell>
          <cell r="C13">
            <v>1</v>
          </cell>
        </row>
        <row r="14">
          <cell r="A14" t="str">
            <v>Broche Cazuela Pequeño (unidad)</v>
          </cell>
          <cell r="B14">
            <v>63.8</v>
          </cell>
          <cell r="C14">
            <v>1</v>
          </cell>
        </row>
        <row r="15">
          <cell r="A15" t="str">
            <v>Broche Iman Grande ( unidad)</v>
          </cell>
          <cell r="B15">
            <v>130</v>
          </cell>
          <cell r="C15">
            <v>1</v>
          </cell>
        </row>
        <row r="16">
          <cell r="A16" t="str">
            <v>Broche Iman Mediano ( unidad)</v>
          </cell>
          <cell r="B16">
            <v>130</v>
          </cell>
          <cell r="C16">
            <v>1</v>
          </cell>
        </row>
        <row r="17">
          <cell r="A17" t="str">
            <v>Broche Iman Pequeño ( unidad)</v>
          </cell>
          <cell r="B17">
            <v>250</v>
          </cell>
          <cell r="C17">
            <v>1</v>
          </cell>
        </row>
        <row r="18">
          <cell r="A18" t="str">
            <v>Broche Torniquete (unidad)</v>
          </cell>
          <cell r="B18">
            <v>350</v>
          </cell>
          <cell r="C18">
            <v>1</v>
          </cell>
        </row>
        <row r="19">
          <cell r="A19" t="str">
            <v>Cambrion Acerado (par)</v>
          </cell>
          <cell r="B19">
            <v>800</v>
          </cell>
          <cell r="C19">
            <v>1</v>
          </cell>
        </row>
        <row r="20">
          <cell r="A20" t="str">
            <v>Cambrion de  lata  (par)</v>
          </cell>
          <cell r="B20">
            <v>110</v>
          </cell>
          <cell r="C20">
            <v>1</v>
          </cell>
        </row>
        <row r="21">
          <cell r="A21" t="str">
            <v>Capellada en cuero o sintetico (ejercicios)</v>
          </cell>
          <cell r="B21">
            <v>1000</v>
          </cell>
          <cell r="C21">
            <v>1</v>
          </cell>
        </row>
        <row r="22">
          <cell r="A22" t="str">
            <v>Cesgo para ribetear 25 mm (cm)</v>
          </cell>
          <cell r="B22">
            <v>0.5</v>
          </cell>
          <cell r="C22">
            <v>1</v>
          </cell>
        </row>
        <row r="23">
          <cell r="A23" t="str">
            <v>Cierres separables en pasta ( unidad)</v>
          </cell>
          <cell r="B23">
            <v>754</v>
          </cell>
          <cell r="C23">
            <v>1</v>
          </cell>
        </row>
        <row r="24">
          <cell r="A24" t="str">
            <v>Cierres separables pavonados ( unidad)</v>
          </cell>
          <cell r="B24">
            <v>754</v>
          </cell>
          <cell r="C24">
            <v>1</v>
          </cell>
        </row>
        <row r="25">
          <cell r="A25" t="str">
            <v>Cinta Falla de 20mm  (Cm)</v>
          </cell>
          <cell r="B25">
            <v>2</v>
          </cell>
          <cell r="C25">
            <v>1</v>
          </cell>
        </row>
        <row r="26">
          <cell r="A26" t="str">
            <v>Cinta Falla de 25mm  (Cm)</v>
          </cell>
          <cell r="B26">
            <v>3</v>
          </cell>
          <cell r="C26">
            <v>1</v>
          </cell>
        </row>
        <row r="27">
          <cell r="A27" t="str">
            <v>Cinta Protectora para Puntera de Seguridad (cm)</v>
          </cell>
          <cell r="B27">
            <v>26</v>
          </cell>
          <cell r="C27">
            <v>1</v>
          </cell>
        </row>
        <row r="28">
          <cell r="A28" t="str">
            <v>Cola de Rata#3 (cm)</v>
          </cell>
          <cell r="B28">
            <v>4</v>
          </cell>
          <cell r="C28">
            <v>1</v>
          </cell>
        </row>
        <row r="29">
          <cell r="A29" t="str">
            <v>Cola de Rata#4 (cm)</v>
          </cell>
          <cell r="B29">
            <v>4</v>
          </cell>
          <cell r="C29">
            <v>1</v>
          </cell>
        </row>
        <row r="30">
          <cell r="A30" t="str">
            <v>Cola de Rata#8 (cm)</v>
          </cell>
          <cell r="B30">
            <v>4</v>
          </cell>
          <cell r="C30">
            <v>1</v>
          </cell>
        </row>
        <row r="31">
          <cell r="A31" t="str">
            <v xml:space="preserve">Cordon Algodón Poliester 110 cm  (par) </v>
          </cell>
          <cell r="B31">
            <v>500</v>
          </cell>
          <cell r="C31">
            <v>1</v>
          </cell>
        </row>
        <row r="32">
          <cell r="A32" t="str">
            <v xml:space="preserve">Cordon Algodón Poliester 60 cm  (par) </v>
          </cell>
          <cell r="B32">
            <v>450</v>
          </cell>
          <cell r="C32">
            <v>1</v>
          </cell>
        </row>
        <row r="33">
          <cell r="A33" t="str">
            <v xml:space="preserve">Cordon Algodón Poliester 90 cm  (par) </v>
          </cell>
          <cell r="B33">
            <v>400</v>
          </cell>
          <cell r="C33">
            <v>1</v>
          </cell>
        </row>
        <row r="34">
          <cell r="A34" t="str">
            <v>Cremallera Nylon #3(cm)</v>
          </cell>
          <cell r="B34">
            <v>3.4</v>
          </cell>
          <cell r="C34">
            <v>1</v>
          </cell>
        </row>
        <row r="35">
          <cell r="A35" t="str">
            <v>Cremallera Nylon #4(cm)</v>
          </cell>
          <cell r="B35">
            <v>4.4000000000000004</v>
          </cell>
          <cell r="C35">
            <v>1</v>
          </cell>
        </row>
        <row r="36">
          <cell r="A36" t="str">
            <v>Cremallera Nylon #6(cm)</v>
          </cell>
          <cell r="B36">
            <v>6</v>
          </cell>
          <cell r="C36">
            <v>1</v>
          </cell>
        </row>
        <row r="37">
          <cell r="A37" t="str">
            <v>Crepe #3   (cm²)</v>
          </cell>
          <cell r="B37">
            <v>382</v>
          </cell>
          <cell r="C37">
            <v>1</v>
          </cell>
        </row>
        <row r="38">
          <cell r="A38" t="str">
            <v xml:space="preserve">cuadrante ½ niquel </v>
          </cell>
          <cell r="B38">
            <v>50</v>
          </cell>
          <cell r="C38">
            <v>1</v>
          </cell>
        </row>
        <row r="39">
          <cell r="A39" t="str">
            <v xml:space="preserve">cuadrante ¾ niquel </v>
          </cell>
          <cell r="B39">
            <v>50</v>
          </cell>
          <cell r="C39">
            <v>1</v>
          </cell>
        </row>
        <row r="40">
          <cell r="A40" t="str">
            <v xml:space="preserve">cuadrante 1" ¼ niquel </v>
          </cell>
          <cell r="B40">
            <v>80</v>
          </cell>
          <cell r="C40">
            <v>1</v>
          </cell>
        </row>
        <row r="41">
          <cell r="A41" t="str">
            <v xml:space="preserve">cuadrante 1"  ½ niquel </v>
          </cell>
          <cell r="B41">
            <v>90</v>
          </cell>
          <cell r="C41">
            <v>1</v>
          </cell>
        </row>
        <row r="42">
          <cell r="A42" t="str">
            <v xml:space="preserve">cuadrante 2" niquel </v>
          </cell>
          <cell r="B42">
            <v>100</v>
          </cell>
          <cell r="C42">
            <v>1</v>
          </cell>
        </row>
        <row r="43">
          <cell r="A43" t="str">
            <v>cuadrante ½ pb</v>
          </cell>
          <cell r="B43">
            <v>50</v>
          </cell>
          <cell r="C43">
            <v>1</v>
          </cell>
        </row>
        <row r="44">
          <cell r="A44" t="str">
            <v>cuadrante ¾ pb</v>
          </cell>
          <cell r="B44">
            <v>50</v>
          </cell>
          <cell r="C44">
            <v>1</v>
          </cell>
        </row>
        <row r="45">
          <cell r="A45" t="str">
            <v>cuadrante 1" pb</v>
          </cell>
          <cell r="B45">
            <v>80</v>
          </cell>
          <cell r="C45">
            <v>1</v>
          </cell>
        </row>
        <row r="46">
          <cell r="A46" t="str">
            <v xml:space="preserve">cuadrante 1"¼ pb </v>
          </cell>
          <cell r="B46">
            <v>90</v>
          </cell>
          <cell r="C46">
            <v>1</v>
          </cell>
        </row>
        <row r="47">
          <cell r="A47" t="str">
            <v>cuadrante 1"  ½ pb</v>
          </cell>
          <cell r="B47">
            <v>100</v>
          </cell>
          <cell r="C47">
            <v>1</v>
          </cell>
        </row>
        <row r="48">
          <cell r="A48" t="str">
            <v>Cuero DIAN (dm2)</v>
          </cell>
          <cell r="B48">
            <v>250</v>
          </cell>
          <cell r="C48">
            <v>1</v>
          </cell>
        </row>
        <row r="49">
          <cell r="A49" t="str">
            <v>Cuero  Badana Natural  (Dm2)</v>
          </cell>
          <cell r="B49">
            <v>349</v>
          </cell>
          <cell r="C49">
            <v>1</v>
          </cell>
        </row>
        <row r="50">
          <cell r="A50" t="str">
            <v>Cuero carnaza  (Dm2)</v>
          </cell>
          <cell r="B50">
            <v>246</v>
          </cell>
          <cell r="C50">
            <v>1</v>
          </cell>
        </row>
        <row r="51">
          <cell r="A51" t="str">
            <v>Cuero Dotacion (Dm2)</v>
          </cell>
          <cell r="B51">
            <v>436</v>
          </cell>
          <cell r="C51">
            <v>1</v>
          </cell>
        </row>
        <row r="52">
          <cell r="A52" t="str">
            <v>Cuero Napa confeccion (Dm2)</v>
          </cell>
          <cell r="B52">
            <v>491</v>
          </cell>
          <cell r="C52">
            <v>1</v>
          </cell>
        </row>
        <row r="53">
          <cell r="A53" t="str">
            <v>Cuero Napa Variada  (Dm2)</v>
          </cell>
          <cell r="B53">
            <v>488</v>
          </cell>
          <cell r="C53">
            <v>1</v>
          </cell>
        </row>
        <row r="54">
          <cell r="A54" t="str">
            <v>Cuero Nubuk  (Dm2)</v>
          </cell>
          <cell r="B54">
            <v>589</v>
          </cell>
          <cell r="C54">
            <v>1</v>
          </cell>
        </row>
        <row r="55">
          <cell r="A55" t="str">
            <v>Cuero Pelo  (Dm2)</v>
          </cell>
          <cell r="B55">
            <v>685</v>
          </cell>
          <cell r="C55">
            <v>1</v>
          </cell>
        </row>
        <row r="56">
          <cell r="A56" t="str">
            <v>Cuero Tala  (Dm2)</v>
          </cell>
          <cell r="B56">
            <v>430</v>
          </cell>
          <cell r="C56">
            <v>1</v>
          </cell>
        </row>
        <row r="57">
          <cell r="A57" t="str">
            <v>Cuero tala para talla del valle (Dm2)</v>
          </cell>
          <cell r="B57">
            <v>476</v>
          </cell>
          <cell r="C57">
            <v>1</v>
          </cell>
        </row>
        <row r="58">
          <cell r="A58" t="str">
            <v>Cuero Vaqueta Amarilla (Dm2)</v>
          </cell>
          <cell r="B58">
            <v>306</v>
          </cell>
          <cell r="C58">
            <v>1</v>
          </cell>
        </row>
        <row r="59">
          <cell r="A59" t="str">
            <v>Cuero vaqueta Tanino (Dm2)</v>
          </cell>
          <cell r="B59">
            <v>200</v>
          </cell>
          <cell r="C59">
            <v>1</v>
          </cell>
        </row>
        <row r="60">
          <cell r="A60" t="str">
            <v>Elastico 25mm (cm)</v>
          </cell>
          <cell r="B60">
            <v>17</v>
          </cell>
          <cell r="C60">
            <v>1</v>
          </cell>
        </row>
        <row r="61">
          <cell r="A61" t="str">
            <v>Embono Plastico#3  (cm)</v>
          </cell>
          <cell r="B61">
            <v>80</v>
          </cell>
          <cell r="C61">
            <v>1</v>
          </cell>
        </row>
        <row r="62">
          <cell r="A62" t="str">
            <v>Emulsion Acabados en Cuero 200ml</v>
          </cell>
          <cell r="B62">
            <v>4000</v>
          </cell>
          <cell r="C62">
            <v>1</v>
          </cell>
        </row>
        <row r="63">
          <cell r="A63" t="str">
            <v>Entretela fusionable para cuero  (cm²)</v>
          </cell>
          <cell r="B63">
            <v>13</v>
          </cell>
          <cell r="C63">
            <v>1</v>
          </cell>
        </row>
        <row r="64">
          <cell r="A64" t="str">
            <v>Espuma Multifor de 0.3 mm  (cm²)</v>
          </cell>
          <cell r="B64">
            <v>15</v>
          </cell>
          <cell r="C64">
            <v>1</v>
          </cell>
        </row>
        <row r="65">
          <cell r="A65" t="str">
            <v>Espuma multifor densidad 40 de  (cm²)</v>
          </cell>
          <cell r="B65">
            <v>17</v>
          </cell>
          <cell r="C65">
            <v>1</v>
          </cell>
        </row>
        <row r="66">
          <cell r="A66" t="str">
            <v>Espuma multifor densidad 40 de (cm²)</v>
          </cell>
          <cell r="B66">
            <v>17</v>
          </cell>
          <cell r="C66">
            <v>1</v>
          </cell>
        </row>
        <row r="67">
          <cell r="A67" t="str">
            <v>Forro Badana Sintetica  (cm²)</v>
          </cell>
          <cell r="B67">
            <v>0.56999999999999995</v>
          </cell>
          <cell r="C67">
            <v>1</v>
          </cell>
        </row>
        <row r="68">
          <cell r="A68" t="str">
            <v>Forro Cerdo  (Dm2)</v>
          </cell>
          <cell r="B68">
            <v>284</v>
          </cell>
          <cell r="C68">
            <v>1</v>
          </cell>
        </row>
        <row r="69">
          <cell r="A69" t="str">
            <v>Forro cuero Marquilla  (Dm2)</v>
          </cell>
          <cell r="B69">
            <v>491</v>
          </cell>
          <cell r="C69">
            <v>1</v>
          </cell>
        </row>
        <row r="70">
          <cell r="A70" t="str">
            <v>Forro Malla  (cm²)</v>
          </cell>
          <cell r="B70">
            <v>1.07</v>
          </cell>
          <cell r="C70">
            <v>1</v>
          </cell>
        </row>
        <row r="71">
          <cell r="A71" t="str">
            <v>Forro para calzado piquet (terry)   (cm²)</v>
          </cell>
          <cell r="B71">
            <v>0.36</v>
          </cell>
          <cell r="C71">
            <v>1</v>
          </cell>
        </row>
        <row r="72">
          <cell r="A72" t="str">
            <v xml:space="preserve">hebilla  1" niquel </v>
          </cell>
          <cell r="B72">
            <v>928</v>
          </cell>
          <cell r="C72">
            <v>1</v>
          </cell>
        </row>
        <row r="73">
          <cell r="A73" t="str">
            <v xml:space="preserve">hebilla grande 1" ¼ niquel </v>
          </cell>
          <cell r="B73">
            <v>1500</v>
          </cell>
          <cell r="C73">
            <v>1</v>
          </cell>
        </row>
        <row r="74">
          <cell r="A74" t="str">
            <v xml:space="preserve">hebilla 1" ¼ niquel </v>
          </cell>
          <cell r="B74">
            <v>1000</v>
          </cell>
          <cell r="C74">
            <v>1</v>
          </cell>
        </row>
        <row r="75">
          <cell r="A75" t="str">
            <v xml:space="preserve">hebilla grande  1"  ½ niquel </v>
          </cell>
          <cell r="B75">
            <v>1100</v>
          </cell>
          <cell r="C75">
            <v>1</v>
          </cell>
        </row>
        <row r="76">
          <cell r="A76" t="str">
            <v>hebilla  1" pb</v>
          </cell>
          <cell r="B76">
            <v>930</v>
          </cell>
          <cell r="C76">
            <v>1</v>
          </cell>
        </row>
        <row r="77">
          <cell r="A77" t="str">
            <v xml:space="preserve">hebilla  1"¼ pb </v>
          </cell>
          <cell r="B77">
            <v>950</v>
          </cell>
          <cell r="C77">
            <v>1</v>
          </cell>
        </row>
        <row r="78">
          <cell r="A78" t="str">
            <v xml:space="preserve">hebilla de cinturon </v>
          </cell>
          <cell r="B78">
            <v>2000</v>
          </cell>
          <cell r="C78">
            <v>1</v>
          </cell>
        </row>
        <row r="79">
          <cell r="A79" t="str">
            <v>hebilla pequaña niquel</v>
          </cell>
          <cell r="B79">
            <v>500</v>
          </cell>
          <cell r="C79">
            <v>1</v>
          </cell>
        </row>
        <row r="80">
          <cell r="A80" t="str">
            <v>hebilla  ¾ negra</v>
          </cell>
          <cell r="B80">
            <v>400</v>
          </cell>
          <cell r="C80">
            <v>1</v>
          </cell>
        </row>
        <row r="81">
          <cell r="A81" t="str">
            <v>Hiladilla (cm)</v>
          </cell>
          <cell r="B81">
            <v>0.5</v>
          </cell>
          <cell r="C81">
            <v>1</v>
          </cell>
        </row>
        <row r="82">
          <cell r="A82" t="str">
            <v>Lambrilla de 3mm  (cm²)</v>
          </cell>
          <cell r="B82">
            <v>0.25</v>
          </cell>
          <cell r="C82">
            <v>1</v>
          </cell>
        </row>
        <row r="83">
          <cell r="A83" t="str">
            <v>Lambrilla de 4mm  (cm²)</v>
          </cell>
          <cell r="B83">
            <v>0.51</v>
          </cell>
          <cell r="C83">
            <v>1</v>
          </cell>
        </row>
        <row r="84">
          <cell r="A84" t="str">
            <v xml:space="preserve">llaves #6 Nq de lujo </v>
          </cell>
          <cell r="B84">
            <v>300</v>
          </cell>
          <cell r="C84">
            <v>1</v>
          </cell>
        </row>
        <row r="85">
          <cell r="A85" t="str">
            <v xml:space="preserve">llaves #4 Nq sencillas </v>
          </cell>
          <cell r="B85">
            <v>105</v>
          </cell>
          <cell r="C85">
            <v>1</v>
          </cell>
        </row>
        <row r="86">
          <cell r="A86" t="str">
            <v xml:space="preserve">llaves #4 Pb </v>
          </cell>
          <cell r="B86">
            <v>105</v>
          </cell>
          <cell r="C86">
            <v>1</v>
          </cell>
        </row>
        <row r="87">
          <cell r="A87" t="str">
            <v xml:space="preserve">llaves #3 Nq Sencillas </v>
          </cell>
          <cell r="B87">
            <v>100</v>
          </cell>
          <cell r="C87">
            <v>1</v>
          </cell>
        </row>
        <row r="88">
          <cell r="A88" t="str">
            <v xml:space="preserve">llaves #3 Nq de lujo </v>
          </cell>
          <cell r="B88">
            <v>200</v>
          </cell>
          <cell r="C88">
            <v>1</v>
          </cell>
        </row>
        <row r="89">
          <cell r="A89" t="str">
            <v xml:space="preserve">llaves #3 Pb </v>
          </cell>
          <cell r="B89">
            <v>100</v>
          </cell>
          <cell r="C89">
            <v>1</v>
          </cell>
        </row>
        <row r="90">
          <cell r="A90" t="str">
            <v>Lona Sintetica Colores  (cm²)</v>
          </cell>
          <cell r="B90">
            <v>0.66</v>
          </cell>
          <cell r="C90">
            <v>1</v>
          </cell>
        </row>
        <row r="91">
          <cell r="A91" t="str">
            <v>Lona sintetica Polar  (cm²)</v>
          </cell>
          <cell r="B91">
            <v>1.46</v>
          </cell>
          <cell r="C91">
            <v>1</v>
          </cell>
        </row>
        <row r="92">
          <cell r="A92" t="str">
            <v xml:space="preserve">media argolla  1" niquel </v>
          </cell>
          <cell r="B92">
            <v>115</v>
          </cell>
          <cell r="C92">
            <v>1</v>
          </cell>
        </row>
        <row r="93">
          <cell r="A93" t="str">
            <v xml:space="preserve">media argolla 1" ¼ niquel </v>
          </cell>
          <cell r="B93">
            <v>108</v>
          </cell>
          <cell r="C93">
            <v>1</v>
          </cell>
        </row>
        <row r="94">
          <cell r="A94" t="str">
            <v xml:space="preserve">media argolla  1"  ½ niquel </v>
          </cell>
          <cell r="B94">
            <v>290</v>
          </cell>
          <cell r="C94">
            <v>1</v>
          </cell>
        </row>
        <row r="95">
          <cell r="A95" t="str">
            <v>media argolla  1" pb</v>
          </cell>
          <cell r="B95">
            <v>115</v>
          </cell>
          <cell r="C95">
            <v>1</v>
          </cell>
        </row>
        <row r="96">
          <cell r="A96" t="str">
            <v>media argolla 1"  ½ pb</v>
          </cell>
          <cell r="B96">
            <v>290</v>
          </cell>
          <cell r="C96">
            <v>1</v>
          </cell>
        </row>
        <row r="97">
          <cell r="A97" t="str">
            <v>Mosqueton 1 1/4"-33mm (unidad)</v>
          </cell>
          <cell r="B97">
            <v>65</v>
          </cell>
          <cell r="C97">
            <v>1</v>
          </cell>
        </row>
        <row r="98">
          <cell r="A98" t="str">
            <v>Mosqueton 1"-25mm ( unidad)</v>
          </cell>
          <cell r="B98">
            <v>7</v>
          </cell>
          <cell r="C98">
            <v>1</v>
          </cell>
        </row>
        <row r="99">
          <cell r="A99" t="str">
            <v>Mosqueton 10mm ( unidad)</v>
          </cell>
          <cell r="B99">
            <v>8</v>
          </cell>
          <cell r="C99">
            <v>1</v>
          </cell>
        </row>
        <row r="100">
          <cell r="A100" t="str">
            <v>Neolite#3   (cm²)</v>
          </cell>
          <cell r="B100">
            <v>3.6</v>
          </cell>
          <cell r="C100">
            <v>1</v>
          </cell>
        </row>
        <row r="101">
          <cell r="A101" t="str">
            <v>Odena #1  (cm²)</v>
          </cell>
          <cell r="B101">
            <v>1.07</v>
          </cell>
          <cell r="C101">
            <v>1</v>
          </cell>
        </row>
        <row r="102">
          <cell r="A102" t="str">
            <v>Odena vulcan# 1.5  (cm²)</v>
          </cell>
          <cell r="B102">
            <v>1.1399999999999999</v>
          </cell>
          <cell r="C102">
            <v>1</v>
          </cell>
        </row>
        <row r="103">
          <cell r="A103" t="str">
            <v>Odena#0,8  (cm²)</v>
          </cell>
          <cell r="B103">
            <v>0.64</v>
          </cell>
          <cell r="C103">
            <v>1</v>
          </cell>
        </row>
        <row r="104">
          <cell r="A104" t="str">
            <v>Ojalete 1/8 (unidad)</v>
          </cell>
          <cell r="B104">
            <v>7</v>
          </cell>
          <cell r="C104">
            <v>1</v>
          </cell>
        </row>
        <row r="105">
          <cell r="A105" t="str">
            <v xml:space="preserve">Ojalete 3/16 (unidad) </v>
          </cell>
          <cell r="B105">
            <v>8</v>
          </cell>
          <cell r="C105">
            <v>1</v>
          </cell>
        </row>
        <row r="106">
          <cell r="A106" t="str">
            <v>Ojalete 3/4" ( unidad)</v>
          </cell>
          <cell r="B106">
            <v>3.5</v>
          </cell>
          <cell r="C106">
            <v>1</v>
          </cell>
        </row>
        <row r="107">
          <cell r="A107" t="str">
            <v>Ojalete Bota Industrial 5/32" ( unidad)</v>
          </cell>
          <cell r="B107">
            <v>3.6</v>
          </cell>
          <cell r="C107">
            <v>1</v>
          </cell>
        </row>
        <row r="108">
          <cell r="A108" t="str">
            <v>Pirigallo (unidad)</v>
          </cell>
          <cell r="B108">
            <v>300</v>
          </cell>
          <cell r="C108">
            <v>1</v>
          </cell>
        </row>
        <row r="109">
          <cell r="A109" t="str">
            <v>Plantitex  (cm²)</v>
          </cell>
          <cell r="B109">
            <v>0.42</v>
          </cell>
          <cell r="C109">
            <v>1</v>
          </cell>
        </row>
        <row r="110">
          <cell r="A110" t="str">
            <v>Puntera Protectora (par)</v>
          </cell>
          <cell r="B110">
            <v>3900</v>
          </cell>
          <cell r="C110">
            <v>1</v>
          </cell>
        </row>
        <row r="111">
          <cell r="A111" t="str">
            <v>Reata Algodón 1 1/2"- 40mm (cm)</v>
          </cell>
          <cell r="B111">
            <v>70</v>
          </cell>
          <cell r="C111">
            <v>1</v>
          </cell>
        </row>
        <row r="112">
          <cell r="A112" t="str">
            <v>Reata sintetica 1 1/4"-33mm (cm)</v>
          </cell>
          <cell r="B112">
            <v>40</v>
          </cell>
          <cell r="C112">
            <v>1</v>
          </cell>
        </row>
        <row r="113">
          <cell r="A113" t="str">
            <v>Reata sintetica 1"-25mm (cm)</v>
          </cell>
          <cell r="B113">
            <v>30</v>
          </cell>
          <cell r="C113">
            <v>1</v>
          </cell>
        </row>
        <row r="114">
          <cell r="A114" t="str">
            <v>Remache  doble cabeza # 8 (unidad)</v>
          </cell>
          <cell r="B114">
            <v>12</v>
          </cell>
          <cell r="C114">
            <v>1</v>
          </cell>
        </row>
        <row r="115">
          <cell r="A115" t="str">
            <v>Remache doble cabeza # 4 (unidad)</v>
          </cell>
          <cell r="B115">
            <v>10</v>
          </cell>
          <cell r="C115">
            <v>1</v>
          </cell>
        </row>
        <row r="116">
          <cell r="A116" t="str">
            <v>Remache doble cabeza # 6 (unidad)</v>
          </cell>
          <cell r="B116">
            <v>8</v>
          </cell>
          <cell r="C116">
            <v>1</v>
          </cell>
        </row>
        <row r="117">
          <cell r="A117" t="str">
            <v>Remache tubular doble cabeza # 12 (unidad)</v>
          </cell>
          <cell r="B117">
            <v>25</v>
          </cell>
          <cell r="C117">
            <v>1</v>
          </cell>
        </row>
        <row r="118">
          <cell r="A118" t="str">
            <v>Remache tubular sencillo # 12 (unidad)</v>
          </cell>
          <cell r="B118">
            <v>12</v>
          </cell>
          <cell r="C118">
            <v>1</v>
          </cell>
        </row>
        <row r="119">
          <cell r="A119" t="str">
            <v>Remache tubular sencillo # 4 (unidad)</v>
          </cell>
          <cell r="B119">
            <v>10</v>
          </cell>
          <cell r="C119">
            <v>1</v>
          </cell>
        </row>
        <row r="120">
          <cell r="A120" t="str">
            <v>Remache tubular sencillo # 6 (unidad)</v>
          </cell>
          <cell r="B120">
            <v>8</v>
          </cell>
          <cell r="C120">
            <v>1</v>
          </cell>
        </row>
        <row r="121">
          <cell r="A121" t="str">
            <v>Remache tubular sencillo # 8 (unidad)</v>
          </cell>
          <cell r="B121">
            <v>7</v>
          </cell>
          <cell r="C121">
            <v>1</v>
          </cell>
        </row>
        <row r="122">
          <cell r="A122" t="str">
            <v>Salpa 0.5mm   (cm²)</v>
          </cell>
          <cell r="B122">
            <v>1.06</v>
          </cell>
          <cell r="C122">
            <v>1</v>
          </cell>
        </row>
        <row r="123">
          <cell r="A123" t="str">
            <v>Seda 30-100 Colores  (cm²)</v>
          </cell>
          <cell r="B123">
            <v>0.5</v>
          </cell>
          <cell r="C123">
            <v>1</v>
          </cell>
        </row>
        <row r="124">
          <cell r="A124" t="str">
            <v>Sedas   (cm²)</v>
          </cell>
          <cell r="B124">
            <v>1.2</v>
          </cell>
          <cell r="C124">
            <v>1</v>
          </cell>
        </row>
        <row r="125">
          <cell r="A125" t="str">
            <v>Sintetico  (cm²)</v>
          </cell>
          <cell r="B125">
            <v>1.71</v>
          </cell>
          <cell r="C125">
            <v>1</v>
          </cell>
        </row>
        <row r="126">
          <cell r="A126" t="str">
            <v>Sintetico Delgado  (cm²)</v>
          </cell>
          <cell r="B126">
            <v>0.64</v>
          </cell>
          <cell r="C126">
            <v>1</v>
          </cell>
        </row>
        <row r="127">
          <cell r="A127" t="str">
            <v>Solven 617  (cm²)</v>
          </cell>
          <cell r="B127">
            <v>1.06</v>
          </cell>
          <cell r="C127">
            <v>1</v>
          </cell>
        </row>
        <row r="128">
          <cell r="A128" t="str">
            <v>Solven 619  (cm²)</v>
          </cell>
          <cell r="B128">
            <v>1.06</v>
          </cell>
          <cell r="C128">
            <v>1</v>
          </cell>
        </row>
        <row r="129">
          <cell r="A129" t="str">
            <v>Suela Baleta TR dama  (par)</v>
          </cell>
          <cell r="B129">
            <v>3500</v>
          </cell>
          <cell r="C129">
            <v>1</v>
          </cell>
        </row>
        <row r="130">
          <cell r="A130" t="str">
            <v>Suela Colegial (par)</v>
          </cell>
          <cell r="B130">
            <v>4000</v>
          </cell>
          <cell r="C130">
            <v>1</v>
          </cell>
        </row>
        <row r="131">
          <cell r="A131" t="str">
            <v>Suela Dotaion (par)</v>
          </cell>
          <cell r="B131">
            <v>6500</v>
          </cell>
          <cell r="C131">
            <v>1</v>
          </cell>
        </row>
        <row r="132">
          <cell r="A132" t="str">
            <v>Suela en PVC para sandalia de dama 2 1/2   (par)</v>
          </cell>
          <cell r="B132">
            <v>4000</v>
          </cell>
          <cell r="C132">
            <v>1</v>
          </cell>
        </row>
        <row r="133">
          <cell r="A133" t="str">
            <v>Suela TR Hombre  (par)</v>
          </cell>
          <cell r="B133">
            <v>6000</v>
          </cell>
          <cell r="C133">
            <v>1</v>
          </cell>
        </row>
        <row r="134">
          <cell r="A134" t="str">
            <v>Suelas varias ejercicios (par)</v>
          </cell>
          <cell r="B134">
            <v>1000</v>
          </cell>
          <cell r="C134">
            <v>1</v>
          </cell>
        </row>
        <row r="135">
          <cell r="A135" t="str">
            <v>Tachuela Mosca  2 1/2 (caja)</v>
          </cell>
          <cell r="B135">
            <v>6500</v>
          </cell>
          <cell r="C135">
            <v>1</v>
          </cell>
        </row>
        <row r="136">
          <cell r="A136" t="str">
            <v>Tacon dama 5 1/2   7 1/2 (par)</v>
          </cell>
          <cell r="B136">
            <v>2000</v>
          </cell>
          <cell r="C136">
            <v>1</v>
          </cell>
        </row>
        <row r="137">
          <cell r="A137" t="str">
            <v>Tornillo Cinturon (unidad)</v>
          </cell>
          <cell r="B137">
            <v>310</v>
          </cell>
          <cell r="C137">
            <v>1</v>
          </cell>
        </row>
        <row r="138">
          <cell r="A138" t="str">
            <v xml:space="preserve">trabilla 1"  ½ niquel </v>
          </cell>
          <cell r="B138">
            <v>80</v>
          </cell>
          <cell r="C138">
            <v>1</v>
          </cell>
        </row>
        <row r="139">
          <cell r="A139" t="str">
            <v xml:space="preserve">trabilla 2" niquel </v>
          </cell>
          <cell r="B139">
            <v>100</v>
          </cell>
          <cell r="C139">
            <v>1</v>
          </cell>
        </row>
        <row r="140">
          <cell r="A140" t="str">
            <v>trabilla 1" pb</v>
          </cell>
          <cell r="B140">
            <v>52</v>
          </cell>
          <cell r="C140">
            <v>1</v>
          </cell>
        </row>
        <row r="141">
          <cell r="A141" t="str">
            <v xml:space="preserve">trabilla 1"¼ pb </v>
          </cell>
          <cell r="B141">
            <v>100</v>
          </cell>
          <cell r="C141">
            <v>1</v>
          </cell>
        </row>
        <row r="142">
          <cell r="A142" t="str">
            <v>velcro</v>
          </cell>
          <cell r="B142">
            <v>0.5</v>
          </cell>
          <cell r="C142">
            <v>1</v>
          </cell>
        </row>
        <row r="143">
          <cell r="A143" t="str">
            <v>Yumbolon 3mm  (cm²)</v>
          </cell>
          <cell r="B143">
            <v>2.5</v>
          </cell>
          <cell r="C143">
            <v>1</v>
          </cell>
        </row>
        <row r="144">
          <cell r="A144" t="str">
            <v>Yumbolon 4mm  (cm²)</v>
          </cell>
          <cell r="B144">
            <v>3</v>
          </cell>
          <cell r="C144">
            <v>1</v>
          </cell>
        </row>
        <row r="145">
          <cell r="A145" t="str">
            <v>trabilla 1"  ½ pb</v>
          </cell>
          <cell r="B145">
            <v>52</v>
          </cell>
          <cell r="C145">
            <v>1</v>
          </cell>
        </row>
        <row r="146">
          <cell r="A146">
            <v>0</v>
          </cell>
        </row>
        <row r="147">
          <cell r="A147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7673-63E0-42A6-A0BF-EE92B9D399A9}">
  <dimension ref="A2:H19"/>
  <sheetViews>
    <sheetView tabSelected="1" topLeftCell="A8" workbookViewId="0">
      <selection activeCell="I18" sqref="I18"/>
    </sheetView>
  </sheetViews>
  <sheetFormatPr defaultColWidth="11.42578125" defaultRowHeight="15"/>
  <cols>
    <col min="6" max="6" width="14.5703125" bestFit="1" customWidth="1"/>
  </cols>
  <sheetData>
    <row r="2" spans="1:8">
      <c r="A2" s="29" t="s">
        <v>0</v>
      </c>
      <c r="B2" s="30"/>
      <c r="C2" s="7"/>
      <c r="D2" s="31" t="s">
        <v>1</v>
      </c>
      <c r="E2" s="32"/>
      <c r="F2" s="33" t="s">
        <v>2</v>
      </c>
      <c r="G2" s="33"/>
      <c r="H2" s="33"/>
    </row>
    <row r="3" spans="1:8" ht="25.5">
      <c r="A3" s="8" t="s">
        <v>3</v>
      </c>
      <c r="B3" s="9"/>
      <c r="C3" s="10"/>
      <c r="D3" s="31" t="s">
        <v>4</v>
      </c>
      <c r="E3" s="34"/>
      <c r="F3" s="35"/>
      <c r="G3" s="36"/>
      <c r="H3" s="32"/>
    </row>
    <row r="4" spans="1:8" ht="51">
      <c r="A4" s="11" t="s">
        <v>5</v>
      </c>
      <c r="B4" s="9"/>
      <c r="C4" s="12"/>
      <c r="D4" s="13">
        <v>44607</v>
      </c>
      <c r="E4" s="14" t="s">
        <v>6</v>
      </c>
      <c r="F4" s="14" t="s">
        <v>7</v>
      </c>
      <c r="G4" s="27" t="s">
        <v>7</v>
      </c>
      <c r="H4" s="28"/>
    </row>
    <row r="5" spans="1:8">
      <c r="A5" s="15" t="s">
        <v>8</v>
      </c>
      <c r="B5" s="8"/>
      <c r="C5" s="16"/>
      <c r="D5" s="13"/>
      <c r="E5" s="17"/>
      <c r="F5" s="17"/>
      <c r="G5" s="18"/>
      <c r="H5" s="18"/>
    </row>
    <row r="6" spans="1:8" ht="22.5">
      <c r="A6" s="1" t="s">
        <v>9</v>
      </c>
      <c r="B6" s="2">
        <v>1</v>
      </c>
      <c r="C6" s="3" t="s">
        <v>10</v>
      </c>
      <c r="D6" s="4">
        <v>2800</v>
      </c>
      <c r="E6" s="5">
        <v>2.4999349999999998</v>
      </c>
      <c r="F6" s="25">
        <f>+D6*E6</f>
        <v>6999.8179999999993</v>
      </c>
    </row>
    <row r="7" spans="1:8" ht="22.5">
      <c r="A7" s="1" t="s">
        <v>11</v>
      </c>
      <c r="B7" s="2">
        <v>1</v>
      </c>
      <c r="C7" s="3" t="s">
        <v>12</v>
      </c>
      <c r="D7" s="4">
        <v>2800</v>
      </c>
      <c r="E7" s="5">
        <v>0.6785714285714286</v>
      </c>
      <c r="F7" s="25">
        <f t="shared" ref="F7:F13" si="0">+D7*E7</f>
        <v>1900</v>
      </c>
    </row>
    <row r="8" spans="1:8" ht="22.5">
      <c r="A8" s="1" t="s">
        <v>13</v>
      </c>
      <c r="B8" s="2">
        <v>1</v>
      </c>
      <c r="C8" s="3" t="s">
        <v>12</v>
      </c>
      <c r="D8" s="4">
        <v>120</v>
      </c>
      <c r="E8" s="5">
        <v>12.23</v>
      </c>
      <c r="F8" s="25">
        <f t="shared" si="0"/>
        <v>1467.6000000000001</v>
      </c>
    </row>
    <row r="9" spans="1:8" ht="22.5">
      <c r="A9" s="1" t="s">
        <v>14</v>
      </c>
      <c r="B9" s="2">
        <v>1</v>
      </c>
      <c r="C9" s="3" t="s">
        <v>15</v>
      </c>
      <c r="D9" s="4">
        <v>4</v>
      </c>
      <c r="E9" s="5">
        <v>455.66624999999999</v>
      </c>
      <c r="F9" s="25">
        <f t="shared" si="0"/>
        <v>1822.665</v>
      </c>
    </row>
    <row r="10" spans="1:8">
      <c r="A10" s="1" t="s">
        <v>16</v>
      </c>
      <c r="B10" s="2">
        <v>1</v>
      </c>
      <c r="C10" s="3" t="s">
        <v>17</v>
      </c>
      <c r="D10" s="4">
        <v>10</v>
      </c>
      <c r="E10" s="5">
        <v>10.353</v>
      </c>
      <c r="F10" s="25">
        <f t="shared" si="0"/>
        <v>103.53</v>
      </c>
    </row>
    <row r="11" spans="1:8" ht="22.5">
      <c r="A11" s="1" t="s">
        <v>18</v>
      </c>
      <c r="B11" s="2">
        <v>1</v>
      </c>
      <c r="C11" s="3" t="s">
        <v>17</v>
      </c>
      <c r="D11" s="4">
        <v>600</v>
      </c>
      <c r="E11" s="5">
        <v>0.94778571428571423</v>
      </c>
      <c r="F11" s="25">
        <f t="shared" si="0"/>
        <v>568.67142857142858</v>
      </c>
    </row>
    <row r="12" spans="1:8" ht="22.5">
      <c r="A12" s="1" t="s">
        <v>19</v>
      </c>
      <c r="B12" s="2">
        <v>1</v>
      </c>
      <c r="C12" s="3" t="s">
        <v>17</v>
      </c>
      <c r="D12" s="4">
        <v>260</v>
      </c>
      <c r="E12" s="5">
        <v>11.7</v>
      </c>
      <c r="F12" s="25">
        <f t="shared" si="0"/>
        <v>3042</v>
      </c>
    </row>
    <row r="13" spans="1:8" ht="33.75">
      <c r="A13" s="1" t="s">
        <v>20</v>
      </c>
      <c r="B13" s="2">
        <v>1</v>
      </c>
      <c r="C13" s="3" t="s">
        <v>12</v>
      </c>
      <c r="D13" s="4">
        <v>100</v>
      </c>
      <c r="E13" s="5">
        <v>10.57</v>
      </c>
      <c r="F13" s="25">
        <f t="shared" si="0"/>
        <v>1057</v>
      </c>
    </row>
    <row r="14" spans="1:8" ht="22.5">
      <c r="A14" s="1" t="s">
        <v>21</v>
      </c>
      <c r="B14" s="2">
        <v>1</v>
      </c>
      <c r="C14" s="3"/>
      <c r="D14" s="4"/>
      <c r="E14" s="5"/>
      <c r="F14" s="25">
        <v>1350</v>
      </c>
    </row>
    <row r="15" spans="1:8">
      <c r="A15" s="26" t="s">
        <v>22</v>
      </c>
      <c r="B15" s="2">
        <v>1</v>
      </c>
      <c r="C15" s="3"/>
      <c r="D15" s="4"/>
      <c r="E15" s="5"/>
      <c r="F15" s="25">
        <v>1350</v>
      </c>
    </row>
    <row r="16" spans="1:8">
      <c r="A16" s="20"/>
      <c r="B16" s="21"/>
      <c r="C16" s="22"/>
      <c r="D16" s="23"/>
      <c r="E16" s="24"/>
      <c r="F16" s="6"/>
    </row>
    <row r="17" spans="1:6">
      <c r="A17" s="20"/>
      <c r="B17" s="21"/>
      <c r="C17" s="22"/>
      <c r="D17" s="23"/>
      <c r="E17" s="24"/>
      <c r="F17" s="6"/>
    </row>
    <row r="18" spans="1:6">
      <c r="A18" s="20"/>
      <c r="B18" s="21"/>
      <c r="C18" s="22"/>
      <c r="D18" s="23"/>
      <c r="E18" s="24"/>
      <c r="F18" s="6"/>
    </row>
    <row r="19" spans="1:6" ht="21">
      <c r="F19" s="19">
        <f>SUM(F6:F18)</f>
        <v>19661.284428571427</v>
      </c>
    </row>
  </sheetData>
  <protectedRanges>
    <protectedRange sqref="A6:D13 A16:D18 B14:D15" name="DESBLOQUEADAS"/>
    <protectedRange password="B4B1" sqref="E6:E18" name="bloqueadas_1"/>
    <protectedRange sqref="D2:D4 D5:F5 F3" name="DESBLOQUEADAS_1"/>
    <protectedRange password="B4B1" sqref="A2:A5 E4:F4 F2" name="bloqueadas_2"/>
  </protectedRanges>
  <mergeCells count="6">
    <mergeCell ref="G4:H4"/>
    <mergeCell ref="A2:B2"/>
    <mergeCell ref="D2:E2"/>
    <mergeCell ref="F2:H2"/>
    <mergeCell ref="D3:E3"/>
    <mergeCell ref="F3:H3"/>
  </mergeCells>
  <dataValidations count="1">
    <dataValidation type="list" showInputMessage="1" showErrorMessage="1" sqref="A6:A13 A16:A18" xr:uid="{0C8CE147-5BED-49CA-96F9-B3D2BBC00FBB}">
      <formula1>listo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Mauricio Alejandro Rivera Restrepo</cp:lastModifiedBy>
  <cp:revision/>
  <dcterms:created xsi:type="dcterms:W3CDTF">2023-02-21T16:08:03Z</dcterms:created>
  <dcterms:modified xsi:type="dcterms:W3CDTF">2023-04-11T15:56:29Z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2023-02-21T17:31:09Z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54313261-e044-4878-af39-f828a38baacf</vt:lpwstr>
  </property>
  <property fmtid="{D5CDD505-2E9C-101B-9397-08002B2CF9AE}" pid="8" name="MSIP_Label_1299739c-ad3d-4908-806e-4d91151a6e13_ContentBits">
    <vt:lpwstr>0</vt:lpwstr>
  </property>
</Properties>
</file>