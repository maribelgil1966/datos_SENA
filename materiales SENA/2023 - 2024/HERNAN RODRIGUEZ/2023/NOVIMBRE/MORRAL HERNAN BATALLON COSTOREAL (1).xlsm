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Downloads\"/>
    </mc:Choice>
  </mc:AlternateContent>
  <xr:revisionPtr revIDLastSave="18" documentId="13_ncr:1_{66AA4CFB-B08C-4061-B3F5-75134D828397}" xr6:coauthVersionLast="47" xr6:coauthVersionMax="47" xr10:uidLastSave="{158C1F9C-2A0A-455C-ABB9-DB71EBDA6934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Hoja1" sheetId="60" r:id="rId3"/>
    <sheet name="BD" sheetId="38" state="hidden" r:id="rId4"/>
    <sheet name="Listas" sheetId="18" state="hidden" r:id="rId5"/>
  </sheets>
  <definedNames>
    <definedName name="_xlnm._FilterDatabase" localSheetId="3" hidden="1">BD!$A$1155:$J$1155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BD!$B$1156:$B$1200</definedName>
    <definedName name="Intructores">Listas!$H$2:$H$31</definedName>
    <definedName name="Materiales">BD!$B$6:$B$1434</definedName>
    <definedName name="Observaciones">Listas!$K$2:$K$12</definedName>
    <definedName name="Papel_">BD!$B$1255</definedName>
    <definedName name="PAPELERIA_P">Tabla34[Material]</definedName>
    <definedName name="Programas">Listas!$F$2:$F$12</definedName>
    <definedName name="quimic_">BD!$B$1349</definedName>
    <definedName name="QUÍMICOS">BD!$B$1350:$B$1435</definedName>
    <definedName name="SECUNDARIO_MEDULAR">BD!$B$162:$B$245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BD!$A$6:'BD'!$J$1434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BD!$B$1154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4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185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09" i="38"/>
  <c r="A1351" i="38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257" i="38"/>
  <c r="A1258" i="38" s="1"/>
  <c r="J1258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67" i="38"/>
  <c r="B1348" i="38"/>
  <c r="A9" i="38"/>
  <c r="A10" i="38" s="1"/>
  <c r="B1107" i="38"/>
  <c r="W31" i="43"/>
  <c r="B1254" i="38"/>
  <c r="B1154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159" i="38"/>
  <c r="G1160" i="38"/>
  <c r="G1156" i="38"/>
  <c r="G1157" i="38"/>
  <c r="G1158" i="38"/>
  <c r="G1167" i="38"/>
  <c r="G1168" i="38"/>
  <c r="G1161" i="38"/>
  <c r="G1162" i="38"/>
  <c r="G1163" i="38"/>
  <c r="G1164" i="38"/>
  <c r="G1165" i="38"/>
  <c r="G1166" i="38"/>
  <c r="G1174" i="38"/>
  <c r="G1175" i="38"/>
  <c r="G1169" i="38"/>
  <c r="G1170" i="38"/>
  <c r="G1171" i="38"/>
  <c r="G1172" i="38"/>
  <c r="G1173" i="38"/>
  <c r="G1176" i="38"/>
  <c r="G1177" i="38"/>
  <c r="G1178" i="38"/>
  <c r="G1179" i="38"/>
  <c r="G1180" i="38"/>
  <c r="G1181" i="38"/>
  <c r="G1183" i="38"/>
  <c r="G1187" i="38"/>
  <c r="G1188" i="38"/>
  <c r="G1189" i="38"/>
  <c r="G1190" i="38"/>
  <c r="G1193" i="38"/>
  <c r="G1194" i="38"/>
  <c r="G1182" i="38"/>
  <c r="G1184" i="38"/>
  <c r="G1186" i="38"/>
  <c r="G1191" i="38"/>
  <c r="G1192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4" i="38"/>
  <c r="A1071" i="38"/>
  <c r="J1071" i="38" s="1"/>
  <c r="J1256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Q3" i="59" a="1"/>
  <c r="Q3" i="59" s="1"/>
  <c r="F1" i="43"/>
  <c r="V8" i="43"/>
  <c r="Y8" i="43" s="1"/>
  <c r="O2" i="43"/>
  <c r="J9" i="38"/>
  <c r="J1013" i="38"/>
  <c r="J519" i="38"/>
  <c r="J564" i="38"/>
  <c r="J565" i="38"/>
  <c r="W17" i="43"/>
  <c r="W16" i="43"/>
  <c r="O17" i="43"/>
  <c r="F19" i="59" s="1"/>
  <c r="A1015" i="38" l="1"/>
  <c r="J1015" i="38"/>
  <c r="J35" i="38"/>
  <c r="J1257" i="38"/>
  <c r="A1072" i="38"/>
  <c r="A1073" i="38" s="1"/>
  <c r="A1074" i="38" s="1"/>
  <c r="A1075" i="38" s="1"/>
  <c r="J1075" i="38" s="1"/>
  <c r="E3" i="38"/>
  <c r="Q6" i="59"/>
  <c r="O10" i="43"/>
  <c r="F12" i="59" s="1"/>
  <c r="W11" i="43"/>
  <c r="A569" i="38"/>
  <c r="A570" i="38" s="1"/>
  <c r="J568" i="38"/>
  <c r="J890" i="38"/>
  <c r="J889" i="38"/>
  <c r="J567" i="38"/>
  <c r="J566" i="38"/>
  <c r="A1157" i="38"/>
  <c r="A1158" i="38" s="1"/>
  <c r="A1159" i="38" s="1"/>
  <c r="J1156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F16" i="59" s="1"/>
  <c r="O13" i="43"/>
  <c r="F15" i="59" s="1"/>
  <c r="W15" i="43"/>
  <c r="A37" i="38"/>
  <c r="J36" i="38"/>
  <c r="A165" i="38"/>
  <c r="J164" i="38"/>
  <c r="J1157" i="38"/>
  <c r="A1259" i="38"/>
  <c r="O12" i="43"/>
  <c r="F14" i="59" s="1"/>
  <c r="O15" i="43"/>
  <c r="F17" i="59" s="1"/>
  <c r="W14" i="43"/>
  <c r="A1113" i="38"/>
  <c r="J1112" i="38"/>
  <c r="J1111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N12" i="59"/>
  <c r="J1074" i="38" l="1"/>
  <c r="A1160" i="38"/>
  <c r="J1159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158" i="38"/>
  <c r="A166" i="38"/>
  <c r="A167" i="38" s="1"/>
  <c r="J165" i="38"/>
  <c r="A1114" i="38"/>
  <c r="J1113" i="38"/>
  <c r="A1260" i="38"/>
  <c r="J1259" i="38"/>
  <c r="A38" i="38"/>
  <c r="J37" i="38"/>
  <c r="D5" i="43"/>
  <c r="O5" i="43" s="1"/>
  <c r="A1161" i="38" l="1"/>
  <c r="A1162" i="38" s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J1160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1" i="38"/>
  <c r="J1260" i="38"/>
  <c r="A1115" i="38"/>
  <c r="J1114" i="38"/>
  <c r="J38" i="38"/>
  <c r="A39" i="38"/>
  <c r="A8" i="59"/>
  <c r="F9" i="59" s="1"/>
  <c r="Q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262" i="38"/>
  <c r="J1261" i="38"/>
  <c r="A1116" i="38"/>
  <c r="J1115" i="38"/>
  <c r="A574" i="38" l="1"/>
  <c r="J573" i="38"/>
  <c r="A525" i="38"/>
  <c r="J524" i="38"/>
  <c r="J897" i="38"/>
  <c r="A898" i="38"/>
  <c r="J169" i="38"/>
  <c r="J14" i="38"/>
  <c r="A15" i="38"/>
  <c r="A41" i="38"/>
  <c r="J40" i="38"/>
  <c r="A1263" i="38"/>
  <c r="J1262" i="38"/>
  <c r="A1117" i="38"/>
  <c r="J1116" i="38"/>
  <c r="J1161" i="38"/>
  <c r="A575" i="38" l="1"/>
  <c r="J574" i="38"/>
  <c r="A526" i="38"/>
  <c r="J525" i="38"/>
  <c r="A899" i="38"/>
  <c r="J898" i="38"/>
  <c r="A16" i="38"/>
  <c r="J15" i="38"/>
  <c r="J170" i="38"/>
  <c r="A1264" i="38"/>
  <c r="J1263" i="38"/>
  <c r="J1162" i="38"/>
  <c r="A1118" i="38"/>
  <c r="J1117" i="38"/>
  <c r="A42" i="38"/>
  <c r="J41" i="38"/>
  <c r="A576" i="38" l="1"/>
  <c r="J575" i="38"/>
  <c r="A900" i="38"/>
  <c r="J899" i="38"/>
  <c r="A527" i="38"/>
  <c r="J526" i="38"/>
  <c r="J171" i="38"/>
  <c r="A17" i="38"/>
  <c r="J16" i="38"/>
  <c r="A43" i="38"/>
  <c r="J42" i="38"/>
  <c r="A1119" i="38"/>
  <c r="A1120" i="38" s="1"/>
  <c r="J1118" i="38"/>
  <c r="J1163" i="38"/>
  <c r="A1265" i="38"/>
  <c r="J1264" i="38"/>
  <c r="A577" i="38" l="1"/>
  <c r="J576" i="38"/>
  <c r="A528" i="38"/>
  <c r="J527" i="38"/>
  <c r="A901" i="38"/>
  <c r="J900" i="38"/>
  <c r="J17" i="38"/>
  <c r="A18" i="38"/>
  <c r="J172" i="38"/>
  <c r="A1121" i="38"/>
  <c r="J1120" i="38"/>
  <c r="J1164" i="38"/>
  <c r="A44" i="38"/>
  <c r="J43" i="38"/>
  <c r="A1266" i="38"/>
  <c r="J1265" i="38"/>
  <c r="A578" i="38" l="1"/>
  <c r="J577" i="38"/>
  <c r="A902" i="38"/>
  <c r="J901" i="38"/>
  <c r="A529" i="38"/>
  <c r="J528" i="38"/>
  <c r="J18" i="38"/>
  <c r="A19" i="38"/>
  <c r="J19" i="38" s="1"/>
  <c r="J173" i="38"/>
  <c r="J1165" i="38"/>
  <c r="A1267" i="38"/>
  <c r="J1266" i="38"/>
  <c r="A1122" i="38"/>
  <c r="J1121" i="38"/>
  <c r="A45" i="38"/>
  <c r="J44" i="38"/>
  <c r="J1168" i="38" l="1"/>
  <c r="J1167" i="38"/>
  <c r="A579" i="38"/>
  <c r="J578" i="38"/>
  <c r="A530" i="38"/>
  <c r="J529" i="38"/>
  <c r="A903" i="38"/>
  <c r="J902" i="38"/>
  <c r="J174" i="38"/>
  <c r="A1268" i="38"/>
  <c r="J1267" i="38"/>
  <c r="A1123" i="38"/>
  <c r="J1122" i="38"/>
  <c r="A46" i="38"/>
  <c r="J45" i="38"/>
  <c r="J1166" i="38"/>
  <c r="A580" i="38" l="1"/>
  <c r="J579" i="38"/>
  <c r="J903" i="38"/>
  <c r="A904" i="38"/>
  <c r="A531" i="38"/>
  <c r="J530" i="38"/>
  <c r="J175" i="38"/>
  <c r="J46" i="38"/>
  <c r="A47" i="38"/>
  <c r="A1124" i="38"/>
  <c r="J1123" i="38"/>
  <c r="A1269" i="38"/>
  <c r="J1268" i="38"/>
  <c r="A581" i="38" l="1"/>
  <c r="J580" i="38"/>
  <c r="A532" i="38"/>
  <c r="J531" i="38"/>
  <c r="A905" i="38"/>
  <c r="J904" i="38"/>
  <c r="J176" i="38"/>
  <c r="A1125" i="38"/>
  <c r="A1126" i="38" s="1"/>
  <c r="J1124" i="38"/>
  <c r="J47" i="38"/>
  <c r="A48" i="38"/>
  <c r="A1270" i="38"/>
  <c r="J1269" i="38"/>
  <c r="A582" i="38" l="1"/>
  <c r="J581" i="38"/>
  <c r="A906" i="38"/>
  <c r="J905" i="38"/>
  <c r="J532" i="38"/>
  <c r="A533" i="38"/>
  <c r="J177" i="38"/>
  <c r="A1271" i="38"/>
  <c r="J1270" i="38"/>
  <c r="A49" i="38"/>
  <c r="J48" i="38"/>
  <c r="A1127" i="38"/>
  <c r="J1126" i="38"/>
  <c r="J1169" i="38"/>
  <c r="A583" i="38" l="1"/>
  <c r="J582" i="38"/>
  <c r="A534" i="38"/>
  <c r="J533" i="38"/>
  <c r="A907" i="38"/>
  <c r="J906" i="38"/>
  <c r="J178" i="38"/>
  <c r="A1128" i="38"/>
  <c r="J1127" i="38"/>
  <c r="A50" i="38"/>
  <c r="J49" i="38"/>
  <c r="J1170" i="38"/>
  <c r="A1272" i="38"/>
  <c r="J1271" i="38"/>
  <c r="A584" i="38" l="1"/>
  <c r="J583" i="38"/>
  <c r="A908" i="38"/>
  <c r="J907" i="38"/>
  <c r="J534" i="38"/>
  <c r="A535" i="38"/>
  <c r="J179" i="38"/>
  <c r="A1273" i="38"/>
  <c r="J1272" i="38"/>
  <c r="J1171" i="38"/>
  <c r="J50" i="38"/>
  <c r="A51" i="38"/>
  <c r="A1129" i="38"/>
  <c r="J1128" i="38"/>
  <c r="J584" i="38" l="1"/>
  <c r="A585" i="38"/>
  <c r="J908" i="38"/>
  <c r="A909" i="38"/>
  <c r="A536" i="38"/>
  <c r="J535" i="38"/>
  <c r="J180" i="38"/>
  <c r="J1172" i="38"/>
  <c r="A1130" i="38"/>
  <c r="J1129" i="38"/>
  <c r="A1274" i="38"/>
  <c r="J1273" i="38"/>
  <c r="A52" i="38"/>
  <c r="J51" i="38"/>
  <c r="J1174" i="38" l="1"/>
  <c r="J1175" i="38"/>
  <c r="A586" i="38"/>
  <c r="J585" i="38"/>
  <c r="J182" i="38"/>
  <c r="A537" i="38"/>
  <c r="J536" i="38"/>
  <c r="A910" i="38"/>
  <c r="J909" i="38"/>
  <c r="J181" i="38"/>
  <c r="J1173" i="38"/>
  <c r="A53" i="38"/>
  <c r="J52" i="38"/>
  <c r="A1275" i="38"/>
  <c r="J1274" i="38"/>
  <c r="J1130" i="38"/>
  <c r="A1131" i="38"/>
  <c r="A587" i="38" l="1"/>
  <c r="J586" i="38"/>
  <c r="J910" i="38"/>
  <c r="A911" i="38"/>
  <c r="J537" i="38"/>
  <c r="A538" i="38"/>
  <c r="J183" i="38"/>
  <c r="A54" i="38"/>
  <c r="J53" i="38"/>
  <c r="A1132" i="38"/>
  <c r="J1131" i="38"/>
  <c r="J1176" i="38"/>
  <c r="A1276" i="38"/>
  <c r="J1275" i="38"/>
  <c r="A588" i="38" l="1"/>
  <c r="J587" i="38"/>
  <c r="J538" i="38"/>
  <c r="A539" i="38"/>
  <c r="A912" i="38"/>
  <c r="J911" i="38"/>
  <c r="J184" i="38"/>
  <c r="A1277" i="38"/>
  <c r="J1276" i="38"/>
  <c r="J54" i="38"/>
  <c r="A55" i="38"/>
  <c r="J1177" i="38"/>
  <c r="A1133" i="38"/>
  <c r="J1133" i="38" s="1"/>
  <c r="J1132" i="38"/>
  <c r="A589" i="38" l="1"/>
  <c r="J588" i="38"/>
  <c r="A913" i="38"/>
  <c r="J912" i="38"/>
  <c r="A540" i="38"/>
  <c r="J540" i="38" s="1"/>
  <c r="J539" i="38"/>
  <c r="J185" i="38"/>
  <c r="A1278" i="38"/>
  <c r="J1277" i="38"/>
  <c r="J1178" i="38"/>
  <c r="J55" i="38"/>
  <c r="A56" i="38"/>
  <c r="A590" i="38" l="1"/>
  <c r="J589" i="38"/>
  <c r="A914" i="38"/>
  <c r="J913" i="38"/>
  <c r="J186" i="38"/>
  <c r="J1179" i="38"/>
  <c r="A57" i="38"/>
  <c r="J56" i="38"/>
  <c r="A1279" i="38"/>
  <c r="J1278" i="38"/>
  <c r="A591" i="38" l="1"/>
  <c r="J590" i="38"/>
  <c r="A915" i="38"/>
  <c r="J914" i="38"/>
  <c r="J187" i="38"/>
  <c r="A58" i="38"/>
  <c r="J57" i="38"/>
  <c r="A1280" i="38"/>
  <c r="J1279" i="38"/>
  <c r="J1180" i="38"/>
  <c r="A592" i="38" l="1"/>
  <c r="J591" i="38"/>
  <c r="J915" i="38"/>
  <c r="A916" i="38"/>
  <c r="J188" i="38"/>
  <c r="A59" i="38"/>
  <c r="J58" i="38"/>
  <c r="A1281" i="38"/>
  <c r="J1280" i="38"/>
  <c r="J1181" i="38"/>
  <c r="J592" i="38" l="1"/>
  <c r="A593" i="38"/>
  <c r="A917" i="38"/>
  <c r="J916" i="38"/>
  <c r="J189" i="38"/>
  <c r="A1282" i="38"/>
  <c r="J1281" i="38"/>
  <c r="A60" i="38"/>
  <c r="J59" i="38"/>
  <c r="J1182" i="38"/>
  <c r="A594" i="38" l="1"/>
  <c r="J593" i="38"/>
  <c r="A918" i="38"/>
  <c r="J917" i="38"/>
  <c r="J190" i="38"/>
  <c r="J1185" i="38"/>
  <c r="J1183" i="38"/>
  <c r="A61" i="38"/>
  <c r="J60" i="38"/>
  <c r="A1283" i="38"/>
  <c r="J1282" i="38"/>
  <c r="A595" i="38" l="1"/>
  <c r="J594" i="38"/>
  <c r="A919" i="38"/>
  <c r="J918" i="38"/>
  <c r="J191" i="38"/>
  <c r="A1284" i="38"/>
  <c r="J1283" i="38"/>
  <c r="A62" i="38"/>
  <c r="J61" i="38"/>
  <c r="J1184" i="38"/>
  <c r="A596" i="38" l="1"/>
  <c r="J595" i="38"/>
  <c r="A920" i="38"/>
  <c r="J919" i="38"/>
  <c r="J192" i="38"/>
  <c r="J62" i="38"/>
  <c r="A63" i="38"/>
  <c r="J1186" i="38"/>
  <c r="J1284" i="38"/>
  <c r="A1285" i="38"/>
  <c r="A597" i="38" l="1"/>
  <c r="J596" i="38"/>
  <c r="A921" i="38"/>
  <c r="J920" i="38"/>
  <c r="J193" i="38"/>
  <c r="A1286" i="38"/>
  <c r="J1285" i="38"/>
  <c r="A64" i="38"/>
  <c r="J63" i="38"/>
  <c r="J1187" i="38"/>
  <c r="A598" i="38" l="1"/>
  <c r="J597" i="38"/>
  <c r="A922" i="38"/>
  <c r="J921" i="38"/>
  <c r="J194" i="38"/>
  <c r="J1188" i="38"/>
  <c r="A1287" i="38"/>
  <c r="J1286" i="38"/>
  <c r="A65" i="38"/>
  <c r="J64" i="38"/>
  <c r="J598" i="38" l="1"/>
  <c r="A599" i="38"/>
  <c r="A923" i="38"/>
  <c r="J922" i="38"/>
  <c r="J195" i="38"/>
  <c r="A1288" i="38"/>
  <c r="J1287" i="38"/>
  <c r="A66" i="38"/>
  <c r="J65" i="38"/>
  <c r="J1189" i="38"/>
  <c r="A600" i="38" l="1"/>
  <c r="J599" i="38"/>
  <c r="J923" i="38"/>
  <c r="A924" i="38"/>
  <c r="J196" i="38"/>
  <c r="J1190" i="38"/>
  <c r="A67" i="38"/>
  <c r="J66" i="38"/>
  <c r="A1289" i="38"/>
  <c r="J1288" i="38"/>
  <c r="A601" i="38" l="1"/>
  <c r="J600" i="38"/>
  <c r="J924" i="38"/>
  <c r="A925" i="38"/>
  <c r="J197" i="38"/>
  <c r="A68" i="38"/>
  <c r="J67" i="38"/>
  <c r="A1290" i="38"/>
  <c r="J1289" i="38"/>
  <c r="J1191" i="38"/>
  <c r="J601" i="38" l="1"/>
  <c r="A602" i="38"/>
  <c r="J925" i="38"/>
  <c r="A926" i="38"/>
  <c r="J198" i="38"/>
  <c r="J1192" i="38"/>
  <c r="A69" i="38"/>
  <c r="J68" i="38"/>
  <c r="A1291" i="38"/>
  <c r="J1290" i="38"/>
  <c r="A603" i="38" l="1"/>
  <c r="J602" i="38"/>
  <c r="A927" i="38"/>
  <c r="J926" i="38"/>
  <c r="J199" i="38"/>
  <c r="A1292" i="38"/>
  <c r="J1291" i="38"/>
  <c r="A70" i="38"/>
  <c r="J69" i="38"/>
  <c r="J1193" i="38"/>
  <c r="A604" i="38" l="1"/>
  <c r="J603" i="38"/>
  <c r="A928" i="38"/>
  <c r="J927" i="38"/>
  <c r="J200" i="38"/>
  <c r="J70" i="38"/>
  <c r="A71" i="38"/>
  <c r="J1194" i="38"/>
  <c r="A1293" i="38"/>
  <c r="J1292" i="38"/>
  <c r="A605" i="38" l="1"/>
  <c r="J604" i="38"/>
  <c r="J928" i="38"/>
  <c r="A929" i="38"/>
  <c r="J201" i="38"/>
  <c r="J1195" i="38"/>
  <c r="J71" i="38"/>
  <c r="A72" i="38"/>
  <c r="A1294" i="38"/>
  <c r="J1293" i="38"/>
  <c r="A606" i="38" l="1"/>
  <c r="J605" i="38"/>
  <c r="A930" i="38"/>
  <c r="J929" i="38"/>
  <c r="J202" i="38"/>
  <c r="A73" i="38"/>
  <c r="J72" i="38"/>
  <c r="J1196" i="38"/>
  <c r="A1295" i="38"/>
  <c r="J1294" i="38"/>
  <c r="A607" i="38" l="1"/>
  <c r="J606" i="38"/>
  <c r="A931" i="38"/>
  <c r="J930" i="38"/>
  <c r="J203" i="38"/>
  <c r="J1197" i="38"/>
  <c r="A1296" i="38"/>
  <c r="J1295" i="38"/>
  <c r="A74" i="38"/>
  <c r="J73" i="38"/>
  <c r="J607" i="38" l="1"/>
  <c r="A608" i="38"/>
  <c r="A932" i="38"/>
  <c r="J931" i="38"/>
  <c r="J204" i="38"/>
  <c r="J1198" i="38"/>
  <c r="A75" i="38"/>
  <c r="J74" i="38"/>
  <c r="A1297" i="38"/>
  <c r="J1296" i="38"/>
  <c r="A609" i="38" l="1"/>
  <c r="J608" i="38"/>
  <c r="J932" i="38"/>
  <c r="A933" i="38"/>
  <c r="J205" i="38"/>
  <c r="A76" i="38"/>
  <c r="J75" i="38"/>
  <c r="J1199" i="38"/>
  <c r="A1298" i="38"/>
  <c r="J1297" i="38"/>
  <c r="J609" i="38" l="1"/>
  <c r="A610" i="38"/>
  <c r="J933" i="38"/>
  <c r="A934" i="38"/>
  <c r="J206" i="38"/>
  <c r="J1200" i="38"/>
  <c r="A77" i="38"/>
  <c r="J76" i="38"/>
  <c r="A1299" i="38"/>
  <c r="J1298" i="38"/>
  <c r="A611" i="38" l="1"/>
  <c r="J610" i="38"/>
  <c r="A935" i="38"/>
  <c r="J934" i="38"/>
  <c r="J207" i="38"/>
  <c r="A78" i="38"/>
  <c r="J77" i="38"/>
  <c r="A1300" i="38"/>
  <c r="J1299" i="38"/>
  <c r="J1201" i="38"/>
  <c r="A612" i="38" l="1"/>
  <c r="J611" i="38"/>
  <c r="A936" i="38"/>
  <c r="J935" i="38"/>
  <c r="J208" i="38"/>
  <c r="A1301" i="38"/>
  <c r="J1300" i="38"/>
  <c r="J1202" i="38"/>
  <c r="J78" i="38"/>
  <c r="A79" i="38"/>
  <c r="A613" i="38" l="1"/>
  <c r="J612" i="38"/>
  <c r="A937" i="38"/>
  <c r="J936" i="38"/>
  <c r="J209" i="38"/>
  <c r="J1203" i="38"/>
  <c r="J79" i="38"/>
  <c r="A80" i="38"/>
  <c r="A1302" i="38"/>
  <c r="J1301" i="38"/>
  <c r="A614" i="38" l="1"/>
  <c r="J613" i="38"/>
  <c r="J937" i="38"/>
  <c r="A938" i="38"/>
  <c r="J210" i="38"/>
  <c r="J1204" i="38"/>
  <c r="A1303" i="38"/>
  <c r="J1302" i="38"/>
  <c r="A81" i="38"/>
  <c r="J80" i="38"/>
  <c r="A615" i="38" l="1"/>
  <c r="J614" i="38"/>
  <c r="J938" i="38"/>
  <c r="A939" i="38"/>
  <c r="J211" i="38"/>
  <c r="A82" i="38"/>
  <c r="J81" i="38"/>
  <c r="A1304" i="38"/>
  <c r="J1303" i="38"/>
  <c r="J1205" i="38"/>
  <c r="A616" i="38" l="1"/>
  <c r="J615" i="38"/>
  <c r="A940" i="38"/>
  <c r="J939" i="38"/>
  <c r="J212" i="38"/>
  <c r="A1305" i="38"/>
  <c r="J1304" i="38"/>
  <c r="J1206" i="38"/>
  <c r="J82" i="38"/>
  <c r="A83" i="38"/>
  <c r="A617" i="38" l="1"/>
  <c r="J616" i="38"/>
  <c r="J940" i="38"/>
  <c r="A941" i="38"/>
  <c r="J213" i="38"/>
  <c r="J1207" i="38"/>
  <c r="A84" i="38"/>
  <c r="J83" i="38"/>
  <c r="A1306" i="38"/>
  <c r="J1305" i="38"/>
  <c r="A618" i="38" l="1"/>
  <c r="J617" i="38"/>
  <c r="A942" i="38"/>
  <c r="J941" i="38"/>
  <c r="J214" i="38"/>
  <c r="A85" i="38"/>
  <c r="J84" i="38"/>
  <c r="J1208" i="38"/>
  <c r="J1306" i="38"/>
  <c r="A1307" i="38"/>
  <c r="A619" i="38" l="1"/>
  <c r="J618" i="38"/>
  <c r="J942" i="38"/>
  <c r="A943" i="38"/>
  <c r="J215" i="38"/>
  <c r="J1209" i="38"/>
  <c r="A1308" i="38"/>
  <c r="J1307" i="38"/>
  <c r="A86" i="38"/>
  <c r="J85" i="38"/>
  <c r="J619" i="38" l="1"/>
  <c r="A620" i="38"/>
  <c r="J943" i="38"/>
  <c r="A944" i="38"/>
  <c r="J216" i="38"/>
  <c r="A1309" i="38"/>
  <c r="J1308" i="38"/>
  <c r="J86" i="38"/>
  <c r="A87" i="38"/>
  <c r="J1210" i="38"/>
  <c r="J1211" i="38"/>
  <c r="A621" i="38" l="1"/>
  <c r="J620" i="38"/>
  <c r="J944" i="38"/>
  <c r="A945" i="38"/>
  <c r="J217" i="38"/>
  <c r="A1310" i="38"/>
  <c r="J1309" i="38"/>
  <c r="J87" i="38"/>
  <c r="A88" i="38"/>
  <c r="A622" i="38" l="1"/>
  <c r="J621" i="38"/>
  <c r="J945" i="38"/>
  <c r="A946" i="38"/>
  <c r="J218" i="38"/>
  <c r="A89" i="38"/>
  <c r="J88" i="38"/>
  <c r="A1311" i="38"/>
  <c r="J1310" i="38"/>
  <c r="A623" i="38" l="1"/>
  <c r="J622" i="38"/>
  <c r="J946" i="38"/>
  <c r="A947" i="38"/>
  <c r="J219" i="38"/>
  <c r="A1312" i="38"/>
  <c r="J1311" i="38"/>
  <c r="A90" i="38"/>
  <c r="J89" i="38"/>
  <c r="J623" i="38" l="1"/>
  <c r="A624" i="38"/>
  <c r="A948" i="38"/>
  <c r="J947" i="38"/>
  <c r="J220" i="38"/>
  <c r="A91" i="38"/>
  <c r="J90" i="38"/>
  <c r="J1312" i="38"/>
  <c r="A1313" i="38"/>
  <c r="A625" i="38" l="1"/>
  <c r="J624" i="38"/>
  <c r="A949" i="38"/>
  <c r="J948" i="38"/>
  <c r="J221" i="38"/>
  <c r="J91" i="38"/>
  <c r="A92" i="38"/>
  <c r="A1314" i="38"/>
  <c r="J1313" i="38"/>
  <c r="A626" i="38" l="1"/>
  <c r="J625" i="38"/>
  <c r="A950" i="38"/>
  <c r="J949" i="38"/>
  <c r="J222" i="38"/>
  <c r="A1315" i="38"/>
  <c r="J1314" i="38"/>
  <c r="A93" i="38"/>
  <c r="J92" i="38"/>
  <c r="A627" i="38" l="1"/>
  <c r="J626" i="38"/>
  <c r="A951" i="38"/>
  <c r="J950" i="38"/>
  <c r="J223" i="38"/>
  <c r="A94" i="38"/>
  <c r="J93" i="38"/>
  <c r="A1316" i="38"/>
  <c r="J1315" i="38"/>
  <c r="A628" i="38" l="1"/>
  <c r="J627" i="38"/>
  <c r="A952" i="38"/>
  <c r="J951" i="38"/>
  <c r="J224" i="38"/>
  <c r="A1317" i="38"/>
  <c r="J1316" i="38"/>
  <c r="J94" i="38"/>
  <c r="A95" i="38"/>
  <c r="A629" i="38" l="1"/>
  <c r="J628" i="38"/>
  <c r="A953" i="38"/>
  <c r="J952" i="38"/>
  <c r="J225" i="38"/>
  <c r="A1318" i="38"/>
  <c r="J1317" i="38"/>
  <c r="A96" i="38"/>
  <c r="J95" i="38"/>
  <c r="A630" i="38" l="1"/>
  <c r="J629" i="38"/>
  <c r="J953" i="38"/>
  <c r="A954" i="38"/>
  <c r="J226" i="38"/>
  <c r="A1319" i="38"/>
  <c r="J1318" i="38"/>
  <c r="A97" i="38"/>
  <c r="J96" i="38"/>
  <c r="J630" i="38" l="1"/>
  <c r="A631" i="38"/>
  <c r="A955" i="38"/>
  <c r="J954" i="38"/>
  <c r="J227" i="38"/>
  <c r="A98" i="38"/>
  <c r="J97" i="38"/>
  <c r="A1320" i="38"/>
  <c r="J1319" i="38"/>
  <c r="A632" i="38" l="1"/>
  <c r="J631" i="38"/>
  <c r="A956" i="38"/>
  <c r="J955" i="38"/>
  <c r="J228" i="38"/>
  <c r="A1321" i="38"/>
  <c r="J1320" i="38"/>
  <c r="A99" i="38"/>
  <c r="J98" i="38"/>
  <c r="A633" i="38" l="1"/>
  <c r="J632" i="38"/>
  <c r="A957" i="38"/>
  <c r="J956" i="38"/>
  <c r="J229" i="38"/>
  <c r="A100" i="38"/>
  <c r="J99" i="38"/>
  <c r="A1322" i="38"/>
  <c r="J1321" i="38"/>
  <c r="A634" i="38" l="1"/>
  <c r="J633" i="38"/>
  <c r="J957" i="38"/>
  <c r="A958" i="38"/>
  <c r="J230" i="38"/>
  <c r="A101" i="38"/>
  <c r="J100" i="38"/>
  <c r="J1322" i="38"/>
  <c r="A1323" i="38"/>
  <c r="A635" i="38" l="1"/>
  <c r="J634" i="38"/>
  <c r="A959" i="38"/>
  <c r="J958" i="38"/>
  <c r="J231" i="38"/>
  <c r="A1324" i="38"/>
  <c r="J1323" i="38"/>
  <c r="A102" i="38"/>
  <c r="J101" i="38"/>
  <c r="A636" i="38" l="1"/>
  <c r="J635" i="38"/>
  <c r="J959" i="38"/>
  <c r="A960" i="38"/>
  <c r="J232" i="38"/>
  <c r="A1325" i="38"/>
  <c r="J1324" i="38"/>
  <c r="J102" i="38"/>
  <c r="A103" i="38"/>
  <c r="A637" i="38" l="1"/>
  <c r="J636" i="38"/>
  <c r="A961" i="38"/>
  <c r="J960" i="38"/>
  <c r="J233" i="38"/>
  <c r="J103" i="38"/>
  <c r="A104" i="38"/>
  <c r="A1326" i="38"/>
  <c r="J1325" i="38"/>
  <c r="A638" i="38" l="1"/>
  <c r="J637" i="38"/>
  <c r="J961" i="38"/>
  <c r="A962" i="38"/>
  <c r="J234" i="38"/>
  <c r="A1327" i="38"/>
  <c r="J1326" i="38"/>
  <c r="A105" i="38"/>
  <c r="J104" i="38"/>
  <c r="A639" i="38" l="1"/>
  <c r="J638" i="38"/>
  <c r="A963" i="38"/>
  <c r="J962" i="38"/>
  <c r="J235" i="38"/>
  <c r="A106" i="38"/>
  <c r="J105" i="38"/>
  <c r="A1328" i="38"/>
  <c r="J1327" i="38"/>
  <c r="A640" i="38" l="1"/>
  <c r="J639" i="38"/>
  <c r="A964" i="38"/>
  <c r="J963" i="38"/>
  <c r="J236" i="38"/>
  <c r="A107" i="38"/>
  <c r="J106" i="38"/>
  <c r="A1329" i="38"/>
  <c r="J1328" i="38"/>
  <c r="J640" i="38" l="1"/>
  <c r="A641" i="38"/>
  <c r="J964" i="38"/>
  <c r="A965" i="38"/>
  <c r="J237" i="38"/>
  <c r="J1329" i="38"/>
  <c r="A1330" i="38"/>
  <c r="A108" i="38"/>
  <c r="J107" i="38"/>
  <c r="A642" i="38" l="1"/>
  <c r="J641" i="38"/>
  <c r="A966" i="38"/>
  <c r="J965" i="38"/>
  <c r="J238" i="38"/>
  <c r="A109" i="38"/>
  <c r="J108" i="38"/>
  <c r="A1331" i="38"/>
  <c r="J1330" i="38"/>
  <c r="A643" i="38" l="1"/>
  <c r="J642" i="38"/>
  <c r="A967" i="38"/>
  <c r="J966" i="38"/>
  <c r="J239" i="38"/>
  <c r="A1332" i="38"/>
  <c r="J1331" i="38"/>
  <c r="A110" i="38"/>
  <c r="J109" i="38"/>
  <c r="J643" i="38" l="1"/>
  <c r="A644" i="38"/>
  <c r="J967" i="38"/>
  <c r="A968" i="38"/>
  <c r="J240" i="38"/>
  <c r="J110" i="38"/>
  <c r="A111" i="38"/>
  <c r="A1333" i="38"/>
  <c r="J1332" i="38"/>
  <c r="A645" i="38" l="1"/>
  <c r="J644" i="38"/>
  <c r="A969" i="38"/>
  <c r="J968" i="38"/>
  <c r="J241" i="38"/>
  <c r="J1333" i="38"/>
  <c r="A1334" i="38"/>
  <c r="J111" i="38"/>
  <c r="A112" i="38"/>
  <c r="A646" i="38" l="1"/>
  <c r="J645" i="38"/>
  <c r="A970" i="38"/>
  <c r="J969" i="38"/>
  <c r="J242" i="38"/>
  <c r="J112" i="38"/>
  <c r="A113" i="38"/>
  <c r="A1335" i="38"/>
  <c r="J1334" i="38"/>
  <c r="A647" i="38" l="1"/>
  <c r="J646" i="38"/>
  <c r="J970" i="38"/>
  <c r="A971" i="38"/>
  <c r="J243" i="38"/>
  <c r="A114" i="38"/>
  <c r="J113" i="38"/>
  <c r="A1336" i="38"/>
  <c r="J1335" i="38"/>
  <c r="A648" i="38" l="1"/>
  <c r="J647" i="38"/>
  <c r="A972" i="38"/>
  <c r="J971" i="38"/>
  <c r="J245" i="38"/>
  <c r="J244" i="38"/>
  <c r="A1337" i="38"/>
  <c r="J1336" i="38"/>
  <c r="J114" i="38"/>
  <c r="A115" i="38"/>
  <c r="J1337" i="38" l="1"/>
  <c r="A1338" i="38"/>
  <c r="J1338" i="38" s="1"/>
  <c r="A649" i="38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/>
  <c r="A1018" i="38"/>
  <c r="A1019" i="38"/>
  <c r="A1020" i="38"/>
  <c r="A1021" i="38"/>
  <c r="A1022" i="38"/>
  <c r="A1023" i="38"/>
  <c r="A1024" i="38"/>
  <c r="A1025" i="38"/>
  <c r="A1026" i="38"/>
  <c r="A1027" i="38"/>
  <c r="A1028" i="38"/>
  <c r="A1029" i="38"/>
  <c r="A1030" i="38"/>
  <c r="A1031" i="38"/>
  <c r="A1032" i="38"/>
  <c r="A1033" i="38"/>
  <c r="A1034" i="38"/>
  <c r="A1035" i="38"/>
  <c r="A1036" i="38"/>
  <c r="A1037" i="38"/>
  <c r="A1038" i="38"/>
  <c r="A1039" i="38"/>
  <c r="A1040" i="38"/>
  <c r="A1041" i="38"/>
  <c r="A1042" i="38"/>
  <c r="A1043" i="38"/>
  <c r="A1044" i="38"/>
  <c r="A1045" i="38"/>
  <c r="J1045" i="38"/>
  <c r="J1044" i="38"/>
  <c r="J1043" i="38"/>
  <c r="J1042" i="38"/>
  <c r="J1041" i="38"/>
  <c r="J1040" i="38"/>
  <c r="J1039" i="38"/>
  <c r="J1038" i="38"/>
  <c r="J1037" i="38"/>
  <c r="J1036" i="38"/>
  <c r="J1035" i="38"/>
  <c r="J1033" i="38"/>
  <c r="J1034" i="38"/>
  <c r="J1032" i="38"/>
  <c r="J1031" i="38"/>
  <c r="J1030" i="38"/>
  <c r="J1029" i="38"/>
  <c r="J1028" i="38"/>
  <c r="J1027" i="38"/>
  <c r="J1026" i="38"/>
  <c r="J1025" i="38"/>
  <c r="J1024" i="38"/>
  <c r="J1023" i="38"/>
  <c r="J1022" i="38"/>
  <c r="J1021" i="38"/>
  <c r="J1020" i="38"/>
  <c r="J1019" i="38"/>
  <c r="J1016" i="38"/>
  <c r="J1018" i="38"/>
  <c r="J1017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<sst xmlns="http://schemas.openxmlformats.org/spreadsheetml/2006/main" count="4256" uniqueCount="1169">
  <si>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</si>
  <si>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</si>
  <si>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</si>
  <si>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</si>
  <si>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</si>
  <si>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</si>
  <si>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</si>
  <si>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</si>
  <si>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</si>
  <si>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PRODUCCION MARROQUINERIA</t>
  </si>
  <si>
    <t>FICHA(#)</t>
  </si>
  <si>
    <t>NOMBRE DEL PRODUCTO</t>
  </si>
  <si>
    <t xml:space="preserve">MORRAL MILITAR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</si>
  <si>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</si>
  <si>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</si>
  <si>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</si>
  <si>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</si>
  <si>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</si>
  <si>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</si>
  <si>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</si>
  <si>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</si>
  <si>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</si>
  <si>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</si>
  <si>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</si>
  <si>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</si>
  <si>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</si>
  <si>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</si>
  <si>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</si>
  <si>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LONA POLIESTER</t>
  </si>
  <si>
    <t>SEDA 30-100 O SEDA TIFON</t>
  </si>
  <si>
    <t xml:space="preserve">Seda para forro </t>
  </si>
  <si>
    <t>SECUNDARIO_MEDULAR</t>
  </si>
  <si>
    <t>CREMALLERA POLIÉSTER #6</t>
  </si>
  <si>
    <t>Cremallera poliéster #6</t>
  </si>
  <si>
    <t>HERRAJES</t>
  </si>
  <si>
    <t>Llave metálica deslizador   #6 para cremallera - pavón</t>
  </si>
  <si>
    <t>YUMBOLON 4mm (CM²)</t>
  </si>
  <si>
    <t>ESPUMA DE POLIETILENO
Jumbolón</t>
  </si>
  <si>
    <t>MALLA FABRICS</t>
  </si>
  <si>
    <t>RIBETE 24 mm (CINTA FALLA CON APRESTO)</t>
  </si>
  <si>
    <t>Ribete 24 mm (cinta falla con apresto)</t>
  </si>
  <si>
    <t>REATA POLIESTER</t>
  </si>
  <si>
    <t>pulgada</t>
  </si>
  <si>
    <t xml:space="preserve">MORRALERA BURBUJA 25 MM PLÁSTICA </t>
  </si>
  <si>
    <t xml:space="preserve">Morralera burbuja 25 mm plástica </t>
  </si>
  <si>
    <t xml:space="preserve">tensor o trabilla plástica 1" </t>
  </si>
  <si>
    <t>Cuadrante 25 mm plástico</t>
  </si>
  <si>
    <t>REATA NYLON</t>
  </si>
  <si>
    <t>Reata Nylon</t>
  </si>
  <si>
    <t>2 pulgadas</t>
  </si>
  <si>
    <t>INSUMOS_COMPL_</t>
  </si>
  <si>
    <t>AGUJA LARGA CABO GRUESO 110</t>
  </si>
  <si>
    <t>HEBILLA BURBUJA  PLÁSTICA 25 MM 1"</t>
  </si>
  <si>
    <t>ADHESIVOS_Solventes</t>
  </si>
  <si>
    <t xml:space="preserve">PEGANTE CEMENTO DE CONTACTO BASE CLOROPRENO
</t>
  </si>
  <si>
    <t xml:space="preserve">HILO NYLON #40
</t>
  </si>
  <si>
    <t>Cono grande de 1500 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</si>
  <si>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</si>
  <si>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</si>
  <si>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</si>
  <si>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</si>
  <si>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</si>
  <si>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</si>
  <si>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</si>
  <si>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</si>
  <si>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</si>
  <si>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</si>
  <si>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</si>
  <si>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</si>
  <si>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</si>
  <si>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</si>
  <si>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</si>
  <si>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</si>
  <si>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</si>
  <si>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</si>
  <si>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</si>
  <si>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</si>
  <si>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</si>
  <si>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</si>
  <si>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</si>
  <si>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</si>
  <si>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</si>
  <si>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</si>
  <si>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</si>
  <si>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</si>
  <si>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</si>
  <si>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</si>
  <si>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</si>
  <si>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produccion de centros</t>
  </si>
  <si>
    <t>VALOR DE UNA UNIDAD DE PRODUCTO</t>
  </si>
  <si>
    <t>COORDINADOR DE LA LINEA MEDULAR: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</si>
  <si>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</si>
  <si>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</si>
  <si>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</si>
  <si>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</si>
  <si>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</si>
  <si>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</si>
  <si>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</si>
  <si>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</si>
  <si>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</si>
  <si>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</si>
  <si>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</si>
  <si>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 xml:space="preserve">CANTIDAD Entregada 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</si>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</sst>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sz val="20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8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0" fillId="0" borderId="0" xfId="0" applyNumberFormat="1"/>
    <xf numFmtId="0" fontId="0" fillId="63" borderId="12" xfId="0" applyFill="1" applyBorder="1" applyAlignment="1" applyProtection="1">
      <alignment horizontal="center" vertical="center"/>
      <protection locked="0"/>
    </xf>
    <xf numFmtId="171" fontId="39" fillId="63" borderId="17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>
      <alignment horizontal="center" vertical="center"/>
    </xf>
    <xf numFmtId="0" fontId="74" fillId="0" borderId="30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center"/>
    </xf>
    <xf numFmtId="0" fontId="74" fillId="0" borderId="32" xfId="0" applyFont="1" applyBorder="1" applyAlignment="1">
      <alignment horizontal="center" vertical="center"/>
    </xf>
    <xf numFmtId="0" fontId="74" fillId="0" borderId="62" xfId="0" applyFont="1" applyBorder="1" applyAlignment="1">
      <alignment horizontal="center" vertical="center"/>
    </xf>
    <xf numFmtId="0" fontId="74" fillId="0" borderId="63" xfId="0" applyFont="1" applyBorder="1" applyAlignment="1">
      <alignment horizontal="center" vertical="center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7" fillId="63" borderId="34" xfId="0" applyFont="1" applyFill="1" applyBorder="1" applyAlignment="1" applyProtection="1">
      <alignment horizontal="center" vertical="center" wrapText="1"/>
      <protection locked="0"/>
    </xf>
    <xf numFmtId="0" fontId="77" fillId="63" borderId="13" xfId="0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182216</xdr:colOff>
      <xdr:row>0</xdr:row>
      <xdr:rowOff>0</xdr:rowOff>
    </xdr:from>
    <xdr:to>
      <xdr:col>23</xdr:col>
      <xdr:colOff>380999</xdr:colOff>
      <xdr:row>6</xdr:row>
      <xdr:rowOff>289363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359ADCD9-D57C-43EB-8D8A-F63453067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6259" y="0"/>
          <a:ext cx="1938131" cy="20618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21098</xdr:colOff>
      <xdr:row>0</xdr:row>
      <xdr:rowOff>0</xdr:rowOff>
    </xdr:from>
    <xdr:to>
      <xdr:col>15</xdr:col>
      <xdr:colOff>734972</xdr:colOff>
      <xdr:row>9</xdr:row>
      <xdr:rowOff>300790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51BAA1F4-7340-4894-989E-2BA876C1A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16019" y="0"/>
          <a:ext cx="1696453" cy="1804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1153</xdr:row>
      <xdr:rowOff>0</xdr:rowOff>
    </xdr:from>
    <xdr:to>
      <xdr:col>3</xdr:col>
      <xdr:colOff>933450</xdr:colOff>
      <xdr:row>1154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1253</xdr:row>
      <xdr:rowOff>9525</xdr:rowOff>
    </xdr:from>
    <xdr:to>
      <xdr:col>3</xdr:col>
      <xdr:colOff>1133475</xdr:colOff>
      <xdr:row>1253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1347</xdr:row>
      <xdr:rowOff>0</xdr:rowOff>
    </xdr:from>
    <xdr:to>
      <xdr:col>3</xdr:col>
      <xdr:colOff>990600</xdr:colOff>
      <xdr:row>1347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98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5:J1338" totalsRowShown="0" headerRowBorderDxfId="86" tableBorderDxfId="87">
  <autoFilter ref="A1255:J1338" xr:uid="{00000000-0009-0000-0100-000022000000}"/>
  <sortState xmlns:xlrd2="http://schemas.microsoft.com/office/spreadsheetml/2017/richdata2" ref="A1256:J1336">
    <sortCondition ref="B1255:B1336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IF(BD!$E1256="","",(E1256/(H1256*I1256)))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CONCATENATE(LEFT(C1256,1),MID(C1256,SEARCH("_",C1256)+1,2),TEXT(A1256,"000"))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49:J1435" totalsRowShown="0" tableBorderDxfId="75">
  <autoFilter ref="B1349:J1435" xr:uid="{00000000-0009-0000-0100-000010000000}"/>
  <sortState xmlns:xlrd2="http://schemas.microsoft.com/office/spreadsheetml/2017/richdata2" ref="B1350:J1435">
    <sortCondition ref="B1349:B1435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133" totalsRowShown="0" tableBorderDxfId="44">
  <autoFilter ref="B1108:J1133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IF(BD!$E1109="","",(E1109/(H1109*I1109)))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4">
  <autoFilter ref="B1068:J1075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IF(BD!$E1068="","",(E1069/(H1069*I1069)))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5:J1211" totalsRowShown="0" tableBorderDxfId="24">
  <autoFilter ref="A1155:J1211" xr:uid="{84B8E26A-8EC8-4198-BBCA-20526109FFEA}"/>
  <sortState xmlns:xlrd2="http://schemas.microsoft.com/office/spreadsheetml/2017/richdata2" ref="A1156:J1211">
    <sortCondition ref="B1155:B1211"/>
  </sortState>
  <tableColumns count="10">
    <tableColumn id="1" xr3:uid="{2BE933F0-9445-436E-81BA-A6E0611652B7}" name="Item" dataDxfId="23">
      <calculatedColumnFormula>A1155+1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21" sqref="D21:N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8"/>
      <c r="B1" s="349"/>
      <c r="C1" s="331" t="s">
        <v>0</v>
      </c>
      <c r="D1" s="332"/>
      <c r="E1" s="332"/>
      <c r="F1" s="333" t="str">
        <f>IF(E2="","",CONCATENATE(LEFT(E2,1),MID(E2,SEARCH(" ",E2)+1,1),TEXT(O1,"DD"),TEXT(O1,"MM"),"-",IF(K1="",1,K1)))</f>
        <v>HR0311-1</v>
      </c>
      <c r="G1" s="334"/>
      <c r="H1" s="335"/>
      <c r="I1" s="336" t="s">
        <v>1</v>
      </c>
      <c r="J1" s="337"/>
      <c r="K1" s="263"/>
      <c r="L1" s="315" t="s">
        <v>2</v>
      </c>
      <c r="M1" s="338"/>
      <c r="N1" s="338"/>
      <c r="O1" s="339">
        <v>45233</v>
      </c>
      <c r="P1" s="339"/>
      <c r="Q1" s="339"/>
      <c r="R1" s="340"/>
      <c r="S1" s="322" t="s">
        <v>3</v>
      </c>
      <c r="T1" s="323"/>
      <c r="U1" s="323"/>
      <c r="V1" s="323"/>
      <c r="W1" s="323"/>
      <c r="X1" s="323"/>
      <c r="Y1" s="324"/>
      <c r="Z1" s="272" t="s">
        <v>4</v>
      </c>
    </row>
    <row r="2" spans="1:28" ht="23.25" customHeight="1">
      <c r="A2" s="350"/>
      <c r="B2" s="351"/>
      <c r="C2" s="354" t="s">
        <v>5</v>
      </c>
      <c r="D2" s="355"/>
      <c r="E2" s="356" t="s">
        <v>6</v>
      </c>
      <c r="F2" s="357"/>
      <c r="G2" s="357"/>
      <c r="H2" s="357"/>
      <c r="I2" s="357"/>
      <c r="J2" s="357"/>
      <c r="K2" s="358"/>
      <c r="L2" s="313" t="s">
        <v>7</v>
      </c>
      <c r="M2" s="314"/>
      <c r="N2" s="315"/>
      <c r="O2" s="316">
        <f>IF(E2="","",INDEX(Listas!H2:I30,MATCH('Soli_citud '!E2,Listas!H2:H30,0),2))</f>
        <v>71662031</v>
      </c>
      <c r="P2" s="316"/>
      <c r="Q2" s="316"/>
      <c r="R2" s="317"/>
      <c r="S2" s="325"/>
      <c r="T2" s="326"/>
      <c r="U2" s="326"/>
      <c r="V2" s="326"/>
      <c r="W2" s="326"/>
      <c r="X2" s="326"/>
      <c r="Y2" s="327"/>
      <c r="Z2" s="33"/>
    </row>
    <row r="3" spans="1:28" ht="24.75" customHeight="1">
      <c r="A3" s="352"/>
      <c r="B3" s="353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13" t="s">
        <v>10</v>
      </c>
      <c r="M3" s="314"/>
      <c r="N3" s="315"/>
      <c r="O3" s="287">
        <v>2811416</v>
      </c>
      <c r="P3" s="318"/>
      <c r="Q3" s="318"/>
      <c r="R3" s="318"/>
      <c r="S3" s="325"/>
      <c r="T3" s="326"/>
      <c r="U3" s="326"/>
      <c r="V3" s="326"/>
      <c r="W3" s="326"/>
      <c r="X3" s="326"/>
      <c r="Y3" s="327"/>
      <c r="Z3" s="33"/>
    </row>
    <row r="4" spans="1:28" ht="30.75" customHeight="1">
      <c r="A4" s="347" t="s">
        <v>11</v>
      </c>
      <c r="B4" s="347"/>
      <c r="C4" s="347"/>
      <c r="D4" s="341" t="s">
        <v>12</v>
      </c>
      <c r="E4" s="342"/>
      <c r="F4" s="342"/>
      <c r="G4" s="342"/>
      <c r="H4" s="342"/>
      <c r="I4" s="342"/>
      <c r="J4" s="342"/>
      <c r="K4" s="342"/>
      <c r="L4" s="343" t="s">
        <v>13</v>
      </c>
      <c r="M4" s="343"/>
      <c r="N4" s="343"/>
      <c r="O4" s="344" t="s">
        <v>14</v>
      </c>
      <c r="P4" s="345"/>
      <c r="Q4" s="345"/>
      <c r="R4" s="346"/>
      <c r="S4" s="325"/>
      <c r="T4" s="326"/>
      <c r="U4" s="326"/>
      <c r="V4" s="326"/>
      <c r="W4" s="326"/>
      <c r="X4" s="326"/>
      <c r="Y4" s="327"/>
      <c r="Z4" s="33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80927.076692725037</v>
      </c>
      <c r="E5" s="369"/>
      <c r="F5" s="370"/>
      <c r="G5" s="354" t="s">
        <v>16</v>
      </c>
      <c r="H5" s="371"/>
      <c r="I5" s="371"/>
      <c r="J5" s="355"/>
      <c r="K5" s="329">
        <v>24</v>
      </c>
      <c r="L5" s="329"/>
      <c r="M5" s="330" t="s">
        <v>17</v>
      </c>
      <c r="N5" s="330"/>
      <c r="O5" s="319">
        <f ca="1">IFERROR(IF(K5=0,"",D5*K5),"")</f>
        <v>1942249.8406254009</v>
      </c>
      <c r="P5" s="320"/>
      <c r="Q5" s="320"/>
      <c r="R5" s="321"/>
      <c r="S5" s="325"/>
      <c r="T5" s="326"/>
      <c r="U5" s="326"/>
      <c r="V5" s="326"/>
      <c r="W5" s="326"/>
      <c r="X5" s="326"/>
      <c r="Y5" s="327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5"/>
      <c r="T6" s="326"/>
      <c r="U6" s="326"/>
      <c r="V6" s="326"/>
      <c r="W6" s="326"/>
      <c r="X6" s="326"/>
      <c r="Y6" s="327"/>
      <c r="Z6" s="33"/>
      <c r="AA6" s="36"/>
      <c r="AB6" s="36"/>
    </row>
    <row r="7" spans="1:28" ht="24" customHeight="1" thickBot="1">
      <c r="A7" s="359" t="s">
        <v>18</v>
      </c>
      <c r="B7" s="359"/>
      <c r="C7" s="359"/>
      <c r="D7" s="360" t="s">
        <v>19</v>
      </c>
      <c r="E7" s="360"/>
      <c r="F7" s="360"/>
      <c r="G7" s="360"/>
      <c r="H7" s="360"/>
      <c r="I7" s="360"/>
      <c r="J7" s="360"/>
      <c r="K7" s="360"/>
      <c r="L7" s="360"/>
      <c r="M7" s="360"/>
      <c r="N7" s="360"/>
      <c r="O7" s="308" t="s">
        <v>20</v>
      </c>
      <c r="P7" s="308"/>
      <c r="Q7" s="361" t="s">
        <v>21</v>
      </c>
      <c r="R7" s="361"/>
      <c r="S7" s="326"/>
      <c r="T7" s="326"/>
      <c r="U7" s="326"/>
      <c r="V7" s="326"/>
      <c r="W7" s="326"/>
      <c r="X7" s="326"/>
      <c r="Y7" s="327"/>
      <c r="Z7" s="33"/>
    </row>
    <row r="8" spans="1:28" ht="18.75" customHeight="1">
      <c r="A8" s="359"/>
      <c r="B8" s="359"/>
      <c r="C8" s="359"/>
      <c r="D8" s="360"/>
      <c r="E8" s="360"/>
      <c r="F8" s="360"/>
      <c r="G8" s="360"/>
      <c r="H8" s="360"/>
      <c r="I8" s="360"/>
      <c r="J8" s="360"/>
      <c r="K8" s="360"/>
      <c r="L8" s="360"/>
      <c r="M8" s="360"/>
      <c r="N8" s="360"/>
      <c r="O8" s="308"/>
      <c r="P8" s="308"/>
      <c r="Q8" s="361"/>
      <c r="R8" s="361"/>
      <c r="S8" s="310" t="s">
        <v>22</v>
      </c>
      <c r="T8" s="310"/>
      <c r="U8" s="310"/>
      <c r="V8" s="311">
        <f>IF(K5="","",1/K5)</f>
        <v>4.1666666666666664E-2</v>
      </c>
      <c r="W8" s="312"/>
      <c r="X8" s="111"/>
      <c r="Y8" s="112">
        <f>IFERROR((V8*X8)," ")</f>
        <v>0</v>
      </c>
      <c r="Z8" s="33"/>
    </row>
    <row r="9" spans="1:28" ht="12" customHeight="1">
      <c r="A9" s="328"/>
      <c r="B9" s="328"/>
      <c r="C9" s="328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9" t="s">
        <v>23</v>
      </c>
      <c r="T9" s="309"/>
      <c r="U9" s="308" t="s">
        <v>24</v>
      </c>
      <c r="V9" s="308"/>
      <c r="W9" s="308" t="s">
        <v>25</v>
      </c>
      <c r="X9" s="308"/>
      <c r="Y9" s="308"/>
    </row>
    <row r="10" spans="1:28" ht="17.25" customHeight="1">
      <c r="A10" s="280" t="s">
        <v>26</v>
      </c>
      <c r="B10" s="280"/>
      <c r="C10" s="281"/>
      <c r="D10" s="372" t="s">
        <v>27</v>
      </c>
      <c r="E10" s="373" t="s">
        <v>28</v>
      </c>
      <c r="F10" s="373" t="s">
        <v>28</v>
      </c>
      <c r="G10" s="373" t="s">
        <v>28</v>
      </c>
      <c r="H10" s="373" t="s">
        <v>28</v>
      </c>
      <c r="I10" s="373" t="s">
        <v>28</v>
      </c>
      <c r="J10" s="373" t="s">
        <v>28</v>
      </c>
      <c r="K10" s="373" t="s">
        <v>28</v>
      </c>
      <c r="L10" s="373" t="s">
        <v>28</v>
      </c>
      <c r="M10" s="373" t="s">
        <v>28</v>
      </c>
      <c r="N10" s="374" t="s">
        <v>28</v>
      </c>
      <c r="O10" s="285" t="str">
        <f t="shared" ref="O10:O31" ca="1" si="0">IFERROR(IF(D10="","",INDEX(Tabla_Completa,MATCH(D10,Materiales,0),6)),"")</f>
        <v>cm2</v>
      </c>
      <c r="P10" s="286"/>
      <c r="Q10" s="287">
        <v>19000</v>
      </c>
      <c r="R10" s="288">
        <v>15400</v>
      </c>
      <c r="S10" s="289">
        <f>IFERROR(IF(Q10="Unidad","1",(Q10*$K$5)),"")</f>
        <v>456000</v>
      </c>
      <c r="T10" s="290"/>
      <c r="U10" s="291"/>
      <c r="V10" s="375"/>
      <c r="W10" s="292">
        <f ca="1">IFERROR(IF(D10="","",INDEX(Tabla_Completa,MATCH('Soli_citud '!D10,Materiales,0),7)*S10),"")</f>
        <v>332228.57142857142</v>
      </c>
      <c r="X10" s="292"/>
      <c r="Y10" s="292"/>
      <c r="Z10" s="37"/>
    </row>
    <row r="11" spans="1:28" ht="17.25" customHeight="1">
      <c r="A11" s="279" t="s">
        <v>26</v>
      </c>
      <c r="B11" s="280"/>
      <c r="C11" s="281"/>
      <c r="D11" s="372" t="s">
        <v>29</v>
      </c>
      <c r="E11" s="373" t="s">
        <v>30</v>
      </c>
      <c r="F11" s="373" t="s">
        <v>30</v>
      </c>
      <c r="G11" s="373" t="s">
        <v>30</v>
      </c>
      <c r="H11" s="373" t="s">
        <v>30</v>
      </c>
      <c r="I11" s="373" t="s">
        <v>30</v>
      </c>
      <c r="J11" s="373" t="s">
        <v>30</v>
      </c>
      <c r="K11" s="373" t="s">
        <v>30</v>
      </c>
      <c r="L11" s="373" t="s">
        <v>30</v>
      </c>
      <c r="M11" s="373" t="s">
        <v>30</v>
      </c>
      <c r="N11" s="374" t="s">
        <v>30</v>
      </c>
      <c r="O11" s="285" t="str">
        <f t="shared" ca="1" si="0"/>
        <v>cm2</v>
      </c>
      <c r="P11" s="286"/>
      <c r="Q11" s="287">
        <v>15400</v>
      </c>
      <c r="R11" s="288">
        <v>15400</v>
      </c>
      <c r="S11" s="289">
        <f t="shared" ref="S11:S31" si="1">IFERROR(IF(Q11="Unidad","1",(Q11*$K$5)),"")</f>
        <v>369600</v>
      </c>
      <c r="T11" s="290"/>
      <c r="U11" s="291"/>
      <c r="V11" s="291"/>
      <c r="W11" s="292">
        <f ca="1">IFERROR(IF(D11="","",INDEX(Tabla_Completa,MATCH('Soli_citud '!D11,Materiales,0),7)*S11),"")</f>
        <v>184008</v>
      </c>
      <c r="X11" s="292"/>
      <c r="Y11" s="292"/>
    </row>
    <row r="12" spans="1:28" ht="15.75" customHeight="1">
      <c r="A12" s="279" t="s">
        <v>31</v>
      </c>
      <c r="B12" s="280"/>
      <c r="C12" s="281"/>
      <c r="D12" s="376" t="s">
        <v>32</v>
      </c>
      <c r="E12" s="373" t="s">
        <v>33</v>
      </c>
      <c r="F12" s="373" t="s">
        <v>33</v>
      </c>
      <c r="G12" s="373" t="s">
        <v>33</v>
      </c>
      <c r="H12" s="373" t="s">
        <v>33</v>
      </c>
      <c r="I12" s="373" t="s">
        <v>33</v>
      </c>
      <c r="J12" s="373" t="s">
        <v>33</v>
      </c>
      <c r="K12" s="373" t="s">
        <v>33</v>
      </c>
      <c r="L12" s="373" t="s">
        <v>33</v>
      </c>
      <c r="M12" s="373" t="s">
        <v>33</v>
      </c>
      <c r="N12" s="374" t="s">
        <v>33</v>
      </c>
      <c r="O12" s="285" t="str">
        <f t="shared" ref="O12" ca="1" si="2">IFERROR(IF(D12="","",INDEX(Tabla_Completa,MATCH(D12,Materiales,0),6)),"")</f>
        <v>cm</v>
      </c>
      <c r="P12" s="286"/>
      <c r="Q12" s="287">
        <v>320</v>
      </c>
      <c r="R12" s="288">
        <v>320</v>
      </c>
      <c r="S12" s="289">
        <f t="shared" si="1"/>
        <v>7680</v>
      </c>
      <c r="T12" s="290"/>
      <c r="U12" s="291"/>
      <c r="V12" s="291"/>
      <c r="W12" s="292">
        <f ca="1">IFERROR(IF(D12="","",INDEX(Tabla_Completa,MATCH('Soli_citud '!D12,Materiales,0),7)*S12),"")</f>
        <v>93926.400000000009</v>
      </c>
      <c r="X12" s="292"/>
      <c r="Y12" s="292"/>
    </row>
    <row r="13" spans="1:28" ht="15.75" customHeight="1">
      <c r="A13" s="279" t="s">
        <v>34</v>
      </c>
      <c r="B13" s="280"/>
      <c r="C13" s="281"/>
      <c r="D13" s="372" t="s">
        <v>35</v>
      </c>
      <c r="E13" s="373" t="s">
        <v>35</v>
      </c>
      <c r="F13" s="373" t="s">
        <v>35</v>
      </c>
      <c r="G13" s="373" t="s">
        <v>35</v>
      </c>
      <c r="H13" s="373" t="s">
        <v>35</v>
      </c>
      <c r="I13" s="373" t="s">
        <v>35</v>
      </c>
      <c r="J13" s="373" t="s">
        <v>35</v>
      </c>
      <c r="K13" s="373" t="s">
        <v>35</v>
      </c>
      <c r="L13" s="373" t="s">
        <v>35</v>
      </c>
      <c r="M13" s="373" t="s">
        <v>35</v>
      </c>
      <c r="N13" s="374" t="s">
        <v>35</v>
      </c>
      <c r="O13" s="285" t="str">
        <f t="shared" ca="1" si="0"/>
        <v>U</v>
      </c>
      <c r="P13" s="286"/>
      <c r="Q13" s="287">
        <v>9</v>
      </c>
      <c r="R13" s="288">
        <v>9</v>
      </c>
      <c r="S13" s="289">
        <f t="shared" si="1"/>
        <v>216</v>
      </c>
      <c r="T13" s="290"/>
      <c r="U13" s="291"/>
      <c r="V13" s="291"/>
      <c r="W13" s="292">
        <f ca="1">IFERROR(IF(D13="","",INDEX(Tabla_Completa,MATCH('Soli_citud '!D13,Materiales,0),7)*S13),"")</f>
        <v>98423.91</v>
      </c>
      <c r="X13" s="292"/>
      <c r="Y13" s="292"/>
    </row>
    <row r="14" spans="1:28" ht="17.25" customHeight="1">
      <c r="A14" s="279" t="s">
        <v>31</v>
      </c>
      <c r="B14" s="280"/>
      <c r="C14" s="281"/>
      <c r="D14" s="372" t="s">
        <v>36</v>
      </c>
      <c r="E14" s="373" t="s">
        <v>37</v>
      </c>
      <c r="F14" s="373" t="s">
        <v>37</v>
      </c>
      <c r="G14" s="373" t="s">
        <v>37</v>
      </c>
      <c r="H14" s="373" t="s">
        <v>37</v>
      </c>
      <c r="I14" s="373" t="s">
        <v>37</v>
      </c>
      <c r="J14" s="373" t="s">
        <v>37</v>
      </c>
      <c r="K14" s="373" t="s">
        <v>37</v>
      </c>
      <c r="L14" s="373" t="s">
        <v>37</v>
      </c>
      <c r="M14" s="373" t="s">
        <v>37</v>
      </c>
      <c r="N14" s="374" t="s">
        <v>37</v>
      </c>
      <c r="O14" s="285" t="str">
        <f t="shared" ca="1" si="0"/>
        <v>cm2</v>
      </c>
      <c r="P14" s="286"/>
      <c r="Q14" s="287">
        <v>3961</v>
      </c>
      <c r="R14" s="288"/>
      <c r="S14" s="289">
        <f t="shared" si="1"/>
        <v>95064</v>
      </c>
      <c r="T14" s="290"/>
      <c r="U14" s="291"/>
      <c r="V14" s="291"/>
      <c r="W14" s="292">
        <f ca="1">IFERROR(IF(D14="","",INDEX(Tabla_Completa,MATCH('Soli_citud '!D14,Materiales,0),7)*S14),"")</f>
        <v>102478.99200000001</v>
      </c>
      <c r="X14" s="292"/>
      <c r="Y14" s="292"/>
    </row>
    <row r="15" spans="1:28" ht="15.75" customHeight="1">
      <c r="A15" s="279" t="s">
        <v>26</v>
      </c>
      <c r="B15" s="280"/>
      <c r="C15" s="281"/>
      <c r="D15" s="372" t="s">
        <v>38</v>
      </c>
      <c r="E15" s="373" t="s">
        <v>38</v>
      </c>
      <c r="F15" s="373" t="s">
        <v>38</v>
      </c>
      <c r="G15" s="373" t="s">
        <v>38</v>
      </c>
      <c r="H15" s="373" t="s">
        <v>38</v>
      </c>
      <c r="I15" s="373" t="s">
        <v>38</v>
      </c>
      <c r="J15" s="373" t="s">
        <v>38</v>
      </c>
      <c r="K15" s="373" t="s">
        <v>38</v>
      </c>
      <c r="L15" s="373" t="s">
        <v>38</v>
      </c>
      <c r="M15" s="373" t="s">
        <v>38</v>
      </c>
      <c r="N15" s="374" t="s">
        <v>38</v>
      </c>
      <c r="O15" s="285" t="str">
        <f t="shared" ca="1" si="0"/>
        <v>cm2</v>
      </c>
      <c r="P15" s="286"/>
      <c r="Q15" s="287">
        <v>1386</v>
      </c>
      <c r="R15" s="288">
        <v>4.2</v>
      </c>
      <c r="S15" s="289">
        <f t="shared" si="1"/>
        <v>33264</v>
      </c>
      <c r="T15" s="290"/>
      <c r="U15" s="291"/>
      <c r="V15" s="291"/>
      <c r="W15" s="292">
        <f ca="1">IFERROR(IF(D15="","",INDEX(Tabla_Completa,MATCH('Soli_citud '!D15,Materiales,0),7)*S15),"")</f>
        <v>31527.143999999997</v>
      </c>
      <c r="X15" s="292"/>
      <c r="Y15" s="292"/>
    </row>
    <row r="16" spans="1:28" ht="15.75" customHeight="1">
      <c r="A16" s="279" t="s">
        <v>31</v>
      </c>
      <c r="B16" s="280"/>
      <c r="C16" s="281"/>
      <c r="D16" s="372" t="s">
        <v>39</v>
      </c>
      <c r="E16" s="373" t="s">
        <v>40</v>
      </c>
      <c r="F16" s="373" t="s">
        <v>40</v>
      </c>
      <c r="G16" s="373" t="s">
        <v>40</v>
      </c>
      <c r="H16" s="373" t="s">
        <v>40</v>
      </c>
      <c r="I16" s="373" t="s">
        <v>40</v>
      </c>
      <c r="J16" s="373" t="s">
        <v>40</v>
      </c>
      <c r="K16" s="373" t="s">
        <v>40</v>
      </c>
      <c r="L16" s="373" t="s">
        <v>40</v>
      </c>
      <c r="M16" s="373" t="s">
        <v>40</v>
      </c>
      <c r="N16" s="374" t="s">
        <v>40</v>
      </c>
      <c r="O16" s="285" t="str">
        <f t="shared" ca="1" si="0"/>
        <v>m</v>
      </c>
      <c r="P16" s="286"/>
      <c r="Q16" s="287">
        <v>10</v>
      </c>
      <c r="R16" s="288">
        <v>1000</v>
      </c>
      <c r="S16" s="289">
        <f t="shared" si="1"/>
        <v>240</v>
      </c>
      <c r="T16" s="290"/>
      <c r="U16" s="291"/>
      <c r="V16" s="291"/>
      <c r="W16" s="292">
        <f ca="1">IFERROR(IF(D16="","",INDEX(Tabla_Completa,MATCH('Soli_citud '!D16,Materiales,0),7)*S16),"")</f>
        <v>280800</v>
      </c>
      <c r="X16" s="292"/>
      <c r="Y16" s="292"/>
    </row>
    <row r="17" spans="1:25" ht="15.75" customHeight="1">
      <c r="A17" s="279" t="s">
        <v>31</v>
      </c>
      <c r="B17" s="280"/>
      <c r="C17" s="281"/>
      <c r="D17" s="372" t="s">
        <v>41</v>
      </c>
      <c r="E17" s="373" t="s">
        <v>41</v>
      </c>
      <c r="F17" s="373" t="s">
        <v>41</v>
      </c>
      <c r="G17" s="373" t="s">
        <v>41</v>
      </c>
      <c r="H17" s="373" t="s">
        <v>41</v>
      </c>
      <c r="I17" s="373" t="s">
        <v>41</v>
      </c>
      <c r="J17" s="373" t="s">
        <v>41</v>
      </c>
      <c r="K17" s="373" t="s">
        <v>41</v>
      </c>
      <c r="L17" s="373" t="s">
        <v>41</v>
      </c>
      <c r="M17" s="373" t="s">
        <v>41</v>
      </c>
      <c r="N17" s="374" t="s">
        <v>41</v>
      </c>
      <c r="O17" s="285" t="str">
        <f t="shared" ca="1" si="0"/>
        <v>m</v>
      </c>
      <c r="P17" s="286"/>
      <c r="Q17" s="287">
        <v>10</v>
      </c>
      <c r="R17" s="288">
        <v>100</v>
      </c>
      <c r="S17" s="289">
        <f t="shared" si="1"/>
        <v>240</v>
      </c>
      <c r="T17" s="290"/>
      <c r="U17" s="291" t="s">
        <v>42</v>
      </c>
      <c r="V17" s="291"/>
      <c r="W17" s="292">
        <f ca="1">IFERROR(IF(D17="","",INDEX(Tabla_Completa,MATCH('Soli_citud '!D17,Materiales,0),7)*S17),"")</f>
        <v>253680</v>
      </c>
      <c r="X17" s="292"/>
      <c r="Y17" s="292"/>
    </row>
    <row r="18" spans="1:25" ht="15.75" customHeight="1">
      <c r="A18" s="279" t="s">
        <v>34</v>
      </c>
      <c r="B18" s="280"/>
      <c r="C18" s="281"/>
      <c r="D18" s="372" t="s">
        <v>43</v>
      </c>
      <c r="E18" s="373" t="s">
        <v>44</v>
      </c>
      <c r="F18" s="373" t="s">
        <v>44</v>
      </c>
      <c r="G18" s="373" t="s">
        <v>44</v>
      </c>
      <c r="H18" s="373" t="s">
        <v>44</v>
      </c>
      <c r="I18" s="373" t="s">
        <v>44</v>
      </c>
      <c r="J18" s="373" t="s">
        <v>44</v>
      </c>
      <c r="K18" s="373" t="s">
        <v>44</v>
      </c>
      <c r="L18" s="373" t="s">
        <v>44</v>
      </c>
      <c r="M18" s="373" t="s">
        <v>44</v>
      </c>
      <c r="N18" s="374" t="s">
        <v>44</v>
      </c>
      <c r="O18" s="285" t="str">
        <f t="shared" ca="1" si="0"/>
        <v>U</v>
      </c>
      <c r="P18" s="286"/>
      <c r="Q18" s="287">
        <v>6</v>
      </c>
      <c r="R18" s="288">
        <v>1</v>
      </c>
      <c r="S18" s="289">
        <f t="shared" si="1"/>
        <v>144</v>
      </c>
      <c r="T18" s="290"/>
      <c r="U18" s="291" t="s">
        <v>42</v>
      </c>
      <c r="V18" s="291"/>
      <c r="W18" s="292">
        <f ca="1">IFERROR(IF(D18="","",INDEX(Tabla_Completa,MATCH('Soli_citud '!D18,Materiales,0),7)*S18),"")</f>
        <v>133200</v>
      </c>
      <c r="X18" s="292"/>
      <c r="Y18" s="292"/>
    </row>
    <row r="19" spans="1:25" ht="15.75">
      <c r="A19" s="279" t="s">
        <v>34</v>
      </c>
      <c r="B19" s="280"/>
      <c r="C19" s="281"/>
      <c r="D19" s="282" t="s">
        <v>45</v>
      </c>
      <c r="E19" s="283" t="s">
        <v>45</v>
      </c>
      <c r="F19" s="283" t="s">
        <v>45</v>
      </c>
      <c r="G19" s="283" t="s">
        <v>45</v>
      </c>
      <c r="H19" s="283" t="s">
        <v>45</v>
      </c>
      <c r="I19" s="283" t="s">
        <v>45</v>
      </c>
      <c r="J19" s="283" t="s">
        <v>45</v>
      </c>
      <c r="K19" s="283" t="s">
        <v>45</v>
      </c>
      <c r="L19" s="283" t="s">
        <v>45</v>
      </c>
      <c r="M19" s="283" t="s">
        <v>45</v>
      </c>
      <c r="N19" s="284" t="s">
        <v>45</v>
      </c>
      <c r="O19" s="285" t="str">
        <f t="shared" ca="1" si="0"/>
        <v>U</v>
      </c>
      <c r="P19" s="286"/>
      <c r="Q19" s="287">
        <v>6</v>
      </c>
      <c r="R19" s="288">
        <v>6</v>
      </c>
      <c r="S19" s="289">
        <f t="shared" si="1"/>
        <v>144</v>
      </c>
      <c r="T19" s="290"/>
      <c r="U19" s="291"/>
      <c r="V19" s="291"/>
      <c r="W19" s="292">
        <f ca="1">IFERROR(IF(D19="","",INDEX(Tabla_Completa,MATCH('Soli_citud '!D19,Materiales,0),7)*S19),"")</f>
        <v>133200</v>
      </c>
      <c r="X19" s="292"/>
      <c r="Y19" s="292"/>
    </row>
    <row r="20" spans="1:25" ht="15.75">
      <c r="A20" s="279" t="s">
        <v>34</v>
      </c>
      <c r="B20" s="280"/>
      <c r="C20" s="281"/>
      <c r="D20" s="282" t="s">
        <v>46</v>
      </c>
      <c r="E20" s="283" t="s">
        <v>46</v>
      </c>
      <c r="F20" s="283" t="s">
        <v>46</v>
      </c>
      <c r="G20" s="283" t="s">
        <v>46</v>
      </c>
      <c r="H20" s="283" t="s">
        <v>46</v>
      </c>
      <c r="I20" s="283" t="s">
        <v>46</v>
      </c>
      <c r="J20" s="283" t="s">
        <v>46</v>
      </c>
      <c r="K20" s="283" t="s">
        <v>46</v>
      </c>
      <c r="L20" s="283" t="s">
        <v>46</v>
      </c>
      <c r="M20" s="283" t="s">
        <v>46</v>
      </c>
      <c r="N20" s="284" t="s">
        <v>46</v>
      </c>
      <c r="O20" s="285" t="str">
        <f t="shared" ca="1" si="0"/>
        <v>U</v>
      </c>
      <c r="P20" s="286"/>
      <c r="Q20" s="287">
        <v>2</v>
      </c>
      <c r="R20" s="288">
        <v>2</v>
      </c>
      <c r="S20" s="289">
        <f t="shared" si="1"/>
        <v>48</v>
      </c>
      <c r="T20" s="290"/>
      <c r="U20" s="291" t="s">
        <v>42</v>
      </c>
      <c r="V20" s="291"/>
      <c r="W20" s="292">
        <f ca="1">IFERROR(IF(D20="","",INDEX(Tabla_Completa,MATCH('Soli_citud '!D20,Materiales,0),7)*S20),"")</f>
        <v>48894.720000000001</v>
      </c>
      <c r="X20" s="292"/>
      <c r="Y20" s="292"/>
    </row>
    <row r="21" spans="1:25" ht="15.75">
      <c r="A21" s="279" t="s">
        <v>31</v>
      </c>
      <c r="B21" s="280"/>
      <c r="C21" s="281"/>
      <c r="D21" s="282" t="s">
        <v>47</v>
      </c>
      <c r="E21" s="283" t="s">
        <v>48</v>
      </c>
      <c r="F21" s="283" t="s">
        <v>48</v>
      </c>
      <c r="G21" s="283" t="s">
        <v>48</v>
      </c>
      <c r="H21" s="283" t="s">
        <v>48</v>
      </c>
      <c r="I21" s="283" t="s">
        <v>48</v>
      </c>
      <c r="J21" s="283" t="s">
        <v>48</v>
      </c>
      <c r="K21" s="283" t="s">
        <v>48</v>
      </c>
      <c r="L21" s="283" t="s">
        <v>48</v>
      </c>
      <c r="M21" s="283" t="s">
        <v>48</v>
      </c>
      <c r="N21" s="284" t="s">
        <v>48</v>
      </c>
      <c r="O21" s="285" t="str">
        <f t="shared" ca="1" si="0"/>
        <v>cm</v>
      </c>
      <c r="P21" s="286"/>
      <c r="Q21" s="287">
        <v>300</v>
      </c>
      <c r="R21" s="288">
        <v>200</v>
      </c>
      <c r="S21" s="289">
        <f t="shared" si="1"/>
        <v>7200</v>
      </c>
      <c r="T21" s="290"/>
      <c r="U21" s="291" t="s">
        <v>49</v>
      </c>
      <c r="V21" s="291"/>
      <c r="W21" s="292">
        <f ca="1">IFERROR(IF(D21="","",INDEX(Tabla_Completa,MATCH('Soli_citud '!D21,Materiales,0),7)*S21),"")</f>
        <v>129600</v>
      </c>
      <c r="X21" s="292"/>
      <c r="Y21" s="292"/>
    </row>
    <row r="22" spans="1:25" ht="15.75">
      <c r="A22" s="279" t="s">
        <v>50</v>
      </c>
      <c r="B22" s="280"/>
      <c r="C22" s="281"/>
      <c r="D22" s="282" t="s">
        <v>51</v>
      </c>
      <c r="E22" s="283"/>
      <c r="F22" s="283"/>
      <c r="G22" s="283"/>
      <c r="H22" s="283"/>
      <c r="I22" s="283"/>
      <c r="J22" s="283"/>
      <c r="K22" s="283"/>
      <c r="L22" s="283"/>
      <c r="M22" s="283"/>
      <c r="N22" s="284"/>
      <c r="O22" s="285" t="str">
        <f t="shared" ca="1" si="0"/>
        <v>U</v>
      </c>
      <c r="P22" s="286"/>
      <c r="Q22" s="287">
        <v>0.5</v>
      </c>
      <c r="R22" s="288"/>
      <c r="S22" s="289">
        <f t="shared" si="1"/>
        <v>12</v>
      </c>
      <c r="T22" s="290"/>
      <c r="U22" s="291"/>
      <c r="V22" s="291"/>
      <c r="W22" s="292">
        <f ca="1">IFERROR(IF(D22="","",INDEX(Tabla_Completa,MATCH('Soli_citud '!D22,Materiales,0),7)*S22),"")</f>
        <v>4119.96</v>
      </c>
      <c r="X22" s="292"/>
      <c r="Y22" s="292"/>
    </row>
    <row r="23" spans="1:25" ht="15.75">
      <c r="A23" s="279" t="s">
        <v>34</v>
      </c>
      <c r="B23" s="280"/>
      <c r="C23" s="281"/>
      <c r="D23" s="282" t="s">
        <v>52</v>
      </c>
      <c r="E23" s="283"/>
      <c r="F23" s="283"/>
      <c r="G23" s="283"/>
      <c r="H23" s="283"/>
      <c r="I23" s="283"/>
      <c r="J23" s="283"/>
      <c r="K23" s="283"/>
      <c r="L23" s="283"/>
      <c r="M23" s="283"/>
      <c r="N23" s="284"/>
      <c r="O23" s="285" t="str">
        <f t="shared" ca="1" si="0"/>
        <v>U</v>
      </c>
      <c r="P23" s="286"/>
      <c r="Q23" s="287">
        <v>1</v>
      </c>
      <c r="R23" s="288"/>
      <c r="S23" s="289">
        <f t="shared" si="1"/>
        <v>24</v>
      </c>
      <c r="T23" s="290"/>
      <c r="U23" s="291"/>
      <c r="V23" s="291"/>
      <c r="W23" s="292">
        <f ca="1">IFERROR(IF(D23="","",INDEX(Tabla_Completa,MATCH('Soli_citud '!D23,Materiales,0),7)*S23),"")</f>
        <v>37128</v>
      </c>
      <c r="X23" s="292"/>
      <c r="Y23" s="292"/>
    </row>
    <row r="24" spans="1:25" ht="15.75">
      <c r="A24" s="279" t="s">
        <v>53</v>
      </c>
      <c r="B24" s="280"/>
      <c r="C24" s="281"/>
      <c r="D24" s="282" t="s">
        <v>54</v>
      </c>
      <c r="E24" s="283"/>
      <c r="F24" s="283"/>
      <c r="G24" s="283"/>
      <c r="H24" s="283"/>
      <c r="I24" s="283"/>
      <c r="J24" s="283"/>
      <c r="K24" s="283"/>
      <c r="L24" s="283"/>
      <c r="M24" s="283"/>
      <c r="N24" s="284"/>
      <c r="O24" s="285" t="str">
        <f t="shared" ca="1" si="0"/>
        <v>ml</v>
      </c>
      <c r="P24" s="286"/>
      <c r="Q24" s="287">
        <v>50</v>
      </c>
      <c r="R24" s="288"/>
      <c r="S24" s="289">
        <f t="shared" si="1"/>
        <v>1200</v>
      </c>
      <c r="T24" s="290"/>
      <c r="U24" s="291"/>
      <c r="V24" s="291"/>
      <c r="W24" s="292">
        <f ca="1">IFERROR(IF(D24="","",INDEX(Tabla_Completa,MATCH('Soli_citud '!D24,Materiales,0),7)*S24),"")</f>
        <v>20958.943196829587</v>
      </c>
      <c r="X24" s="292"/>
      <c r="Y24" s="292"/>
    </row>
    <row r="25" spans="1:25" ht="15.75">
      <c r="A25" s="279" t="s">
        <v>31</v>
      </c>
      <c r="B25" s="280"/>
      <c r="C25" s="281"/>
      <c r="D25" s="282" t="s">
        <v>55</v>
      </c>
      <c r="E25" s="283"/>
      <c r="F25" s="283"/>
      <c r="G25" s="283"/>
      <c r="H25" s="283"/>
      <c r="I25" s="283"/>
      <c r="J25" s="283"/>
      <c r="K25" s="283"/>
      <c r="L25" s="283"/>
      <c r="M25" s="283"/>
      <c r="N25" s="284"/>
      <c r="O25" s="285" t="str">
        <f t="shared" ca="1" si="0"/>
        <v>Cono</v>
      </c>
      <c r="P25" s="286"/>
      <c r="Q25" s="287">
        <v>0.33300000000000002</v>
      </c>
      <c r="R25" s="288"/>
      <c r="S25" s="289">
        <f t="shared" si="1"/>
        <v>7.9920000000000009</v>
      </c>
      <c r="T25" s="290"/>
      <c r="U25" s="291" t="s">
        <v>56</v>
      </c>
      <c r="V25" s="291"/>
      <c r="W25" s="292">
        <f ca="1">IFERROR(IF(D25="","",INDEX(Tabla_Completa,MATCH('Soli_citud '!D25,Materiales,0),7)*S25),"")</f>
        <v>58075.200000000012</v>
      </c>
      <c r="X25" s="292"/>
      <c r="Y25" s="292"/>
    </row>
    <row r="26" spans="1:25" ht="15.75">
      <c r="A26" s="279"/>
      <c r="B26" s="280"/>
      <c r="C26" s="281"/>
      <c r="D26" s="282"/>
      <c r="E26" s="283"/>
      <c r="F26" s="283"/>
      <c r="G26" s="283"/>
      <c r="H26" s="283"/>
      <c r="I26" s="283"/>
      <c r="J26" s="283"/>
      <c r="K26" s="283"/>
      <c r="L26" s="283"/>
      <c r="M26" s="283"/>
      <c r="N26" s="284"/>
      <c r="O26" s="285" t="str">
        <f t="shared" ca="1" si="0"/>
        <v/>
      </c>
      <c r="P26" s="286"/>
      <c r="Q26" s="287"/>
      <c r="R26" s="288"/>
      <c r="S26" s="289">
        <f t="shared" si="1"/>
        <v>0</v>
      </c>
      <c r="T26" s="290"/>
      <c r="U26" s="291"/>
      <c r="V26" s="291"/>
      <c r="W26" s="292" t="str">
        <f ca="1">IFERROR(IF(D26="","",INDEX(Tabla_Completa,MATCH('Soli_citud '!D26,Materiales,0),7)*S26),"")</f>
        <v/>
      </c>
      <c r="X26" s="292"/>
      <c r="Y26" s="292"/>
    </row>
    <row r="27" spans="1:25" ht="15.75">
      <c r="A27" s="279"/>
      <c r="B27" s="280"/>
      <c r="C27" s="281"/>
      <c r="D27" s="282"/>
      <c r="E27" s="283"/>
      <c r="F27" s="283"/>
      <c r="G27" s="283"/>
      <c r="H27" s="283"/>
      <c r="I27" s="283"/>
      <c r="J27" s="283"/>
      <c r="K27" s="283"/>
      <c r="L27" s="283"/>
      <c r="M27" s="283"/>
      <c r="N27" s="284"/>
      <c r="O27" s="285" t="str">
        <f t="shared" ca="1" si="0"/>
        <v/>
      </c>
      <c r="P27" s="286"/>
      <c r="Q27" s="287"/>
      <c r="R27" s="288"/>
      <c r="S27" s="289">
        <f t="shared" si="1"/>
        <v>0</v>
      </c>
      <c r="T27" s="290"/>
      <c r="U27" s="291"/>
      <c r="V27" s="291"/>
      <c r="W27" s="292" t="str">
        <f ca="1">IFERROR(IF(D27="","",INDEX(Tabla_Completa,MATCH('Soli_citud '!D27,Materiales,0),7)*S27),"")</f>
        <v/>
      </c>
      <c r="X27" s="292"/>
      <c r="Y27" s="292"/>
    </row>
    <row r="28" spans="1:25" ht="15.75">
      <c r="A28" s="279"/>
      <c r="B28" s="280"/>
      <c r="C28" s="281"/>
      <c r="D28" s="282"/>
      <c r="E28" s="283"/>
      <c r="F28" s="283"/>
      <c r="G28" s="283"/>
      <c r="H28" s="283"/>
      <c r="I28" s="283"/>
      <c r="J28" s="283"/>
      <c r="K28" s="283"/>
      <c r="L28" s="283"/>
      <c r="M28" s="283"/>
      <c r="N28" s="284"/>
      <c r="O28" s="285" t="str">
        <f t="shared" ca="1" si="0"/>
        <v/>
      </c>
      <c r="P28" s="286"/>
      <c r="Q28" s="287"/>
      <c r="R28" s="288"/>
      <c r="S28" s="289">
        <f t="shared" si="1"/>
        <v>0</v>
      </c>
      <c r="T28" s="290"/>
      <c r="U28" s="291"/>
      <c r="V28" s="291"/>
      <c r="W28" s="292" t="str">
        <f ca="1">IFERROR(IF(D28="","",INDEX(Tabla_Completa,MATCH('Soli_citud '!D28,Materiales,0),7)*S28),"")</f>
        <v/>
      </c>
      <c r="X28" s="292"/>
      <c r="Y28" s="292"/>
    </row>
    <row r="29" spans="1:25" ht="15.75">
      <c r="A29" s="279"/>
      <c r="B29" s="280"/>
      <c r="C29" s="281"/>
      <c r="D29" s="282"/>
      <c r="E29" s="283"/>
      <c r="F29" s="283"/>
      <c r="G29" s="283"/>
      <c r="H29" s="283"/>
      <c r="I29" s="283"/>
      <c r="J29" s="283"/>
      <c r="K29" s="283"/>
      <c r="L29" s="283"/>
      <c r="M29" s="283"/>
      <c r="N29" s="284"/>
      <c r="O29" s="285" t="str">
        <f t="shared" ca="1" si="0"/>
        <v/>
      </c>
      <c r="P29" s="286"/>
      <c r="Q29" s="287"/>
      <c r="R29" s="288"/>
      <c r="S29" s="289">
        <f t="shared" si="1"/>
        <v>0</v>
      </c>
      <c r="T29" s="290"/>
      <c r="U29" s="291"/>
      <c r="V29" s="291"/>
      <c r="W29" s="292" t="str">
        <f ca="1">IFERROR(IF(D29="","",INDEX(Tabla_Completa,MATCH('Soli_citud '!D29,Materiales,0),7)*S29),"")</f>
        <v/>
      </c>
      <c r="X29" s="292"/>
      <c r="Y29" s="292"/>
    </row>
    <row r="30" spans="1:25" ht="15.75">
      <c r="A30" s="279"/>
      <c r="B30" s="280"/>
      <c r="C30" s="281"/>
      <c r="D30" s="282"/>
      <c r="E30" s="283"/>
      <c r="F30" s="283"/>
      <c r="G30" s="283"/>
      <c r="H30" s="283"/>
      <c r="I30" s="283"/>
      <c r="J30" s="283"/>
      <c r="K30" s="283"/>
      <c r="L30" s="283"/>
      <c r="M30" s="283"/>
      <c r="N30" s="284"/>
      <c r="O30" s="285" t="str">
        <f t="shared" ca="1" si="0"/>
        <v/>
      </c>
      <c r="P30" s="286"/>
      <c r="Q30" s="287"/>
      <c r="R30" s="288"/>
      <c r="S30" s="289">
        <f t="shared" si="1"/>
        <v>0</v>
      </c>
      <c r="T30" s="290"/>
      <c r="U30" s="291"/>
      <c r="V30" s="291"/>
      <c r="W30" s="292" t="str">
        <f ca="1">IFERROR(IF(D30="","",INDEX(Tabla_Completa,MATCH('Soli_citud '!D30,Materiales,0),7)*S30),"")</f>
        <v/>
      </c>
      <c r="X30" s="292"/>
      <c r="Y30" s="292"/>
    </row>
    <row r="31" spans="1:25" ht="15.75">
      <c r="A31" s="279"/>
      <c r="B31" s="280"/>
      <c r="C31" s="281"/>
      <c r="D31" s="282"/>
      <c r="E31" s="283"/>
      <c r="F31" s="283"/>
      <c r="G31" s="283"/>
      <c r="H31" s="283"/>
      <c r="I31" s="283"/>
      <c r="J31" s="283"/>
      <c r="K31" s="283"/>
      <c r="L31" s="283"/>
      <c r="M31" s="283"/>
      <c r="N31" s="284"/>
      <c r="O31" s="285" t="str">
        <f t="shared" ca="1" si="0"/>
        <v/>
      </c>
      <c r="P31" s="286"/>
      <c r="Q31" s="287"/>
      <c r="R31" s="288"/>
      <c r="S31" s="289">
        <f t="shared" si="1"/>
        <v>0</v>
      </c>
      <c r="T31" s="290"/>
      <c r="U31" s="291"/>
      <c r="V31" s="291"/>
      <c r="W31" s="292" t="str">
        <f ca="1">IFERROR(IF(D31="","",INDEX(Tabla_Completa,MATCH('Soli_citud '!D31,Materiales,0),7)*S31),"")</f>
        <v/>
      </c>
      <c r="X31" s="292"/>
      <c r="Y31" s="292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5" t="s">
        <v>57</v>
      </c>
      <c r="B39" s="295"/>
      <c r="C39" s="295"/>
      <c r="D39" s="296" t="s">
        <v>58</v>
      </c>
      <c r="E39" s="296"/>
      <c r="F39" s="296"/>
      <c r="G39" s="296"/>
      <c r="H39" s="296"/>
      <c r="I39" s="296"/>
      <c r="J39" s="296"/>
      <c r="K39" s="296"/>
      <c r="L39" s="296"/>
      <c r="M39" s="296"/>
      <c r="N39" s="296"/>
      <c r="O39" s="296"/>
      <c r="P39" s="296"/>
      <c r="Q39" s="296"/>
    </row>
    <row r="40" spans="1:24">
      <c r="A40" s="255" t="s">
        <v>59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7" t="s">
        <v>60</v>
      </c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Q41" s="297"/>
    </row>
    <row r="42" spans="1:24">
      <c r="A42" s="298"/>
      <c r="B42" s="298"/>
      <c r="C42" s="298"/>
      <c r="D42" s="298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</row>
    <row r="43" spans="1:24">
      <c r="A43" s="298"/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</row>
    <row r="44" spans="1:24" ht="19.5">
      <c r="A44" s="293" t="s">
        <v>61</v>
      </c>
      <c r="B44" s="293"/>
      <c r="C44" s="293"/>
      <c r="D44" s="293"/>
      <c r="E44" s="293"/>
      <c r="F44" s="293"/>
      <c r="G44" s="293"/>
      <c r="H44" s="293"/>
      <c r="I44" s="293"/>
      <c r="J44" s="293"/>
      <c r="K44" s="293"/>
      <c r="L44" s="293"/>
      <c r="N44" s="306" t="s">
        <v>53</v>
      </c>
      <c r="O44" s="306"/>
      <c r="P44" s="306"/>
      <c r="Q44" s="306"/>
      <c r="R44" s="303" t="s">
        <v>62</v>
      </c>
      <c r="S44" s="303"/>
      <c r="T44" s="303"/>
      <c r="U44" s="303"/>
      <c r="V44" s="303"/>
      <c r="W44" s="303"/>
      <c r="X44" s="303"/>
    </row>
    <row r="45" spans="1:24" ht="29.25" customHeight="1">
      <c r="A45" s="294" t="s">
        <v>63</v>
      </c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N45" s="306" t="s">
        <v>64</v>
      </c>
      <c r="O45" s="306"/>
      <c r="P45" s="306"/>
      <c r="Q45" s="306"/>
      <c r="R45" s="304" t="s">
        <v>65</v>
      </c>
      <c r="S45" s="304"/>
      <c r="T45" s="304"/>
      <c r="U45" s="304"/>
      <c r="V45" s="304"/>
      <c r="W45" s="304"/>
      <c r="X45" s="304"/>
    </row>
    <row r="46" spans="1:24" ht="31.5" customHeight="1">
      <c r="A46" s="299" t="s">
        <v>66</v>
      </c>
      <c r="B46" s="299"/>
      <c r="C46" s="299"/>
      <c r="D46" s="299"/>
      <c r="E46" s="299"/>
      <c r="F46" s="299"/>
      <c r="G46" s="299"/>
      <c r="H46" s="299"/>
      <c r="I46" s="299"/>
      <c r="J46" s="299"/>
      <c r="K46" s="299"/>
      <c r="L46" s="299"/>
      <c r="N46" s="306" t="s">
        <v>67</v>
      </c>
      <c r="O46" s="306"/>
      <c r="P46" s="306"/>
      <c r="Q46" s="306"/>
      <c r="R46" s="305" t="s">
        <v>68</v>
      </c>
      <c r="S46" s="305"/>
      <c r="T46" s="305"/>
      <c r="U46" s="305"/>
      <c r="V46" s="305"/>
      <c r="W46" s="305"/>
      <c r="X46" s="305"/>
    </row>
    <row r="47" spans="1:24" ht="28.5" customHeight="1">
      <c r="A47" s="300" t="s">
        <v>69</v>
      </c>
      <c r="B47" s="300"/>
      <c r="C47" s="300"/>
      <c r="D47" s="300"/>
      <c r="E47" s="300"/>
      <c r="F47" s="300"/>
      <c r="G47" s="300"/>
      <c r="H47" s="300"/>
      <c r="I47" s="300"/>
      <c r="J47" s="300"/>
      <c r="K47" s="300"/>
      <c r="L47" s="300"/>
      <c r="N47" s="306" t="s">
        <v>34</v>
      </c>
      <c r="O47" s="306"/>
      <c r="P47" s="306"/>
      <c r="Q47" s="306"/>
      <c r="R47" s="305" t="s">
        <v>70</v>
      </c>
      <c r="S47" s="305"/>
      <c r="T47" s="305"/>
      <c r="U47" s="305"/>
      <c r="V47" s="305"/>
      <c r="W47" s="305"/>
      <c r="X47" s="305"/>
    </row>
    <row r="48" spans="1:24" ht="42.75" customHeight="1">
      <c r="A48" s="301" t="s">
        <v>71</v>
      </c>
      <c r="B48" s="301"/>
      <c r="C48" s="301"/>
      <c r="D48" s="301"/>
      <c r="E48" s="301"/>
      <c r="F48" s="301"/>
      <c r="G48" s="301"/>
      <c r="H48" s="301"/>
      <c r="I48" s="301"/>
      <c r="J48" s="301"/>
      <c r="K48" s="301"/>
      <c r="L48" s="301"/>
      <c r="N48" s="306" t="s">
        <v>72</v>
      </c>
      <c r="O48" s="306"/>
      <c r="P48" s="306"/>
      <c r="Q48" s="306"/>
      <c r="R48" s="305" t="s">
        <v>73</v>
      </c>
      <c r="S48" s="305"/>
      <c r="T48" s="305"/>
      <c r="U48" s="305"/>
      <c r="V48" s="305"/>
      <c r="W48" s="305"/>
      <c r="X48" s="305"/>
    </row>
    <row r="49" spans="1:24" ht="36" customHeight="1">
      <c r="A49" s="301" t="s">
        <v>74</v>
      </c>
      <c r="B49" s="301"/>
      <c r="C49" s="301"/>
      <c r="D49" s="301"/>
      <c r="E49" s="301"/>
      <c r="F49" s="301"/>
      <c r="G49" s="301"/>
      <c r="H49" s="301"/>
      <c r="I49" s="301"/>
      <c r="J49" s="301"/>
      <c r="K49" s="301"/>
      <c r="L49" s="301"/>
      <c r="N49" s="307" t="s">
        <v>75</v>
      </c>
      <c r="O49" s="307"/>
      <c r="P49" s="307"/>
      <c r="Q49" s="307"/>
      <c r="R49" s="304" t="s">
        <v>76</v>
      </c>
      <c r="S49" s="304"/>
      <c r="T49" s="304"/>
      <c r="U49" s="304"/>
      <c r="V49" s="304"/>
      <c r="W49" s="304"/>
      <c r="X49" s="304"/>
    </row>
    <row r="50" spans="1:24" ht="15.75">
      <c r="A50" s="302"/>
      <c r="B50" s="302"/>
      <c r="C50" s="302"/>
      <c r="D50" s="302"/>
      <c r="N50" s="306" t="s">
        <v>77</v>
      </c>
      <c r="O50" s="306"/>
      <c r="P50" s="306"/>
      <c r="Q50" s="306"/>
      <c r="R50" s="305" t="s">
        <v>78</v>
      </c>
      <c r="S50" s="305"/>
      <c r="T50" s="305"/>
      <c r="U50" s="305"/>
      <c r="V50" s="305"/>
      <c r="W50" s="305"/>
      <c r="X50" s="305"/>
    </row>
    <row r="51" spans="1:24" ht="15.75">
      <c r="N51" s="306" t="s">
        <v>26</v>
      </c>
      <c r="O51" s="306"/>
      <c r="P51" s="306"/>
      <c r="Q51" s="306"/>
      <c r="R51" s="305" t="s">
        <v>79</v>
      </c>
      <c r="S51" s="305"/>
      <c r="T51" s="305"/>
      <c r="U51" s="305"/>
      <c r="V51" s="305"/>
      <c r="W51" s="305"/>
      <c r="X51" s="305"/>
    </row>
    <row r="52" spans="1:24" ht="15.75">
      <c r="N52" s="306" t="s">
        <v>80</v>
      </c>
      <c r="O52" s="306"/>
      <c r="P52" s="306"/>
      <c r="Q52" s="306"/>
      <c r="R52" s="305" t="s">
        <v>70</v>
      </c>
      <c r="S52" s="305"/>
      <c r="T52" s="305"/>
      <c r="U52" s="305"/>
      <c r="V52" s="305"/>
      <c r="W52" s="305"/>
      <c r="X52" s="30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5" activePane="bottomLeft" state="frozen"/>
      <selection pane="bottomLeft" activeCell="R26" sqref="R2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6"/>
      <c r="B1" s="396"/>
      <c r="C1" s="397" t="s">
        <v>81</v>
      </c>
      <c r="D1" s="397"/>
      <c r="E1" s="397"/>
      <c r="F1" s="397"/>
      <c r="G1" s="397"/>
      <c r="H1" s="397"/>
      <c r="I1" s="403" t="s">
        <v>82</v>
      </c>
      <c r="J1" s="404"/>
      <c r="K1" s="404"/>
      <c r="L1" s="405"/>
      <c r="M1" s="398"/>
      <c r="N1" s="399"/>
      <c r="O1" s="432" t="s">
        <v>83</v>
      </c>
      <c r="P1" s="433"/>
      <c r="Q1" s="428" t="str">
        <f>IF('Soli_citud '!D4="","",'Soli_citud '!D4)</f>
        <v xml:space="preserve">MORRAL MILITAR </v>
      </c>
      <c r="R1" s="429"/>
      <c r="Z1" s="271" t="s">
        <v>84</v>
      </c>
    </row>
    <row r="2" spans="1:26" ht="15.75" customHeight="1" thickBot="1">
      <c r="A2" s="396"/>
      <c r="B2" s="396"/>
      <c r="C2" s="397"/>
      <c r="D2" s="397"/>
      <c r="E2" s="397"/>
      <c r="F2" s="397"/>
      <c r="G2" s="397"/>
      <c r="H2" s="397"/>
      <c r="I2" s="406" t="s">
        <v>85</v>
      </c>
      <c r="J2" s="407"/>
      <c r="K2" s="407"/>
      <c r="L2" s="408"/>
      <c r="M2" s="400"/>
      <c r="N2" s="401"/>
      <c r="O2" s="434"/>
      <c r="P2" s="435"/>
      <c r="Q2" s="430"/>
      <c r="R2" s="431"/>
    </row>
    <row r="3" spans="1:26" ht="15.75" customHeight="1">
      <c r="A3" s="396"/>
      <c r="B3" s="396"/>
      <c r="C3" s="397"/>
      <c r="D3" s="397"/>
      <c r="E3" s="397"/>
      <c r="F3" s="397"/>
      <c r="G3" s="397"/>
      <c r="H3" s="397"/>
      <c r="I3" s="402" t="s">
        <v>86</v>
      </c>
      <c r="J3" s="402"/>
      <c r="K3" s="402"/>
      <c r="L3" s="402"/>
      <c r="M3" s="409"/>
      <c r="N3" s="410"/>
      <c r="O3" s="434"/>
      <c r="P3" s="435"/>
      <c r="Q3" s="438" t="str" cm="1">
        <f t="array" ref="Q3">IFERROR(_xlfn.IFS(L4="Calzado Producción","Entrega de Producto",L4="Marroquinería  Producción","Entrega Producto"),"")</f>
        <v/>
      </c>
      <c r="R3" s="439"/>
    </row>
    <row r="4" spans="1:26" ht="15.75" customHeight="1">
      <c r="A4" s="396"/>
      <c r="B4" s="396"/>
      <c r="C4" s="397"/>
      <c r="D4" s="397"/>
      <c r="E4" s="397"/>
      <c r="F4" s="397"/>
      <c r="G4" s="397"/>
      <c r="H4" s="397"/>
      <c r="I4" s="391" t="s">
        <v>87</v>
      </c>
      <c r="J4" s="391"/>
      <c r="K4" s="391"/>
      <c r="L4" s="392" t="s">
        <v>88</v>
      </c>
      <c r="M4" s="392"/>
      <c r="N4" s="393"/>
      <c r="O4" s="434"/>
      <c r="P4" s="435"/>
      <c r="Q4" s="286"/>
      <c r="R4" s="440"/>
    </row>
    <row r="5" spans="1:26" ht="2.25" customHeight="1">
      <c r="O5" s="434"/>
      <c r="P5" s="435"/>
    </row>
    <row r="6" spans="1:26" ht="25.5" customHeight="1">
      <c r="A6" s="394" t="s">
        <v>89</v>
      </c>
      <c r="B6" s="394"/>
      <c r="C6" s="394"/>
      <c r="D6" s="379" t="s">
        <v>90</v>
      </c>
      <c r="E6" s="379"/>
      <c r="F6" s="379"/>
      <c r="G6" s="379"/>
      <c r="H6" s="380"/>
      <c r="I6" s="426"/>
      <c r="J6" s="427"/>
      <c r="K6" s="427"/>
      <c r="L6" s="427"/>
      <c r="M6" s="419"/>
      <c r="N6" s="419"/>
      <c r="O6" s="434"/>
      <c r="P6" s="435"/>
      <c r="Q6" s="415" t="str">
        <f>IF(Q3="","","Valor de Producción ($)")</f>
        <v/>
      </c>
      <c r="R6" s="416"/>
    </row>
    <row r="7" spans="1:26" ht="3" customHeight="1">
      <c r="A7" s="394"/>
      <c r="B7" s="394"/>
      <c r="C7" s="394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4"/>
      <c r="P7" s="435"/>
      <c r="Q7" s="417" t="str">
        <f ca="1">IFERROR(IF(Q3="","",F9*L10),"")</f>
        <v/>
      </c>
      <c r="R7" s="418"/>
    </row>
    <row r="8" spans="1:26" ht="20.25" customHeight="1">
      <c r="A8" s="395">
        <f ca="1">IF('Soli_citud '!D5&lt;= 0,"",'Soli_citud '!D5)</f>
        <v>80927.076692725037</v>
      </c>
      <c r="B8" s="395"/>
      <c r="C8" s="395"/>
      <c r="D8" s="381" t="s">
        <v>91</v>
      </c>
      <c r="E8" s="382"/>
      <c r="F8" s="382"/>
      <c r="G8" s="382"/>
      <c r="H8" s="383"/>
      <c r="I8" s="384" t="str">
        <f>IF('Soli_citud '!E2="","",'Soli_citud '!E2)</f>
        <v>Hernán Rodriguez Bedoya</v>
      </c>
      <c r="J8" s="385"/>
      <c r="K8" s="385"/>
      <c r="L8" s="385"/>
      <c r="M8" s="385"/>
      <c r="N8" s="385"/>
      <c r="O8" s="434"/>
      <c r="P8" s="435"/>
      <c r="Q8" s="417"/>
      <c r="R8" s="418"/>
    </row>
    <row r="9" spans="1:26" ht="3.75" customHeight="1">
      <c r="A9" s="387" t="s">
        <v>92</v>
      </c>
      <c r="B9" s="387"/>
      <c r="C9" s="411"/>
      <c r="D9" s="386" t="s">
        <v>93</v>
      </c>
      <c r="E9" s="386"/>
      <c r="F9" s="420" t="str">
        <f ca="1">IFERROR(IF(C9="","",ROUNDUP(A8*(1+C9),-2)),"")</f>
        <v/>
      </c>
      <c r="G9" s="421"/>
      <c r="H9" s="422"/>
      <c r="I9" s="113"/>
      <c r="J9" s="113"/>
      <c r="K9" s="113"/>
      <c r="L9" s="113"/>
      <c r="M9" s="113"/>
      <c r="N9" s="113"/>
      <c r="O9" s="434"/>
      <c r="P9" s="435"/>
    </row>
    <row r="10" spans="1:26" ht="27.75" customHeight="1" thickBot="1">
      <c r="A10" s="388"/>
      <c r="B10" s="388"/>
      <c r="C10" s="411"/>
      <c r="D10" s="386"/>
      <c r="E10" s="386"/>
      <c r="F10" s="423"/>
      <c r="G10" s="424"/>
      <c r="H10" s="425"/>
      <c r="I10" s="444" t="s">
        <v>94</v>
      </c>
      <c r="J10" s="444"/>
      <c r="K10" s="445"/>
      <c r="L10" s="259">
        <f>'Soli_citud '!K5</f>
        <v>24</v>
      </c>
      <c r="M10" s="441" t="s">
        <v>95</v>
      </c>
      <c r="N10" s="442"/>
      <c r="O10" s="436"/>
      <c r="P10" s="437"/>
      <c r="Q10" s="260" t="s">
        <v>96</v>
      </c>
      <c r="R10" s="258" t="str" cm="1">
        <f t="array" ref="R10">IFERROR(_xlfn.IFS(L10=1,"",L10&gt;SUM(R12:R30),SUM(R12:R30),L10=SUM(R12:R30),"Cumplido",L10&lt;SUM(R12:R30),"Revisar"),"")</f>
        <v>Cumplido</v>
      </c>
    </row>
    <row r="11" spans="1:26" ht="45.75" customHeight="1">
      <c r="A11" s="93" t="s">
        <v>97</v>
      </c>
      <c r="B11" s="412" t="s">
        <v>98</v>
      </c>
      <c r="C11" s="413"/>
      <c r="D11" s="413"/>
      <c r="E11" s="414"/>
      <c r="F11" s="116" t="s">
        <v>99</v>
      </c>
      <c r="G11" s="116" t="s">
        <v>100</v>
      </c>
      <c r="H11" s="254" t="s">
        <v>101</v>
      </c>
      <c r="I11" s="114" t="s">
        <v>102</v>
      </c>
      <c r="J11" s="236" t="s">
        <v>103</v>
      </c>
      <c r="K11" s="401" t="s">
        <v>24</v>
      </c>
      <c r="L11" s="443"/>
      <c r="M11" s="257" t="s">
        <v>104</v>
      </c>
      <c r="N11" s="257" t="s">
        <v>105</v>
      </c>
      <c r="O11" s="261" t="s">
        <v>106</v>
      </c>
      <c r="P11" s="262" t="s">
        <v>107</v>
      </c>
      <c r="Q11" s="253" t="s">
        <v>108</v>
      </c>
      <c r="R11" s="237" t="s">
        <v>109</v>
      </c>
    </row>
    <row r="12" spans="1:26" ht="19.5" customHeight="1">
      <c r="A12" s="81">
        <v>1</v>
      </c>
      <c r="B12" s="377" t="str">
        <f>IFERROR(IF('Soli_citud '!D10="","",'Soli_citud '!D10),"")</f>
        <v>LONA 600</v>
      </c>
      <c r="C12" s="377"/>
      <c r="D12" s="377"/>
      <c r="E12" s="377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456000</v>
      </c>
      <c r="H12" s="240"/>
      <c r="I12" s="241">
        <v>456000</v>
      </c>
      <c r="J12" s="215"/>
      <c r="K12" s="389"/>
      <c r="L12" s="390"/>
      <c r="M12" s="241">
        <v>140</v>
      </c>
      <c r="N12" s="216">
        <f t="shared" ref="N12:N30" si="0">IFERROR(G12/M12,"")</f>
        <v>3257.1428571428573</v>
      </c>
      <c r="O12" s="93" t="str" cm="1">
        <f t="array" ref="O12">IFERROR(_xlfn.IFS(P12&gt;0,"ENTREGADO",'Soli_citud '!A10="HERRAMIENTAS_","DEVOLUTIVO"),"")</f>
        <v/>
      </c>
      <c r="P12" s="244"/>
      <c r="Q12" s="244">
        <v>45259</v>
      </c>
      <c r="R12" s="241">
        <v>7</v>
      </c>
    </row>
    <row r="13" spans="1:26" ht="21" customHeight="1">
      <c r="A13" s="80">
        <v>2</v>
      </c>
      <c r="B13" s="377" t="str">
        <f>IFERROR(IF('Soli_citud '!D11="","",'Soli_citud '!D11),"")</f>
        <v>SEDA 30-100 O SEDA TIFON</v>
      </c>
      <c r="C13" s="377"/>
      <c r="D13" s="377"/>
      <c r="E13" s="377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369600</v>
      </c>
      <c r="H13" s="240"/>
      <c r="I13" s="242">
        <v>369600</v>
      </c>
      <c r="J13" s="215"/>
      <c r="K13" s="389"/>
      <c r="L13" s="390"/>
      <c r="M13" s="241">
        <v>150</v>
      </c>
      <c r="N13" s="216">
        <f t="shared" si="0"/>
        <v>2464</v>
      </c>
      <c r="O13" s="93" t="str" cm="1">
        <f t="array" ref="O13">IFERROR(_xlfn.IFS(P13&gt;0,"ENTREGADO",'Soli_citud '!A11="HERRAMIENTAS_","DEVOLUTIVO"),"")</f>
        <v/>
      </c>
      <c r="P13" s="244"/>
      <c r="Q13" s="244">
        <v>45260</v>
      </c>
      <c r="R13" s="241">
        <v>17</v>
      </c>
    </row>
    <row r="14" spans="1:26" ht="21" customHeight="1">
      <c r="A14" s="81">
        <v>3</v>
      </c>
      <c r="B14" s="377" t="str">
        <f>IFERROR(IF('Soli_citud '!D12="","",'Soli_citud '!D12),"")</f>
        <v>CREMALLERA POLIÉSTER #6</v>
      </c>
      <c r="C14" s="377"/>
      <c r="D14" s="377"/>
      <c r="E14" s="377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7680</v>
      </c>
      <c r="H14" s="240"/>
      <c r="I14" s="242">
        <v>7680</v>
      </c>
      <c r="J14" s="215"/>
      <c r="K14" s="389"/>
      <c r="L14" s="390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33.75" customHeight="1">
      <c r="A15" s="80">
        <v>4</v>
      </c>
      <c r="B15" s="377" t="str">
        <f>IFERROR(IF('Soli_citud '!D13="","",'Soli_citud '!D13),"")</f>
        <v>Llave metálica deslizador   #6 para cremallera - pavón</v>
      </c>
      <c r="C15" s="377"/>
      <c r="D15" s="377"/>
      <c r="E15" s="377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216</v>
      </c>
      <c r="H15" s="240"/>
      <c r="I15" s="242">
        <v>216</v>
      </c>
      <c r="J15" s="215"/>
      <c r="K15" s="389"/>
      <c r="L15" s="390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41.25" customHeight="1">
      <c r="A16" s="81">
        <v>5</v>
      </c>
      <c r="B16" s="377" t="str">
        <f>IFERROR(IF('Soli_citud '!D14="","",'Soli_citud '!D14),"")</f>
        <v>YUMBOLON 4mm (CM²)</v>
      </c>
      <c r="C16" s="377"/>
      <c r="D16" s="377"/>
      <c r="E16" s="377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95064</v>
      </c>
      <c r="H16" s="240"/>
      <c r="I16" s="242">
        <v>95064</v>
      </c>
      <c r="J16" s="215"/>
      <c r="K16" s="389"/>
      <c r="L16" s="390"/>
      <c r="M16" s="241">
        <v>140</v>
      </c>
      <c r="N16" s="216">
        <f>IFERROR(G16/M16,"")</f>
        <v>679.02857142857147</v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20" ht="34.5" customHeight="1">
      <c r="A17" s="80">
        <v>6</v>
      </c>
      <c r="B17" s="377" t="str">
        <f>IFERROR(IF('Soli_citud '!D15="","",'Soli_citud '!D15),"")</f>
        <v>MALLA FABRICS</v>
      </c>
      <c r="C17" s="377"/>
      <c r="D17" s="377"/>
      <c r="E17" s="377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33264</v>
      </c>
      <c r="H17" s="240"/>
      <c r="I17" s="242">
        <v>33264</v>
      </c>
      <c r="J17" s="215"/>
      <c r="K17" s="389"/>
      <c r="L17" s="390"/>
      <c r="M17" s="241">
        <v>150</v>
      </c>
      <c r="N17" s="216">
        <f t="shared" si="0"/>
        <v>221.76</v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20" ht="21" customHeight="1">
      <c r="A18" s="81">
        <v>7</v>
      </c>
      <c r="B18" s="377" t="str">
        <f>IFERROR(IF('Soli_citud '!D16="","",'Soli_citud '!D16),"")</f>
        <v>RIBETE 24 mm (CINTA FALLA CON APRESTO)</v>
      </c>
      <c r="C18" s="377"/>
      <c r="D18" s="377"/>
      <c r="E18" s="377"/>
      <c r="F18" s="239" t="str">
        <f ca="1">IF('Soli_citud '!O16="","",'Soli_citud '!O16)</f>
        <v>m</v>
      </c>
      <c r="G18" s="239" cm="1">
        <f t="array" ref="G18">_xlfn.IFS('Soli_citud '!S16="","",'Soli_citud '!S16&lt;=0,"",'Soli_citud '!S16&gt;0,'Soli_citud '!S16)</f>
        <v>240</v>
      </c>
      <c r="H18" s="240"/>
      <c r="I18" s="242">
        <v>240</v>
      </c>
      <c r="J18" s="215"/>
      <c r="K18" s="389"/>
      <c r="L18" s="390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20" ht="21" customHeight="1">
      <c r="A19" s="80">
        <v>8</v>
      </c>
      <c r="B19" s="377" t="str">
        <f>IFERROR(IF('Soli_citud '!D17="","",'Soli_citud '!D17),"")</f>
        <v>REATA POLIESTER</v>
      </c>
      <c r="C19" s="377"/>
      <c r="D19" s="377"/>
      <c r="E19" s="377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240</v>
      </c>
      <c r="H19" s="240"/>
      <c r="I19" s="242">
        <v>240</v>
      </c>
      <c r="J19" s="215"/>
      <c r="K19" s="389"/>
      <c r="L19" s="390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20" ht="21" customHeight="1">
      <c r="A20" s="81">
        <v>9</v>
      </c>
      <c r="B20" s="377" t="str">
        <f>IFERROR(IF('Soli_citud '!D18="","",'Soli_citud '!D18),"")</f>
        <v xml:space="preserve">MORRALERA BURBUJA 25 MM PLÁSTICA </v>
      </c>
      <c r="C20" s="377"/>
      <c r="D20" s="377"/>
      <c r="E20" s="377"/>
      <c r="F20" s="239" t="str">
        <f ca="1">IF('Soli_citud '!O18="","",'Soli_citud '!O18)</f>
        <v>U</v>
      </c>
      <c r="G20" s="239" cm="1">
        <f t="array" ref="G20">_xlfn.IFS('Soli_citud '!S18="","",'Soli_citud '!S18&lt;=0,"",'Soli_citud '!S18&gt;0,'Soli_citud '!S18)</f>
        <v>144</v>
      </c>
      <c r="H20" s="240"/>
      <c r="I20" s="277">
        <v>0</v>
      </c>
      <c r="J20" s="278"/>
      <c r="K20" s="446" t="s">
        <v>110</v>
      </c>
      <c r="L20" s="44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20" ht="21" customHeight="1">
      <c r="A21" s="81">
        <v>11</v>
      </c>
      <c r="B21" s="377" t="str">
        <f>IFERROR(IF('Soli_citud '!D19="","",'Soli_citud '!D19),"")</f>
        <v xml:space="preserve">tensor o trabilla plástica 1" </v>
      </c>
      <c r="C21" s="377"/>
      <c r="D21" s="377"/>
      <c r="E21" s="377"/>
      <c r="F21" s="239" t="str">
        <f ca="1">IF('Soli_citud '!O19="","",'Soli_citud '!O19)</f>
        <v>U</v>
      </c>
      <c r="G21" s="239" cm="1">
        <f t="array" ref="G21">_xlfn.IFS('Soli_citud '!S19="","",'Soli_citud '!S19&lt;=0,"",'Soli_citud '!S19&gt;0,'Soli_citud '!S19)</f>
        <v>144</v>
      </c>
      <c r="H21" s="240"/>
      <c r="I21" s="242">
        <v>144</v>
      </c>
      <c r="J21" s="215"/>
      <c r="K21" s="389"/>
      <c r="L21" s="390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20" ht="21" customHeight="1">
      <c r="A22" s="80">
        <v>12</v>
      </c>
      <c r="B22" s="377" t="str">
        <f>IFERROR(IF('Soli_citud '!D20="","",'Soli_citud '!D20),"")</f>
        <v>Cuadrante 25 mm plástico</v>
      </c>
      <c r="C22" s="377"/>
      <c r="D22" s="377"/>
      <c r="E22" s="377"/>
      <c r="F22" s="239" t="str">
        <f ca="1">IF('Soli_citud '!O20="","",'Soli_citud '!O20)</f>
        <v>U</v>
      </c>
      <c r="G22" s="239" cm="1">
        <f t="array" ref="G22">_xlfn.IFS('Soli_citud '!S20="","",'Soli_citud '!S20&lt;=0,"",'Soli_citud '!S20&gt;0,'Soli_citud '!S20)</f>
        <v>48</v>
      </c>
      <c r="H22" s="240"/>
      <c r="I22" s="242">
        <v>48</v>
      </c>
      <c r="J22" s="215"/>
      <c r="K22" s="389"/>
      <c r="L22" s="390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20" ht="21" customHeight="1">
      <c r="A23" s="81">
        <v>13</v>
      </c>
      <c r="B23" s="377" t="str">
        <f>IFERROR(IF('Soli_citud '!D21="","",'Soli_citud '!D21),"")</f>
        <v>REATA NYLON</v>
      </c>
      <c r="C23" s="377"/>
      <c r="D23" s="377"/>
      <c r="E23" s="377"/>
      <c r="F23" s="239" t="str">
        <f ca="1">IF('Soli_citud '!O21="","",'Soli_citud '!O21)</f>
        <v>cm</v>
      </c>
      <c r="G23" s="239" cm="1">
        <f t="array" ref="G23">_xlfn.IFS('Soli_citud '!S21="","",'Soli_citud '!S21&lt;=0,"",'Soli_citud '!S21&gt;0,'Soli_citud '!S21)</f>
        <v>7200</v>
      </c>
      <c r="H23" s="240"/>
      <c r="I23" s="242">
        <v>7200</v>
      </c>
      <c r="J23" s="215"/>
      <c r="K23" s="389"/>
      <c r="L23" s="390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20" ht="21" customHeight="1">
      <c r="A24" s="80">
        <v>14</v>
      </c>
      <c r="B24" s="377" t="str">
        <f>IFERROR(IF('Soli_citud '!D22="","",'Soli_citud '!D22),"")</f>
        <v>AGUJA LARGA CABO GRUESO 110</v>
      </c>
      <c r="C24" s="377"/>
      <c r="D24" s="377"/>
      <c r="E24" s="377"/>
      <c r="F24" s="239" t="str">
        <f ca="1">IF('Soli_citud '!O22="","",'Soli_citud '!O22)</f>
        <v>U</v>
      </c>
      <c r="G24" s="239" cm="1">
        <f t="array" ref="G24">_xlfn.IFS('Soli_citud '!S22="","",'Soli_citud '!S22&lt;=0,"",'Soli_citud '!S22&gt;0,'Soli_citud '!S22)</f>
        <v>12</v>
      </c>
      <c r="H24" s="240"/>
      <c r="I24" s="242">
        <v>12</v>
      </c>
      <c r="J24" s="215"/>
      <c r="K24" s="389"/>
      <c r="L24" s="390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20" ht="21" customHeight="1">
      <c r="A25" s="81">
        <v>15</v>
      </c>
      <c r="B25" s="377" t="str">
        <f>IFERROR(IF('Soli_citud '!D23="","",'Soli_citud '!D23),"")</f>
        <v>HEBILLA BURBUJA  PLÁSTICA 25 MM 1"</v>
      </c>
      <c r="C25" s="377"/>
      <c r="D25" s="377"/>
      <c r="E25" s="377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24</v>
      </c>
      <c r="H25" s="240"/>
      <c r="I25" s="242">
        <v>24</v>
      </c>
      <c r="J25" s="215"/>
      <c r="K25" s="389"/>
      <c r="L25" s="390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  <c r="T25" s="276"/>
    </row>
    <row r="26" spans="1:20" ht="21" customHeight="1">
      <c r="A26" s="80">
        <v>16</v>
      </c>
      <c r="B26" s="377" t="str">
        <f>IFERROR(IF('Soli_citud '!D24="","",'Soli_citud '!D24),"")</f>
        <v xml:space="preserve">PEGANTE CEMENTO DE CONTACTO BASE CLOROPRENO
</v>
      </c>
      <c r="C26" s="377"/>
      <c r="D26" s="377"/>
      <c r="E26" s="377"/>
      <c r="F26" s="239" t="str">
        <f ca="1">IF('Soli_citud '!O24="","",'Soli_citud '!O24)</f>
        <v>ml</v>
      </c>
      <c r="G26" s="239" cm="1">
        <f t="array" ref="G26">_xlfn.IFS('Soli_citud '!S24="","",'Soli_citud '!S24&lt;=0,"",'Soli_citud '!S24&gt;0,'Soli_citud '!S24)</f>
        <v>1200</v>
      </c>
      <c r="H26" s="243"/>
      <c r="I26" s="242">
        <v>1200</v>
      </c>
      <c r="J26" s="215"/>
      <c r="K26" s="389"/>
      <c r="L26" s="390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20" ht="21" customHeight="1">
      <c r="A27" s="81">
        <v>17</v>
      </c>
      <c r="B27" s="377" t="str">
        <f>IFERROR(IF('Soli_citud '!D25="","",'Soli_citud '!D25),"")</f>
        <v xml:space="preserve">HILO NYLON #40
</v>
      </c>
      <c r="C27" s="377"/>
      <c r="D27" s="377"/>
      <c r="E27" s="377"/>
      <c r="F27" s="239" t="str">
        <f ca="1">IF('Soli_citud '!O25="","",'Soli_citud '!O25)</f>
        <v>Cono</v>
      </c>
      <c r="G27" s="239" cm="1">
        <f t="array" ref="G27">_xlfn.IFS('Soli_citud '!S25="","",'Soli_citud '!S25&lt;=0,"",'Soli_citud '!S25&gt;0,'Soli_citud '!S25)</f>
        <v>7.9920000000000009</v>
      </c>
      <c r="H27" s="243"/>
      <c r="I27" s="242">
        <v>7.992</v>
      </c>
      <c r="J27" s="215"/>
      <c r="K27" s="389"/>
      <c r="L27" s="390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20" ht="21" customHeight="1">
      <c r="A28" s="80">
        <v>18</v>
      </c>
      <c r="B28" s="377" t="str">
        <f>IFERROR(IF('Soli_citud '!D26="","",'Soli_citud '!D26),"")</f>
        <v/>
      </c>
      <c r="C28" s="377"/>
      <c r="D28" s="377"/>
      <c r="E28" s="377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9"/>
      <c r="L28" s="390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20" ht="21">
      <c r="A29" s="81">
        <v>19</v>
      </c>
      <c r="B29" s="377" t="str">
        <f>IFERROR(IF('Soli_citud '!D27="","",'Soli_citud '!D27),"")</f>
        <v/>
      </c>
      <c r="C29" s="377"/>
      <c r="D29" s="377"/>
      <c r="E29" s="377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9"/>
      <c r="L29" s="390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20" ht="21">
      <c r="A30" s="80">
        <v>20</v>
      </c>
      <c r="B30" s="377" t="str">
        <f>IFERROR(IF('Soli_citud '!D28="","",'Soli_citud '!D28),"")</f>
        <v/>
      </c>
      <c r="C30" s="377"/>
      <c r="D30" s="377"/>
      <c r="E30" s="377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9"/>
      <c r="L30" s="390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20" ht="22.5" customHeight="1">
      <c r="A31" s="378"/>
      <c r="B31" s="378"/>
      <c r="C31" s="378"/>
      <c r="D31" s="378"/>
      <c r="E31" s="378"/>
      <c r="F31" s="378"/>
      <c r="G31" s="378"/>
      <c r="H31" s="378"/>
      <c r="I31" s="378"/>
      <c r="J31" s="378"/>
      <c r="K31" s="378"/>
      <c r="L31" s="378"/>
      <c r="M31" s="378"/>
      <c r="N31" s="378"/>
    </row>
    <row r="32" spans="1:20">
      <c r="A32" s="378"/>
      <c r="B32" s="378"/>
      <c r="C32" s="378"/>
      <c r="D32" s="378"/>
      <c r="E32" s="378"/>
      <c r="F32" s="378"/>
      <c r="G32" s="378"/>
      <c r="H32" s="378"/>
      <c r="I32" s="378"/>
      <c r="J32" s="378"/>
      <c r="K32" s="378"/>
      <c r="L32" s="378"/>
      <c r="M32" s="378"/>
      <c r="N32" s="378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3B43E-0533-4E90-B11F-AC917B59FCE8}"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5"/>
  <sheetViews>
    <sheetView showGridLines="0" showRowColHeaders="0" zoomScale="85" zoomScaleNormal="85" workbookViewId="0">
      <pane xSplit="4" ySplit="5" topLeftCell="E221" activePane="bottomRight" state="frozen"/>
      <selection pane="bottomRight" activeCell="G246" sqref="G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53"/>
      <c r="B1" s="453"/>
      <c r="C1" s="453"/>
      <c r="D1" s="453"/>
      <c r="E1" s="456" t="s">
        <v>111</v>
      </c>
      <c r="F1" s="456"/>
      <c r="Z1" s="271" t="s">
        <v>84</v>
      </c>
    </row>
    <row r="2" spans="1:26" ht="18.75" customHeight="1">
      <c r="A2" s="453"/>
      <c r="B2" s="453"/>
      <c r="C2" s="453"/>
      <c r="D2" s="453"/>
      <c r="E2" s="456"/>
      <c r="F2" s="456"/>
    </row>
    <row r="3" spans="1:26" ht="24" customHeight="1">
      <c r="A3" s="453"/>
      <c r="B3" s="453"/>
      <c r="C3" s="453"/>
      <c r="D3" s="453"/>
      <c r="E3" s="457">
        <f>SUM(Total_AdhySol,Total_SECUNDARIO_MEDULAR,Total_Cuero,Total_Herrajes,Total_Sint_y_Tex,Total_Suelas,Total_Herramientas,Total_Ins_Compl)</f>
        <v>658</v>
      </c>
      <c r="F3" s="457"/>
    </row>
    <row r="5" spans="1:26" ht="40.5" customHeight="1">
      <c r="B5"/>
      <c r="C5"/>
      <c r="D5"/>
    </row>
    <row r="6" spans="1:26" ht="34.5" customHeight="1">
      <c r="A6" s="119" t="s">
        <v>112</v>
      </c>
      <c r="B6" s="222">
        <f>SUBTOTAL(3,(BD!$B$8:$B$19))</f>
        <v>12</v>
      </c>
      <c r="C6" s="454"/>
      <c r="D6" s="455"/>
      <c r="H6" s="452" t="s">
        <v>113</v>
      </c>
      <c r="I6" s="452"/>
    </row>
    <row r="7" spans="1:26" ht="47.25">
      <c r="A7" s="76" t="s">
        <v>97</v>
      </c>
      <c r="B7" s="120" t="s">
        <v>114</v>
      </c>
      <c r="C7" s="73" t="s">
        <v>115</v>
      </c>
      <c r="D7" s="74" t="s">
        <v>116</v>
      </c>
      <c r="E7" s="95" t="s">
        <v>117</v>
      </c>
      <c r="F7" s="192" t="s">
        <v>118</v>
      </c>
      <c r="G7" s="74" t="s">
        <v>119</v>
      </c>
      <c r="H7" s="75" t="s">
        <v>120</v>
      </c>
      <c r="I7" s="75" t="s">
        <v>121</v>
      </c>
      <c r="J7" s="77" t="s">
        <v>122</v>
      </c>
    </row>
    <row r="8" spans="1:26" ht="15" customHeight="1">
      <c r="A8" s="44">
        <v>1</v>
      </c>
      <c r="B8" s="39" t="s">
        <v>123</v>
      </c>
      <c r="C8" s="144" t="s">
        <v>53</v>
      </c>
      <c r="D8" s="51" t="s">
        <v>124</v>
      </c>
      <c r="E8" s="46">
        <v>74650</v>
      </c>
      <c r="F8" s="193" t="s">
        <v>125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126</v>
      </c>
      <c r="C9" s="144" t="s">
        <v>53</v>
      </c>
      <c r="D9" s="51" t="s">
        <v>124</v>
      </c>
      <c r="E9" s="46">
        <v>231671.5</v>
      </c>
      <c r="F9" s="193" t="s">
        <v>125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127</v>
      </c>
      <c r="C10" s="144" t="s">
        <v>53</v>
      </c>
      <c r="D10" s="51" t="s">
        <v>124</v>
      </c>
      <c r="E10" s="46">
        <v>231671.5</v>
      </c>
      <c r="F10" s="193" t="s">
        <v>125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128</v>
      </c>
      <c r="C11" s="144" t="s">
        <v>53</v>
      </c>
      <c r="D11" s="51" t="s">
        <v>124</v>
      </c>
      <c r="E11" s="46">
        <v>78666.625</v>
      </c>
      <c r="F11" s="193" t="s">
        <v>125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129</v>
      </c>
      <c r="C12" s="144" t="s">
        <v>53</v>
      </c>
      <c r="D12" s="51" t="s">
        <v>130</v>
      </c>
      <c r="E12" s="46">
        <v>72665</v>
      </c>
      <c r="F12" s="193" t="s">
        <v>130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131</v>
      </c>
      <c r="C13" s="144" t="s">
        <v>53</v>
      </c>
      <c r="D13" s="51" t="s">
        <v>124</v>
      </c>
      <c r="E13" s="46">
        <v>59690.625</v>
      </c>
      <c r="F13" s="193" t="s">
        <v>125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132</v>
      </c>
      <c r="C14" s="144" t="s">
        <v>53</v>
      </c>
      <c r="D14" s="51" t="s">
        <v>124</v>
      </c>
      <c r="E14" s="46">
        <v>50200</v>
      </c>
      <c r="F14" s="193" t="s">
        <v>125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54</v>
      </c>
      <c r="C15" s="144" t="s">
        <v>53</v>
      </c>
      <c r="D15" s="61" t="s">
        <v>124</v>
      </c>
      <c r="E15" s="65">
        <v>66108</v>
      </c>
      <c r="F15" s="193" t="s">
        <v>125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133</v>
      </c>
      <c r="C16" s="144" t="s">
        <v>53</v>
      </c>
      <c r="D16" s="61" t="s">
        <v>124</v>
      </c>
      <c r="E16" s="46"/>
      <c r="F16" s="193" t="s">
        <v>125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134</v>
      </c>
      <c r="C17" s="144" t="s">
        <v>53</v>
      </c>
      <c r="D17" s="61" t="s">
        <v>124</v>
      </c>
      <c r="E17" s="46">
        <v>61960</v>
      </c>
      <c r="F17" s="193" t="s">
        <v>125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135</v>
      </c>
      <c r="C18" s="144" t="s">
        <v>53</v>
      </c>
      <c r="D18" s="51" t="s">
        <v>124</v>
      </c>
      <c r="E18" s="46">
        <v>28400</v>
      </c>
      <c r="F18" s="193" t="s">
        <v>125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136</v>
      </c>
      <c r="C19" s="144" t="s">
        <v>53</v>
      </c>
      <c r="D19" s="51" t="s">
        <v>124</v>
      </c>
      <c r="E19" s="46">
        <v>36816</v>
      </c>
      <c r="F19" s="193" t="s">
        <v>124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137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112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97</v>
      </c>
      <c r="B33" s="125" t="s">
        <v>114</v>
      </c>
      <c r="C33" s="69" t="s">
        <v>115</v>
      </c>
      <c r="D33" s="70" t="s">
        <v>116</v>
      </c>
      <c r="E33" s="72" t="s">
        <v>117</v>
      </c>
      <c r="F33" s="192" t="s">
        <v>118</v>
      </c>
      <c r="G33" s="74" t="s">
        <v>119</v>
      </c>
      <c r="H33" s="75" t="s">
        <v>120</v>
      </c>
      <c r="I33" s="75" t="s">
        <v>121</v>
      </c>
      <c r="J33" s="77" t="s">
        <v>122</v>
      </c>
    </row>
    <row r="34" spans="1:10" ht="15" customHeight="1">
      <c r="A34" s="44">
        <v>1</v>
      </c>
      <c r="B34" s="39" t="s">
        <v>138</v>
      </c>
      <c r="C34" s="229" t="s">
        <v>139</v>
      </c>
      <c r="D34" s="51" t="s">
        <v>130</v>
      </c>
      <c r="E34" s="46">
        <v>8995</v>
      </c>
      <c r="F34" s="193" t="s">
        <v>130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140</v>
      </c>
      <c r="C35" s="229" t="s">
        <v>139</v>
      </c>
      <c r="D35" s="51" t="s">
        <v>130</v>
      </c>
      <c r="E35" s="46">
        <v>109707</v>
      </c>
      <c r="F35" s="193" t="s">
        <v>130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141</v>
      </c>
      <c r="C36" s="229" t="s">
        <v>139</v>
      </c>
      <c r="D36" s="51" t="s">
        <v>130</v>
      </c>
      <c r="E36" s="46">
        <v>65500</v>
      </c>
      <c r="F36" s="193" t="s">
        <v>130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142</v>
      </c>
      <c r="C37" s="229" t="s">
        <v>139</v>
      </c>
      <c r="D37" s="51" t="s">
        <v>130</v>
      </c>
      <c r="E37" s="46">
        <v>24994</v>
      </c>
      <c r="F37" s="193" t="s">
        <v>130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143</v>
      </c>
      <c r="C38" s="229" t="s">
        <v>139</v>
      </c>
      <c r="D38" s="51" t="s">
        <v>130</v>
      </c>
      <c r="E38" s="46">
        <v>20237</v>
      </c>
      <c r="F38" s="193" t="s">
        <v>130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144</v>
      </c>
      <c r="C39" s="229" t="s">
        <v>139</v>
      </c>
      <c r="D39" s="51" t="s">
        <v>130</v>
      </c>
      <c r="E39" s="46">
        <v>24994</v>
      </c>
      <c r="F39" s="193" t="s">
        <v>130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145</v>
      </c>
      <c r="C40" s="229" t="s">
        <v>139</v>
      </c>
      <c r="D40" s="51" t="s">
        <v>130</v>
      </c>
      <c r="E40" s="46">
        <v>24994</v>
      </c>
      <c r="F40" s="193" t="s">
        <v>130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146</v>
      </c>
      <c r="C41" s="229" t="s">
        <v>139</v>
      </c>
      <c r="D41" s="51" t="s">
        <v>130</v>
      </c>
      <c r="E41" s="46">
        <v>24994</v>
      </c>
      <c r="F41" s="193" t="s">
        <v>130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147</v>
      </c>
      <c r="C42" s="229" t="s">
        <v>139</v>
      </c>
      <c r="D42" s="51" t="s">
        <v>130</v>
      </c>
      <c r="E42" s="46">
        <v>24994</v>
      </c>
      <c r="F42" s="193" t="s">
        <v>130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148</v>
      </c>
      <c r="C43" s="229" t="s">
        <v>139</v>
      </c>
      <c r="D43" s="51" t="s">
        <v>130</v>
      </c>
      <c r="E43" s="46">
        <v>24994</v>
      </c>
      <c r="F43" s="193" t="s">
        <v>130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149</v>
      </c>
      <c r="C44" s="229" t="s">
        <v>139</v>
      </c>
      <c r="D44" s="51" t="s">
        <v>130</v>
      </c>
      <c r="E44" s="46">
        <v>24994</v>
      </c>
      <c r="F44" s="193" t="s">
        <v>130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150</v>
      </c>
      <c r="C45" s="229" t="s">
        <v>139</v>
      </c>
      <c r="D45" s="51" t="s">
        <v>130</v>
      </c>
      <c r="E45" s="46">
        <v>24994</v>
      </c>
      <c r="F45" s="193" t="s">
        <v>130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151</v>
      </c>
      <c r="C46" s="229" t="s">
        <v>139</v>
      </c>
      <c r="D46" s="51" t="s">
        <v>130</v>
      </c>
      <c r="E46" s="46">
        <v>24994</v>
      </c>
      <c r="F46" s="193" t="s">
        <v>130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152</v>
      </c>
      <c r="C47" s="229" t="s">
        <v>139</v>
      </c>
      <c r="D47" s="51" t="s">
        <v>130</v>
      </c>
      <c r="E47" s="46">
        <v>24994</v>
      </c>
      <c r="F47" s="193" t="s">
        <v>130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153</v>
      </c>
      <c r="C48" s="229" t="s">
        <v>139</v>
      </c>
      <c r="D48" s="51" t="s">
        <v>130</v>
      </c>
      <c r="E48" s="46">
        <v>24994</v>
      </c>
      <c r="F48" s="193" t="s">
        <v>130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154</v>
      </c>
      <c r="C49" s="229" t="s">
        <v>139</v>
      </c>
      <c r="D49" s="51" t="s">
        <v>130</v>
      </c>
      <c r="E49" s="46">
        <v>24994</v>
      </c>
      <c r="F49" s="193" t="s">
        <v>130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155</v>
      </c>
      <c r="C50" s="229" t="s">
        <v>139</v>
      </c>
      <c r="D50" s="51" t="s">
        <v>130</v>
      </c>
      <c r="E50" s="46">
        <v>24994</v>
      </c>
      <c r="F50" s="193" t="s">
        <v>130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156</v>
      </c>
      <c r="C51" s="229" t="s">
        <v>139</v>
      </c>
      <c r="D51" s="51" t="s">
        <v>130</v>
      </c>
      <c r="E51" s="46">
        <v>24994</v>
      </c>
      <c r="F51" s="193" t="s">
        <v>130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157</v>
      </c>
      <c r="C52" s="229" t="s">
        <v>139</v>
      </c>
      <c r="D52" s="51" t="s">
        <v>130</v>
      </c>
      <c r="E52" s="46">
        <v>24994</v>
      </c>
      <c r="F52" s="193" t="s">
        <v>130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158</v>
      </c>
      <c r="C53" s="229" t="s">
        <v>139</v>
      </c>
      <c r="D53" s="51" t="s">
        <v>130</v>
      </c>
      <c r="E53" s="46">
        <v>24994</v>
      </c>
      <c r="F53" s="193" t="s">
        <v>130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159</v>
      </c>
      <c r="C54" s="229" t="s">
        <v>139</v>
      </c>
      <c r="D54" s="51" t="s">
        <v>130</v>
      </c>
      <c r="E54" s="46">
        <v>24994</v>
      </c>
      <c r="F54" s="193" t="s">
        <v>130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160</v>
      </c>
      <c r="C55" s="229" t="s">
        <v>139</v>
      </c>
      <c r="D55" s="51" t="s">
        <v>130</v>
      </c>
      <c r="E55" s="46">
        <v>24994</v>
      </c>
      <c r="F55" s="193" t="s">
        <v>130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161</v>
      </c>
      <c r="C56" s="229" t="s">
        <v>139</v>
      </c>
      <c r="D56" s="51" t="s">
        <v>130</v>
      </c>
      <c r="E56" s="46">
        <v>24994</v>
      </c>
      <c r="F56" s="193" t="s">
        <v>130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162</v>
      </c>
      <c r="C57" s="229" t="s">
        <v>139</v>
      </c>
      <c r="D57" s="51" t="s">
        <v>130</v>
      </c>
      <c r="E57" s="46">
        <v>24994</v>
      </c>
      <c r="F57" s="193" t="s">
        <v>130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163</v>
      </c>
      <c r="C58" s="229" t="s">
        <v>139</v>
      </c>
      <c r="D58" s="51" t="s">
        <v>130</v>
      </c>
      <c r="E58" s="46">
        <v>24994</v>
      </c>
      <c r="F58" s="193" t="s">
        <v>130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164</v>
      </c>
      <c r="C59" s="229" t="s">
        <v>139</v>
      </c>
      <c r="D59" s="51" t="s">
        <v>130</v>
      </c>
      <c r="E59" s="46">
        <v>24994</v>
      </c>
      <c r="F59" s="193" t="s">
        <v>130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165</v>
      </c>
      <c r="C60" s="229" t="s">
        <v>139</v>
      </c>
      <c r="D60" s="51" t="s">
        <v>130</v>
      </c>
      <c r="E60" s="46">
        <v>24994</v>
      </c>
      <c r="F60" s="193" t="s">
        <v>130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166</v>
      </c>
      <c r="C61" s="229" t="s">
        <v>139</v>
      </c>
      <c r="D61" s="51" t="s">
        <v>130</v>
      </c>
      <c r="E61" s="46">
        <v>24994</v>
      </c>
      <c r="F61" s="193" t="s">
        <v>130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167</v>
      </c>
      <c r="C62" s="229" t="s">
        <v>139</v>
      </c>
      <c r="D62" s="51" t="s">
        <v>130</v>
      </c>
      <c r="E62" s="46">
        <v>24994</v>
      </c>
      <c r="F62" s="193" t="s">
        <v>130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168</v>
      </c>
      <c r="C63" s="229" t="s">
        <v>139</v>
      </c>
      <c r="D63" s="51" t="s">
        <v>130</v>
      </c>
      <c r="E63" s="46">
        <v>24994</v>
      </c>
      <c r="F63" s="193" t="s">
        <v>130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169</v>
      </c>
      <c r="C64" s="229" t="s">
        <v>139</v>
      </c>
      <c r="D64" s="51" t="s">
        <v>130</v>
      </c>
      <c r="E64" s="46">
        <v>20111</v>
      </c>
      <c r="F64" s="193" t="s">
        <v>130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170</v>
      </c>
      <c r="C65" s="229" t="s">
        <v>139</v>
      </c>
      <c r="D65" s="51" t="s">
        <v>130</v>
      </c>
      <c r="E65" s="46">
        <v>20111</v>
      </c>
      <c r="F65" s="193" t="s">
        <v>130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171</v>
      </c>
      <c r="C66" s="229" t="s">
        <v>139</v>
      </c>
      <c r="D66" s="51" t="s">
        <v>130</v>
      </c>
      <c r="E66" s="46">
        <v>20111</v>
      </c>
      <c r="F66" s="193" t="s">
        <v>130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172</v>
      </c>
      <c r="C67" s="229" t="s">
        <v>139</v>
      </c>
      <c r="D67" s="51" t="s">
        <v>130</v>
      </c>
      <c r="E67" s="46">
        <v>5611</v>
      </c>
      <c r="F67" s="193" t="s">
        <v>130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173</v>
      </c>
      <c r="C68" s="229" t="s">
        <v>139</v>
      </c>
      <c r="D68" s="51" t="s">
        <v>130</v>
      </c>
      <c r="E68" s="46">
        <v>20111</v>
      </c>
      <c r="F68" s="193" t="s">
        <v>130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174</v>
      </c>
      <c r="C69" s="229" t="s">
        <v>139</v>
      </c>
      <c r="D69" s="51" t="s">
        <v>130</v>
      </c>
      <c r="E69" s="46">
        <v>5611</v>
      </c>
      <c r="F69" s="193" t="s">
        <v>130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175</v>
      </c>
      <c r="C70" s="229" t="s">
        <v>139</v>
      </c>
      <c r="D70" s="51" t="s">
        <v>130</v>
      </c>
      <c r="E70" s="46">
        <v>5611</v>
      </c>
      <c r="F70" s="193" t="s">
        <v>130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176</v>
      </c>
      <c r="C71" s="229" t="s">
        <v>139</v>
      </c>
      <c r="D71" s="51" t="s">
        <v>130</v>
      </c>
      <c r="E71" s="46">
        <v>5611</v>
      </c>
      <c r="F71" s="193" t="s">
        <v>130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177</v>
      </c>
      <c r="C72" s="229" t="s">
        <v>139</v>
      </c>
      <c r="D72" s="51" t="s">
        <v>130</v>
      </c>
      <c r="E72" s="46">
        <v>20111</v>
      </c>
      <c r="F72" s="193" t="s">
        <v>130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178</v>
      </c>
      <c r="C73" s="229" t="s">
        <v>139</v>
      </c>
      <c r="D73" s="51" t="s">
        <v>130</v>
      </c>
      <c r="E73" s="46">
        <v>20111</v>
      </c>
      <c r="F73" s="193" t="s">
        <v>130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179</v>
      </c>
      <c r="C74" s="229" t="s">
        <v>139</v>
      </c>
      <c r="D74" s="51" t="s">
        <v>130</v>
      </c>
      <c r="E74" s="46">
        <v>20111</v>
      </c>
      <c r="F74" s="193" t="s">
        <v>130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180</v>
      </c>
      <c r="C75" s="229" t="s">
        <v>139</v>
      </c>
      <c r="D75" s="51" t="s">
        <v>130</v>
      </c>
      <c r="E75" s="46">
        <v>20111</v>
      </c>
      <c r="F75" s="193" t="s">
        <v>130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181</v>
      </c>
      <c r="C76" s="229" t="s">
        <v>139</v>
      </c>
      <c r="D76" s="51" t="s">
        <v>130</v>
      </c>
      <c r="E76" s="46">
        <v>229095</v>
      </c>
      <c r="F76" s="193" t="s">
        <v>130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182</v>
      </c>
      <c r="C77" s="229" t="s">
        <v>139</v>
      </c>
      <c r="D77" s="51" t="s">
        <v>130</v>
      </c>
      <c r="E77" s="46">
        <v>279854.5</v>
      </c>
      <c r="F77" s="193" t="s">
        <v>130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183</v>
      </c>
      <c r="C78" s="229" t="s">
        <v>139</v>
      </c>
      <c r="D78" s="51" t="s">
        <v>130</v>
      </c>
      <c r="E78" s="46">
        <v>157271</v>
      </c>
      <c r="F78" s="193" t="s">
        <v>130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184</v>
      </c>
      <c r="C79" s="229" t="s">
        <v>139</v>
      </c>
      <c r="D79" s="51" t="s">
        <v>130</v>
      </c>
      <c r="E79" s="46">
        <v>284545</v>
      </c>
      <c r="F79" s="193" t="s">
        <v>130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185</v>
      </c>
      <c r="C80" s="229" t="s">
        <v>139</v>
      </c>
      <c r="D80" s="51" t="s">
        <v>130</v>
      </c>
      <c r="E80" s="46">
        <v>120557.6</v>
      </c>
      <c r="F80" s="193" t="s">
        <v>130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186</v>
      </c>
      <c r="C81" s="229" t="s">
        <v>139</v>
      </c>
      <c r="D81" s="51" t="s">
        <v>130</v>
      </c>
      <c r="E81" s="46">
        <v>31797.599999999999</v>
      </c>
      <c r="F81" s="193" t="s">
        <v>130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187</v>
      </c>
      <c r="C82" s="229" t="s">
        <v>139</v>
      </c>
      <c r="D82" s="51" t="s">
        <v>130</v>
      </c>
      <c r="E82" s="46">
        <v>25200</v>
      </c>
      <c r="F82" s="193" t="s">
        <v>130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188</v>
      </c>
      <c r="C83" s="229" t="s">
        <v>139</v>
      </c>
      <c r="D83" s="51" t="s">
        <v>130</v>
      </c>
      <c r="E83" s="46">
        <v>131707</v>
      </c>
      <c r="F83" s="193" t="s">
        <v>130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189</v>
      </c>
      <c r="C84" s="229" t="s">
        <v>139</v>
      </c>
      <c r="D84" s="51" t="s">
        <v>130</v>
      </c>
      <c r="E84" s="46">
        <v>446666</v>
      </c>
      <c r="F84" s="193" t="s">
        <v>130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190</v>
      </c>
      <c r="C85" s="229" t="s">
        <v>139</v>
      </c>
      <c r="D85" s="51" t="s">
        <v>191</v>
      </c>
      <c r="E85" s="46">
        <v>97321</v>
      </c>
      <c r="F85" s="193" t="s">
        <v>191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192</v>
      </c>
      <c r="C86" s="229" t="s">
        <v>139</v>
      </c>
      <c r="D86" s="51" t="s">
        <v>191</v>
      </c>
      <c r="E86" s="46">
        <v>99191</v>
      </c>
      <c r="F86" s="193" t="s">
        <v>191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193</v>
      </c>
      <c r="C87" s="229" t="s">
        <v>139</v>
      </c>
      <c r="D87" s="51" t="s">
        <v>130</v>
      </c>
      <c r="E87" s="46">
        <v>30600</v>
      </c>
      <c r="F87" s="193" t="s">
        <v>130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194</v>
      </c>
      <c r="C88" s="229" t="s">
        <v>139</v>
      </c>
      <c r="D88" s="51" t="s">
        <v>130</v>
      </c>
      <c r="E88" s="46">
        <v>27800</v>
      </c>
      <c r="F88" s="193" t="s">
        <v>130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195</v>
      </c>
      <c r="C89" s="229" t="s">
        <v>139</v>
      </c>
      <c r="D89" s="51" t="s">
        <v>130</v>
      </c>
      <c r="E89" s="46">
        <v>25955</v>
      </c>
      <c r="F89" s="193" t="s">
        <v>130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196</v>
      </c>
      <c r="C90" s="229" t="s">
        <v>139</v>
      </c>
      <c r="D90" s="51" t="s">
        <v>130</v>
      </c>
      <c r="E90" s="46">
        <v>58187.6</v>
      </c>
      <c r="F90" s="193" t="s">
        <v>130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197</v>
      </c>
      <c r="C91" s="229" t="s">
        <v>139</v>
      </c>
      <c r="D91" s="51" t="s">
        <v>130</v>
      </c>
      <c r="E91" s="46">
        <v>40505.5</v>
      </c>
      <c r="F91" s="193" t="s">
        <v>130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198</v>
      </c>
      <c r="C92" s="229" t="s">
        <v>139</v>
      </c>
      <c r="D92" s="51" t="s">
        <v>130</v>
      </c>
      <c r="E92" s="46">
        <v>28585</v>
      </c>
      <c r="F92" s="193" t="s">
        <v>130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199</v>
      </c>
      <c r="C93" s="229" t="s">
        <v>139</v>
      </c>
      <c r="D93" s="51" t="s">
        <v>130</v>
      </c>
      <c r="E93" s="46">
        <v>204785</v>
      </c>
      <c r="F93" s="193" t="s">
        <v>130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200</v>
      </c>
      <c r="C94" s="229" t="s">
        <v>139</v>
      </c>
      <c r="D94" s="51" t="s">
        <v>130</v>
      </c>
      <c r="E94" s="46">
        <v>64500</v>
      </c>
      <c r="F94" s="193" t="s">
        <v>130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201</v>
      </c>
      <c r="C95" s="229" t="s">
        <v>139</v>
      </c>
      <c r="D95" s="51" t="s">
        <v>130</v>
      </c>
      <c r="E95" s="46">
        <v>111250</v>
      </c>
      <c r="F95" s="193" t="s">
        <v>130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202</v>
      </c>
      <c r="C96" s="229" t="s">
        <v>139</v>
      </c>
      <c r="D96" s="51" t="s">
        <v>130</v>
      </c>
      <c r="E96" s="46">
        <v>79000</v>
      </c>
      <c r="F96" s="193" t="s">
        <v>130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203</v>
      </c>
      <c r="C97" s="229" t="s">
        <v>139</v>
      </c>
      <c r="D97" s="51" t="s">
        <v>130</v>
      </c>
      <c r="E97" s="46">
        <v>108010</v>
      </c>
      <c r="F97" s="193" t="s">
        <v>130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204</v>
      </c>
      <c r="C98" s="229" t="s">
        <v>139</v>
      </c>
      <c r="D98" s="51" t="s">
        <v>130</v>
      </c>
      <c r="E98" s="46">
        <v>71816.5</v>
      </c>
      <c r="F98" s="193" t="s">
        <v>130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205</v>
      </c>
      <c r="C99" s="229" t="s">
        <v>139</v>
      </c>
      <c r="D99" s="51" t="s">
        <v>130</v>
      </c>
      <c r="E99" s="46">
        <v>89211</v>
      </c>
      <c r="F99" s="193" t="s">
        <v>130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206</v>
      </c>
      <c r="C100" s="229" t="s">
        <v>139</v>
      </c>
      <c r="D100" s="51" t="s">
        <v>130</v>
      </c>
      <c r="E100" s="46">
        <v>603076</v>
      </c>
      <c r="F100" s="193" t="s">
        <v>130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207</v>
      </c>
      <c r="C101" s="229" t="s">
        <v>139</v>
      </c>
      <c r="D101" s="51" t="s">
        <v>130</v>
      </c>
      <c r="E101" s="46">
        <v>248532</v>
      </c>
      <c r="F101" s="193" t="s">
        <v>130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208</v>
      </c>
      <c r="C102" s="229" t="s">
        <v>139</v>
      </c>
      <c r="D102" s="51" t="s">
        <v>130</v>
      </c>
      <c r="E102" s="46">
        <v>33000</v>
      </c>
      <c r="F102" s="193" t="s">
        <v>130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209</v>
      </c>
      <c r="C103" s="229" t="s">
        <v>139</v>
      </c>
      <c r="D103" s="51" t="s">
        <v>130</v>
      </c>
      <c r="E103" s="46">
        <v>26141</v>
      </c>
      <c r="F103" s="193" t="s">
        <v>130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210</v>
      </c>
      <c r="C104" s="229" t="s">
        <v>139</v>
      </c>
      <c r="D104" s="51" t="s">
        <v>130</v>
      </c>
      <c r="E104" s="46">
        <v>9818</v>
      </c>
      <c r="F104" s="193" t="s">
        <v>130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211</v>
      </c>
      <c r="C105" s="229" t="s">
        <v>139</v>
      </c>
      <c r="D105" s="51" t="s">
        <v>130</v>
      </c>
      <c r="E105" s="46">
        <v>37905</v>
      </c>
      <c r="F105" s="193" t="s">
        <v>130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212</v>
      </c>
      <c r="C106" s="229" t="s">
        <v>139</v>
      </c>
      <c r="D106" s="51" t="s">
        <v>130</v>
      </c>
      <c r="E106" s="46">
        <v>17500</v>
      </c>
      <c r="F106" s="193" t="s">
        <v>130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213</v>
      </c>
      <c r="C107" s="229" t="s">
        <v>139</v>
      </c>
      <c r="D107" s="51" t="s">
        <v>191</v>
      </c>
      <c r="E107" s="46">
        <v>47662</v>
      </c>
      <c r="F107" s="193" t="s">
        <v>191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214</v>
      </c>
      <c r="C108" s="229" t="s">
        <v>139</v>
      </c>
      <c r="D108" s="51" t="s">
        <v>191</v>
      </c>
      <c r="E108" s="46">
        <v>8533</v>
      </c>
      <c r="F108" s="193" t="s">
        <v>191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215</v>
      </c>
      <c r="C109" s="229" t="s">
        <v>139</v>
      </c>
      <c r="D109" s="51" t="s">
        <v>191</v>
      </c>
      <c r="E109" s="46">
        <v>8367</v>
      </c>
      <c r="F109" s="193" t="s">
        <v>191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216</v>
      </c>
      <c r="C110" s="229" t="s">
        <v>139</v>
      </c>
      <c r="D110" s="51" t="s">
        <v>191</v>
      </c>
      <c r="E110" s="46">
        <v>32859</v>
      </c>
      <c r="F110" s="193" t="s">
        <v>191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217</v>
      </c>
      <c r="C111" s="229" t="s">
        <v>139</v>
      </c>
      <c r="D111" s="51" t="s">
        <v>191</v>
      </c>
      <c r="E111" s="46">
        <v>9366</v>
      </c>
      <c r="F111" s="193" t="s">
        <v>191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218</v>
      </c>
      <c r="C112" s="229" t="s">
        <v>139</v>
      </c>
      <c r="D112" s="51" t="s">
        <v>191</v>
      </c>
      <c r="E112" s="46">
        <v>54502</v>
      </c>
      <c r="F112" s="193" t="s">
        <v>191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219</v>
      </c>
      <c r="C113" s="229" t="s">
        <v>139</v>
      </c>
      <c r="D113" s="51" t="s">
        <v>220</v>
      </c>
      <c r="E113" s="46">
        <v>14170</v>
      </c>
      <c r="F113" s="193" t="s">
        <v>220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221</v>
      </c>
      <c r="C114" s="229" t="s">
        <v>139</v>
      </c>
      <c r="D114" s="51" t="s">
        <v>130</v>
      </c>
      <c r="E114" s="46">
        <v>57850</v>
      </c>
      <c r="F114" s="193" t="s">
        <v>130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222</v>
      </c>
      <c r="C115" s="229" t="s">
        <v>139</v>
      </c>
      <c r="D115" s="51" t="s">
        <v>223</v>
      </c>
      <c r="E115" s="46">
        <v>33800</v>
      </c>
      <c r="F115" s="193" t="s">
        <v>130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224</v>
      </c>
      <c r="C116" s="229" t="s">
        <v>139</v>
      </c>
      <c r="D116" s="51" t="s">
        <v>225</v>
      </c>
      <c r="E116" s="46">
        <v>50178</v>
      </c>
      <c r="F116" s="193" t="s">
        <v>225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226</v>
      </c>
      <c r="C117" s="229" t="s">
        <v>139</v>
      </c>
      <c r="D117" s="51" t="s">
        <v>191</v>
      </c>
      <c r="E117" s="46">
        <v>35105</v>
      </c>
      <c r="F117" s="193" t="s">
        <v>191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227</v>
      </c>
      <c r="C118" s="229" t="s">
        <v>139</v>
      </c>
      <c r="D118" s="51" t="s">
        <v>130</v>
      </c>
      <c r="E118" s="46">
        <v>175000</v>
      </c>
      <c r="F118" s="193" t="s">
        <v>130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228</v>
      </c>
      <c r="C119" s="229" t="s">
        <v>139</v>
      </c>
      <c r="D119" s="51" t="s">
        <v>130</v>
      </c>
      <c r="E119" s="46">
        <v>283333.33333333331</v>
      </c>
      <c r="F119" s="193" t="s">
        <v>130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229</v>
      </c>
      <c r="C120" s="229" t="s">
        <v>139</v>
      </c>
      <c r="D120" s="51" t="s">
        <v>130</v>
      </c>
      <c r="E120" s="46">
        <v>40333.5</v>
      </c>
      <c r="F120" s="193" t="s">
        <v>130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230</v>
      </c>
      <c r="C121" s="229" t="s">
        <v>139</v>
      </c>
      <c r="D121" s="51" t="s">
        <v>130</v>
      </c>
      <c r="E121" s="46">
        <v>15547.5</v>
      </c>
      <c r="F121" s="193" t="s">
        <v>130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231</v>
      </c>
      <c r="C122" s="229" t="s">
        <v>139</v>
      </c>
      <c r="D122" s="51" t="s">
        <v>130</v>
      </c>
      <c r="E122" s="46">
        <v>18172.599999999999</v>
      </c>
      <c r="F122" s="193" t="s">
        <v>130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232</v>
      </c>
      <c r="C123" s="229" t="s">
        <v>139</v>
      </c>
      <c r="D123" s="51" t="s">
        <v>233</v>
      </c>
      <c r="E123" s="46">
        <v>38591.666666666664</v>
      </c>
      <c r="F123" s="193" t="s">
        <v>233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234</v>
      </c>
      <c r="C124" s="229" t="s">
        <v>139</v>
      </c>
      <c r="D124" s="51" t="s">
        <v>191</v>
      </c>
      <c r="E124" s="46">
        <v>22134</v>
      </c>
      <c r="F124" s="193" t="s">
        <v>191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235</v>
      </c>
      <c r="C125" s="229" t="s">
        <v>139</v>
      </c>
      <c r="D125" s="51" t="s">
        <v>130</v>
      </c>
      <c r="E125" s="46">
        <v>18125</v>
      </c>
      <c r="F125" s="193" t="s">
        <v>130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236</v>
      </c>
      <c r="C126" s="229" t="s">
        <v>139</v>
      </c>
      <c r="D126" s="51" t="s">
        <v>130</v>
      </c>
      <c r="E126" s="46">
        <v>102685</v>
      </c>
      <c r="F126" s="193" t="s">
        <v>130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237</v>
      </c>
      <c r="C127" s="229" t="s">
        <v>139</v>
      </c>
      <c r="D127" s="51" t="s">
        <v>130</v>
      </c>
      <c r="E127" s="46">
        <v>25163</v>
      </c>
      <c r="F127" s="193" t="s">
        <v>130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238</v>
      </c>
      <c r="C128" s="229" t="s">
        <v>139</v>
      </c>
      <c r="D128" s="51" t="s">
        <v>191</v>
      </c>
      <c r="E128" s="46">
        <v>149370</v>
      </c>
      <c r="F128" s="193" t="s">
        <v>191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239</v>
      </c>
      <c r="C129" s="229" t="s">
        <v>139</v>
      </c>
      <c r="D129" s="51" t="s">
        <v>130</v>
      </c>
      <c r="E129" s="46">
        <v>83922.5</v>
      </c>
      <c r="F129" s="193" t="s">
        <v>130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240</v>
      </c>
      <c r="C130" s="229" t="s">
        <v>139</v>
      </c>
      <c r="D130" s="51" t="s">
        <v>130</v>
      </c>
      <c r="E130" s="46">
        <v>547525</v>
      </c>
      <c r="F130" s="193" t="s">
        <v>130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241</v>
      </c>
      <c r="C131" s="229" t="s">
        <v>139</v>
      </c>
      <c r="D131" s="51" t="s">
        <v>225</v>
      </c>
      <c r="E131" s="46">
        <v>8850</v>
      </c>
      <c r="F131" s="193" t="s">
        <v>225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242</v>
      </c>
      <c r="C132" s="229" t="s">
        <v>139</v>
      </c>
      <c r="D132" s="51" t="s">
        <v>243</v>
      </c>
      <c r="E132" s="46">
        <v>135533.5</v>
      </c>
      <c r="F132" s="193" t="s">
        <v>243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244</v>
      </c>
      <c r="C133" s="229" t="s">
        <v>139</v>
      </c>
      <c r="D133" s="51" t="s">
        <v>130</v>
      </c>
      <c r="E133" s="46">
        <v>313317.5</v>
      </c>
      <c r="F133" s="193" t="s">
        <v>130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245</v>
      </c>
      <c r="C134" s="229" t="s">
        <v>139</v>
      </c>
      <c r="D134" s="51" t="s">
        <v>130</v>
      </c>
      <c r="E134" s="46">
        <v>22214</v>
      </c>
      <c r="F134" s="193" t="s">
        <v>130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246</v>
      </c>
      <c r="C135" s="229" t="s">
        <v>139</v>
      </c>
      <c r="D135" s="51" t="s">
        <v>130</v>
      </c>
      <c r="E135" s="46">
        <v>293333.33500000002</v>
      </c>
      <c r="F135" s="193" t="s">
        <v>130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247</v>
      </c>
      <c r="C136" s="229" t="s">
        <v>139</v>
      </c>
      <c r="D136" s="51" t="s">
        <v>130</v>
      </c>
      <c r="E136" s="46">
        <v>30290</v>
      </c>
      <c r="F136" s="193" t="s">
        <v>130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248</v>
      </c>
      <c r="C137" s="229" t="s">
        <v>139</v>
      </c>
      <c r="D137" s="51" t="s">
        <v>130</v>
      </c>
      <c r="E137" s="46">
        <v>69202</v>
      </c>
      <c r="F137" s="193" t="s">
        <v>130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249</v>
      </c>
      <c r="C138" s="229" t="s">
        <v>139</v>
      </c>
      <c r="D138" s="51" t="s">
        <v>233</v>
      </c>
      <c r="E138" s="46">
        <v>90800</v>
      </c>
      <c r="F138" s="193" t="s">
        <v>233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250</v>
      </c>
      <c r="C139" s="229" t="s">
        <v>139</v>
      </c>
      <c r="D139" s="51" t="s">
        <v>130</v>
      </c>
      <c r="E139" s="46">
        <v>79333.666666666672</v>
      </c>
      <c r="F139" s="193" t="s">
        <v>130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251</v>
      </c>
      <c r="C140" s="229" t="s">
        <v>139</v>
      </c>
      <c r="D140" s="51" t="s">
        <v>130</v>
      </c>
      <c r="E140" s="46">
        <v>27500</v>
      </c>
      <c r="F140" s="193" t="s">
        <v>130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252</v>
      </c>
      <c r="C141" s="229" t="s">
        <v>139</v>
      </c>
      <c r="D141" s="51" t="s">
        <v>130</v>
      </c>
      <c r="E141" s="46">
        <v>16548</v>
      </c>
      <c r="F141" s="193" t="s">
        <v>130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137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112</v>
      </c>
      <c r="B160" s="223">
        <f>SUBTOTAL(3,(B162:B245))</f>
        <v>84</v>
      </c>
      <c r="C160" s="124"/>
      <c r="D160" s="124"/>
      <c r="E160"/>
      <c r="F160" s="194"/>
      <c r="H160"/>
      <c r="I160"/>
    </row>
    <row r="161" spans="1:10" ht="47.25">
      <c r="A161" s="122" t="s">
        <v>97</v>
      </c>
      <c r="B161" s="127" t="s">
        <v>114</v>
      </c>
      <c r="C161" s="123" t="s">
        <v>115</v>
      </c>
      <c r="D161" s="107" t="s">
        <v>116</v>
      </c>
      <c r="E161" s="72" t="s">
        <v>117</v>
      </c>
      <c r="F161" s="192" t="s">
        <v>118</v>
      </c>
      <c r="G161" s="74" t="s">
        <v>119</v>
      </c>
      <c r="H161" s="75" t="s">
        <v>120</v>
      </c>
      <c r="I161" s="75" t="s">
        <v>121</v>
      </c>
      <c r="J161" s="77" t="s">
        <v>122</v>
      </c>
    </row>
    <row r="162" spans="1:10" ht="15" customHeight="1">
      <c r="A162" s="44">
        <v>1</v>
      </c>
      <c r="B162" s="206" t="s">
        <v>253</v>
      </c>
      <c r="C162" s="229" t="s">
        <v>31</v>
      </c>
      <c r="D162" s="51" t="s">
        <v>191</v>
      </c>
      <c r="E162" s="46">
        <v>760</v>
      </c>
      <c r="F162" s="193" t="s">
        <v>191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254</v>
      </c>
      <c r="C163" s="229" t="s">
        <v>31</v>
      </c>
      <c r="D163" s="51" t="s">
        <v>255</v>
      </c>
      <c r="E163" s="46">
        <v>45667</v>
      </c>
      <c r="F163" s="193" t="s">
        <v>255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256</v>
      </c>
      <c r="C164" s="229" t="s">
        <v>31</v>
      </c>
      <c r="D164" s="51" t="s">
        <v>257</v>
      </c>
      <c r="E164" s="46">
        <v>41000</v>
      </c>
      <c r="F164" s="193" t="s">
        <v>258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259</v>
      </c>
      <c r="C165" s="229" t="s">
        <v>31</v>
      </c>
      <c r="D165" s="51" t="s">
        <v>257</v>
      </c>
      <c r="E165" s="46">
        <v>58500</v>
      </c>
      <c r="F165" s="193" t="s">
        <v>258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260</v>
      </c>
      <c r="C166" s="229" t="s">
        <v>31</v>
      </c>
      <c r="D166" s="51" t="s">
        <v>255</v>
      </c>
      <c r="E166" s="46">
        <v>17830</v>
      </c>
      <c r="F166" s="193" t="s">
        <v>261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262</v>
      </c>
      <c r="C167" s="229" t="s">
        <v>31</v>
      </c>
      <c r="D167" s="51" t="s">
        <v>191</v>
      </c>
      <c r="E167" s="46">
        <v>639</v>
      </c>
      <c r="F167" s="51" t="s">
        <v>191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263</v>
      </c>
      <c r="C168" s="229" t="s">
        <v>31</v>
      </c>
      <c r="D168" s="51" t="s">
        <v>191</v>
      </c>
      <c r="E168" s="46">
        <v>639</v>
      </c>
      <c r="F168" s="51" t="s">
        <v>191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264</v>
      </c>
      <c r="C169" s="229" t="s">
        <v>31</v>
      </c>
      <c r="D169" s="51" t="s">
        <v>191</v>
      </c>
      <c r="E169" s="46">
        <v>639</v>
      </c>
      <c r="F169" s="51" t="s">
        <v>191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265</v>
      </c>
      <c r="C170" s="229" t="s">
        <v>31</v>
      </c>
      <c r="D170" s="51" t="s">
        <v>191</v>
      </c>
      <c r="E170" s="46">
        <v>639</v>
      </c>
      <c r="F170" s="51" t="s">
        <v>191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266</v>
      </c>
      <c r="C171" s="229" t="s">
        <v>31</v>
      </c>
      <c r="D171" s="51" t="s">
        <v>191</v>
      </c>
      <c r="E171" s="46">
        <v>639</v>
      </c>
      <c r="F171" s="51" t="s">
        <v>191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267</v>
      </c>
      <c r="C172" s="229" t="s">
        <v>31</v>
      </c>
      <c r="D172" s="51" t="s">
        <v>191</v>
      </c>
      <c r="E172" s="46">
        <v>639</v>
      </c>
      <c r="F172" s="51" t="s">
        <v>191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268</v>
      </c>
      <c r="C173" s="229" t="s">
        <v>31</v>
      </c>
      <c r="D173" s="51" t="s">
        <v>191</v>
      </c>
      <c r="E173" s="46">
        <v>639</v>
      </c>
      <c r="F173" s="51" t="s">
        <v>191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269</v>
      </c>
      <c r="C174" s="229" t="s">
        <v>31</v>
      </c>
      <c r="D174" s="51" t="s">
        <v>191</v>
      </c>
      <c r="E174" s="46">
        <v>639</v>
      </c>
      <c r="F174" s="51" t="s">
        <v>191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270</v>
      </c>
      <c r="C175" s="229" t="s">
        <v>31</v>
      </c>
      <c r="D175" s="51" t="s">
        <v>191</v>
      </c>
      <c r="E175" s="46">
        <v>639</v>
      </c>
      <c r="F175" s="51" t="s">
        <v>191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271</v>
      </c>
      <c r="C176" s="229" t="s">
        <v>31</v>
      </c>
      <c r="D176" s="51" t="s">
        <v>191</v>
      </c>
      <c r="E176" s="46">
        <v>639</v>
      </c>
      <c r="F176" s="51" t="s">
        <v>191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272</v>
      </c>
      <c r="C177" s="229" t="s">
        <v>31</v>
      </c>
      <c r="D177" s="51" t="s">
        <v>191</v>
      </c>
      <c r="E177" s="46">
        <v>639</v>
      </c>
      <c r="F177" s="51" t="s">
        <v>191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273</v>
      </c>
      <c r="C178" s="229" t="s">
        <v>31</v>
      </c>
      <c r="D178" s="51" t="s">
        <v>191</v>
      </c>
      <c r="E178" s="46">
        <v>639</v>
      </c>
      <c r="F178" s="51" t="s">
        <v>191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274</v>
      </c>
      <c r="C179" s="229" t="s">
        <v>31</v>
      </c>
      <c r="D179" s="51" t="s">
        <v>191</v>
      </c>
      <c r="E179" s="46">
        <v>639</v>
      </c>
      <c r="F179" s="51" t="s">
        <v>191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275</v>
      </c>
      <c r="C180" s="229" t="s">
        <v>31</v>
      </c>
      <c r="D180" s="51" t="s">
        <v>191</v>
      </c>
      <c r="E180" s="46">
        <v>639</v>
      </c>
      <c r="F180" s="51" t="s">
        <v>191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276</v>
      </c>
      <c r="C181" s="229" t="s">
        <v>31</v>
      </c>
      <c r="D181" s="51" t="s">
        <v>191</v>
      </c>
      <c r="E181" s="46">
        <v>639</v>
      </c>
      <c r="F181" s="51" t="s">
        <v>191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277</v>
      </c>
      <c r="C182" s="229" t="s">
        <v>31</v>
      </c>
      <c r="D182" s="51" t="s">
        <v>191</v>
      </c>
      <c r="E182" s="65">
        <v>475.34</v>
      </c>
      <c r="F182" s="51" t="s">
        <v>191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278</v>
      </c>
      <c r="C183" s="229" t="s">
        <v>31</v>
      </c>
      <c r="D183" s="51" t="s">
        <v>191</v>
      </c>
      <c r="E183" s="65">
        <v>475.34</v>
      </c>
      <c r="F183" s="51" t="s">
        <v>191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279</v>
      </c>
      <c r="C184" s="229" t="s">
        <v>31</v>
      </c>
      <c r="D184" s="51" t="s">
        <v>191</v>
      </c>
      <c r="E184" s="65">
        <v>475.34</v>
      </c>
      <c r="F184" s="51" t="s">
        <v>191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280</v>
      </c>
      <c r="C185" s="229" t="s">
        <v>31</v>
      </c>
      <c r="D185" s="51" t="s">
        <v>191</v>
      </c>
      <c r="E185" s="65">
        <v>475.34</v>
      </c>
      <c r="F185" s="51" t="s">
        <v>191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281</v>
      </c>
      <c r="C186" s="229" t="s">
        <v>31</v>
      </c>
      <c r="D186" s="51" t="s">
        <v>191</v>
      </c>
      <c r="E186" s="65">
        <v>475.34</v>
      </c>
      <c r="F186" s="51" t="s">
        <v>191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282</v>
      </c>
      <c r="C187" s="229" t="s">
        <v>31</v>
      </c>
      <c r="D187" s="51" t="s">
        <v>191</v>
      </c>
      <c r="E187" s="65">
        <v>475.34</v>
      </c>
      <c r="F187" s="51" t="s">
        <v>191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283</v>
      </c>
      <c r="C188" s="229" t="s">
        <v>31</v>
      </c>
      <c r="D188" s="51" t="s">
        <v>191</v>
      </c>
      <c r="E188" s="65">
        <v>475.34</v>
      </c>
      <c r="F188" s="51" t="s">
        <v>191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284</v>
      </c>
      <c r="C189" s="229" t="s">
        <v>31</v>
      </c>
      <c r="D189" s="51" t="s">
        <v>191</v>
      </c>
      <c r="E189" s="65">
        <v>475.34</v>
      </c>
      <c r="F189" s="51" t="s">
        <v>191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285</v>
      </c>
      <c r="C190" s="229" t="s">
        <v>31</v>
      </c>
      <c r="D190" s="51" t="s">
        <v>191</v>
      </c>
      <c r="E190" s="65">
        <v>475.34</v>
      </c>
      <c r="F190" s="51" t="s">
        <v>191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286</v>
      </c>
      <c r="C191" s="229" t="s">
        <v>31</v>
      </c>
      <c r="D191" s="51" t="s">
        <v>191</v>
      </c>
      <c r="E191" s="65">
        <v>475.34</v>
      </c>
      <c r="F191" s="51" t="s">
        <v>191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287</v>
      </c>
      <c r="C192" s="229" t="s">
        <v>31</v>
      </c>
      <c r="D192" s="61" t="s">
        <v>258</v>
      </c>
      <c r="E192" s="65">
        <v>9800</v>
      </c>
      <c r="F192" s="196" t="s">
        <v>288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289</v>
      </c>
      <c r="C193" s="229" t="s">
        <v>31</v>
      </c>
      <c r="D193" s="61" t="s">
        <v>258</v>
      </c>
      <c r="E193" s="65">
        <v>943.5</v>
      </c>
      <c r="F193" s="196" t="s">
        <v>258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290</v>
      </c>
      <c r="C194" s="229" t="s">
        <v>31</v>
      </c>
      <c r="D194" s="61" t="s">
        <v>258</v>
      </c>
      <c r="E194" s="65">
        <v>943.5</v>
      </c>
      <c r="F194" s="196" t="s">
        <v>288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4">
        <f t="shared" ref="A195:A228" si="12">A194+1</f>
        <v>34</v>
      </c>
      <c r="B195" s="182" t="s">
        <v>32</v>
      </c>
      <c r="C195" s="229" t="s">
        <v>31</v>
      </c>
      <c r="D195" s="61" t="s">
        <v>258</v>
      </c>
      <c r="E195" s="65">
        <v>1223</v>
      </c>
      <c r="F195" s="196" t="s">
        <v>288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291</v>
      </c>
      <c r="C196" s="229" t="s">
        <v>31</v>
      </c>
      <c r="D196" s="251" t="s">
        <v>255</v>
      </c>
      <c r="E196" s="65">
        <v>16471.25</v>
      </c>
      <c r="F196" s="252" t="s">
        <v>255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292</v>
      </c>
      <c r="C197" s="229" t="s">
        <v>31</v>
      </c>
      <c r="D197" s="251" t="s">
        <v>255</v>
      </c>
      <c r="E197" s="65">
        <v>32931.5</v>
      </c>
      <c r="F197" s="252" t="s">
        <v>255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293</v>
      </c>
      <c r="C198" s="229" t="s">
        <v>31</v>
      </c>
      <c r="D198" s="251" t="s">
        <v>255</v>
      </c>
      <c r="E198" s="65">
        <v>16209.5</v>
      </c>
      <c r="F198" s="252" t="s">
        <v>255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294</v>
      </c>
      <c r="C199" s="229" t="s">
        <v>31</v>
      </c>
      <c r="D199" s="52" t="s">
        <v>255</v>
      </c>
      <c r="E199" s="46">
        <v>32417</v>
      </c>
      <c r="F199" s="197" t="s">
        <v>255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295</v>
      </c>
      <c r="C200" s="229" t="s">
        <v>31</v>
      </c>
      <c r="D200" s="52" t="s">
        <v>255</v>
      </c>
      <c r="E200" s="46">
        <v>50250</v>
      </c>
      <c r="F200" s="197" t="s">
        <v>255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296</v>
      </c>
      <c r="C201" s="229" t="s">
        <v>31</v>
      </c>
      <c r="D201" s="52" t="s">
        <v>255</v>
      </c>
      <c r="E201" s="46">
        <v>25131.5</v>
      </c>
      <c r="F201" s="197" t="s">
        <v>255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297</v>
      </c>
      <c r="C202" s="229" t="s">
        <v>31</v>
      </c>
      <c r="D202" s="155" t="s">
        <v>257</v>
      </c>
      <c r="E202" s="156">
        <v>3700</v>
      </c>
      <c r="F202" s="193" t="s">
        <v>261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298</v>
      </c>
      <c r="C203" s="229" t="s">
        <v>31</v>
      </c>
      <c r="D203" s="51" t="s">
        <v>258</v>
      </c>
      <c r="E203" s="46">
        <v>92</v>
      </c>
      <c r="F203" s="193" t="s">
        <v>258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299</v>
      </c>
      <c r="C204" s="229" t="s">
        <v>31</v>
      </c>
      <c r="D204" s="155" t="s">
        <v>258</v>
      </c>
      <c r="E204" s="156">
        <v>92</v>
      </c>
      <c r="F204" s="193" t="s">
        <v>258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300</v>
      </c>
      <c r="C205" s="229" t="s">
        <v>31</v>
      </c>
      <c r="D205" s="155" t="s">
        <v>258</v>
      </c>
      <c r="E205" s="156">
        <v>92</v>
      </c>
      <c r="F205" s="193" t="s">
        <v>258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301</v>
      </c>
      <c r="C206" s="229" t="s">
        <v>31</v>
      </c>
      <c r="D206" s="155" t="s">
        <v>258</v>
      </c>
      <c r="E206" s="156">
        <v>8591.7999999999993</v>
      </c>
      <c r="F206" s="193" t="s">
        <v>258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302</v>
      </c>
      <c r="C207" s="229" t="s">
        <v>31</v>
      </c>
      <c r="D207" s="155" t="s">
        <v>258</v>
      </c>
      <c r="E207" s="156">
        <v>10740.701999999999</v>
      </c>
      <c r="F207" s="193" t="s">
        <v>258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303</v>
      </c>
      <c r="C208" s="229" t="s">
        <v>31</v>
      </c>
      <c r="D208" s="155" t="s">
        <v>258</v>
      </c>
      <c r="E208" s="156">
        <v>26000</v>
      </c>
      <c r="F208" s="193" t="s">
        <v>261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304</v>
      </c>
      <c r="C209" s="229" t="s">
        <v>31</v>
      </c>
      <c r="D209" s="155" t="s">
        <v>258</v>
      </c>
      <c r="E209" s="156">
        <v>13000</v>
      </c>
      <c r="F209" s="193" t="s">
        <v>261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305</v>
      </c>
      <c r="C210" s="229" t="s">
        <v>31</v>
      </c>
      <c r="D210" s="155" t="s">
        <v>258</v>
      </c>
      <c r="E210" s="156">
        <v>7000</v>
      </c>
      <c r="F210" s="193" t="s">
        <v>306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307</v>
      </c>
      <c r="C211" s="229" t="s">
        <v>31</v>
      </c>
      <c r="D211" s="51" t="s">
        <v>257</v>
      </c>
      <c r="E211" s="46">
        <v>12000</v>
      </c>
      <c r="F211" s="193" t="s">
        <v>306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308</v>
      </c>
      <c r="C212" s="229" t="s">
        <v>31</v>
      </c>
      <c r="D212" s="155" t="s">
        <v>130</v>
      </c>
      <c r="E212" s="156">
        <v>7266.666666666667</v>
      </c>
      <c r="F212" s="193" t="s">
        <v>306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55</v>
      </c>
      <c r="C213" s="229" t="s">
        <v>31</v>
      </c>
      <c r="D213" s="155" t="s">
        <v>130</v>
      </c>
      <c r="E213" s="156">
        <v>7266.666666666667</v>
      </c>
      <c r="F213" s="193" t="s">
        <v>306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309</v>
      </c>
      <c r="C214" s="229" t="s">
        <v>31</v>
      </c>
      <c r="D214" s="155" t="s">
        <v>130</v>
      </c>
      <c r="E214" s="156">
        <v>7266.665</v>
      </c>
      <c r="F214" s="193" t="s">
        <v>306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310</v>
      </c>
      <c r="C215" s="229" t="s">
        <v>31</v>
      </c>
      <c r="D215" s="155" t="s">
        <v>257</v>
      </c>
      <c r="E215" s="156">
        <v>5000</v>
      </c>
      <c r="F215" s="193" t="s">
        <v>306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311</v>
      </c>
      <c r="C216" s="229" t="s">
        <v>31</v>
      </c>
      <c r="D216" s="155" t="s">
        <v>130</v>
      </c>
      <c r="E216" s="156">
        <v>2866.6666666666665</v>
      </c>
      <c r="F216" s="193" t="s">
        <v>130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312</v>
      </c>
      <c r="C217" s="229" t="s">
        <v>31</v>
      </c>
      <c r="D217" s="51" t="s">
        <v>130</v>
      </c>
      <c r="E217" s="46">
        <v>2866.6666666666665</v>
      </c>
      <c r="F217" s="193" t="s">
        <v>130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313</v>
      </c>
      <c r="C218" s="229" t="s">
        <v>31</v>
      </c>
      <c r="D218" s="51" t="s">
        <v>255</v>
      </c>
      <c r="E218" s="170">
        <v>8000</v>
      </c>
      <c r="F218" s="198" t="s">
        <v>261</v>
      </c>
      <c r="G218" s="42">
        <f>IF(BD!$E218="","",(E218/(H218*I218)))</f>
        <v>57.142857142857146</v>
      </c>
      <c r="H218" s="176">
        <v>140</v>
      </c>
      <c r="I218" s="8">
        <v>1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314</v>
      </c>
      <c r="C219" s="229" t="s">
        <v>31</v>
      </c>
      <c r="D219" s="51" t="s">
        <v>255</v>
      </c>
      <c r="E219" s="170">
        <v>10000</v>
      </c>
      <c r="F219" s="198" t="s">
        <v>261</v>
      </c>
      <c r="G219" s="42">
        <f>IF(BD!$E219="","",(E219/(H219*I219)))</f>
        <v>71.428571428571431</v>
      </c>
      <c r="H219" s="176">
        <v>140</v>
      </c>
      <c r="I219" s="8">
        <v>1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s="207" t="s">
        <v>315</v>
      </c>
      <c r="C220" s="229" t="s">
        <v>31</v>
      </c>
      <c r="D220" s="51" t="s">
        <v>223</v>
      </c>
      <c r="E220" s="170">
        <v>636792</v>
      </c>
      <c r="F220" s="198" t="s">
        <v>130</v>
      </c>
      <c r="G220" s="42">
        <f>IF(BD!$E220="","",(E220/(H220*I220)))</f>
        <v>53066</v>
      </c>
      <c r="H220" s="176">
        <v>12</v>
      </c>
      <c r="I220" s="8">
        <v>1</v>
      </c>
      <c r="J220" s="11" t="str">
        <f t="shared" si="11"/>
        <v>SME059</v>
      </c>
    </row>
    <row r="221" spans="1:10" ht="15" customHeight="1">
      <c r="A221" s="44">
        <f t="shared" si="12"/>
        <v>60</v>
      </c>
      <c r="B221" s="101" t="s">
        <v>316</v>
      </c>
      <c r="C221" s="229" t="s">
        <v>31</v>
      </c>
      <c r="D221" s="51" t="s">
        <v>288</v>
      </c>
      <c r="E221" s="46">
        <v>28.18</v>
      </c>
      <c r="F221" s="199" t="s">
        <v>288</v>
      </c>
      <c r="G221" s="42">
        <f>IF(BD!$E221="","",(E221/(H221*I221)))</f>
        <v>28.18</v>
      </c>
      <c r="H221" s="175">
        <v>1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t="s">
        <v>317</v>
      </c>
      <c r="C222" s="229" t="s">
        <v>31</v>
      </c>
      <c r="D222" s="51" t="s">
        <v>288</v>
      </c>
      <c r="E222" s="170">
        <v>2700</v>
      </c>
      <c r="F222" s="198" t="s">
        <v>288</v>
      </c>
      <c r="G222" s="42">
        <f>IF(BD!$E222="","",(E222/(H222*I222)))</f>
        <v>27</v>
      </c>
      <c r="H222" s="176">
        <v>100</v>
      </c>
      <c r="I222" s="176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318</v>
      </c>
      <c r="C223" s="229" t="s">
        <v>31</v>
      </c>
      <c r="D223" s="51" t="s">
        <v>288</v>
      </c>
      <c r="E223" s="170">
        <v>18.53</v>
      </c>
      <c r="F223" s="198" t="s">
        <v>288</v>
      </c>
      <c r="G223" s="42">
        <f>IF(BD!$E223="","",(E223/(H223*I223)))</f>
        <v>18.53</v>
      </c>
      <c r="H223" s="176">
        <v>1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47</v>
      </c>
      <c r="C224" s="229" t="s">
        <v>31</v>
      </c>
      <c r="D224" s="51" t="s">
        <v>258</v>
      </c>
      <c r="E224" s="170">
        <v>1800</v>
      </c>
      <c r="F224" s="198" t="s">
        <v>288</v>
      </c>
      <c r="G224" s="42">
        <f>IF(BD!$E224="","",(E224/(H224*I224)))</f>
        <v>18</v>
      </c>
      <c r="H224" s="176">
        <v>100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41</v>
      </c>
      <c r="C225" s="229" t="s">
        <v>31</v>
      </c>
      <c r="D225" s="51" t="s">
        <v>258</v>
      </c>
      <c r="E225" s="170">
        <v>1057</v>
      </c>
      <c r="F225" s="198" t="s">
        <v>258</v>
      </c>
      <c r="G225" s="42">
        <f>IF(BD!$E225="","",(E225/(H225*I225)))</f>
        <v>1057</v>
      </c>
      <c r="H225" s="176">
        <v>1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319</v>
      </c>
      <c r="C226" s="229" t="s">
        <v>31</v>
      </c>
      <c r="D226" s="51" t="s">
        <v>288</v>
      </c>
      <c r="E226" s="170">
        <v>18.53</v>
      </c>
      <c r="F226" s="198" t="s">
        <v>288</v>
      </c>
      <c r="G226" s="42">
        <f>IF(BD!$E226="","",(E226/(H226*I226)))</f>
        <v>18.53</v>
      </c>
      <c r="H226" s="176">
        <v>1</v>
      </c>
      <c r="I226" s="176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4">
        <f t="shared" si="12"/>
        <v>66</v>
      </c>
      <c r="B227" t="s">
        <v>320</v>
      </c>
      <c r="C227" s="229" t="s">
        <v>31</v>
      </c>
      <c r="D227" s="51" t="s">
        <v>288</v>
      </c>
      <c r="E227" s="170">
        <v>22.8</v>
      </c>
      <c r="F227" s="198" t="s">
        <v>288</v>
      </c>
      <c r="G227" s="42">
        <f>IF(BD!$E227="","",(E227/(H227*I227)))</f>
        <v>22.8</v>
      </c>
      <c r="H227" s="176">
        <v>1</v>
      </c>
      <c r="I227" s="176">
        <v>1</v>
      </c>
      <c r="J227" s="11" t="str">
        <f t="shared" si="13"/>
        <v>SME066</v>
      </c>
    </row>
    <row r="228" spans="1:10" ht="15" customHeight="1">
      <c r="A228" s="44">
        <f t="shared" si="12"/>
        <v>67</v>
      </c>
      <c r="B228" t="s">
        <v>321</v>
      </c>
      <c r="C228" s="229" t="s">
        <v>31</v>
      </c>
      <c r="D228" s="51" t="s">
        <v>288</v>
      </c>
      <c r="E228" s="170">
        <v>22.8</v>
      </c>
      <c r="F228" s="198" t="s">
        <v>288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v>1</v>
      </c>
      <c r="B229" t="s">
        <v>322</v>
      </c>
      <c r="C229" s="229" t="s">
        <v>31</v>
      </c>
      <c r="D229" s="51" t="s">
        <v>288</v>
      </c>
      <c r="E229" s="170">
        <v>14.73</v>
      </c>
      <c r="F229" s="198" t="s">
        <v>288</v>
      </c>
      <c r="G229" s="42">
        <f>IF(BD!$E229="","",(E229/(H229*I229)))</f>
        <v>14.73</v>
      </c>
      <c r="H229" s="176">
        <v>1</v>
      </c>
      <c r="I229" s="176">
        <v>1</v>
      </c>
      <c r="J229" s="11" t="str">
        <f t="shared" si="13"/>
        <v>SME001</v>
      </c>
    </row>
    <row r="230" spans="1:10" ht="15" customHeight="1">
      <c r="A230" s="44">
        <f t="shared" ref="A230:A245" si="14">A229+1</f>
        <v>2</v>
      </c>
      <c r="B230" t="s">
        <v>323</v>
      </c>
      <c r="C230" s="229" t="s">
        <v>31</v>
      </c>
      <c r="D230" s="51" t="s">
        <v>288</v>
      </c>
      <c r="E230" s="170">
        <v>14.73</v>
      </c>
      <c r="F230" s="198" t="s">
        <v>288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SME002</v>
      </c>
    </row>
    <row r="231" spans="1:10" ht="15" customHeight="1">
      <c r="A231" s="44">
        <f t="shared" si="14"/>
        <v>3</v>
      </c>
      <c r="B231" t="s">
        <v>324</v>
      </c>
      <c r="C231" s="229" t="s">
        <v>31</v>
      </c>
      <c r="D231" s="51" t="s">
        <v>258</v>
      </c>
      <c r="E231" s="170">
        <v>819.99999999999989</v>
      </c>
      <c r="F231" s="198" t="s">
        <v>258</v>
      </c>
      <c r="G231" s="42">
        <f>IF(BD!$E231="","",(E231/(H231*I231)))</f>
        <v>819.99999999999989</v>
      </c>
      <c r="H231" s="176">
        <v>1</v>
      </c>
      <c r="I231" s="176">
        <v>1</v>
      </c>
      <c r="J231" s="11" t="str">
        <f t="shared" si="13"/>
        <v>SME003</v>
      </c>
    </row>
    <row r="232" spans="1:10" ht="15" customHeight="1">
      <c r="A232" s="44">
        <f t="shared" si="14"/>
        <v>4</v>
      </c>
      <c r="B232" t="s">
        <v>39</v>
      </c>
      <c r="C232" s="229" t="s">
        <v>31</v>
      </c>
      <c r="D232" s="51" t="s">
        <v>258</v>
      </c>
      <c r="E232" s="170">
        <v>1170</v>
      </c>
      <c r="F232" s="198" t="s">
        <v>258</v>
      </c>
      <c r="G232" s="42">
        <f>IF(BD!$E232="","",(E232/(H232*I232)))</f>
        <v>1170</v>
      </c>
      <c r="H232" s="176">
        <v>1</v>
      </c>
      <c r="I232" s="176">
        <v>1</v>
      </c>
      <c r="J232" s="11" t="str">
        <f t="shared" si="13"/>
        <v>SME004</v>
      </c>
    </row>
    <row r="233" spans="1:10" ht="15" customHeight="1">
      <c r="A233" s="44">
        <f t="shared" si="14"/>
        <v>5</v>
      </c>
      <c r="B233" t="s">
        <v>325</v>
      </c>
      <c r="C233" s="229" t="s">
        <v>31</v>
      </c>
      <c r="D233" s="51" t="s">
        <v>258</v>
      </c>
      <c r="E233" s="170">
        <v>8000</v>
      </c>
      <c r="F233" s="198" t="s">
        <v>261</v>
      </c>
      <c r="G233" s="42">
        <f>IF(BD!$E233="","",(E233/(H233*I233)))</f>
        <v>80</v>
      </c>
      <c r="H233" s="176">
        <v>100</v>
      </c>
      <c r="I233" s="176">
        <v>1</v>
      </c>
      <c r="J233" s="11" t="str">
        <f t="shared" si="13"/>
        <v>SME005</v>
      </c>
    </row>
    <row r="234" spans="1:10" ht="15" customHeight="1">
      <c r="A234" s="44">
        <f t="shared" si="14"/>
        <v>6</v>
      </c>
      <c r="B234" t="s">
        <v>326</v>
      </c>
      <c r="C234" s="229" t="s">
        <v>31</v>
      </c>
      <c r="D234" s="51" t="s">
        <v>258</v>
      </c>
      <c r="E234" s="170">
        <v>11000</v>
      </c>
      <c r="F234" s="198" t="s">
        <v>261</v>
      </c>
      <c r="G234" s="42">
        <f>IF(BD!$E234="","",(E234/(H234*I234)))</f>
        <v>78.571428571428569</v>
      </c>
      <c r="H234" s="176">
        <v>140</v>
      </c>
      <c r="I234" s="176">
        <v>1</v>
      </c>
      <c r="J234" s="11" t="str">
        <f t="shared" si="13"/>
        <v>SME006</v>
      </c>
    </row>
    <row r="235" spans="1:10" ht="15" customHeight="1">
      <c r="A235" s="44">
        <f t="shared" si="14"/>
        <v>7</v>
      </c>
      <c r="B235" t="s">
        <v>327</v>
      </c>
      <c r="C235" s="229" t="s">
        <v>31</v>
      </c>
      <c r="D235" s="51" t="s">
        <v>258</v>
      </c>
      <c r="E235" s="170">
        <v>10858</v>
      </c>
      <c r="F235" s="198" t="s">
        <v>261</v>
      </c>
      <c r="G235" s="42">
        <f>IF(BD!$E235="","",(E235/(H235*I235)))</f>
        <v>77.557142857142864</v>
      </c>
      <c r="H235" s="176">
        <v>140</v>
      </c>
      <c r="I235" s="176">
        <v>1</v>
      </c>
      <c r="J235" s="11" t="str">
        <f t="shared" si="13"/>
        <v>SME007</v>
      </c>
    </row>
    <row r="236" spans="1:10" ht="15" customHeight="1">
      <c r="A236" s="44">
        <f t="shared" si="14"/>
        <v>8</v>
      </c>
      <c r="B236" t="s">
        <v>328</v>
      </c>
      <c r="C236" s="229" t="s">
        <v>31</v>
      </c>
      <c r="D236" s="51" t="s">
        <v>258</v>
      </c>
      <c r="E236" s="170">
        <v>13999.16</v>
      </c>
      <c r="F236" s="198" t="s">
        <v>258</v>
      </c>
      <c r="G236" s="42">
        <f>IF(BD!$E236="","",(E236/(H236*I236)))</f>
        <v>13999.16</v>
      </c>
      <c r="H236" s="176">
        <v>1</v>
      </c>
      <c r="I236" s="176">
        <v>1</v>
      </c>
      <c r="J236" s="11" t="str">
        <f t="shared" si="13"/>
        <v>SME008</v>
      </c>
    </row>
    <row r="237" spans="1:10" ht="15" customHeight="1">
      <c r="A237" s="44">
        <f t="shared" si="14"/>
        <v>9</v>
      </c>
      <c r="B237" s="205" t="s">
        <v>329</v>
      </c>
      <c r="C237" s="229" t="s">
        <v>31</v>
      </c>
      <c r="D237" s="51" t="s">
        <v>255</v>
      </c>
      <c r="E237" s="170"/>
      <c r="F237" s="198" t="s">
        <v>288</v>
      </c>
      <c r="G237" s="42" t="str">
        <f>IF(BD!$E237="","",(E237/(H237*I237)))</f>
        <v/>
      </c>
      <c r="H237" s="176">
        <v>1</v>
      </c>
      <c r="I237" s="176">
        <v>1</v>
      </c>
      <c r="J237" s="11" t="str">
        <f t="shared" si="13"/>
        <v>SME009</v>
      </c>
    </row>
    <row r="238" spans="1:10" ht="15" customHeight="1">
      <c r="A238" s="44">
        <f t="shared" si="14"/>
        <v>10</v>
      </c>
      <c r="B238" t="s">
        <v>330</v>
      </c>
      <c r="C238" s="229" t="s">
        <v>31</v>
      </c>
      <c r="D238" s="51" t="s">
        <v>233</v>
      </c>
      <c r="E238" s="170">
        <v>4776.666666666667</v>
      </c>
      <c r="F238" s="198" t="s">
        <v>130</v>
      </c>
      <c r="G238" s="42">
        <f>IF(BD!$E238="","",(E238/(H238*I238)))</f>
        <v>4776.666666666667</v>
      </c>
      <c r="H238" s="176">
        <v>1</v>
      </c>
      <c r="I238" s="176">
        <v>1</v>
      </c>
      <c r="J238" s="11" t="str">
        <f t="shared" si="13"/>
        <v>SME010</v>
      </c>
    </row>
    <row r="239" spans="1:10" ht="15" customHeight="1">
      <c r="A239" s="44">
        <f t="shared" si="14"/>
        <v>11</v>
      </c>
      <c r="B239" t="s">
        <v>331</v>
      </c>
      <c r="C239" s="229" t="s">
        <v>31</v>
      </c>
      <c r="D239" s="51" t="s">
        <v>258</v>
      </c>
      <c r="E239" s="46">
        <v>1035.3</v>
      </c>
      <c r="F239" s="199" t="s">
        <v>258</v>
      </c>
      <c r="G239" s="42">
        <f>IF(BD!$E239="","",(E239/(H239*I239)))</f>
        <v>1035.3</v>
      </c>
      <c r="H239" s="175">
        <v>1</v>
      </c>
      <c r="I239" s="8">
        <v>1</v>
      </c>
      <c r="J239" s="11" t="str">
        <f t="shared" si="13"/>
        <v>SME011</v>
      </c>
    </row>
    <row r="240" spans="1:10" ht="15" customHeight="1">
      <c r="A240" s="44">
        <f t="shared" si="14"/>
        <v>12</v>
      </c>
      <c r="B240" t="s">
        <v>332</v>
      </c>
      <c r="C240" s="229" t="s">
        <v>31</v>
      </c>
      <c r="D240" s="51" t="s">
        <v>257</v>
      </c>
      <c r="E240" s="46">
        <v>700</v>
      </c>
      <c r="F240" s="199" t="s">
        <v>288</v>
      </c>
      <c r="G240" s="42">
        <f>IF(BD!$E240="","",(E240/(H240*I240)))</f>
        <v>7</v>
      </c>
      <c r="H240" s="175">
        <v>100</v>
      </c>
      <c r="I240" s="146">
        <v>1</v>
      </c>
      <c r="J240" s="11" t="str">
        <f t="shared" si="13"/>
        <v>SME012</v>
      </c>
    </row>
    <row r="241" spans="1:10" ht="15" customHeight="1">
      <c r="A241" s="44">
        <f t="shared" si="14"/>
        <v>13</v>
      </c>
      <c r="B241" t="s">
        <v>333</v>
      </c>
      <c r="C241" s="229" t="s">
        <v>31</v>
      </c>
      <c r="D241" s="51" t="s">
        <v>257</v>
      </c>
      <c r="E241" s="46">
        <v>1100</v>
      </c>
      <c r="F241" s="199" t="s">
        <v>288</v>
      </c>
      <c r="G241" s="42">
        <f>IF(BD!$E241="","",(E241/(H241*I241)))</f>
        <v>11</v>
      </c>
      <c r="H241" s="175">
        <v>100</v>
      </c>
      <c r="I241" s="146">
        <v>1</v>
      </c>
      <c r="J241" s="11" t="str">
        <f t="shared" si="13"/>
        <v>SME013</v>
      </c>
    </row>
    <row r="242" spans="1:10" ht="15" customHeight="1">
      <c r="A242" s="44">
        <f t="shared" si="14"/>
        <v>14</v>
      </c>
      <c r="B242" t="s">
        <v>334</v>
      </c>
      <c r="C242" s="229" t="s">
        <v>31</v>
      </c>
      <c r="D242" s="51" t="s">
        <v>288</v>
      </c>
      <c r="E242" s="46">
        <v>1000</v>
      </c>
      <c r="F242" s="199" t="s">
        <v>288</v>
      </c>
      <c r="G242" s="42">
        <f>IF(BD!$E242="","",(E242/(H242*I242)))</f>
        <v>1000</v>
      </c>
      <c r="H242" s="175">
        <v>1</v>
      </c>
      <c r="I242" s="146">
        <v>1</v>
      </c>
      <c r="J242" s="147" t="str">
        <f t="shared" si="13"/>
        <v>SME014</v>
      </c>
    </row>
    <row r="243" spans="1:10" ht="15" customHeight="1">
      <c r="A243" s="44">
        <f t="shared" si="14"/>
        <v>15</v>
      </c>
      <c r="B243" s="205" t="s">
        <v>335</v>
      </c>
      <c r="C243" s="229" t="s">
        <v>31</v>
      </c>
      <c r="D243" s="51" t="s">
        <v>258</v>
      </c>
      <c r="E243" s="46">
        <v>700</v>
      </c>
      <c r="F243" s="199" t="s">
        <v>288</v>
      </c>
      <c r="G243" s="42">
        <f>IF(BD!$E243="","",(E243/(H243*I243)))</f>
        <v>7</v>
      </c>
      <c r="H243" s="175">
        <v>100</v>
      </c>
      <c r="I243" s="146">
        <v>1</v>
      </c>
      <c r="J243" s="147" t="str">
        <f t="shared" si="13"/>
        <v>SME015</v>
      </c>
    </row>
    <row r="244" spans="1:10" ht="15" customHeight="1">
      <c r="A244" s="44">
        <f t="shared" si="14"/>
        <v>16</v>
      </c>
      <c r="B244" t="s">
        <v>336</v>
      </c>
      <c r="C244" s="229" t="s">
        <v>31</v>
      </c>
      <c r="D244" s="51" t="s">
        <v>258</v>
      </c>
      <c r="E244" s="46">
        <v>84</v>
      </c>
      <c r="F244" s="199" t="s">
        <v>288</v>
      </c>
      <c r="G244" s="42">
        <f>IF(BD!$E244="","",(E244/(H244*I244)))</f>
        <v>84</v>
      </c>
      <c r="H244" s="175">
        <v>1</v>
      </c>
      <c r="I244" s="146">
        <v>1</v>
      </c>
      <c r="J244" s="147" t="str">
        <f t="shared" si="13"/>
        <v>SME016</v>
      </c>
    </row>
    <row r="245" spans="1:10" ht="15" customHeight="1">
      <c r="A245" s="44">
        <f t="shared" si="14"/>
        <v>17</v>
      </c>
      <c r="B245" t="s">
        <v>36</v>
      </c>
      <c r="C245" s="229" t="s">
        <v>31</v>
      </c>
      <c r="D245" s="51" t="s">
        <v>258</v>
      </c>
      <c r="E245" s="46">
        <v>10780</v>
      </c>
      <c r="F245" s="199" t="s">
        <v>261</v>
      </c>
      <c r="G245" s="42">
        <f>IF(BD!$E245="","",(E245/(H245*I245)))</f>
        <v>1.0780000000000001</v>
      </c>
      <c r="H245" s="175">
        <v>100</v>
      </c>
      <c r="I245" s="146">
        <v>100</v>
      </c>
      <c r="J245" s="147" t="str">
        <f t="shared" si="13"/>
        <v>SME017</v>
      </c>
    </row>
    <row r="246" spans="1:10" ht="15" customHeight="1">
      <c r="B246"/>
      <c r="C246"/>
      <c r="D246"/>
      <c r="E246"/>
      <c r="F246" s="194"/>
      <c r="H246"/>
      <c r="I246"/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 s="246"/>
      <c r="D249"/>
      <c r="E249"/>
      <c r="F249" s="194"/>
      <c r="H249"/>
      <c r="I249"/>
    </row>
    <row r="250" spans="1:10" ht="15" customHeight="1">
      <c r="B250"/>
      <c r="C250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C367"/>
      <c r="D367"/>
      <c r="E367"/>
      <c r="F367" s="194"/>
      <c r="H367"/>
      <c r="I367"/>
    </row>
    <row r="368" spans="2:9" ht="15" customHeight="1">
      <c r="B368"/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A514" s="82"/>
      <c r="B514" s="83" t="s">
        <v>137</v>
      </c>
      <c r="C514" s="82"/>
      <c r="D514" s="82"/>
      <c r="E514" s="82"/>
      <c r="F514" s="195"/>
      <c r="G514" s="82"/>
      <c r="H514" s="82"/>
      <c r="I514" s="82"/>
      <c r="J514" s="82"/>
    </row>
    <row r="515" spans="1:10" ht="15" customHeight="1">
      <c r="B515"/>
      <c r="C515"/>
      <c r="D515"/>
      <c r="E515"/>
      <c r="F515" s="194"/>
      <c r="H515"/>
      <c r="I515"/>
    </row>
    <row r="516" spans="1:10" ht="27.75" customHeight="1">
      <c r="A516" s="118" t="s">
        <v>112</v>
      </c>
      <c r="B516" s="190">
        <f>SUBTOTAL(3,(B518:B540))</f>
        <v>23</v>
      </c>
      <c r="C516" s="448"/>
      <c r="D516" s="448"/>
      <c r="E516"/>
      <c r="F516" s="194"/>
      <c r="H516"/>
      <c r="I516"/>
    </row>
    <row r="517" spans="1:10" ht="47.25">
      <c r="A517" s="122" t="s">
        <v>97</v>
      </c>
      <c r="B517" s="129" t="s">
        <v>114</v>
      </c>
      <c r="C517" s="123" t="s">
        <v>115</v>
      </c>
      <c r="D517" s="107" t="s">
        <v>116</v>
      </c>
      <c r="E517" s="72" t="s">
        <v>117</v>
      </c>
      <c r="F517" s="192" t="s">
        <v>118</v>
      </c>
      <c r="G517" s="74" t="s">
        <v>119</v>
      </c>
      <c r="H517" s="75" t="s">
        <v>120</v>
      </c>
      <c r="I517" s="75" t="s">
        <v>121</v>
      </c>
      <c r="J517" s="77" t="s">
        <v>122</v>
      </c>
    </row>
    <row r="518" spans="1:10" ht="15" customHeight="1">
      <c r="A518" s="44">
        <v>1</v>
      </c>
      <c r="B518" s="150" t="s">
        <v>337</v>
      </c>
      <c r="C518" s="229" t="s">
        <v>67</v>
      </c>
      <c r="D518" s="51" t="s">
        <v>338</v>
      </c>
      <c r="E518" s="46">
        <v>380</v>
      </c>
      <c r="F518" s="193" t="s">
        <v>338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4">
        <f t="shared" ref="A519:A540" si="16">A518+1</f>
        <v>2</v>
      </c>
      <c r="B519" s="151" t="s">
        <v>339</v>
      </c>
      <c r="C519" s="229" t="s">
        <v>67</v>
      </c>
      <c r="D519" s="53" t="s">
        <v>338</v>
      </c>
      <c r="E519" s="55">
        <v>848.47</v>
      </c>
      <c r="F519" s="54" t="s">
        <v>338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4">
        <f t="shared" si="16"/>
        <v>3</v>
      </c>
      <c r="B520" s="150" t="s">
        <v>340</v>
      </c>
      <c r="C520" s="229" t="s">
        <v>67</v>
      </c>
      <c r="D520" s="53" t="s">
        <v>338</v>
      </c>
      <c r="E520" s="46">
        <v>815</v>
      </c>
      <c r="F520" s="193" t="s">
        <v>338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4">
        <f t="shared" si="16"/>
        <v>4</v>
      </c>
      <c r="B521" s="150" t="s">
        <v>341</v>
      </c>
      <c r="C521" s="229" t="s">
        <v>67</v>
      </c>
      <c r="D521" s="53" t="s">
        <v>338</v>
      </c>
      <c r="E521" s="46">
        <v>623.66666666666663</v>
      </c>
      <c r="F521" s="193" t="s">
        <v>338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4">
        <f t="shared" si="16"/>
        <v>5</v>
      </c>
      <c r="B522" s="150" t="s">
        <v>342</v>
      </c>
      <c r="C522" s="229" t="s">
        <v>67</v>
      </c>
      <c r="D522" s="51" t="s">
        <v>338</v>
      </c>
      <c r="E522" s="46">
        <v>698.53</v>
      </c>
      <c r="F522" s="193" t="s">
        <v>338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4">
        <f t="shared" si="16"/>
        <v>6</v>
      </c>
      <c r="B523" s="150" t="s">
        <v>343</v>
      </c>
      <c r="C523" s="229" t="s">
        <v>67</v>
      </c>
      <c r="D523" s="51" t="s">
        <v>338</v>
      </c>
      <c r="E523" s="46">
        <v>390.66666666666669</v>
      </c>
      <c r="F523" s="193" t="s">
        <v>338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4">
        <f t="shared" si="16"/>
        <v>7</v>
      </c>
      <c r="B524" s="150" t="s">
        <v>344</v>
      </c>
      <c r="C524" s="229" t="s">
        <v>67</v>
      </c>
      <c r="D524" s="51" t="s">
        <v>338</v>
      </c>
      <c r="E524" s="46">
        <v>477.19</v>
      </c>
      <c r="F524" s="54" t="s">
        <v>338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4">
        <f t="shared" si="16"/>
        <v>8</v>
      </c>
      <c r="B525" s="150" t="s">
        <v>345</v>
      </c>
      <c r="C525" s="229" t="s">
        <v>67</v>
      </c>
      <c r="D525" s="51" t="s">
        <v>338</v>
      </c>
      <c r="E525" s="46">
        <v>998.41</v>
      </c>
      <c r="F525" s="193" t="s">
        <v>338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4">
        <f t="shared" si="16"/>
        <v>9</v>
      </c>
      <c r="B526" s="150" t="s">
        <v>346</v>
      </c>
      <c r="C526" s="229" t="s">
        <v>67</v>
      </c>
      <c r="D526" s="51" t="s">
        <v>338</v>
      </c>
      <c r="E526" s="46">
        <v>898.44999999999993</v>
      </c>
      <c r="F526" s="193" t="s">
        <v>338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4">
        <f t="shared" si="16"/>
        <v>10</v>
      </c>
      <c r="B527" s="150" t="s">
        <v>347</v>
      </c>
      <c r="C527" s="229" t="s">
        <v>67</v>
      </c>
      <c r="D527" s="225" t="s">
        <v>338</v>
      </c>
      <c r="E527" s="227">
        <v>1500</v>
      </c>
      <c r="F527" s="179" t="s">
        <v>338</v>
      </c>
      <c r="G527" s="9">
        <f>IF(BD!$E527="","",(E527/(H527*I527)))</f>
        <v>1500</v>
      </c>
      <c r="H527" s="180">
        <v>1</v>
      </c>
      <c r="I527" s="180">
        <v>1</v>
      </c>
      <c r="J527" s="101" t="str">
        <f t="shared" si="15"/>
        <v>C_010</v>
      </c>
    </row>
    <row r="528" spans="1:10" ht="15" customHeight="1">
      <c r="A528" s="44">
        <f t="shared" si="16"/>
        <v>11</v>
      </c>
      <c r="B528" s="41" t="s">
        <v>348</v>
      </c>
      <c r="C528" s="229" t="s">
        <v>67</v>
      </c>
      <c r="D528" s="51" t="s">
        <v>338</v>
      </c>
      <c r="E528" s="226">
        <v>53371.5</v>
      </c>
      <c r="F528" s="54" t="s">
        <v>338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4">
        <f t="shared" si="16"/>
        <v>12</v>
      </c>
      <c r="B529" s="150" t="s">
        <v>349</v>
      </c>
      <c r="C529" s="229" t="s">
        <v>67</v>
      </c>
      <c r="D529" s="51" t="s">
        <v>338</v>
      </c>
      <c r="E529" s="46">
        <v>897.26</v>
      </c>
      <c r="F529" s="193" t="s">
        <v>338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4">
        <f t="shared" si="16"/>
        <v>13</v>
      </c>
      <c r="B530" s="150" t="s">
        <v>350</v>
      </c>
      <c r="C530" s="229" t="s">
        <v>67</v>
      </c>
      <c r="D530" s="56" t="s">
        <v>338</v>
      </c>
      <c r="E530" s="46">
        <v>1673.3335</v>
      </c>
      <c r="F530" s="193" t="s">
        <v>338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4">
        <f t="shared" si="16"/>
        <v>14</v>
      </c>
      <c r="B531" s="151" t="s">
        <v>351</v>
      </c>
      <c r="C531" s="229" t="s">
        <v>67</v>
      </c>
      <c r="D531" s="53" t="s">
        <v>338</v>
      </c>
      <c r="E531" s="48">
        <v>250</v>
      </c>
      <c r="F531" s="54" t="s">
        <v>338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4">
        <f t="shared" si="16"/>
        <v>15</v>
      </c>
      <c r="B532" s="151" t="s">
        <v>352</v>
      </c>
      <c r="C532" s="229" t="s">
        <v>67</v>
      </c>
      <c r="D532" s="53" t="s">
        <v>338</v>
      </c>
      <c r="E532" s="55">
        <v>898.45</v>
      </c>
      <c r="F532" s="54" t="s">
        <v>338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4">
        <f t="shared" si="16"/>
        <v>16</v>
      </c>
      <c r="B533" s="151" t="s">
        <v>353</v>
      </c>
      <c r="C533" s="229" t="s">
        <v>67</v>
      </c>
      <c r="D533" s="53" t="s">
        <v>338</v>
      </c>
      <c r="E533" s="55">
        <v>898.45</v>
      </c>
      <c r="F533" s="54" t="s">
        <v>338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4">
        <f t="shared" si="16"/>
        <v>17</v>
      </c>
      <c r="B534" s="152" t="s">
        <v>354</v>
      </c>
      <c r="C534" s="229" t="s">
        <v>67</v>
      </c>
      <c r="D534" s="224" t="s">
        <v>338</v>
      </c>
      <c r="E534" s="149">
        <v>549.78</v>
      </c>
      <c r="F534" s="54" t="s">
        <v>338</v>
      </c>
      <c r="G534" s="9">
        <f>IF(BD!$E534="","",(E534/(H534*I534)))</f>
        <v>549.78</v>
      </c>
      <c r="H534" s="8">
        <v>1</v>
      </c>
      <c r="I534" s="8">
        <v>1</v>
      </c>
      <c r="J534" s="147" t="str">
        <f t="shared" si="15"/>
        <v>C_017</v>
      </c>
    </row>
    <row r="535" spans="1:10" ht="15" customHeight="1">
      <c r="A535" s="44">
        <f t="shared" si="16"/>
        <v>18</v>
      </c>
      <c r="B535" s="152" t="s">
        <v>355</v>
      </c>
      <c r="C535" s="229" t="s">
        <v>67</v>
      </c>
      <c r="D535" s="224" t="s">
        <v>338</v>
      </c>
      <c r="E535" s="228">
        <v>357</v>
      </c>
      <c r="F535" s="54" t="s">
        <v>338</v>
      </c>
      <c r="G535" s="9">
        <f>IF(BD!$E535="","",(E535/(H535*I535)))</f>
        <v>357</v>
      </c>
      <c r="H535" s="8">
        <v>1</v>
      </c>
      <c r="I535" s="8">
        <v>1</v>
      </c>
      <c r="J535" s="147" t="str">
        <f t="shared" si="15"/>
        <v>C_018</v>
      </c>
    </row>
    <row r="536" spans="1:10" ht="15" customHeight="1">
      <c r="A536" s="44">
        <f t="shared" si="16"/>
        <v>19</v>
      </c>
      <c r="B536" s="152" t="s">
        <v>356</v>
      </c>
      <c r="C536" s="229" t="s">
        <v>67</v>
      </c>
      <c r="D536" s="224" t="s">
        <v>338</v>
      </c>
      <c r="E536" s="149">
        <v>998.41</v>
      </c>
      <c r="F536" s="54" t="s">
        <v>338</v>
      </c>
      <c r="G536" s="9">
        <f>IF(BD!$E536="","",(E536/(H536*I536)))</f>
        <v>998.41</v>
      </c>
      <c r="H536" s="8">
        <v>1</v>
      </c>
      <c r="I536" s="8">
        <v>1</v>
      </c>
      <c r="J536" s="147" t="str">
        <f t="shared" si="15"/>
        <v>C_019</v>
      </c>
    </row>
    <row r="537" spans="1:10" ht="15" customHeight="1">
      <c r="A537" s="44">
        <f t="shared" si="16"/>
        <v>20</v>
      </c>
      <c r="B537" s="152" t="s">
        <v>357</v>
      </c>
      <c r="C537" s="229" t="s">
        <v>67</v>
      </c>
      <c r="D537" s="148" t="s">
        <v>338</v>
      </c>
      <c r="E537" s="149">
        <v>898.45</v>
      </c>
      <c r="F537" s="57" t="s">
        <v>338</v>
      </c>
      <c r="G537" s="9">
        <f>IF(BD!$E537="","",(E537/(H537*I537)))</f>
        <v>898.45</v>
      </c>
      <c r="H537" s="8">
        <v>1</v>
      </c>
      <c r="I537" s="8">
        <v>1</v>
      </c>
      <c r="J537" s="147" t="str">
        <f t="shared" si="15"/>
        <v>C_020</v>
      </c>
    </row>
    <row r="538" spans="1:10" ht="15" customHeight="1">
      <c r="A538" s="44">
        <f t="shared" si="16"/>
        <v>21</v>
      </c>
      <c r="B538" s="152" t="s">
        <v>358</v>
      </c>
      <c r="C538" s="229" t="s">
        <v>67</v>
      </c>
      <c r="D538" s="177" t="s">
        <v>338</v>
      </c>
      <c r="E538" s="178">
        <v>1200</v>
      </c>
      <c r="F538" s="179" t="s">
        <v>338</v>
      </c>
      <c r="G538" s="9">
        <f>IF(BD!$E538="","",(E538/(H538*I538)))</f>
        <v>1200</v>
      </c>
      <c r="H538" s="180">
        <v>1</v>
      </c>
      <c r="I538" s="180">
        <v>1</v>
      </c>
      <c r="J538" s="181" t="str">
        <f t="shared" si="15"/>
        <v>C_021</v>
      </c>
    </row>
    <row r="539" spans="1:10" ht="15" customHeight="1">
      <c r="A539" s="44">
        <f t="shared" si="16"/>
        <v>22</v>
      </c>
      <c r="B539" s="153" t="s">
        <v>359</v>
      </c>
      <c r="C539" s="229" t="s">
        <v>67</v>
      </c>
      <c r="D539" s="148" t="s">
        <v>338</v>
      </c>
      <c r="E539" s="145">
        <v>1217</v>
      </c>
      <c r="F539" s="193" t="s">
        <v>338</v>
      </c>
      <c r="G539" s="9">
        <f>IF(BD!$E539="","",(E539/(H539*I539)))</f>
        <v>1217</v>
      </c>
      <c r="H539" s="8">
        <v>1</v>
      </c>
      <c r="I539" s="8">
        <v>1</v>
      </c>
      <c r="J539" s="147" t="str">
        <f t="shared" si="15"/>
        <v>C_022</v>
      </c>
    </row>
    <row r="540" spans="1:10" ht="15" customHeight="1">
      <c r="A540" s="44">
        <f t="shared" si="16"/>
        <v>23</v>
      </c>
      <c r="B540" s="152" t="s">
        <v>360</v>
      </c>
      <c r="C540" s="229" t="s">
        <v>67</v>
      </c>
      <c r="D540" s="148" t="s">
        <v>338</v>
      </c>
      <c r="E540" s="149">
        <v>759.22</v>
      </c>
      <c r="F540" s="54" t="s">
        <v>338</v>
      </c>
      <c r="G540" s="9">
        <f>IF(BD!$E540="","",(E540/(H540*I540)))</f>
        <v>759.22</v>
      </c>
      <c r="H540" s="8">
        <v>1</v>
      </c>
      <c r="I540" s="8">
        <v>1</v>
      </c>
      <c r="J540" s="147" t="str">
        <f t="shared" si="15"/>
        <v>C_023</v>
      </c>
    </row>
    <row r="541" spans="1:10" ht="15" customHeight="1">
      <c r="A541" s="1"/>
      <c r="B541" s="1"/>
      <c r="D541"/>
      <c r="E541"/>
      <c r="F541" s="194"/>
      <c r="H541"/>
      <c r="I541"/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10" ht="15" customHeight="1">
      <c r="A545" s="1"/>
      <c r="B545" s="1"/>
      <c r="D545"/>
      <c r="E545"/>
      <c r="F545" s="194"/>
      <c r="H545"/>
      <c r="I545"/>
    </row>
    <row r="546" spans="1:10" ht="15" customHeight="1">
      <c r="A546" s="1"/>
      <c r="B546" s="1"/>
      <c r="D546"/>
      <c r="E546"/>
      <c r="F546" s="194"/>
      <c r="H546"/>
      <c r="I546"/>
    </row>
    <row r="547" spans="1:10" ht="15" customHeight="1">
      <c r="A547" s="1"/>
      <c r="B547" s="1"/>
      <c r="D547"/>
      <c r="E547"/>
      <c r="F547" s="194"/>
      <c r="H547"/>
      <c r="I547"/>
    </row>
    <row r="548" spans="1:10" ht="15" customHeight="1">
      <c r="A548" s="1"/>
      <c r="B548" s="1"/>
      <c r="D548"/>
      <c r="E548"/>
      <c r="F548" s="194"/>
      <c r="H548"/>
      <c r="I548"/>
    </row>
    <row r="549" spans="1:10" ht="15" customHeight="1">
      <c r="A549" s="1"/>
      <c r="B549" s="1"/>
      <c r="D549"/>
      <c r="E549"/>
      <c r="F549" s="194"/>
      <c r="H549"/>
      <c r="I549"/>
    </row>
    <row r="550" spans="1:10" ht="15" customHeight="1">
      <c r="A550" s="1"/>
      <c r="B550" s="1"/>
      <c r="D550"/>
      <c r="E550"/>
      <c r="F550" s="194"/>
      <c r="H550"/>
      <c r="I550"/>
    </row>
    <row r="551" spans="1:10" ht="15" customHeight="1">
      <c r="A551" s="1"/>
      <c r="B551" s="1"/>
      <c r="D551"/>
      <c r="E551"/>
      <c r="F551" s="194"/>
      <c r="H551"/>
      <c r="I551"/>
    </row>
    <row r="552" spans="1:10" ht="15" customHeight="1">
      <c r="A552" s="1"/>
      <c r="B552" s="1"/>
      <c r="D552"/>
      <c r="E552"/>
      <c r="F552" s="194"/>
      <c r="H552"/>
      <c r="I552"/>
    </row>
    <row r="553" spans="1:10" ht="15" customHeight="1">
      <c r="A553" s="1"/>
      <c r="B553" s="1"/>
      <c r="D553"/>
      <c r="E553"/>
      <c r="F553" s="194"/>
      <c r="H553"/>
      <c r="I553"/>
    </row>
    <row r="554" spans="1:10" ht="15" customHeight="1">
      <c r="A554" s="1"/>
      <c r="B554" s="1"/>
      <c r="D554"/>
      <c r="E554"/>
      <c r="F554" s="194"/>
      <c r="H554"/>
      <c r="I554"/>
    </row>
    <row r="555" spans="1:10" ht="15" customHeight="1">
      <c r="A555" s="1"/>
      <c r="B555" s="1"/>
      <c r="D555"/>
      <c r="E555"/>
      <c r="F555" s="194"/>
      <c r="H555"/>
      <c r="I555"/>
    </row>
    <row r="556" spans="1:10" ht="15" customHeight="1">
      <c r="A556" s="1"/>
      <c r="B556" s="1"/>
      <c r="D556"/>
      <c r="E556"/>
      <c r="F556" s="194"/>
      <c r="H556"/>
      <c r="I556"/>
    </row>
    <row r="557" spans="1:10" ht="15" customHeight="1">
      <c r="A557" s="1"/>
      <c r="B557" s="1"/>
      <c r="D557"/>
      <c r="E557"/>
      <c r="F557" s="194"/>
      <c r="H557"/>
      <c r="I557"/>
    </row>
    <row r="558" spans="1:10" ht="15" customHeight="1">
      <c r="A558" s="1"/>
      <c r="B558" s="1"/>
      <c r="D558"/>
      <c r="E558"/>
      <c r="F558" s="194"/>
      <c r="H558"/>
      <c r="I558"/>
    </row>
    <row r="559" spans="1:10" ht="15" customHeight="1">
      <c r="A559" s="1"/>
      <c r="B559" s="1"/>
      <c r="D559"/>
      <c r="E559"/>
      <c r="F559" s="194"/>
      <c r="H559"/>
      <c r="I559"/>
    </row>
    <row r="560" spans="1:10" ht="17.25" customHeight="1">
      <c r="A560" s="82"/>
      <c r="B560" s="83" t="s">
        <v>137</v>
      </c>
      <c r="C560" s="82"/>
      <c r="D560" s="82"/>
      <c r="E560" s="82"/>
      <c r="F560" s="195"/>
      <c r="G560" s="82"/>
      <c r="H560" s="82"/>
      <c r="I560" s="82"/>
      <c r="J560" s="82"/>
    </row>
    <row r="561" spans="1:10" ht="15" customHeight="1">
      <c r="A561" s="1"/>
      <c r="B561" s="1"/>
      <c r="D561"/>
      <c r="E561"/>
      <c r="F561" s="194"/>
      <c r="H561"/>
      <c r="I561"/>
    </row>
    <row r="562" spans="1:10" ht="25.5" customHeight="1">
      <c r="A562" s="130" t="s">
        <v>112</v>
      </c>
      <c r="B562" s="221">
        <f>SUBTOTAL(3,(B564:B984))</f>
        <v>421</v>
      </c>
      <c r="C562" s="449"/>
      <c r="D562" s="450"/>
      <c r="E562"/>
      <c r="F562" s="194"/>
      <c r="H562"/>
      <c r="I562"/>
    </row>
    <row r="563" spans="1:10" ht="47.25">
      <c r="A563" s="76" t="s">
        <v>97</v>
      </c>
      <c r="B563" s="183" t="s">
        <v>114</v>
      </c>
      <c r="C563" s="69" t="s">
        <v>115</v>
      </c>
      <c r="D563" s="70" t="s">
        <v>116</v>
      </c>
      <c r="E563" s="72" t="s">
        <v>117</v>
      </c>
      <c r="F563" s="192" t="s">
        <v>118</v>
      </c>
      <c r="G563" s="74" t="s">
        <v>119</v>
      </c>
      <c r="H563" s="75" t="s">
        <v>120</v>
      </c>
      <c r="I563" s="184" t="s">
        <v>121</v>
      </c>
      <c r="J563" s="78" t="s">
        <v>122</v>
      </c>
    </row>
    <row r="564" spans="1:10" ht="15" customHeight="1">
      <c r="A564" s="44">
        <v>1</v>
      </c>
      <c r="B564" s="245" t="s">
        <v>361</v>
      </c>
      <c r="C564" s="229" t="s">
        <v>34</v>
      </c>
      <c r="D564" s="51" t="s">
        <v>130</v>
      </c>
      <c r="E564" s="46">
        <v>304.64</v>
      </c>
      <c r="F564" s="193" t="s">
        <v>130</v>
      </c>
      <c r="G564" s="9">
        <f>IF(Tabla9[[#This Row],[Precio
Unidad de Compra ( $)]]="","",(E564/(H564*I564)))</f>
        <v>304.64</v>
      </c>
      <c r="H564" s="8">
        <v>1</v>
      </c>
      <c r="I564" s="185">
        <v>1</v>
      </c>
      <c r="J564" s="79" t="str">
        <f t="shared" ref="J564:J627" si="17">IFERROR(CONCATENATE(LEFT(C564,1),"_",TEXT(A564,"000")),"")</f>
        <v>H_001</v>
      </c>
    </row>
    <row r="565" spans="1:10" ht="15" customHeight="1">
      <c r="A565" s="44">
        <f t="shared" ref="A565:A628" si="18">A564+1</f>
        <v>2</v>
      </c>
      <c r="B565" s="245" t="s">
        <v>362</v>
      </c>
      <c r="C565" s="229" t="s">
        <v>34</v>
      </c>
      <c r="D565" s="51" t="s">
        <v>130</v>
      </c>
      <c r="E565" s="58">
        <v>3356</v>
      </c>
      <c r="F565" s="200" t="s">
        <v>130</v>
      </c>
      <c r="G565" s="9">
        <f>IF(Tabla9[[#This Row],[Precio
Unidad de Compra ( $)]]="","",(E565/(H565*I565)))</f>
        <v>3356</v>
      </c>
      <c r="H565" s="8">
        <v>1</v>
      </c>
      <c r="I565" s="185">
        <v>1</v>
      </c>
      <c r="J565" s="79" t="str">
        <f t="shared" si="17"/>
        <v>H_002</v>
      </c>
    </row>
    <row r="566" spans="1:10" ht="15" customHeight="1">
      <c r="A566" s="44">
        <f t="shared" si="18"/>
        <v>3</v>
      </c>
      <c r="B566" s="245" t="s">
        <v>363</v>
      </c>
      <c r="C566" s="229" t="s">
        <v>34</v>
      </c>
      <c r="D566" s="51" t="s">
        <v>130</v>
      </c>
      <c r="E566" s="58">
        <v>304.64</v>
      </c>
      <c r="F566" s="200" t="s">
        <v>130</v>
      </c>
      <c r="G566" s="9">
        <f>IF(Tabla9[[#This Row],[Precio
Unidad de Compra ( $)]]="","",(E566/(H566*I566)))</f>
        <v>304.64</v>
      </c>
      <c r="H566" s="8">
        <v>1</v>
      </c>
      <c r="I566" s="185">
        <v>1</v>
      </c>
      <c r="J566" s="79" t="str">
        <f t="shared" si="17"/>
        <v>H_003</v>
      </c>
    </row>
    <row r="567" spans="1:10" ht="15" customHeight="1">
      <c r="A567" s="44">
        <f t="shared" si="18"/>
        <v>4</v>
      </c>
      <c r="B567" s="245" t="s">
        <v>364</v>
      </c>
      <c r="C567" s="229" t="s">
        <v>34</v>
      </c>
      <c r="D567" s="51" t="s">
        <v>130</v>
      </c>
      <c r="E567" s="46">
        <v>304.64</v>
      </c>
      <c r="F567" s="193" t="s">
        <v>130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7"/>
        <v>H_004</v>
      </c>
    </row>
    <row r="568" spans="1:10" ht="15" customHeight="1">
      <c r="A568" s="44">
        <f t="shared" si="18"/>
        <v>5</v>
      </c>
      <c r="B568" s="245" t="s">
        <v>365</v>
      </c>
      <c r="C568" s="229" t="s">
        <v>34</v>
      </c>
      <c r="D568" s="51" t="s">
        <v>130</v>
      </c>
      <c r="E568" s="58">
        <v>304.64</v>
      </c>
      <c r="F568" s="200" t="s">
        <v>130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7"/>
        <v>H_005</v>
      </c>
    </row>
    <row r="569" spans="1:10" ht="15" customHeight="1">
      <c r="A569" s="44">
        <f t="shared" si="18"/>
        <v>6</v>
      </c>
      <c r="B569" s="245" t="s">
        <v>366</v>
      </c>
      <c r="C569" s="229" t="s">
        <v>34</v>
      </c>
      <c r="D569" s="51" t="s">
        <v>130</v>
      </c>
      <c r="E569" s="46">
        <v>304.64</v>
      </c>
      <c r="F569" s="193" t="s">
        <v>130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7"/>
        <v>H_006</v>
      </c>
    </row>
    <row r="570" spans="1:10" ht="15" customHeight="1">
      <c r="A570" s="44">
        <f t="shared" si="18"/>
        <v>7</v>
      </c>
      <c r="B570" s="245" t="s">
        <v>367</v>
      </c>
      <c r="C570" s="229" t="s">
        <v>34</v>
      </c>
      <c r="D570" s="51" t="s">
        <v>130</v>
      </c>
      <c r="E570" s="58">
        <v>304.64</v>
      </c>
      <c r="F570" s="200" t="s">
        <v>130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7"/>
        <v>H_007</v>
      </c>
    </row>
    <row r="571" spans="1:10" ht="15" customHeight="1">
      <c r="A571" s="44">
        <f t="shared" si="18"/>
        <v>8</v>
      </c>
      <c r="B571" s="245" t="s">
        <v>368</v>
      </c>
      <c r="C571" s="229" t="s">
        <v>34</v>
      </c>
      <c r="D571" s="51" t="s">
        <v>130</v>
      </c>
      <c r="E571" s="46">
        <v>304.64</v>
      </c>
      <c r="F571" s="193" t="s">
        <v>130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7"/>
        <v>H_008</v>
      </c>
    </row>
    <row r="572" spans="1:10" ht="15" customHeight="1">
      <c r="A572" s="44">
        <f t="shared" si="18"/>
        <v>9</v>
      </c>
      <c r="B572" s="39" t="s">
        <v>369</v>
      </c>
      <c r="C572" s="229" t="s">
        <v>34</v>
      </c>
      <c r="D572" s="51" t="s">
        <v>130</v>
      </c>
      <c r="E572" s="46">
        <v>304.64</v>
      </c>
      <c r="F572" s="193" t="s">
        <v>130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7"/>
        <v>H_009</v>
      </c>
    </row>
    <row r="573" spans="1:10" ht="15" customHeight="1">
      <c r="A573" s="44">
        <f t="shared" si="18"/>
        <v>10</v>
      </c>
      <c r="B573" s="39" t="s">
        <v>370</v>
      </c>
      <c r="C573" s="229" t="s">
        <v>34</v>
      </c>
      <c r="D573" s="51" t="s">
        <v>130</v>
      </c>
      <c r="E573" s="58">
        <v>304.64</v>
      </c>
      <c r="F573" s="200" t="s">
        <v>130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7"/>
        <v>H_010</v>
      </c>
    </row>
    <row r="574" spans="1:10" ht="15" customHeight="1">
      <c r="A574" s="44">
        <f t="shared" si="18"/>
        <v>11</v>
      </c>
      <c r="B574" s="39" t="s">
        <v>371</v>
      </c>
      <c r="C574" s="229" t="s">
        <v>34</v>
      </c>
      <c r="D574" s="51" t="s">
        <v>130</v>
      </c>
      <c r="E574" s="46">
        <v>2400</v>
      </c>
      <c r="F574" s="193" t="s">
        <v>130</v>
      </c>
      <c r="G574" s="9">
        <f>IF(Tabla9[[#This Row],[Precio
Unidad de Compra ( $)]]="","",(E574/(H574*I574)))</f>
        <v>2400</v>
      </c>
      <c r="H574" s="8">
        <v>1</v>
      </c>
      <c r="I574" s="185">
        <v>1</v>
      </c>
      <c r="J574" s="79" t="str">
        <f t="shared" si="17"/>
        <v>H_011</v>
      </c>
    </row>
    <row r="575" spans="1:10" ht="15" customHeight="1">
      <c r="A575" s="44">
        <f t="shared" si="18"/>
        <v>12</v>
      </c>
      <c r="B575" s="39" t="s">
        <v>372</v>
      </c>
      <c r="C575" s="229" t="s">
        <v>34</v>
      </c>
      <c r="D575" s="51" t="s">
        <v>130</v>
      </c>
      <c r="E575" s="46">
        <v>2400</v>
      </c>
      <c r="F575" s="193" t="s">
        <v>130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7"/>
        <v>H_012</v>
      </c>
    </row>
    <row r="576" spans="1:10" ht="15" customHeight="1">
      <c r="A576" s="44">
        <f t="shared" si="18"/>
        <v>13</v>
      </c>
      <c r="B576" s="39" t="s">
        <v>373</v>
      </c>
      <c r="C576" s="229" t="s">
        <v>34</v>
      </c>
      <c r="D576" s="51" t="s">
        <v>130</v>
      </c>
      <c r="E576" s="46">
        <v>2400</v>
      </c>
      <c r="F576" s="193" t="s">
        <v>130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7"/>
        <v>H_013</v>
      </c>
    </row>
    <row r="577" spans="1:10" ht="15" customHeight="1">
      <c r="A577" s="44">
        <f t="shared" si="18"/>
        <v>14</v>
      </c>
      <c r="B577" s="39" t="s">
        <v>374</v>
      </c>
      <c r="C577" s="229" t="s">
        <v>34</v>
      </c>
      <c r="D577" s="51" t="s">
        <v>130</v>
      </c>
      <c r="E577" s="46">
        <v>2400</v>
      </c>
      <c r="F577" s="193" t="s">
        <v>130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7"/>
        <v>H_014</v>
      </c>
    </row>
    <row r="578" spans="1:10" ht="15" customHeight="1">
      <c r="A578" s="44">
        <f t="shared" si="18"/>
        <v>15</v>
      </c>
      <c r="B578" s="39" t="s">
        <v>375</v>
      </c>
      <c r="C578" s="229" t="s">
        <v>34</v>
      </c>
      <c r="D578" s="51" t="s">
        <v>130</v>
      </c>
      <c r="E578" s="46">
        <v>2400</v>
      </c>
      <c r="F578" s="193" t="s">
        <v>130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7"/>
        <v>H_015</v>
      </c>
    </row>
    <row r="579" spans="1:10" ht="15" customHeight="1">
      <c r="A579" s="44">
        <f t="shared" si="18"/>
        <v>16</v>
      </c>
      <c r="B579" s="39" t="s">
        <v>376</v>
      </c>
      <c r="C579" s="229" t="s">
        <v>34</v>
      </c>
      <c r="D579" s="51" t="s">
        <v>130</v>
      </c>
      <c r="E579" s="46">
        <v>2400</v>
      </c>
      <c r="F579" s="193" t="s">
        <v>130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7"/>
        <v>H_016</v>
      </c>
    </row>
    <row r="580" spans="1:10" ht="15" customHeight="1">
      <c r="A580" s="44">
        <f t="shared" si="18"/>
        <v>17</v>
      </c>
      <c r="B580" s="39" t="s">
        <v>377</v>
      </c>
      <c r="C580" s="229" t="s">
        <v>34</v>
      </c>
      <c r="D580" s="51" t="s">
        <v>130</v>
      </c>
      <c r="E580" s="46">
        <v>304.64</v>
      </c>
      <c r="F580" s="200" t="s">
        <v>130</v>
      </c>
      <c r="G580" s="9">
        <f>IF(Tabla9[[#This Row],[Precio
Unidad de Compra ( $)]]="","",(E580/(H580*I580)))</f>
        <v>304.64</v>
      </c>
      <c r="H580" s="8">
        <v>1</v>
      </c>
      <c r="I580" s="185">
        <v>1</v>
      </c>
      <c r="J580" s="79" t="str">
        <f t="shared" si="17"/>
        <v>H_017</v>
      </c>
    </row>
    <row r="581" spans="1:10" ht="15" customHeight="1">
      <c r="A581" s="44">
        <f t="shared" si="18"/>
        <v>18</v>
      </c>
      <c r="B581" s="39" t="s">
        <v>378</v>
      </c>
      <c r="C581" s="229" t="s">
        <v>34</v>
      </c>
      <c r="D581" s="51" t="s">
        <v>130</v>
      </c>
      <c r="E581" s="46">
        <v>304.64</v>
      </c>
      <c r="F581" s="193" t="s">
        <v>130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7"/>
        <v>H_018</v>
      </c>
    </row>
    <row r="582" spans="1:10" ht="15" customHeight="1">
      <c r="A582" s="44">
        <f t="shared" si="18"/>
        <v>19</v>
      </c>
      <c r="B582" s="39" t="s">
        <v>379</v>
      </c>
      <c r="C582" s="229" t="s">
        <v>34</v>
      </c>
      <c r="D582" s="51" t="s">
        <v>130</v>
      </c>
      <c r="E582" s="46">
        <v>304.64</v>
      </c>
      <c r="F582" s="193" t="s">
        <v>130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7"/>
        <v>H_019</v>
      </c>
    </row>
    <row r="583" spans="1:10" ht="15" customHeight="1">
      <c r="A583" s="44">
        <f t="shared" si="18"/>
        <v>20</v>
      </c>
      <c r="B583" s="39" t="s">
        <v>380</v>
      </c>
      <c r="C583" s="229" t="s">
        <v>34</v>
      </c>
      <c r="D583" s="51" t="s">
        <v>130</v>
      </c>
      <c r="E583" s="46">
        <v>304.64</v>
      </c>
      <c r="F583" s="193" t="s">
        <v>130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7"/>
        <v>H_020</v>
      </c>
    </row>
    <row r="584" spans="1:10" ht="15" customHeight="1">
      <c r="A584" s="44">
        <f t="shared" si="18"/>
        <v>21</v>
      </c>
      <c r="B584" s="39" t="s">
        <v>381</v>
      </c>
      <c r="C584" s="229" t="s">
        <v>34</v>
      </c>
      <c r="D584" s="51" t="s">
        <v>130</v>
      </c>
      <c r="E584" s="46">
        <v>304.64</v>
      </c>
      <c r="F584" s="193" t="s">
        <v>130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7"/>
        <v>H_021</v>
      </c>
    </row>
    <row r="585" spans="1:10" ht="15" customHeight="1">
      <c r="A585" s="44">
        <f t="shared" si="18"/>
        <v>22</v>
      </c>
      <c r="B585" s="39" t="s">
        <v>382</v>
      </c>
      <c r="C585" s="229" t="s">
        <v>34</v>
      </c>
      <c r="D585" s="51" t="s">
        <v>130</v>
      </c>
      <c r="E585" s="58">
        <v>304.64</v>
      </c>
      <c r="F585" s="200" t="s">
        <v>130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7"/>
        <v>H_022</v>
      </c>
    </row>
    <row r="586" spans="1:10" ht="15" customHeight="1">
      <c r="A586" s="44">
        <f t="shared" si="18"/>
        <v>23</v>
      </c>
      <c r="B586" s="39" t="s">
        <v>383</v>
      </c>
      <c r="C586" s="229" t="s">
        <v>34</v>
      </c>
      <c r="D586" s="51" t="s">
        <v>130</v>
      </c>
      <c r="E586" s="46">
        <v>304.64</v>
      </c>
      <c r="F586" s="193" t="s">
        <v>130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7"/>
        <v>H_023</v>
      </c>
    </row>
    <row r="587" spans="1:10" ht="15" customHeight="1">
      <c r="A587" s="44">
        <f t="shared" si="18"/>
        <v>24</v>
      </c>
      <c r="B587" s="39" t="s">
        <v>384</v>
      </c>
      <c r="C587" s="229" t="s">
        <v>34</v>
      </c>
      <c r="D587" s="51" t="s">
        <v>130</v>
      </c>
      <c r="E587" s="46">
        <v>304.64</v>
      </c>
      <c r="F587" s="193" t="s">
        <v>130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7"/>
        <v>H_024</v>
      </c>
    </row>
    <row r="588" spans="1:10" ht="15" customHeight="1">
      <c r="A588" s="44">
        <f t="shared" si="18"/>
        <v>25</v>
      </c>
      <c r="B588" s="39" t="s">
        <v>385</v>
      </c>
      <c r="C588" s="229" t="s">
        <v>34</v>
      </c>
      <c r="D588" s="51" t="s">
        <v>130</v>
      </c>
      <c r="E588" s="46">
        <v>304.64</v>
      </c>
      <c r="F588" s="193" t="s">
        <v>130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7"/>
        <v>H_025</v>
      </c>
    </row>
    <row r="589" spans="1:10" ht="15" customHeight="1">
      <c r="A589" s="44">
        <f t="shared" si="18"/>
        <v>26</v>
      </c>
      <c r="B589" s="39" t="s">
        <v>386</v>
      </c>
      <c r="C589" s="229" t="s">
        <v>34</v>
      </c>
      <c r="D589" s="51" t="s">
        <v>130</v>
      </c>
      <c r="E589" s="46">
        <v>304.64</v>
      </c>
      <c r="F589" s="193" t="s">
        <v>130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7"/>
        <v>H_026</v>
      </c>
    </row>
    <row r="590" spans="1:10" ht="15" customHeight="1">
      <c r="A590" s="44">
        <f t="shared" si="18"/>
        <v>27</v>
      </c>
      <c r="B590" s="39" t="s">
        <v>387</v>
      </c>
      <c r="C590" s="229" t="s">
        <v>34</v>
      </c>
      <c r="D590" s="51" t="s">
        <v>130</v>
      </c>
      <c r="E590" s="46">
        <v>304.64</v>
      </c>
      <c r="F590" s="193" t="s">
        <v>130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7"/>
        <v>H_027</v>
      </c>
    </row>
    <row r="591" spans="1:10" ht="15" customHeight="1">
      <c r="A591" s="44">
        <f t="shared" si="18"/>
        <v>28</v>
      </c>
      <c r="B591" s="39" t="s">
        <v>388</v>
      </c>
      <c r="C591" s="229" t="s">
        <v>34</v>
      </c>
      <c r="D591" s="51" t="s">
        <v>130</v>
      </c>
      <c r="E591" s="46">
        <v>304.64</v>
      </c>
      <c r="F591" s="193" t="s">
        <v>130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7"/>
        <v>H_028</v>
      </c>
    </row>
    <row r="592" spans="1:10" ht="15" customHeight="1">
      <c r="A592" s="44">
        <f t="shared" si="18"/>
        <v>29</v>
      </c>
      <c r="B592" s="39" t="s">
        <v>389</v>
      </c>
      <c r="C592" s="229" t="s">
        <v>34</v>
      </c>
      <c r="D592" s="51" t="s">
        <v>130</v>
      </c>
      <c r="E592" s="46">
        <v>304.64</v>
      </c>
      <c r="F592" s="193" t="s">
        <v>130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7"/>
        <v>H_029</v>
      </c>
    </row>
    <row r="593" spans="1:10" ht="15" customHeight="1">
      <c r="A593" s="44">
        <f t="shared" si="18"/>
        <v>30</v>
      </c>
      <c r="B593" s="39" t="s">
        <v>390</v>
      </c>
      <c r="C593" s="229" t="s">
        <v>34</v>
      </c>
      <c r="D593" s="51" t="s">
        <v>130</v>
      </c>
      <c r="E593" s="46">
        <v>304.64</v>
      </c>
      <c r="F593" s="193" t="s">
        <v>130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7"/>
        <v>H_030</v>
      </c>
    </row>
    <row r="594" spans="1:10" ht="15" customHeight="1">
      <c r="A594" s="44">
        <f t="shared" si="18"/>
        <v>31</v>
      </c>
      <c r="B594" s="39" t="s">
        <v>391</v>
      </c>
      <c r="C594" s="229" t="s">
        <v>34</v>
      </c>
      <c r="D594" s="51" t="s">
        <v>130</v>
      </c>
      <c r="E594" s="58">
        <v>304.64</v>
      </c>
      <c r="F594" s="200" t="s">
        <v>130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7"/>
        <v>H_031</v>
      </c>
    </row>
    <row r="595" spans="1:10" ht="15" customHeight="1">
      <c r="A595" s="44">
        <f t="shared" si="18"/>
        <v>32</v>
      </c>
      <c r="B595" s="39" t="s">
        <v>392</v>
      </c>
      <c r="C595" s="229" t="s">
        <v>34</v>
      </c>
      <c r="D595" s="51" t="s">
        <v>130</v>
      </c>
      <c r="E595" s="46">
        <v>304.64</v>
      </c>
      <c r="F595" s="193" t="s">
        <v>130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7"/>
        <v>H_032</v>
      </c>
    </row>
    <row r="596" spans="1:10" ht="15" customHeight="1">
      <c r="A596" s="44">
        <f t="shared" si="18"/>
        <v>33</v>
      </c>
      <c r="B596" s="39" t="s">
        <v>393</v>
      </c>
      <c r="C596" s="229" t="s">
        <v>34</v>
      </c>
      <c r="D596" s="51" t="s">
        <v>130</v>
      </c>
      <c r="E596" s="46">
        <v>3356</v>
      </c>
      <c r="F596" s="193" t="s">
        <v>130</v>
      </c>
      <c r="G596" s="9">
        <f>IF(Tabla9[[#This Row],[Precio
Unidad de Compra ( $)]]="","",(E596/(H596*I596)))</f>
        <v>3356</v>
      </c>
      <c r="H596" s="8">
        <v>1</v>
      </c>
      <c r="I596" s="185">
        <v>1</v>
      </c>
      <c r="J596" s="79" t="str">
        <f t="shared" si="17"/>
        <v>H_033</v>
      </c>
    </row>
    <row r="597" spans="1:10" ht="15" customHeight="1">
      <c r="A597" s="44">
        <f t="shared" si="18"/>
        <v>34</v>
      </c>
      <c r="B597" s="39" t="s">
        <v>394</v>
      </c>
      <c r="C597" s="229" t="s">
        <v>34</v>
      </c>
      <c r="D597" s="51" t="s">
        <v>130</v>
      </c>
      <c r="E597" s="46">
        <v>3356</v>
      </c>
      <c r="F597" s="193" t="s">
        <v>130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7"/>
        <v>H_034</v>
      </c>
    </row>
    <row r="598" spans="1:10" ht="15" customHeight="1">
      <c r="A598" s="44">
        <f t="shared" si="18"/>
        <v>35</v>
      </c>
      <c r="B598" s="39" t="s">
        <v>395</v>
      </c>
      <c r="C598" s="229" t="s">
        <v>34</v>
      </c>
      <c r="D598" s="51" t="s">
        <v>130</v>
      </c>
      <c r="E598" s="46">
        <v>3356</v>
      </c>
      <c r="F598" s="193" t="s">
        <v>130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7"/>
        <v>H_035</v>
      </c>
    </row>
    <row r="599" spans="1:10" ht="15" customHeight="1">
      <c r="A599" s="44">
        <f t="shared" si="18"/>
        <v>36</v>
      </c>
      <c r="B599" s="39" t="s">
        <v>396</v>
      </c>
      <c r="C599" s="229" t="s">
        <v>34</v>
      </c>
      <c r="D599" s="51" t="s">
        <v>130</v>
      </c>
      <c r="E599" s="46">
        <v>3356</v>
      </c>
      <c r="F599" s="193" t="s">
        <v>130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7"/>
        <v>H_036</v>
      </c>
    </row>
    <row r="600" spans="1:10" ht="15" customHeight="1">
      <c r="A600" s="44">
        <f t="shared" si="18"/>
        <v>37</v>
      </c>
      <c r="B600" s="39" t="s">
        <v>397</v>
      </c>
      <c r="C600" s="229" t="s">
        <v>34</v>
      </c>
      <c r="D600" s="51" t="s">
        <v>130</v>
      </c>
      <c r="E600" s="46">
        <v>3356</v>
      </c>
      <c r="F600" s="193" t="s">
        <v>130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7"/>
        <v>H_037</v>
      </c>
    </row>
    <row r="601" spans="1:10" ht="15" customHeight="1">
      <c r="A601" s="44">
        <f t="shared" si="18"/>
        <v>38</v>
      </c>
      <c r="B601" s="39" t="s">
        <v>398</v>
      </c>
      <c r="C601" s="229" t="s">
        <v>34</v>
      </c>
      <c r="D601" s="51" t="s">
        <v>130</v>
      </c>
      <c r="E601" s="46">
        <v>3356</v>
      </c>
      <c r="F601" s="193" t="s">
        <v>130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7"/>
        <v>H_038</v>
      </c>
    </row>
    <row r="602" spans="1:10" ht="15" customHeight="1">
      <c r="A602" s="44">
        <f t="shared" si="18"/>
        <v>39</v>
      </c>
      <c r="B602" s="39" t="s">
        <v>399</v>
      </c>
      <c r="C602" s="229" t="s">
        <v>34</v>
      </c>
      <c r="D602" s="51" t="s">
        <v>130</v>
      </c>
      <c r="E602" s="46">
        <v>3356</v>
      </c>
      <c r="F602" s="193" t="s">
        <v>130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7"/>
        <v>H_039</v>
      </c>
    </row>
    <row r="603" spans="1:10" ht="15" customHeight="1">
      <c r="A603" s="44">
        <f t="shared" si="18"/>
        <v>40</v>
      </c>
      <c r="B603" s="39" t="s">
        <v>400</v>
      </c>
      <c r="C603" s="229" t="s">
        <v>34</v>
      </c>
      <c r="D603" s="51" t="s">
        <v>130</v>
      </c>
      <c r="E603" s="46">
        <v>3356</v>
      </c>
      <c r="F603" s="193" t="s">
        <v>130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7"/>
        <v>H_040</v>
      </c>
    </row>
    <row r="604" spans="1:10" ht="15" customHeight="1">
      <c r="A604" s="44">
        <f t="shared" si="18"/>
        <v>41</v>
      </c>
      <c r="B604" s="39" t="s">
        <v>401</v>
      </c>
      <c r="C604" s="229" t="s">
        <v>34</v>
      </c>
      <c r="D604" s="51" t="s">
        <v>130</v>
      </c>
      <c r="E604" s="46">
        <v>3356</v>
      </c>
      <c r="F604" s="193" t="s">
        <v>130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7"/>
        <v>H_041</v>
      </c>
    </row>
    <row r="605" spans="1:10" ht="15" customHeight="1">
      <c r="A605" s="44">
        <f t="shared" si="18"/>
        <v>42</v>
      </c>
      <c r="B605" s="39" t="s">
        <v>402</v>
      </c>
      <c r="C605" s="229" t="s">
        <v>34</v>
      </c>
      <c r="D605" s="51" t="s">
        <v>130</v>
      </c>
      <c r="E605" s="46">
        <v>3356</v>
      </c>
      <c r="F605" s="193" t="s">
        <v>130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7"/>
        <v>H_042</v>
      </c>
    </row>
    <row r="606" spans="1:10" ht="15" customHeight="1">
      <c r="A606" s="44">
        <f t="shared" si="18"/>
        <v>43</v>
      </c>
      <c r="B606" s="39" t="s">
        <v>403</v>
      </c>
      <c r="C606" s="229" t="s">
        <v>34</v>
      </c>
      <c r="D606" s="51" t="s">
        <v>130</v>
      </c>
      <c r="E606" s="46">
        <v>3356</v>
      </c>
      <c r="F606" s="193" t="s">
        <v>130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7"/>
        <v>H_043</v>
      </c>
    </row>
    <row r="607" spans="1:10" ht="15" customHeight="1">
      <c r="A607" s="44">
        <f t="shared" si="18"/>
        <v>44</v>
      </c>
      <c r="B607" s="39" t="s">
        <v>404</v>
      </c>
      <c r="C607" s="229" t="s">
        <v>34</v>
      </c>
      <c r="D607" s="51" t="s">
        <v>130</v>
      </c>
      <c r="E607" s="46">
        <v>1537.48</v>
      </c>
      <c r="F607" s="193" t="s">
        <v>130</v>
      </c>
      <c r="G607" s="9">
        <f>IF(Tabla9[[#This Row],[Precio
Unidad de Compra ( $)]]="","",(E607/(H607*I607)))</f>
        <v>1537.48</v>
      </c>
      <c r="H607" s="8">
        <v>1</v>
      </c>
      <c r="I607" s="185">
        <v>1</v>
      </c>
      <c r="J607" s="79" t="str">
        <f t="shared" si="17"/>
        <v>H_044</v>
      </c>
    </row>
    <row r="608" spans="1:10" ht="15" customHeight="1">
      <c r="A608" s="44">
        <f t="shared" si="18"/>
        <v>45</v>
      </c>
      <c r="B608" s="39" t="s">
        <v>405</v>
      </c>
      <c r="C608" s="229" t="s">
        <v>34</v>
      </c>
      <c r="D608" s="51" t="s">
        <v>130</v>
      </c>
      <c r="E608" s="58">
        <v>1537.48</v>
      </c>
      <c r="F608" s="193" t="s">
        <v>130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7"/>
        <v>H_045</v>
      </c>
    </row>
    <row r="609" spans="1:10" ht="15" customHeight="1">
      <c r="A609" s="44">
        <f t="shared" si="18"/>
        <v>46</v>
      </c>
      <c r="B609" s="39" t="s">
        <v>406</v>
      </c>
      <c r="C609" s="229" t="s">
        <v>34</v>
      </c>
      <c r="D609" s="51" t="s">
        <v>130</v>
      </c>
      <c r="E609" s="46">
        <v>1537.48</v>
      </c>
      <c r="F609" s="193" t="s">
        <v>130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7"/>
        <v>H_046</v>
      </c>
    </row>
    <row r="610" spans="1:10" ht="15" customHeight="1">
      <c r="A610" s="44">
        <f t="shared" si="18"/>
        <v>47</v>
      </c>
      <c r="B610" s="39" t="s">
        <v>407</v>
      </c>
      <c r="C610" s="229" t="s">
        <v>34</v>
      </c>
      <c r="D610" s="51" t="s">
        <v>130</v>
      </c>
      <c r="E610" s="46">
        <v>1537.48</v>
      </c>
      <c r="F610" s="193" t="s">
        <v>130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7"/>
        <v>H_047</v>
      </c>
    </row>
    <row r="611" spans="1:10" ht="15" customHeight="1">
      <c r="A611" s="44">
        <f t="shared" si="18"/>
        <v>48</v>
      </c>
      <c r="B611" s="173" t="s">
        <v>408</v>
      </c>
      <c r="C611" s="229" t="s">
        <v>34</v>
      </c>
      <c r="D611" s="51" t="s">
        <v>130</v>
      </c>
      <c r="E611" s="58">
        <v>1537.48</v>
      </c>
      <c r="F611" s="200" t="s">
        <v>130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7"/>
        <v>H_048</v>
      </c>
    </row>
    <row r="612" spans="1:10" ht="15" customHeight="1">
      <c r="A612" s="44">
        <f t="shared" si="18"/>
        <v>49</v>
      </c>
      <c r="B612" s="39" t="s">
        <v>409</v>
      </c>
      <c r="C612" s="229" t="s">
        <v>34</v>
      </c>
      <c r="D612" s="51" t="s">
        <v>130</v>
      </c>
      <c r="E612" s="58">
        <v>2727.48</v>
      </c>
      <c r="F612" s="193" t="s">
        <v>130</v>
      </c>
      <c r="G612" s="9">
        <f>IF(Tabla9[[#This Row],[Precio
Unidad de Compra ( $)]]="","",(E612/(H612*I612)))</f>
        <v>2727.48</v>
      </c>
      <c r="H612" s="8">
        <v>1</v>
      </c>
      <c r="I612" s="185">
        <v>1</v>
      </c>
      <c r="J612" s="79" t="str">
        <f t="shared" si="17"/>
        <v>H_049</v>
      </c>
    </row>
    <row r="613" spans="1:10" ht="15" customHeight="1">
      <c r="A613" s="44">
        <f t="shared" si="18"/>
        <v>50</v>
      </c>
      <c r="B613" s="173" t="s">
        <v>410</v>
      </c>
      <c r="C613" s="229" t="s">
        <v>34</v>
      </c>
      <c r="D613" s="51" t="s">
        <v>130</v>
      </c>
      <c r="E613" s="58">
        <v>1537.48</v>
      </c>
      <c r="F613" s="200" t="s">
        <v>130</v>
      </c>
      <c r="G613" s="9">
        <f>IF(Tabla9[[#This Row],[Precio
Unidad de Compra ( $)]]="","",(E613/(H613*I613)))</f>
        <v>1537.48</v>
      </c>
      <c r="H613" s="8">
        <v>1</v>
      </c>
      <c r="I613" s="185">
        <v>1</v>
      </c>
      <c r="J613" s="79" t="str">
        <f t="shared" si="17"/>
        <v>H_050</v>
      </c>
    </row>
    <row r="614" spans="1:10" ht="15" customHeight="1">
      <c r="A614" s="44">
        <f t="shared" si="18"/>
        <v>51</v>
      </c>
      <c r="B614" s="173" t="s">
        <v>411</v>
      </c>
      <c r="C614" s="229" t="s">
        <v>34</v>
      </c>
      <c r="D614" s="51" t="s">
        <v>130</v>
      </c>
      <c r="E614" s="58">
        <v>11057</v>
      </c>
      <c r="F614" s="200" t="s">
        <v>130</v>
      </c>
      <c r="G614" s="9">
        <f>IF(Tabla9[[#This Row],[Precio
Unidad de Compra ( $)]]="","",(E614/(H614*I614)))</f>
        <v>11057</v>
      </c>
      <c r="H614" s="8">
        <v>1</v>
      </c>
      <c r="I614" s="185">
        <v>1</v>
      </c>
      <c r="J614" s="79" t="str">
        <f t="shared" si="17"/>
        <v>H_051</v>
      </c>
    </row>
    <row r="615" spans="1:10" ht="15" customHeight="1">
      <c r="A615" s="44">
        <f t="shared" si="18"/>
        <v>52</v>
      </c>
      <c r="B615" s="173" t="s">
        <v>412</v>
      </c>
      <c r="C615" s="229" t="s">
        <v>34</v>
      </c>
      <c r="D615" s="51" t="s">
        <v>130</v>
      </c>
      <c r="E615" s="58">
        <v>11057</v>
      </c>
      <c r="F615" s="200" t="s">
        <v>130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7"/>
        <v>H_052</v>
      </c>
    </row>
    <row r="616" spans="1:10" ht="15" customHeight="1">
      <c r="A616" s="44">
        <f t="shared" si="18"/>
        <v>53</v>
      </c>
      <c r="B616" s="173" t="s">
        <v>413</v>
      </c>
      <c r="C616" s="229" t="s">
        <v>34</v>
      </c>
      <c r="D616" s="51" t="s">
        <v>130</v>
      </c>
      <c r="E616" s="58">
        <v>375</v>
      </c>
      <c r="F616" s="200" t="s">
        <v>130</v>
      </c>
      <c r="G616" s="9">
        <f>IF(Tabla9[[#This Row],[Precio
Unidad de Compra ( $)]]="","",(E616/(H616*I616)))</f>
        <v>375</v>
      </c>
      <c r="H616" s="8">
        <v>1</v>
      </c>
      <c r="I616" s="185">
        <v>1</v>
      </c>
      <c r="J616" s="79" t="str">
        <f t="shared" si="17"/>
        <v>H_053</v>
      </c>
    </row>
    <row r="617" spans="1:10" ht="15" customHeight="1">
      <c r="A617" s="44">
        <f t="shared" si="18"/>
        <v>54</v>
      </c>
      <c r="B617" s="173" t="s">
        <v>414</v>
      </c>
      <c r="C617" s="229" t="s">
        <v>34</v>
      </c>
      <c r="D617" s="51" t="s">
        <v>130</v>
      </c>
      <c r="E617" s="58">
        <v>1006.6666666666666</v>
      </c>
      <c r="F617" s="200" t="s">
        <v>130</v>
      </c>
      <c r="G617" s="9">
        <f>IF(Tabla9[[#This Row],[Precio
Unidad de Compra ( $)]]="","",(E617/(H617*I617)))</f>
        <v>1006.6666666666666</v>
      </c>
      <c r="H617" s="8">
        <v>1</v>
      </c>
      <c r="I617" s="185">
        <v>1</v>
      </c>
      <c r="J617" s="79" t="str">
        <f t="shared" si="17"/>
        <v>H_054</v>
      </c>
    </row>
    <row r="618" spans="1:10" ht="15" customHeight="1">
      <c r="A618" s="44">
        <f t="shared" si="18"/>
        <v>55</v>
      </c>
      <c r="B618" s="173" t="s">
        <v>415</v>
      </c>
      <c r="C618" s="229" t="s">
        <v>34</v>
      </c>
      <c r="D618" s="51" t="s">
        <v>130</v>
      </c>
      <c r="E618" s="58">
        <v>375</v>
      </c>
      <c r="F618" s="200" t="s">
        <v>130</v>
      </c>
      <c r="G618" s="9">
        <f>IF(Tabla9[[#This Row],[Precio
Unidad de Compra ( $)]]="","",(E618/(H618*I618)))</f>
        <v>375</v>
      </c>
      <c r="H618" s="8">
        <v>1</v>
      </c>
      <c r="I618" s="185">
        <v>1</v>
      </c>
      <c r="J618" s="79" t="str">
        <f t="shared" si="17"/>
        <v>H_055</v>
      </c>
    </row>
    <row r="619" spans="1:10" ht="15" customHeight="1">
      <c r="A619" s="44">
        <f t="shared" si="18"/>
        <v>56</v>
      </c>
      <c r="B619" s="173" t="s">
        <v>416</v>
      </c>
      <c r="C619" s="229" t="s">
        <v>34</v>
      </c>
      <c r="D619" s="51" t="s">
        <v>130</v>
      </c>
      <c r="E619" s="58">
        <v>375</v>
      </c>
      <c r="F619" s="200" t="s">
        <v>130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7"/>
        <v>H_056</v>
      </c>
    </row>
    <row r="620" spans="1:10" ht="15" customHeight="1">
      <c r="A620" s="44">
        <f t="shared" si="18"/>
        <v>57</v>
      </c>
      <c r="B620" s="173" t="s">
        <v>417</v>
      </c>
      <c r="C620" s="229" t="s">
        <v>34</v>
      </c>
      <c r="D620" s="51" t="s">
        <v>130</v>
      </c>
      <c r="E620" s="58">
        <v>177.31</v>
      </c>
      <c r="F620" s="200" t="s">
        <v>130</v>
      </c>
      <c r="G620" s="9">
        <f>IF(Tabla9[[#This Row],[Precio
Unidad de Compra ( $)]]="","",(E620/(H620*I620)))</f>
        <v>177.31</v>
      </c>
      <c r="H620" s="8">
        <v>1</v>
      </c>
      <c r="I620" s="185">
        <v>1</v>
      </c>
      <c r="J620" s="79" t="str">
        <f t="shared" si="17"/>
        <v>H_057</v>
      </c>
    </row>
    <row r="621" spans="1:10" ht="15" customHeight="1">
      <c r="A621" s="44">
        <f t="shared" si="18"/>
        <v>58</v>
      </c>
      <c r="B621" s="173" t="s">
        <v>418</v>
      </c>
      <c r="C621" s="229" t="s">
        <v>34</v>
      </c>
      <c r="D621" s="51" t="s">
        <v>130</v>
      </c>
      <c r="E621" s="58">
        <v>177.31</v>
      </c>
      <c r="F621" s="200" t="s">
        <v>130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7"/>
        <v>H_058</v>
      </c>
    </row>
    <row r="622" spans="1:10" ht="15" customHeight="1">
      <c r="A622" s="44">
        <f t="shared" si="18"/>
        <v>59</v>
      </c>
      <c r="B622" s="173" t="s">
        <v>419</v>
      </c>
      <c r="C622" s="229" t="s">
        <v>34</v>
      </c>
      <c r="D622" s="51" t="s">
        <v>130</v>
      </c>
      <c r="E622" s="58">
        <v>177.31</v>
      </c>
      <c r="F622" s="200" t="s">
        <v>130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7"/>
        <v>H_059</v>
      </c>
    </row>
    <row r="623" spans="1:10" ht="15" customHeight="1">
      <c r="A623" s="44">
        <f t="shared" si="18"/>
        <v>60</v>
      </c>
      <c r="B623" s="173" t="s">
        <v>420</v>
      </c>
      <c r="C623" s="229" t="s">
        <v>34</v>
      </c>
      <c r="D623" s="51" t="s">
        <v>130</v>
      </c>
      <c r="E623" s="58">
        <v>177.31</v>
      </c>
      <c r="F623" s="200" t="s">
        <v>130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7"/>
        <v>H_060</v>
      </c>
    </row>
    <row r="624" spans="1:10" ht="15" customHeight="1">
      <c r="A624" s="44">
        <f t="shared" si="18"/>
        <v>61</v>
      </c>
      <c r="B624" s="186" t="s">
        <v>421</v>
      </c>
      <c r="C624" s="229" t="s">
        <v>34</v>
      </c>
      <c r="D624" s="51" t="s">
        <v>130</v>
      </c>
      <c r="E624" s="46">
        <v>1280.44</v>
      </c>
      <c r="F624" s="193" t="s">
        <v>288</v>
      </c>
      <c r="G624" s="9">
        <f>IF(Tabla9[[#This Row],[Precio
Unidad de Compra ( $)]]="","",(E624/(H624*I624)))</f>
        <v>1280.44</v>
      </c>
      <c r="H624" s="8">
        <v>1</v>
      </c>
      <c r="I624" s="185">
        <v>1</v>
      </c>
      <c r="J624" s="79" t="str">
        <f t="shared" si="17"/>
        <v>H_061</v>
      </c>
    </row>
    <row r="625" spans="1:10" ht="15" customHeight="1">
      <c r="A625" s="44">
        <f t="shared" si="18"/>
        <v>62</v>
      </c>
      <c r="B625" s="39" t="s">
        <v>422</v>
      </c>
      <c r="C625" s="229" t="s">
        <v>34</v>
      </c>
      <c r="D625" s="51" t="s">
        <v>130</v>
      </c>
      <c r="E625" s="58">
        <v>1280.44</v>
      </c>
      <c r="F625" s="193" t="s">
        <v>130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7"/>
        <v>H_062</v>
      </c>
    </row>
    <row r="626" spans="1:10" ht="15" customHeight="1">
      <c r="A626" s="44">
        <f t="shared" si="18"/>
        <v>63</v>
      </c>
      <c r="B626" s="39" t="s">
        <v>423</v>
      </c>
      <c r="C626" s="229" t="s">
        <v>34</v>
      </c>
      <c r="D626" s="51" t="s">
        <v>130</v>
      </c>
      <c r="E626" s="46">
        <v>1280.44</v>
      </c>
      <c r="F626" s="193" t="s">
        <v>288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7"/>
        <v>H_063</v>
      </c>
    </row>
    <row r="627" spans="1:10" ht="15" customHeight="1">
      <c r="A627" s="44">
        <f t="shared" si="18"/>
        <v>64</v>
      </c>
      <c r="B627" s="39" t="s">
        <v>424</v>
      </c>
      <c r="C627" s="229" t="s">
        <v>34</v>
      </c>
      <c r="D627" s="51" t="s">
        <v>130</v>
      </c>
      <c r="E627" s="46">
        <v>1280.44</v>
      </c>
      <c r="F627" s="193" t="s">
        <v>288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7"/>
        <v>H_064</v>
      </c>
    </row>
    <row r="628" spans="1:10" ht="15" customHeight="1">
      <c r="A628" s="44">
        <f t="shared" si="18"/>
        <v>65</v>
      </c>
      <c r="B628" s="39" t="s">
        <v>425</v>
      </c>
      <c r="C628" s="229" t="s">
        <v>34</v>
      </c>
      <c r="D628" s="51" t="s">
        <v>130</v>
      </c>
      <c r="E628" s="46">
        <v>1280.44</v>
      </c>
      <c r="F628" s="193" t="s">
        <v>288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ref="J628:J691" si="19">IFERROR(CONCATENATE(LEFT(C628,1),"_",TEXT(A628,"000")),"")</f>
        <v>H_065</v>
      </c>
    </row>
    <row r="629" spans="1:10" ht="15" customHeight="1">
      <c r="A629" s="44">
        <f t="shared" ref="A629:A692" si="20">A628+1</f>
        <v>66</v>
      </c>
      <c r="B629" s="39" t="s">
        <v>426</v>
      </c>
      <c r="C629" s="229" t="s">
        <v>34</v>
      </c>
      <c r="D629" s="51" t="s">
        <v>130</v>
      </c>
      <c r="E629" s="58">
        <v>1280.44</v>
      </c>
      <c r="F629" s="193" t="s">
        <v>130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si="19"/>
        <v>H_066</v>
      </c>
    </row>
    <row r="630" spans="1:10" ht="15" customHeight="1">
      <c r="A630" s="44">
        <f t="shared" si="20"/>
        <v>67</v>
      </c>
      <c r="B630" s="186" t="s">
        <v>427</v>
      </c>
      <c r="C630" s="229" t="s">
        <v>34</v>
      </c>
      <c r="D630" s="51" t="s">
        <v>130</v>
      </c>
      <c r="E630" s="46">
        <v>1280.44</v>
      </c>
      <c r="F630" s="193" t="s">
        <v>288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9"/>
        <v>H_067</v>
      </c>
    </row>
    <row r="631" spans="1:10" ht="15" customHeight="1">
      <c r="A631" s="44">
        <f t="shared" si="20"/>
        <v>68</v>
      </c>
      <c r="B631" s="173" t="s">
        <v>428</v>
      </c>
      <c r="C631" s="229" t="s">
        <v>34</v>
      </c>
      <c r="D631" s="51" t="s">
        <v>130</v>
      </c>
      <c r="E631" s="58">
        <v>14750</v>
      </c>
      <c r="F631" s="200" t="s">
        <v>130</v>
      </c>
      <c r="G631" s="9">
        <f>IF(Tabla9[[#This Row],[Precio
Unidad de Compra ( $)]]="","",(E631/(H631*I631)))</f>
        <v>14750</v>
      </c>
      <c r="H631" s="8">
        <v>1</v>
      </c>
      <c r="I631" s="185">
        <v>1</v>
      </c>
      <c r="J631" s="79" t="str">
        <f t="shared" si="19"/>
        <v>H_068</v>
      </c>
    </row>
    <row r="632" spans="1:10" ht="15" customHeight="1">
      <c r="A632" s="44">
        <f t="shared" si="20"/>
        <v>69</v>
      </c>
      <c r="B632" s="173" t="s">
        <v>429</v>
      </c>
      <c r="C632" s="229" t="s">
        <v>34</v>
      </c>
      <c r="D632" s="51" t="s">
        <v>130</v>
      </c>
      <c r="E632" s="58">
        <v>14750</v>
      </c>
      <c r="F632" s="200" t="s">
        <v>130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9"/>
        <v>H_069</v>
      </c>
    </row>
    <row r="633" spans="1:10" ht="15" customHeight="1">
      <c r="A633" s="44">
        <f t="shared" si="20"/>
        <v>70</v>
      </c>
      <c r="B633" s="173" t="s">
        <v>430</v>
      </c>
      <c r="C633" s="229" t="s">
        <v>34</v>
      </c>
      <c r="D633" s="51" t="s">
        <v>130</v>
      </c>
      <c r="E633" s="58">
        <v>4799.2700000000004</v>
      </c>
      <c r="F633" s="200" t="s">
        <v>130</v>
      </c>
      <c r="G633" s="9">
        <f>IF(Tabla9[[#This Row],[Precio
Unidad de Compra ( $)]]="","",(E633/(H633*I633)))</f>
        <v>4799.2700000000004</v>
      </c>
      <c r="H633" s="8">
        <v>1</v>
      </c>
      <c r="I633" s="185">
        <v>1</v>
      </c>
      <c r="J633" s="79" t="str">
        <f t="shared" si="19"/>
        <v>H_070</v>
      </c>
    </row>
    <row r="634" spans="1:10" ht="15" customHeight="1">
      <c r="A634" s="44">
        <f t="shared" si="20"/>
        <v>71</v>
      </c>
      <c r="B634" s="173" t="s">
        <v>431</v>
      </c>
      <c r="C634" s="229" t="s">
        <v>34</v>
      </c>
      <c r="D634" s="51" t="s">
        <v>130</v>
      </c>
      <c r="E634" s="58">
        <v>4799.2700000000004</v>
      </c>
      <c r="F634" s="200" t="s">
        <v>130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9"/>
        <v>H_071</v>
      </c>
    </row>
    <row r="635" spans="1:10" ht="15" customHeight="1">
      <c r="A635" s="44">
        <f t="shared" si="20"/>
        <v>72</v>
      </c>
      <c r="B635" s="173" t="s">
        <v>432</v>
      </c>
      <c r="C635" s="229" t="s">
        <v>34</v>
      </c>
      <c r="D635" s="51" t="s">
        <v>130</v>
      </c>
      <c r="E635" s="58">
        <v>1000</v>
      </c>
      <c r="F635" s="200" t="s">
        <v>130</v>
      </c>
      <c r="G635" s="9">
        <f>IF(Tabla9[[#This Row],[Precio
Unidad de Compra ( $)]]="","",(E635/(H635*I635)))</f>
        <v>1000</v>
      </c>
      <c r="H635" s="8">
        <v>1</v>
      </c>
      <c r="I635" s="185">
        <v>1</v>
      </c>
      <c r="J635" s="79" t="str">
        <f t="shared" si="19"/>
        <v>H_072</v>
      </c>
    </row>
    <row r="636" spans="1:10" ht="15" customHeight="1">
      <c r="A636" s="44">
        <f t="shared" si="20"/>
        <v>73</v>
      </c>
      <c r="B636" s="173" t="s">
        <v>433</v>
      </c>
      <c r="C636" s="229" t="s">
        <v>34</v>
      </c>
      <c r="D636" s="51" t="s">
        <v>130</v>
      </c>
      <c r="E636" s="58">
        <v>1000</v>
      </c>
      <c r="F636" s="200" t="s">
        <v>130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9"/>
        <v>H_073</v>
      </c>
    </row>
    <row r="637" spans="1:10" ht="15" customHeight="1">
      <c r="A637" s="44">
        <f t="shared" si="20"/>
        <v>74</v>
      </c>
      <c r="B637" s="173" t="s">
        <v>434</v>
      </c>
      <c r="C637" s="229" t="s">
        <v>34</v>
      </c>
      <c r="D637" s="51" t="s">
        <v>130</v>
      </c>
      <c r="E637" s="58">
        <v>6957.9299999999994</v>
      </c>
      <c r="F637" s="200" t="s">
        <v>130</v>
      </c>
      <c r="G637" s="9">
        <f>IF(Tabla9[[#This Row],[Precio
Unidad de Compra ( $)]]="","",(E637/(H637*I637)))</f>
        <v>6957.9299999999994</v>
      </c>
      <c r="H637" s="8">
        <v>1</v>
      </c>
      <c r="I637" s="185">
        <v>1</v>
      </c>
      <c r="J637" s="79" t="str">
        <f t="shared" si="19"/>
        <v>H_074</v>
      </c>
    </row>
    <row r="638" spans="1:10" ht="15" customHeight="1">
      <c r="A638" s="44">
        <f t="shared" si="20"/>
        <v>75</v>
      </c>
      <c r="B638" s="173" t="s">
        <v>435</v>
      </c>
      <c r="C638" s="229" t="s">
        <v>34</v>
      </c>
      <c r="D638" s="51" t="s">
        <v>130</v>
      </c>
      <c r="E638" s="58">
        <v>6957.9299999999994</v>
      </c>
      <c r="F638" s="200" t="s">
        <v>130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9"/>
        <v>H_075</v>
      </c>
    </row>
    <row r="639" spans="1:10" ht="15" customHeight="1">
      <c r="A639" s="44">
        <f t="shared" si="20"/>
        <v>76</v>
      </c>
      <c r="B639" s="173" t="s">
        <v>436</v>
      </c>
      <c r="C639" s="229" t="s">
        <v>34</v>
      </c>
      <c r="D639" s="51" t="s">
        <v>130</v>
      </c>
      <c r="E639" s="58">
        <v>6957.9299999999994</v>
      </c>
      <c r="F639" s="200" t="s">
        <v>130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9"/>
        <v>H_076</v>
      </c>
    </row>
    <row r="640" spans="1:10" ht="15" customHeight="1">
      <c r="A640" s="44">
        <f t="shared" si="20"/>
        <v>77</v>
      </c>
      <c r="B640" s="173" t="s">
        <v>437</v>
      </c>
      <c r="C640" s="229" t="s">
        <v>34</v>
      </c>
      <c r="D640" s="51" t="s">
        <v>130</v>
      </c>
      <c r="E640" s="58">
        <v>6957.9299999999994</v>
      </c>
      <c r="F640" s="200" t="s">
        <v>130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9"/>
        <v>H_077</v>
      </c>
    </row>
    <row r="641" spans="1:10" ht="15" customHeight="1">
      <c r="A641" s="44">
        <f t="shared" si="20"/>
        <v>78</v>
      </c>
      <c r="B641" s="173" t="s">
        <v>438</v>
      </c>
      <c r="C641" s="229" t="s">
        <v>34</v>
      </c>
      <c r="D641" s="51" t="s">
        <v>130</v>
      </c>
      <c r="E641" s="58">
        <v>6957.9299999999994</v>
      </c>
      <c r="F641" s="200" t="s">
        <v>130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9"/>
        <v>H_078</v>
      </c>
    </row>
    <row r="642" spans="1:10" ht="15" customHeight="1">
      <c r="A642" s="44">
        <f t="shared" si="20"/>
        <v>79</v>
      </c>
      <c r="B642" s="173" t="s">
        <v>439</v>
      </c>
      <c r="C642" s="229" t="s">
        <v>34</v>
      </c>
      <c r="D642" s="51" t="s">
        <v>130</v>
      </c>
      <c r="E642" s="58">
        <v>6957.9299999999994</v>
      </c>
      <c r="F642" s="200" t="s">
        <v>130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9"/>
        <v>H_079</v>
      </c>
    </row>
    <row r="643" spans="1:10" ht="15" customHeight="1">
      <c r="A643" s="44">
        <f t="shared" si="20"/>
        <v>80</v>
      </c>
      <c r="B643" s="173" t="s">
        <v>440</v>
      </c>
      <c r="C643" s="229" t="s">
        <v>34</v>
      </c>
      <c r="D643" s="51" t="s">
        <v>130</v>
      </c>
      <c r="E643" s="58">
        <v>6957.9299999999994</v>
      </c>
      <c r="F643" s="200" t="s">
        <v>130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9"/>
        <v>H_080</v>
      </c>
    </row>
    <row r="644" spans="1:10" ht="15" customHeight="1">
      <c r="A644" s="44">
        <f t="shared" si="20"/>
        <v>81</v>
      </c>
      <c r="B644" s="173" t="s">
        <v>441</v>
      </c>
      <c r="C644" s="229" t="s">
        <v>34</v>
      </c>
      <c r="D644" s="51" t="s">
        <v>130</v>
      </c>
      <c r="E644" s="58">
        <v>6957.9299999999994</v>
      </c>
      <c r="F644" s="200" t="s">
        <v>130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9"/>
        <v>H_081</v>
      </c>
    </row>
    <row r="645" spans="1:10" ht="15" customHeight="1">
      <c r="A645" s="44">
        <f t="shared" si="20"/>
        <v>82</v>
      </c>
      <c r="B645" s="173" t="s">
        <v>442</v>
      </c>
      <c r="C645" s="229" t="s">
        <v>34</v>
      </c>
      <c r="D645" s="51" t="s">
        <v>130</v>
      </c>
      <c r="E645" s="58">
        <v>6957.9299999999994</v>
      </c>
      <c r="F645" s="200" t="s">
        <v>130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9"/>
        <v>H_082</v>
      </c>
    </row>
    <row r="646" spans="1:10" ht="15" customHeight="1">
      <c r="A646" s="44">
        <f t="shared" si="20"/>
        <v>83</v>
      </c>
      <c r="B646" s="173" t="s">
        <v>443</v>
      </c>
      <c r="C646" s="229" t="s">
        <v>34</v>
      </c>
      <c r="D646" s="51" t="s">
        <v>130</v>
      </c>
      <c r="E646" s="58">
        <v>6957.9299999999994</v>
      </c>
      <c r="F646" s="200" t="s">
        <v>130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9"/>
        <v>H_083</v>
      </c>
    </row>
    <row r="647" spans="1:10" ht="15" customHeight="1">
      <c r="A647" s="44">
        <f t="shared" si="20"/>
        <v>84</v>
      </c>
      <c r="B647" s="173" t="s">
        <v>444</v>
      </c>
      <c r="C647" s="229" t="s">
        <v>34</v>
      </c>
      <c r="D647" s="51" t="s">
        <v>130</v>
      </c>
      <c r="E647" s="58">
        <v>6957.9299999999994</v>
      </c>
      <c r="F647" s="200" t="s">
        <v>130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9"/>
        <v>H_084</v>
      </c>
    </row>
    <row r="648" spans="1:10" ht="15" customHeight="1">
      <c r="A648" s="44">
        <f t="shared" si="20"/>
        <v>85</v>
      </c>
      <c r="B648" s="173" t="s">
        <v>445</v>
      </c>
      <c r="C648" s="229" t="s">
        <v>34</v>
      </c>
      <c r="D648" s="51" t="s">
        <v>130</v>
      </c>
      <c r="E648" s="58">
        <v>6957.9299999999994</v>
      </c>
      <c r="F648" s="200" t="s">
        <v>130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9"/>
        <v>H_085</v>
      </c>
    </row>
    <row r="649" spans="1:10" ht="15" customHeight="1">
      <c r="A649" s="44">
        <f t="shared" si="20"/>
        <v>86</v>
      </c>
      <c r="B649" s="39" t="s">
        <v>446</v>
      </c>
      <c r="C649" s="229" t="s">
        <v>34</v>
      </c>
      <c r="D649" s="51" t="s">
        <v>130</v>
      </c>
      <c r="E649" s="46">
        <v>3700</v>
      </c>
      <c r="F649" s="193" t="s">
        <v>130</v>
      </c>
      <c r="G649" s="9">
        <f>IF(Tabla9[[#This Row],[Precio
Unidad de Compra ( $)]]="","",(E649/(H649*I649)))</f>
        <v>3700</v>
      </c>
      <c r="H649" s="8">
        <v>1</v>
      </c>
      <c r="I649" s="185">
        <v>1</v>
      </c>
      <c r="J649" s="79" t="str">
        <f t="shared" si="19"/>
        <v>H_086</v>
      </c>
    </row>
    <row r="650" spans="1:10" ht="15" customHeight="1">
      <c r="A650" s="44">
        <f t="shared" si="20"/>
        <v>87</v>
      </c>
      <c r="B650" s="39" t="s">
        <v>447</v>
      </c>
      <c r="C650" s="229" t="s">
        <v>34</v>
      </c>
      <c r="D650" s="51" t="s">
        <v>130</v>
      </c>
      <c r="E650" s="46">
        <v>3700</v>
      </c>
      <c r="F650" s="193" t="s">
        <v>130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9"/>
        <v>H_087</v>
      </c>
    </row>
    <row r="651" spans="1:10" ht="15" customHeight="1">
      <c r="A651" s="44">
        <f t="shared" si="20"/>
        <v>88</v>
      </c>
      <c r="B651" s="173" t="s">
        <v>448</v>
      </c>
      <c r="C651" s="229" t="s">
        <v>34</v>
      </c>
      <c r="D651" s="51" t="s">
        <v>130</v>
      </c>
      <c r="E651" s="58">
        <v>1200</v>
      </c>
      <c r="F651" s="200" t="s">
        <v>130</v>
      </c>
      <c r="G651" s="9">
        <f>IF(Tabla9[[#This Row],[Precio
Unidad de Compra ( $)]]="","",(E651/(H651*I651)))</f>
        <v>1200</v>
      </c>
      <c r="H651" s="8">
        <v>1</v>
      </c>
      <c r="I651" s="185">
        <v>1</v>
      </c>
      <c r="J651" s="79" t="str">
        <f t="shared" si="19"/>
        <v>H_088</v>
      </c>
    </row>
    <row r="652" spans="1:10" ht="15" customHeight="1">
      <c r="A652" s="44">
        <f t="shared" si="20"/>
        <v>89</v>
      </c>
      <c r="B652" s="173" t="s">
        <v>449</v>
      </c>
      <c r="C652" s="229" t="s">
        <v>34</v>
      </c>
      <c r="D652" s="51" t="s">
        <v>130</v>
      </c>
      <c r="E652" s="58">
        <v>1200</v>
      </c>
      <c r="F652" s="200" t="s">
        <v>130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9"/>
        <v>H_089</v>
      </c>
    </row>
    <row r="653" spans="1:10" ht="15" customHeight="1">
      <c r="A653" s="44">
        <f t="shared" si="20"/>
        <v>90</v>
      </c>
      <c r="B653" s="173" t="s">
        <v>450</v>
      </c>
      <c r="C653" s="229" t="s">
        <v>34</v>
      </c>
      <c r="D653" s="51" t="s">
        <v>130</v>
      </c>
      <c r="E653" s="58">
        <v>1200</v>
      </c>
      <c r="F653" s="200" t="s">
        <v>130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9"/>
        <v>H_090</v>
      </c>
    </row>
    <row r="654" spans="1:10" ht="15" customHeight="1">
      <c r="A654" s="44">
        <f t="shared" si="20"/>
        <v>91</v>
      </c>
      <c r="B654" s="173" t="s">
        <v>451</v>
      </c>
      <c r="C654" s="229" t="s">
        <v>34</v>
      </c>
      <c r="D654" s="51" t="s">
        <v>130</v>
      </c>
      <c r="E654" s="58">
        <v>1200</v>
      </c>
      <c r="F654" s="200" t="s">
        <v>130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9"/>
        <v>H_091</v>
      </c>
    </row>
    <row r="655" spans="1:10" ht="15" customHeight="1">
      <c r="A655" s="44">
        <f t="shared" si="20"/>
        <v>92</v>
      </c>
      <c r="B655" s="173" t="s">
        <v>452</v>
      </c>
      <c r="C655" s="229" t="s">
        <v>34</v>
      </c>
      <c r="D655" s="51" t="s">
        <v>130</v>
      </c>
      <c r="E655" s="58">
        <v>1200</v>
      </c>
      <c r="F655" s="200" t="s">
        <v>130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9"/>
        <v>H_092</v>
      </c>
    </row>
    <row r="656" spans="1:10" ht="15" customHeight="1">
      <c r="A656" s="44">
        <f t="shared" si="20"/>
        <v>93</v>
      </c>
      <c r="B656" s="173" t="s">
        <v>453</v>
      </c>
      <c r="C656" s="229" t="s">
        <v>34</v>
      </c>
      <c r="D656" s="51" t="s">
        <v>130</v>
      </c>
      <c r="E656" s="58">
        <v>873.94</v>
      </c>
      <c r="F656" s="200" t="s">
        <v>130</v>
      </c>
      <c r="G656" s="9">
        <f>IF(Tabla9[[#This Row],[Precio
Unidad de Compra ( $)]]="","",(E656/(H656*I656)))</f>
        <v>873.94</v>
      </c>
      <c r="H656" s="8">
        <v>1</v>
      </c>
      <c r="I656" s="185">
        <v>1</v>
      </c>
      <c r="J656" s="79" t="str">
        <f t="shared" si="19"/>
        <v>H_093</v>
      </c>
    </row>
    <row r="657" spans="1:10" ht="15" customHeight="1">
      <c r="A657" s="44">
        <f t="shared" si="20"/>
        <v>94</v>
      </c>
      <c r="B657" s="173" t="s">
        <v>454</v>
      </c>
      <c r="C657" s="229" t="s">
        <v>34</v>
      </c>
      <c r="D657" s="51" t="s">
        <v>130</v>
      </c>
      <c r="E657" s="58">
        <v>873.94</v>
      </c>
      <c r="F657" s="200" t="s">
        <v>130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9"/>
        <v>H_094</v>
      </c>
    </row>
    <row r="658" spans="1:10" ht="15" customHeight="1">
      <c r="A658" s="44">
        <f t="shared" si="20"/>
        <v>95</v>
      </c>
      <c r="B658" s="173" t="s">
        <v>455</v>
      </c>
      <c r="C658" s="229" t="s">
        <v>34</v>
      </c>
      <c r="D658" s="51" t="s">
        <v>130</v>
      </c>
      <c r="E658" s="58">
        <v>873.94</v>
      </c>
      <c r="F658" s="200" t="s">
        <v>130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9"/>
        <v>H_095</v>
      </c>
    </row>
    <row r="659" spans="1:10" ht="15" customHeight="1">
      <c r="A659" s="44">
        <f t="shared" si="20"/>
        <v>96</v>
      </c>
      <c r="B659" s="173" t="s">
        <v>456</v>
      </c>
      <c r="C659" s="229" t="s">
        <v>34</v>
      </c>
      <c r="D659" s="51" t="s">
        <v>130</v>
      </c>
      <c r="E659" s="58">
        <v>1173.3399999999999</v>
      </c>
      <c r="F659" s="200" t="s">
        <v>130</v>
      </c>
      <c r="G659" s="9">
        <f>IF(Tabla9[[#This Row],[Precio
Unidad de Compra ( $)]]="","",(E659/(H659*I659)))</f>
        <v>1173.3399999999999</v>
      </c>
      <c r="H659" s="8">
        <v>1</v>
      </c>
      <c r="I659" s="185">
        <v>1</v>
      </c>
      <c r="J659" s="79" t="str">
        <f t="shared" si="19"/>
        <v>H_096</v>
      </c>
    </row>
    <row r="660" spans="1:10" ht="15" customHeight="1">
      <c r="A660" s="44">
        <f t="shared" si="20"/>
        <v>97</v>
      </c>
      <c r="B660" s="173" t="s">
        <v>457</v>
      </c>
      <c r="C660" s="229" t="s">
        <v>34</v>
      </c>
      <c r="D660" s="51" t="s">
        <v>130</v>
      </c>
      <c r="E660" s="58">
        <v>998.41</v>
      </c>
      <c r="F660" s="200" t="s">
        <v>130</v>
      </c>
      <c r="G660" s="9">
        <f>IF(Tabla9[[#This Row],[Precio
Unidad de Compra ( $)]]="","",(E660/(H660*I660)))</f>
        <v>998.41</v>
      </c>
      <c r="H660" s="8">
        <v>1</v>
      </c>
      <c r="I660" s="185">
        <v>1</v>
      </c>
      <c r="J660" s="79" t="str">
        <f t="shared" si="19"/>
        <v>H_097</v>
      </c>
    </row>
    <row r="661" spans="1:10" ht="15" customHeight="1">
      <c r="A661" s="44">
        <f t="shared" si="20"/>
        <v>98</v>
      </c>
      <c r="B661" s="173" t="s">
        <v>458</v>
      </c>
      <c r="C661" s="229" t="s">
        <v>34</v>
      </c>
      <c r="D661" s="51" t="s">
        <v>130</v>
      </c>
      <c r="E661" s="58">
        <v>998.41</v>
      </c>
      <c r="F661" s="200" t="s">
        <v>130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9"/>
        <v>H_098</v>
      </c>
    </row>
    <row r="662" spans="1:10" ht="15" customHeight="1">
      <c r="A662" s="44">
        <f t="shared" si="20"/>
        <v>99</v>
      </c>
      <c r="B662" s="173" t="s">
        <v>459</v>
      </c>
      <c r="C662" s="229" t="s">
        <v>34</v>
      </c>
      <c r="D662" s="51" t="s">
        <v>130</v>
      </c>
      <c r="E662" s="58">
        <v>998.41</v>
      </c>
      <c r="F662" s="200" t="s">
        <v>130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9"/>
        <v>H_099</v>
      </c>
    </row>
    <row r="663" spans="1:10" ht="15" customHeight="1">
      <c r="A663" s="44">
        <f t="shared" si="20"/>
        <v>100</v>
      </c>
      <c r="B663" s="173" t="s">
        <v>460</v>
      </c>
      <c r="C663" s="229" t="s">
        <v>34</v>
      </c>
      <c r="D663" s="51" t="s">
        <v>130</v>
      </c>
      <c r="E663" s="58">
        <v>998.41</v>
      </c>
      <c r="F663" s="200" t="s">
        <v>130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9"/>
        <v>H_100</v>
      </c>
    </row>
    <row r="664" spans="1:10" ht="15" customHeight="1">
      <c r="A664" s="44">
        <f t="shared" si="20"/>
        <v>101</v>
      </c>
      <c r="B664" s="173" t="s">
        <v>461</v>
      </c>
      <c r="C664" s="229" t="s">
        <v>34</v>
      </c>
      <c r="D664" s="51" t="s">
        <v>130</v>
      </c>
      <c r="E664" s="58">
        <v>1173.3399999999999</v>
      </c>
      <c r="F664" s="200" t="s">
        <v>130</v>
      </c>
      <c r="G664" s="9">
        <f>IF(Tabla9[[#This Row],[Precio
Unidad de Compra ( $)]]="","",(E664/(H664*I664)))</f>
        <v>1173.3399999999999</v>
      </c>
      <c r="H664" s="8">
        <v>1</v>
      </c>
      <c r="I664" s="185">
        <v>1</v>
      </c>
      <c r="J664" s="79" t="str">
        <f t="shared" si="19"/>
        <v>H_101</v>
      </c>
    </row>
    <row r="665" spans="1:10" ht="15" customHeight="1">
      <c r="A665" s="44">
        <f t="shared" si="20"/>
        <v>102</v>
      </c>
      <c r="B665" s="173" t="s">
        <v>462</v>
      </c>
      <c r="C665" s="229" t="s">
        <v>34</v>
      </c>
      <c r="D665" s="51" t="s">
        <v>130</v>
      </c>
      <c r="E665" s="58">
        <v>998.41</v>
      </c>
      <c r="F665" s="200" t="s">
        <v>130</v>
      </c>
      <c r="G665" s="9">
        <f>IF(Tabla9[[#This Row],[Precio
Unidad de Compra ( $)]]="","",(E665/(H665*I665)))</f>
        <v>998.41</v>
      </c>
      <c r="H665" s="8">
        <v>1</v>
      </c>
      <c r="I665" s="185">
        <v>1</v>
      </c>
      <c r="J665" s="79" t="str">
        <f t="shared" si="19"/>
        <v>H_102</v>
      </c>
    </row>
    <row r="666" spans="1:10" ht="15" customHeight="1">
      <c r="A666" s="44">
        <f t="shared" si="20"/>
        <v>103</v>
      </c>
      <c r="B666" s="173" t="s">
        <v>463</v>
      </c>
      <c r="C666" s="229" t="s">
        <v>34</v>
      </c>
      <c r="D666" s="51" t="s">
        <v>130</v>
      </c>
      <c r="E666" s="58">
        <v>998.41</v>
      </c>
      <c r="F666" s="200" t="s">
        <v>130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9"/>
        <v>H_103</v>
      </c>
    </row>
    <row r="667" spans="1:10" ht="15" customHeight="1">
      <c r="A667" s="44">
        <f t="shared" si="20"/>
        <v>104</v>
      </c>
      <c r="B667" s="173" t="s">
        <v>464</v>
      </c>
      <c r="C667" s="229" t="s">
        <v>34</v>
      </c>
      <c r="D667" s="51" t="s">
        <v>130</v>
      </c>
      <c r="E667" s="58">
        <v>1173.3399999999999</v>
      </c>
      <c r="F667" s="200" t="s">
        <v>130</v>
      </c>
      <c r="G667" s="9">
        <f>IF(Tabla9[[#This Row],[Precio
Unidad de Compra ( $)]]="","",(E667/(H667*I667)))</f>
        <v>1173.3399999999999</v>
      </c>
      <c r="H667" s="8">
        <v>1</v>
      </c>
      <c r="I667" s="185">
        <v>1</v>
      </c>
      <c r="J667" s="79" t="str">
        <f t="shared" si="19"/>
        <v>H_104</v>
      </c>
    </row>
    <row r="668" spans="1:10" ht="15" customHeight="1">
      <c r="A668" s="44">
        <f t="shared" si="20"/>
        <v>105</v>
      </c>
      <c r="B668" s="173" t="s">
        <v>465</v>
      </c>
      <c r="C668" s="229" t="s">
        <v>34</v>
      </c>
      <c r="D668" s="51" t="s">
        <v>130</v>
      </c>
      <c r="E668" s="58">
        <v>998.41</v>
      </c>
      <c r="F668" s="200" t="s">
        <v>130</v>
      </c>
      <c r="G668" s="9">
        <f>IF(Tabla9[[#This Row],[Precio
Unidad de Compra ( $)]]="","",(E668/(H668*I668)))</f>
        <v>998.41</v>
      </c>
      <c r="H668" s="8">
        <v>1</v>
      </c>
      <c r="I668" s="185">
        <v>1</v>
      </c>
      <c r="J668" s="79" t="str">
        <f t="shared" si="19"/>
        <v>H_105</v>
      </c>
    </row>
    <row r="669" spans="1:10" ht="15" customHeight="1">
      <c r="A669" s="44">
        <f t="shared" si="20"/>
        <v>106</v>
      </c>
      <c r="B669" s="173" t="s">
        <v>466</v>
      </c>
      <c r="C669" s="229" t="s">
        <v>34</v>
      </c>
      <c r="D669" s="51" t="s">
        <v>130</v>
      </c>
      <c r="E669" s="58">
        <v>998.41</v>
      </c>
      <c r="F669" s="200" t="s">
        <v>130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9"/>
        <v>H_106</v>
      </c>
    </row>
    <row r="670" spans="1:10" ht="15" customHeight="1">
      <c r="A670" s="44">
        <f t="shared" si="20"/>
        <v>107</v>
      </c>
      <c r="B670" s="173" t="s">
        <v>467</v>
      </c>
      <c r="C670" s="229" t="s">
        <v>34</v>
      </c>
      <c r="D670" s="51" t="s">
        <v>130</v>
      </c>
      <c r="E670" s="58">
        <v>1018.64</v>
      </c>
      <c r="F670" s="200" t="s">
        <v>130</v>
      </c>
      <c r="G670" s="9">
        <f>IF(Tabla9[[#This Row],[Precio
Unidad de Compra ( $)]]="","",(E670/(H670*I670)))</f>
        <v>1018.64</v>
      </c>
      <c r="H670" s="8">
        <v>1</v>
      </c>
      <c r="I670" s="185">
        <v>1</v>
      </c>
      <c r="J670" s="79" t="str">
        <f t="shared" si="19"/>
        <v>H_107</v>
      </c>
    </row>
    <row r="671" spans="1:10" ht="15" customHeight="1">
      <c r="A671" s="44">
        <f t="shared" si="20"/>
        <v>108</v>
      </c>
      <c r="B671" s="173" t="s">
        <v>468</v>
      </c>
      <c r="C671" s="229" t="s">
        <v>34</v>
      </c>
      <c r="D671" s="51" t="s">
        <v>130</v>
      </c>
      <c r="E671" s="58">
        <v>1173.3399999999999</v>
      </c>
      <c r="F671" s="200" t="s">
        <v>130</v>
      </c>
      <c r="G671" s="9">
        <f>IF(Tabla9[[#This Row],[Precio
Unidad de Compra ( $)]]="","",(E671/(H671*I671)))</f>
        <v>1173.3399999999999</v>
      </c>
      <c r="H671" s="8">
        <v>1</v>
      </c>
      <c r="I671" s="185">
        <v>1</v>
      </c>
      <c r="J671" s="79" t="str">
        <f t="shared" si="19"/>
        <v>H_108</v>
      </c>
    </row>
    <row r="672" spans="1:10" ht="15" customHeight="1">
      <c r="A672" s="44">
        <f t="shared" si="20"/>
        <v>109</v>
      </c>
      <c r="B672" s="173" t="s">
        <v>469</v>
      </c>
      <c r="C672" s="229" t="s">
        <v>34</v>
      </c>
      <c r="D672" s="51" t="s">
        <v>130</v>
      </c>
      <c r="E672" s="58">
        <v>1173.3399999999999</v>
      </c>
      <c r="F672" s="200" t="s">
        <v>130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9"/>
        <v>H_109</v>
      </c>
    </row>
    <row r="673" spans="1:10" ht="15" customHeight="1">
      <c r="A673" s="44">
        <f t="shared" si="20"/>
        <v>110</v>
      </c>
      <c r="B673" s="173" t="s">
        <v>470</v>
      </c>
      <c r="C673" s="229" t="s">
        <v>34</v>
      </c>
      <c r="D673" s="51" t="s">
        <v>130</v>
      </c>
      <c r="E673" s="58">
        <v>1018.64</v>
      </c>
      <c r="F673" s="200" t="s">
        <v>130</v>
      </c>
      <c r="G673" s="9">
        <f>IF(Tabla9[[#This Row],[Precio
Unidad de Compra ( $)]]="","",(E673/(H673*I673)))</f>
        <v>1018.64</v>
      </c>
      <c r="H673" s="8">
        <v>1</v>
      </c>
      <c r="I673" s="185">
        <v>1</v>
      </c>
      <c r="J673" s="79" t="str">
        <f t="shared" si="19"/>
        <v>H_110</v>
      </c>
    </row>
    <row r="674" spans="1:10" ht="15" customHeight="1">
      <c r="A674" s="44">
        <f t="shared" si="20"/>
        <v>111</v>
      </c>
      <c r="B674" s="173" t="s">
        <v>471</v>
      </c>
      <c r="C674" s="229" t="s">
        <v>34</v>
      </c>
      <c r="D674" s="51" t="s">
        <v>130</v>
      </c>
      <c r="E674" s="58">
        <v>1018.64</v>
      </c>
      <c r="F674" s="200" t="s">
        <v>130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9"/>
        <v>H_111</v>
      </c>
    </row>
    <row r="675" spans="1:10" ht="15" customHeight="1">
      <c r="A675" s="44">
        <f t="shared" si="20"/>
        <v>112</v>
      </c>
      <c r="B675" s="173" t="s">
        <v>472</v>
      </c>
      <c r="C675" s="229" t="s">
        <v>34</v>
      </c>
      <c r="D675" s="51" t="s">
        <v>130</v>
      </c>
      <c r="E675" s="58">
        <v>2746.52</v>
      </c>
      <c r="F675" s="200" t="s">
        <v>130</v>
      </c>
      <c r="G675" s="9">
        <f>IF(Tabla9[[#This Row],[Precio
Unidad de Compra ( $)]]="","",(E675/(H675*I675)))</f>
        <v>2746.52</v>
      </c>
      <c r="H675" s="8">
        <v>1</v>
      </c>
      <c r="I675" s="185">
        <v>1</v>
      </c>
      <c r="J675" s="79" t="str">
        <f t="shared" si="19"/>
        <v>H_112</v>
      </c>
    </row>
    <row r="676" spans="1:10" ht="15" customHeight="1">
      <c r="A676" s="44">
        <f t="shared" si="20"/>
        <v>113</v>
      </c>
      <c r="B676" s="173" t="s">
        <v>473</v>
      </c>
      <c r="C676" s="229" t="s">
        <v>34</v>
      </c>
      <c r="D676" s="51" t="s">
        <v>130</v>
      </c>
      <c r="E676" s="58">
        <v>1173.3399999999999</v>
      </c>
      <c r="F676" s="200" t="s">
        <v>130</v>
      </c>
      <c r="G676" s="9">
        <f>IF(Tabla9[[#This Row],[Precio
Unidad de Compra ( $)]]="","",(E676/(H676*I676)))</f>
        <v>1173.3399999999999</v>
      </c>
      <c r="H676" s="8">
        <v>1</v>
      </c>
      <c r="I676" s="185">
        <v>1</v>
      </c>
      <c r="J676" s="79" t="str">
        <f t="shared" si="19"/>
        <v>H_113</v>
      </c>
    </row>
    <row r="677" spans="1:10" ht="15" customHeight="1">
      <c r="A677" s="44">
        <f t="shared" si="20"/>
        <v>114</v>
      </c>
      <c r="B677" s="173" t="s">
        <v>474</v>
      </c>
      <c r="C677" s="229" t="s">
        <v>34</v>
      </c>
      <c r="D677" s="51" t="s">
        <v>130</v>
      </c>
      <c r="E677" s="58">
        <v>1173.3399999999999</v>
      </c>
      <c r="F677" s="200" t="s">
        <v>130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9"/>
        <v>H_114</v>
      </c>
    </row>
    <row r="678" spans="1:10" ht="15" customHeight="1">
      <c r="A678" s="44">
        <f t="shared" si="20"/>
        <v>115</v>
      </c>
      <c r="B678" s="173" t="s">
        <v>475</v>
      </c>
      <c r="C678" s="229" t="s">
        <v>34</v>
      </c>
      <c r="D678" s="51" t="s">
        <v>130</v>
      </c>
      <c r="E678" s="58">
        <v>1173.3399999999999</v>
      </c>
      <c r="F678" s="200" t="s">
        <v>130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9"/>
        <v>H_115</v>
      </c>
    </row>
    <row r="679" spans="1:10" ht="15" customHeight="1">
      <c r="A679" s="44">
        <f t="shared" si="20"/>
        <v>116</v>
      </c>
      <c r="B679" s="173" t="s">
        <v>476</v>
      </c>
      <c r="C679" s="229" t="s">
        <v>34</v>
      </c>
      <c r="D679" s="51" t="s">
        <v>130</v>
      </c>
      <c r="E679" s="58">
        <v>1173.3399999999999</v>
      </c>
      <c r="F679" s="200" t="s">
        <v>130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9"/>
        <v>H_116</v>
      </c>
    </row>
    <row r="680" spans="1:10" ht="15" customHeight="1">
      <c r="A680" s="44">
        <f t="shared" si="20"/>
        <v>117</v>
      </c>
      <c r="B680" s="173" t="s">
        <v>477</v>
      </c>
      <c r="C680" s="229" t="s">
        <v>34</v>
      </c>
      <c r="D680" s="51" t="s">
        <v>130</v>
      </c>
      <c r="E680" s="58">
        <v>1173.3399999999999</v>
      </c>
      <c r="F680" s="200" t="s">
        <v>130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9"/>
        <v>H_117</v>
      </c>
    </row>
    <row r="681" spans="1:10" ht="15" customHeight="1">
      <c r="A681" s="44">
        <f t="shared" si="20"/>
        <v>118</v>
      </c>
      <c r="B681" s="173" t="s">
        <v>478</v>
      </c>
      <c r="C681" s="229" t="s">
        <v>34</v>
      </c>
      <c r="D681" s="51" t="s">
        <v>130</v>
      </c>
      <c r="E681" s="58">
        <v>1173.3399999999999</v>
      </c>
      <c r="F681" s="200" t="s">
        <v>130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9"/>
        <v>H_118</v>
      </c>
    </row>
    <row r="682" spans="1:10" ht="15" customHeight="1">
      <c r="A682" s="44">
        <f t="shared" si="20"/>
        <v>119</v>
      </c>
      <c r="B682" s="173" t="s">
        <v>479</v>
      </c>
      <c r="C682" s="229" t="s">
        <v>34</v>
      </c>
      <c r="D682" s="51" t="s">
        <v>130</v>
      </c>
      <c r="E682" s="58">
        <v>1173.3399999999999</v>
      </c>
      <c r="F682" s="200" t="s">
        <v>130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9"/>
        <v>H_119</v>
      </c>
    </row>
    <row r="683" spans="1:10" ht="15" customHeight="1">
      <c r="A683" s="44">
        <f t="shared" si="20"/>
        <v>120</v>
      </c>
      <c r="B683" s="173" t="s">
        <v>480</v>
      </c>
      <c r="C683" s="229" t="s">
        <v>34</v>
      </c>
      <c r="D683" s="51" t="s">
        <v>130</v>
      </c>
      <c r="E683" s="58">
        <v>1173.3399999999999</v>
      </c>
      <c r="F683" s="200" t="s">
        <v>130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9"/>
        <v>H_120</v>
      </c>
    </row>
    <row r="684" spans="1:10" ht="15" customHeight="1">
      <c r="A684" s="44">
        <f t="shared" si="20"/>
        <v>121</v>
      </c>
      <c r="B684" s="173" t="s">
        <v>481</v>
      </c>
      <c r="C684" s="229" t="s">
        <v>34</v>
      </c>
      <c r="D684" s="51" t="s">
        <v>130</v>
      </c>
      <c r="E684" s="58">
        <v>1173.3399999999999</v>
      </c>
      <c r="F684" s="200" t="s">
        <v>130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9"/>
        <v>H_121</v>
      </c>
    </row>
    <row r="685" spans="1:10" ht="15" customHeight="1">
      <c r="A685" s="44">
        <f t="shared" si="20"/>
        <v>122</v>
      </c>
      <c r="B685" s="39" t="s">
        <v>482</v>
      </c>
      <c r="C685" s="229" t="s">
        <v>34</v>
      </c>
      <c r="D685" s="51" t="s">
        <v>130</v>
      </c>
      <c r="E685" s="58">
        <v>2563</v>
      </c>
      <c r="F685" s="193" t="s">
        <v>130</v>
      </c>
      <c r="G685" s="9">
        <f>IF(Tabla9[[#This Row],[Precio
Unidad de Compra ( $)]]="","",(E685/(H685*I685)))</f>
        <v>2563</v>
      </c>
      <c r="H685" s="8">
        <v>1</v>
      </c>
      <c r="I685" s="185">
        <v>1</v>
      </c>
      <c r="J685" s="79" t="str">
        <f t="shared" si="19"/>
        <v>H_122</v>
      </c>
    </row>
    <row r="686" spans="1:10" ht="15" customHeight="1">
      <c r="A686" s="44">
        <f t="shared" si="20"/>
        <v>123</v>
      </c>
      <c r="B686" s="39" t="s">
        <v>483</v>
      </c>
      <c r="C686" s="229" t="s">
        <v>34</v>
      </c>
      <c r="D686" s="51" t="s">
        <v>130</v>
      </c>
      <c r="E686" s="46">
        <v>2364.5299999999997</v>
      </c>
      <c r="F686" s="193" t="s">
        <v>130</v>
      </c>
      <c r="G686" s="9">
        <f>IF(Tabla9[[#This Row],[Precio
Unidad de Compra ( $)]]="","",(E686/(H686*I686)))</f>
        <v>2364.5299999999997</v>
      </c>
      <c r="H686" s="8">
        <v>1</v>
      </c>
      <c r="I686" s="185">
        <v>1</v>
      </c>
      <c r="J686" s="79" t="str">
        <f t="shared" si="19"/>
        <v>H_123</v>
      </c>
    </row>
    <row r="687" spans="1:10" ht="15" customHeight="1">
      <c r="A687" s="44">
        <f t="shared" si="20"/>
        <v>124</v>
      </c>
      <c r="B687" s="39" t="s">
        <v>484</v>
      </c>
      <c r="C687" s="229" t="s">
        <v>34</v>
      </c>
      <c r="D687" s="51" t="s">
        <v>130</v>
      </c>
      <c r="E687" s="46">
        <v>2364.5299999999997</v>
      </c>
      <c r="F687" s="193" t="s">
        <v>130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9"/>
        <v>H_124</v>
      </c>
    </row>
    <row r="688" spans="1:10" ht="15" customHeight="1">
      <c r="A688" s="44">
        <f t="shared" si="20"/>
        <v>125</v>
      </c>
      <c r="B688" s="39" t="s">
        <v>485</v>
      </c>
      <c r="C688" s="229" t="s">
        <v>34</v>
      </c>
      <c r="D688" s="51" t="s">
        <v>130</v>
      </c>
      <c r="E688" s="46">
        <v>2563</v>
      </c>
      <c r="F688" s="193" t="s">
        <v>130</v>
      </c>
      <c r="G688" s="9">
        <f>IF(Tabla9[[#This Row],[Precio
Unidad de Compra ( $)]]="","",(E688/(H688*I688)))</f>
        <v>2563</v>
      </c>
      <c r="H688" s="8">
        <v>1</v>
      </c>
      <c r="I688" s="185">
        <v>1</v>
      </c>
      <c r="J688" s="79" t="str">
        <f t="shared" si="19"/>
        <v>H_125</v>
      </c>
    </row>
    <row r="689" spans="1:10" ht="15" customHeight="1">
      <c r="A689" s="44">
        <f t="shared" si="20"/>
        <v>126</v>
      </c>
      <c r="B689" s="39" t="s">
        <v>486</v>
      </c>
      <c r="C689" s="229" t="s">
        <v>34</v>
      </c>
      <c r="D689" s="51" t="s">
        <v>130</v>
      </c>
      <c r="E689" s="58">
        <v>2563</v>
      </c>
      <c r="F689" s="200" t="s">
        <v>130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9"/>
        <v>H_126</v>
      </c>
    </row>
    <row r="690" spans="1:10" ht="15" customHeight="1">
      <c r="A690" s="44">
        <f t="shared" si="20"/>
        <v>127</v>
      </c>
      <c r="B690" s="39" t="s">
        <v>487</v>
      </c>
      <c r="C690" s="229" t="s">
        <v>34</v>
      </c>
      <c r="D690" s="51" t="s">
        <v>130</v>
      </c>
      <c r="E690" s="58">
        <v>2563</v>
      </c>
      <c r="F690" s="200" t="s">
        <v>130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9"/>
        <v>H_127</v>
      </c>
    </row>
    <row r="691" spans="1:10" ht="15" customHeight="1">
      <c r="A691" s="44">
        <f t="shared" si="20"/>
        <v>128</v>
      </c>
      <c r="B691" s="39" t="s">
        <v>488</v>
      </c>
      <c r="C691" s="229" t="s">
        <v>34</v>
      </c>
      <c r="D691" s="51" t="s">
        <v>130</v>
      </c>
      <c r="E691" s="46">
        <v>2440.69</v>
      </c>
      <c r="F691" s="193" t="s">
        <v>130</v>
      </c>
      <c r="G691" s="9">
        <f>IF(Tabla9[[#This Row],[Precio
Unidad de Compra ( $)]]="","",(E691/(H691*I691)))</f>
        <v>2440.69</v>
      </c>
      <c r="H691" s="8">
        <v>1</v>
      </c>
      <c r="I691" s="185">
        <v>1</v>
      </c>
      <c r="J691" s="79" t="str">
        <f t="shared" si="19"/>
        <v>H_128</v>
      </c>
    </row>
    <row r="692" spans="1:10" ht="15" customHeight="1">
      <c r="A692" s="44">
        <f t="shared" si="20"/>
        <v>129</v>
      </c>
      <c r="B692" s="39" t="s">
        <v>489</v>
      </c>
      <c r="C692" s="229" t="s">
        <v>34</v>
      </c>
      <c r="D692" s="51" t="s">
        <v>130</v>
      </c>
      <c r="E692" s="46">
        <v>2440.69</v>
      </c>
      <c r="F692" s="193" t="s">
        <v>130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ref="J692:J755" si="21">IFERROR(CONCATENATE(LEFT(C692,1),"_",TEXT(A692,"000")),"")</f>
        <v>H_129</v>
      </c>
    </row>
    <row r="693" spans="1:10" ht="15" customHeight="1">
      <c r="A693" s="44">
        <f t="shared" ref="A693:A756" si="22">A692+1</f>
        <v>130</v>
      </c>
      <c r="B693" s="173" t="s">
        <v>490</v>
      </c>
      <c r="C693" s="229" t="s">
        <v>34</v>
      </c>
      <c r="D693" s="51" t="s">
        <v>130</v>
      </c>
      <c r="E693" s="58">
        <v>873.94</v>
      </c>
      <c r="F693" s="200" t="s">
        <v>130</v>
      </c>
      <c r="G693" s="9">
        <f>IF(Tabla9[[#This Row],[Precio
Unidad de Compra ( $)]]="","",(E693/(H693*I693)))</f>
        <v>873.94</v>
      </c>
      <c r="H693" s="8">
        <v>1</v>
      </c>
      <c r="I693" s="185">
        <v>1</v>
      </c>
      <c r="J693" s="79" t="str">
        <f t="shared" si="21"/>
        <v>H_130</v>
      </c>
    </row>
    <row r="694" spans="1:10" ht="15" customHeight="1">
      <c r="A694" s="44">
        <f t="shared" si="22"/>
        <v>131</v>
      </c>
      <c r="B694" s="173" t="s">
        <v>491</v>
      </c>
      <c r="C694" s="229" t="s">
        <v>34</v>
      </c>
      <c r="D694" s="51" t="s">
        <v>130</v>
      </c>
      <c r="E694" s="58">
        <v>873.94</v>
      </c>
      <c r="F694" s="200" t="s">
        <v>130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1"/>
        <v>H_131</v>
      </c>
    </row>
    <row r="695" spans="1:10" ht="15" customHeight="1">
      <c r="A695" s="44">
        <f t="shared" si="22"/>
        <v>132</v>
      </c>
      <c r="B695" s="173" t="s">
        <v>492</v>
      </c>
      <c r="C695" s="229" t="s">
        <v>34</v>
      </c>
      <c r="D695" s="51" t="s">
        <v>130</v>
      </c>
      <c r="E695" s="58">
        <v>873.94</v>
      </c>
      <c r="F695" s="200" t="s">
        <v>130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1"/>
        <v>H_132</v>
      </c>
    </row>
    <row r="696" spans="1:10" ht="15" customHeight="1">
      <c r="A696" s="44">
        <f t="shared" si="22"/>
        <v>133</v>
      </c>
      <c r="B696" s="173" t="s">
        <v>493</v>
      </c>
      <c r="C696" s="229" t="s">
        <v>34</v>
      </c>
      <c r="D696" s="51" t="s">
        <v>130</v>
      </c>
      <c r="E696" s="58">
        <v>873.94</v>
      </c>
      <c r="F696" s="200" t="s">
        <v>130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1"/>
        <v>H_133</v>
      </c>
    </row>
    <row r="697" spans="1:10" ht="15" customHeight="1">
      <c r="A697" s="44">
        <f t="shared" si="22"/>
        <v>134</v>
      </c>
      <c r="B697" s="173" t="s">
        <v>494</v>
      </c>
      <c r="C697" s="229" t="s">
        <v>34</v>
      </c>
      <c r="D697" s="51" t="s">
        <v>130</v>
      </c>
      <c r="E697" s="58">
        <v>873.94</v>
      </c>
      <c r="F697" s="200" t="s">
        <v>130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1"/>
        <v>H_134</v>
      </c>
    </row>
    <row r="698" spans="1:10" ht="15" customHeight="1">
      <c r="A698" s="44">
        <f t="shared" si="22"/>
        <v>135</v>
      </c>
      <c r="B698" s="173" t="s">
        <v>495</v>
      </c>
      <c r="C698" s="229" t="s">
        <v>34</v>
      </c>
      <c r="D698" s="51" t="s">
        <v>130</v>
      </c>
      <c r="E698" s="58">
        <v>1547</v>
      </c>
      <c r="F698" s="200" t="s">
        <v>130</v>
      </c>
      <c r="G698" s="9">
        <f>IF(Tabla9[[#This Row],[Precio
Unidad de Compra ( $)]]="","",(E698/(H698*I698)))</f>
        <v>1547</v>
      </c>
      <c r="H698" s="8">
        <v>1</v>
      </c>
      <c r="I698" s="185">
        <v>1</v>
      </c>
      <c r="J698" s="79" t="str">
        <f t="shared" si="21"/>
        <v>H_135</v>
      </c>
    </row>
    <row r="699" spans="1:10" ht="15" customHeight="1">
      <c r="A699" s="44">
        <f t="shared" si="22"/>
        <v>136</v>
      </c>
      <c r="B699" s="173" t="s">
        <v>52</v>
      </c>
      <c r="C699" s="229" t="s">
        <v>34</v>
      </c>
      <c r="D699" s="51" t="s">
        <v>130</v>
      </c>
      <c r="E699" s="58">
        <v>1547</v>
      </c>
      <c r="F699" s="200" t="s">
        <v>130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1"/>
        <v>H_136</v>
      </c>
    </row>
    <row r="700" spans="1:10" ht="15" customHeight="1">
      <c r="A700" s="44">
        <f t="shared" si="22"/>
        <v>137</v>
      </c>
      <c r="B700" s="173" t="s">
        <v>496</v>
      </c>
      <c r="C700" s="229" t="s">
        <v>34</v>
      </c>
      <c r="D700" s="51" t="s">
        <v>130</v>
      </c>
      <c r="E700" s="58">
        <v>1547</v>
      </c>
      <c r="F700" s="200" t="s">
        <v>130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1"/>
        <v>H_137</v>
      </c>
    </row>
    <row r="701" spans="1:10" ht="15" customHeight="1">
      <c r="A701" s="44">
        <f t="shared" si="22"/>
        <v>138</v>
      </c>
      <c r="B701" s="173" t="s">
        <v>497</v>
      </c>
      <c r="C701" s="229" t="s">
        <v>34</v>
      </c>
      <c r="D701" s="51" t="s">
        <v>130</v>
      </c>
      <c r="E701" s="58">
        <v>1850</v>
      </c>
      <c r="F701" s="200" t="s">
        <v>130</v>
      </c>
      <c r="G701" s="9">
        <f>IF(Tabla9[[#This Row],[Precio
Unidad de Compra ( $)]]="","",(E701/(H701*I701)))</f>
        <v>1850</v>
      </c>
      <c r="H701" s="8">
        <v>1</v>
      </c>
      <c r="I701" s="185">
        <v>1</v>
      </c>
      <c r="J701" s="79" t="str">
        <f t="shared" si="21"/>
        <v>H_138</v>
      </c>
    </row>
    <row r="702" spans="1:10" ht="15" customHeight="1">
      <c r="A702" s="44">
        <f t="shared" si="22"/>
        <v>139</v>
      </c>
      <c r="B702" s="173" t="s">
        <v>498</v>
      </c>
      <c r="C702" s="229" t="s">
        <v>34</v>
      </c>
      <c r="D702" s="51" t="s">
        <v>130</v>
      </c>
      <c r="E702" s="58">
        <v>1850</v>
      </c>
      <c r="F702" s="200" t="s">
        <v>130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1"/>
        <v>H_139</v>
      </c>
    </row>
    <row r="703" spans="1:10" ht="15" customHeight="1">
      <c r="A703" s="44">
        <f t="shared" si="22"/>
        <v>140</v>
      </c>
      <c r="B703" s="173" t="s">
        <v>499</v>
      </c>
      <c r="C703" s="229" t="s">
        <v>34</v>
      </c>
      <c r="D703" s="51" t="s">
        <v>130</v>
      </c>
      <c r="E703" s="58">
        <v>4799.2700000000004</v>
      </c>
      <c r="F703" s="200" t="s">
        <v>130</v>
      </c>
      <c r="G703" s="9">
        <f>IF(Tabla9[[#This Row],[Precio
Unidad de Compra ( $)]]="","",(E703/(H703*I703)))</f>
        <v>4799.2700000000004</v>
      </c>
      <c r="H703" s="8">
        <v>1</v>
      </c>
      <c r="I703" s="185">
        <v>1</v>
      </c>
      <c r="J703" s="79" t="str">
        <f t="shared" si="21"/>
        <v>H_140</v>
      </c>
    </row>
    <row r="704" spans="1:10" ht="15" customHeight="1">
      <c r="A704" s="44">
        <f t="shared" si="22"/>
        <v>141</v>
      </c>
      <c r="B704" s="173" t="s">
        <v>500</v>
      </c>
      <c r="C704" s="229" t="s">
        <v>34</v>
      </c>
      <c r="D704" s="51" t="s">
        <v>130</v>
      </c>
      <c r="E704" s="58">
        <v>4799.2700000000004</v>
      </c>
      <c r="F704" s="200" t="s">
        <v>130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1"/>
        <v>H_141</v>
      </c>
    </row>
    <row r="705" spans="1:10" ht="15" customHeight="1">
      <c r="A705" s="44">
        <f t="shared" si="22"/>
        <v>142</v>
      </c>
      <c r="B705" s="173" t="s">
        <v>501</v>
      </c>
      <c r="C705" s="229" t="s">
        <v>34</v>
      </c>
      <c r="D705" s="51" t="s">
        <v>130</v>
      </c>
      <c r="E705" s="58">
        <v>4799.2700000000004</v>
      </c>
      <c r="F705" s="200" t="s">
        <v>130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1"/>
        <v>H_142</v>
      </c>
    </row>
    <row r="706" spans="1:10" ht="15" customHeight="1">
      <c r="A706" s="44">
        <f t="shared" si="22"/>
        <v>143</v>
      </c>
      <c r="B706" s="173" t="s">
        <v>502</v>
      </c>
      <c r="C706" s="229" t="s">
        <v>34</v>
      </c>
      <c r="D706" s="51" t="s">
        <v>130</v>
      </c>
      <c r="E706" s="58">
        <v>4799.2700000000004</v>
      </c>
      <c r="F706" s="200" t="s">
        <v>130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1"/>
        <v>H_143</v>
      </c>
    </row>
    <row r="707" spans="1:10" ht="15" customHeight="1">
      <c r="A707" s="44">
        <f t="shared" si="22"/>
        <v>144</v>
      </c>
      <c r="B707" s="173" t="s">
        <v>503</v>
      </c>
      <c r="C707" s="229" t="s">
        <v>34</v>
      </c>
      <c r="D707" s="51" t="s">
        <v>130</v>
      </c>
      <c r="E707" s="58">
        <v>4799.2700000000004</v>
      </c>
      <c r="F707" s="200" t="s">
        <v>130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1"/>
        <v>H_144</v>
      </c>
    </row>
    <row r="708" spans="1:10" ht="15" customHeight="1">
      <c r="A708" s="44">
        <f t="shared" si="22"/>
        <v>145</v>
      </c>
      <c r="B708" s="173" t="s">
        <v>504</v>
      </c>
      <c r="C708" s="229" t="s">
        <v>34</v>
      </c>
      <c r="D708" s="51" t="s">
        <v>130</v>
      </c>
      <c r="E708" s="58">
        <v>4799.2700000000004</v>
      </c>
      <c r="F708" s="200" t="s">
        <v>130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1"/>
        <v>H_145</v>
      </c>
    </row>
    <row r="709" spans="1:10" ht="15" customHeight="1">
      <c r="A709" s="44">
        <f t="shared" si="22"/>
        <v>146</v>
      </c>
      <c r="B709" s="173" t="s">
        <v>505</v>
      </c>
      <c r="C709" s="229" t="s">
        <v>34</v>
      </c>
      <c r="D709" s="51" t="s">
        <v>130</v>
      </c>
      <c r="E709" s="58">
        <v>4799.2700000000004</v>
      </c>
      <c r="F709" s="200" t="s">
        <v>130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1"/>
        <v>H_146</v>
      </c>
    </row>
    <row r="710" spans="1:10" ht="15" customHeight="1">
      <c r="A710" s="44">
        <f t="shared" si="22"/>
        <v>147</v>
      </c>
      <c r="B710" s="173" t="s">
        <v>506</v>
      </c>
      <c r="C710" s="229" t="s">
        <v>34</v>
      </c>
      <c r="D710" s="51" t="s">
        <v>130</v>
      </c>
      <c r="E710" s="58">
        <v>4799.2700000000004</v>
      </c>
      <c r="F710" s="200" t="s">
        <v>130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1"/>
        <v>H_147</v>
      </c>
    </row>
    <row r="711" spans="1:10" ht="15" customHeight="1">
      <c r="A711" s="44">
        <f t="shared" si="22"/>
        <v>148</v>
      </c>
      <c r="B711" s="173" t="s">
        <v>507</v>
      </c>
      <c r="C711" s="229" t="s">
        <v>34</v>
      </c>
      <c r="D711" s="51" t="s">
        <v>130</v>
      </c>
      <c r="E711" s="58">
        <v>1000</v>
      </c>
      <c r="F711" s="200" t="s">
        <v>130</v>
      </c>
      <c r="G711" s="9">
        <f>IF(Tabla9[[#This Row],[Precio
Unidad de Compra ( $)]]="","",(E711/(H711*I711)))</f>
        <v>1000</v>
      </c>
      <c r="H711" s="8">
        <v>1</v>
      </c>
      <c r="I711" s="185">
        <v>1</v>
      </c>
      <c r="J711" s="79" t="str">
        <f t="shared" si="21"/>
        <v>H_148</v>
      </c>
    </row>
    <row r="712" spans="1:10" ht="15" customHeight="1">
      <c r="A712" s="44">
        <f t="shared" si="22"/>
        <v>149</v>
      </c>
      <c r="B712" s="173" t="s">
        <v>508</v>
      </c>
      <c r="C712" s="229" t="s">
        <v>34</v>
      </c>
      <c r="D712" s="51" t="s">
        <v>130</v>
      </c>
      <c r="E712" s="58">
        <v>8973.7900000000009</v>
      </c>
      <c r="F712" s="200" t="s">
        <v>130</v>
      </c>
      <c r="G712" s="9">
        <f>IF(Tabla9[[#This Row],[Precio
Unidad de Compra ( $)]]="","",(E712/(H712*I712)))</f>
        <v>8973.7900000000009</v>
      </c>
      <c r="H712" s="8">
        <v>1</v>
      </c>
      <c r="I712" s="185">
        <v>1</v>
      </c>
      <c r="J712" s="79" t="str">
        <f t="shared" si="21"/>
        <v>H_149</v>
      </c>
    </row>
    <row r="713" spans="1:10" ht="15" customHeight="1">
      <c r="A713" s="44">
        <f t="shared" si="22"/>
        <v>150</v>
      </c>
      <c r="B713" s="173" t="s">
        <v>509</v>
      </c>
      <c r="C713" s="229" t="s">
        <v>34</v>
      </c>
      <c r="D713" s="51" t="s">
        <v>130</v>
      </c>
      <c r="E713" s="58">
        <v>8973.7900000000009</v>
      </c>
      <c r="F713" s="200" t="s">
        <v>130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1"/>
        <v>H_150</v>
      </c>
    </row>
    <row r="714" spans="1:10" ht="15" customHeight="1">
      <c r="A714" s="44">
        <f t="shared" si="22"/>
        <v>151</v>
      </c>
      <c r="B714" s="173" t="s">
        <v>510</v>
      </c>
      <c r="C714" s="229" t="s">
        <v>34</v>
      </c>
      <c r="D714" s="51" t="s">
        <v>130</v>
      </c>
      <c r="E714" s="58">
        <v>8973.7900000000009</v>
      </c>
      <c r="F714" s="200" t="s">
        <v>130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1"/>
        <v>H_151</v>
      </c>
    </row>
    <row r="715" spans="1:10" ht="15" customHeight="1">
      <c r="A715" s="44">
        <f t="shared" si="22"/>
        <v>152</v>
      </c>
      <c r="B715" s="173" t="s">
        <v>511</v>
      </c>
      <c r="C715" s="229" t="s">
        <v>34</v>
      </c>
      <c r="D715" s="51" t="s">
        <v>130</v>
      </c>
      <c r="E715" s="58">
        <v>8973.7900000000009</v>
      </c>
      <c r="F715" s="200" t="s">
        <v>130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1"/>
        <v>H_152</v>
      </c>
    </row>
    <row r="716" spans="1:10" ht="15" customHeight="1">
      <c r="A716" s="44">
        <f t="shared" si="22"/>
        <v>153</v>
      </c>
      <c r="B716" s="173" t="s">
        <v>512</v>
      </c>
      <c r="C716" s="229" t="s">
        <v>34</v>
      </c>
      <c r="D716" s="51" t="s">
        <v>130</v>
      </c>
      <c r="E716" s="58">
        <v>3844.89</v>
      </c>
      <c r="F716" s="200" t="s">
        <v>130</v>
      </c>
      <c r="G716" s="9">
        <f>IF(Tabla9[[#This Row],[Precio
Unidad de Compra ( $)]]="","",(E716/(H716*I716)))</f>
        <v>3844.89</v>
      </c>
      <c r="H716" s="8">
        <v>1</v>
      </c>
      <c r="I716" s="185">
        <v>1</v>
      </c>
      <c r="J716" s="79" t="str">
        <f t="shared" si="21"/>
        <v>H_153</v>
      </c>
    </row>
    <row r="717" spans="1:10" ht="15" customHeight="1">
      <c r="A717" s="44">
        <f t="shared" si="22"/>
        <v>154</v>
      </c>
      <c r="B717" s="173" t="s">
        <v>513</v>
      </c>
      <c r="C717" s="229" t="s">
        <v>34</v>
      </c>
      <c r="D717" s="51" t="s">
        <v>130</v>
      </c>
      <c r="E717" s="58">
        <v>3844.89</v>
      </c>
      <c r="F717" s="200" t="s">
        <v>130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1"/>
        <v>H_154</v>
      </c>
    </row>
    <row r="718" spans="1:10" ht="15" customHeight="1">
      <c r="A718" s="44">
        <f t="shared" si="22"/>
        <v>155</v>
      </c>
      <c r="B718" s="173" t="s">
        <v>514</v>
      </c>
      <c r="C718" s="229" t="s">
        <v>34</v>
      </c>
      <c r="D718" s="51" t="s">
        <v>130</v>
      </c>
      <c r="E718" s="58">
        <v>3844.89</v>
      </c>
      <c r="F718" s="200" t="s">
        <v>130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1"/>
        <v>H_155</v>
      </c>
    </row>
    <row r="719" spans="1:10" ht="15" customHeight="1">
      <c r="A719" s="44">
        <f t="shared" si="22"/>
        <v>156</v>
      </c>
      <c r="B719" s="173" t="s">
        <v>515</v>
      </c>
      <c r="C719" s="229" t="s">
        <v>34</v>
      </c>
      <c r="D719" s="51" t="s">
        <v>130</v>
      </c>
      <c r="E719" s="58">
        <v>3844.89</v>
      </c>
      <c r="F719" s="200" t="s">
        <v>130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1"/>
        <v>H_156</v>
      </c>
    </row>
    <row r="720" spans="1:10" ht="15" customHeight="1">
      <c r="A720" s="44">
        <f t="shared" si="22"/>
        <v>157</v>
      </c>
      <c r="B720" s="173" t="s">
        <v>516</v>
      </c>
      <c r="C720" s="229" t="s">
        <v>34</v>
      </c>
      <c r="D720" s="51" t="s">
        <v>130</v>
      </c>
      <c r="E720" s="58">
        <v>3844.89</v>
      </c>
      <c r="F720" s="200" t="s">
        <v>130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1"/>
        <v>H_157</v>
      </c>
    </row>
    <row r="721" spans="1:10" ht="15" customHeight="1">
      <c r="A721" s="44">
        <f t="shared" si="22"/>
        <v>158</v>
      </c>
      <c r="B721" s="173" t="s">
        <v>517</v>
      </c>
      <c r="C721" s="229" t="s">
        <v>34</v>
      </c>
      <c r="D721" s="51" t="s">
        <v>130</v>
      </c>
      <c r="E721" s="58">
        <v>3844.89</v>
      </c>
      <c r="F721" s="200" t="s">
        <v>130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1"/>
        <v>H_158</v>
      </c>
    </row>
    <row r="722" spans="1:10" ht="15" customHeight="1">
      <c r="A722" s="44">
        <f t="shared" si="22"/>
        <v>159</v>
      </c>
      <c r="B722" s="173" t="s">
        <v>518</v>
      </c>
      <c r="C722" s="229" t="s">
        <v>34</v>
      </c>
      <c r="D722" s="51" t="s">
        <v>130</v>
      </c>
      <c r="E722" s="58">
        <v>3844.89</v>
      </c>
      <c r="F722" s="200" t="s">
        <v>130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1"/>
        <v>H_159</v>
      </c>
    </row>
    <row r="723" spans="1:10" ht="15" customHeight="1">
      <c r="A723" s="44">
        <f t="shared" si="22"/>
        <v>160</v>
      </c>
      <c r="B723" s="173" t="s">
        <v>519</v>
      </c>
      <c r="C723" s="229" t="s">
        <v>34</v>
      </c>
      <c r="D723" s="51" t="s">
        <v>130</v>
      </c>
      <c r="E723" s="58">
        <v>3844.89</v>
      </c>
      <c r="F723" s="200" t="s">
        <v>130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1"/>
        <v>H_160</v>
      </c>
    </row>
    <row r="724" spans="1:10" ht="15" customHeight="1">
      <c r="A724" s="44">
        <f t="shared" si="22"/>
        <v>161</v>
      </c>
      <c r="B724" s="173" t="s">
        <v>520</v>
      </c>
      <c r="C724" s="229" t="s">
        <v>34</v>
      </c>
      <c r="D724" s="51" t="s">
        <v>130</v>
      </c>
      <c r="E724" s="58">
        <v>1661.24</v>
      </c>
      <c r="F724" s="200" t="s">
        <v>130</v>
      </c>
      <c r="G724" s="9">
        <f>IF(Tabla9[[#This Row],[Precio
Unidad de Compra ( $)]]="","",(E724/(H724*I724)))</f>
        <v>1661.24</v>
      </c>
      <c r="H724" s="8">
        <v>1</v>
      </c>
      <c r="I724" s="185">
        <v>1</v>
      </c>
      <c r="J724" s="79" t="str">
        <f t="shared" si="21"/>
        <v>H_161</v>
      </c>
    </row>
    <row r="725" spans="1:10" ht="15" customHeight="1">
      <c r="A725" s="44">
        <f t="shared" si="22"/>
        <v>162</v>
      </c>
      <c r="B725" s="173" t="s">
        <v>521</v>
      </c>
      <c r="C725" s="229" t="s">
        <v>34</v>
      </c>
      <c r="D725" s="51" t="s">
        <v>130</v>
      </c>
      <c r="E725" s="58">
        <v>1661.24</v>
      </c>
      <c r="F725" s="200" t="s">
        <v>130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1"/>
        <v>H_162</v>
      </c>
    </row>
    <row r="726" spans="1:10" ht="15" customHeight="1">
      <c r="A726" s="44">
        <f t="shared" si="22"/>
        <v>163</v>
      </c>
      <c r="B726" s="173" t="s">
        <v>522</v>
      </c>
      <c r="C726" s="229" t="s">
        <v>34</v>
      </c>
      <c r="D726" s="51" t="s">
        <v>130</v>
      </c>
      <c r="E726" s="58">
        <v>1661.24</v>
      </c>
      <c r="F726" s="200" t="s">
        <v>130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1"/>
        <v>H_163</v>
      </c>
    </row>
    <row r="727" spans="1:10" ht="15" customHeight="1">
      <c r="A727" s="44">
        <f t="shared" si="22"/>
        <v>164</v>
      </c>
      <c r="B727" s="173" t="s">
        <v>523</v>
      </c>
      <c r="C727" s="229" t="s">
        <v>34</v>
      </c>
      <c r="D727" s="51" t="s">
        <v>130</v>
      </c>
      <c r="E727" s="58">
        <v>1661.24</v>
      </c>
      <c r="F727" s="200" t="s">
        <v>130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1"/>
        <v>H_164</v>
      </c>
    </row>
    <row r="728" spans="1:10" ht="15" customHeight="1">
      <c r="A728" s="44">
        <f t="shared" si="22"/>
        <v>165</v>
      </c>
      <c r="B728" s="173" t="s">
        <v>524</v>
      </c>
      <c r="C728" s="229" t="s">
        <v>34</v>
      </c>
      <c r="D728" s="51" t="s">
        <v>130</v>
      </c>
      <c r="E728" s="58">
        <v>1661.24</v>
      </c>
      <c r="F728" s="200" t="s">
        <v>130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1"/>
        <v>H_165</v>
      </c>
    </row>
    <row r="729" spans="1:10" ht="15" customHeight="1">
      <c r="A729" s="44">
        <f t="shared" si="22"/>
        <v>166</v>
      </c>
      <c r="B729" s="173" t="s">
        <v>525</v>
      </c>
      <c r="C729" s="229" t="s">
        <v>34</v>
      </c>
      <c r="D729" s="51" t="s">
        <v>130</v>
      </c>
      <c r="E729" s="58">
        <v>690.75</v>
      </c>
      <c r="F729" s="200" t="s">
        <v>130</v>
      </c>
      <c r="G729" s="9">
        <f>IF(Tabla9[[#This Row],[Precio
Unidad de Compra ( $)]]="","",(E729/(H729*I729)))</f>
        <v>690.75</v>
      </c>
      <c r="H729" s="8">
        <v>1</v>
      </c>
      <c r="I729" s="185">
        <v>1</v>
      </c>
      <c r="J729" s="79" t="str">
        <f t="shared" si="21"/>
        <v>H_166</v>
      </c>
    </row>
    <row r="730" spans="1:10" ht="15" customHeight="1">
      <c r="A730" s="44">
        <f t="shared" si="22"/>
        <v>167</v>
      </c>
      <c r="B730" s="173" t="s">
        <v>526</v>
      </c>
      <c r="C730" s="229" t="s">
        <v>34</v>
      </c>
      <c r="D730" s="51" t="s">
        <v>130</v>
      </c>
      <c r="E730" s="58">
        <v>690.75</v>
      </c>
      <c r="F730" s="200" t="s">
        <v>130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1"/>
        <v>H_167</v>
      </c>
    </row>
    <row r="731" spans="1:10" ht="15" customHeight="1">
      <c r="A731" s="44">
        <f t="shared" si="22"/>
        <v>168</v>
      </c>
      <c r="B731" s="173" t="s">
        <v>527</v>
      </c>
      <c r="C731" s="229" t="s">
        <v>34</v>
      </c>
      <c r="D731" s="51" t="s">
        <v>130</v>
      </c>
      <c r="E731" s="58">
        <v>690.75</v>
      </c>
      <c r="F731" s="200" t="s">
        <v>130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1"/>
        <v>H_168</v>
      </c>
    </row>
    <row r="732" spans="1:10" ht="15" customHeight="1">
      <c r="A732" s="44">
        <f t="shared" si="22"/>
        <v>169</v>
      </c>
      <c r="B732" s="173" t="s">
        <v>528</v>
      </c>
      <c r="C732" s="229" t="s">
        <v>34</v>
      </c>
      <c r="D732" s="51" t="s">
        <v>130</v>
      </c>
      <c r="E732" s="58">
        <v>690.75</v>
      </c>
      <c r="F732" s="200" t="s">
        <v>130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1"/>
        <v>H_169</v>
      </c>
    </row>
    <row r="733" spans="1:10" ht="15" customHeight="1">
      <c r="A733" s="44">
        <f t="shared" si="22"/>
        <v>170</v>
      </c>
      <c r="B733" s="173" t="s">
        <v>529</v>
      </c>
      <c r="C733" s="229" t="s">
        <v>34</v>
      </c>
      <c r="D733" s="51" t="s">
        <v>130</v>
      </c>
      <c r="E733" s="58">
        <v>690.75</v>
      </c>
      <c r="F733" s="200" t="s">
        <v>130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1"/>
        <v>H_170</v>
      </c>
    </row>
    <row r="734" spans="1:10" ht="15" customHeight="1">
      <c r="A734" s="44">
        <f t="shared" si="22"/>
        <v>171</v>
      </c>
      <c r="B734" s="173" t="s">
        <v>530</v>
      </c>
      <c r="C734" s="229" t="s">
        <v>34</v>
      </c>
      <c r="D734" s="51" t="s">
        <v>130</v>
      </c>
      <c r="E734" s="58">
        <v>690.75</v>
      </c>
      <c r="F734" s="200" t="s">
        <v>130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1"/>
        <v>H_171</v>
      </c>
    </row>
    <row r="735" spans="1:10" ht="15" customHeight="1">
      <c r="A735" s="44">
        <f t="shared" si="22"/>
        <v>172</v>
      </c>
      <c r="B735" s="173" t="s">
        <v>531</v>
      </c>
      <c r="C735" s="229" t="s">
        <v>34</v>
      </c>
      <c r="D735" s="51" t="s">
        <v>130</v>
      </c>
      <c r="E735" s="46">
        <v>690.75</v>
      </c>
      <c r="F735" s="193" t="s">
        <v>130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1"/>
        <v>H_172</v>
      </c>
    </row>
    <row r="736" spans="1:10" ht="15" customHeight="1">
      <c r="A736" s="44">
        <f t="shared" si="22"/>
        <v>173</v>
      </c>
      <c r="B736" s="173" t="s">
        <v>532</v>
      </c>
      <c r="C736" s="229" t="s">
        <v>34</v>
      </c>
      <c r="D736" s="51" t="s">
        <v>130</v>
      </c>
      <c r="E736" s="46">
        <v>690.75</v>
      </c>
      <c r="F736" s="193" t="s">
        <v>130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1"/>
        <v>H_173</v>
      </c>
    </row>
    <row r="737" spans="1:10" ht="15" customHeight="1">
      <c r="A737" s="44">
        <f t="shared" si="22"/>
        <v>174</v>
      </c>
      <c r="B737" s="173" t="s">
        <v>533</v>
      </c>
      <c r="C737" s="229" t="s">
        <v>34</v>
      </c>
      <c r="D737" s="51" t="s">
        <v>130</v>
      </c>
      <c r="E737" s="58">
        <v>690.75</v>
      </c>
      <c r="F737" s="200" t="s">
        <v>130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1"/>
        <v>H_174</v>
      </c>
    </row>
    <row r="738" spans="1:10" ht="15" customHeight="1">
      <c r="A738" s="44">
        <f t="shared" si="22"/>
        <v>175</v>
      </c>
      <c r="B738" s="173" t="s">
        <v>534</v>
      </c>
      <c r="C738" s="229" t="s">
        <v>34</v>
      </c>
      <c r="D738" s="51" t="s">
        <v>130</v>
      </c>
      <c r="E738" s="58">
        <v>690.75</v>
      </c>
      <c r="F738" s="200" t="s">
        <v>130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1"/>
        <v>H_175</v>
      </c>
    </row>
    <row r="739" spans="1:10" ht="15" customHeight="1">
      <c r="A739" s="44">
        <f t="shared" si="22"/>
        <v>176</v>
      </c>
      <c r="B739" s="173" t="s">
        <v>535</v>
      </c>
      <c r="C739" s="229" t="s">
        <v>34</v>
      </c>
      <c r="D739" s="51" t="s">
        <v>130</v>
      </c>
      <c r="E739" s="58">
        <v>690.75</v>
      </c>
      <c r="F739" s="200" t="s">
        <v>130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1"/>
        <v>H_176</v>
      </c>
    </row>
    <row r="740" spans="1:10" ht="15" customHeight="1">
      <c r="A740" s="44">
        <f t="shared" si="22"/>
        <v>177</v>
      </c>
      <c r="B740" s="173" t="s">
        <v>536</v>
      </c>
      <c r="C740" s="229" t="s">
        <v>34</v>
      </c>
      <c r="D740" s="51" t="s">
        <v>130</v>
      </c>
      <c r="E740" s="58">
        <v>690.75</v>
      </c>
      <c r="F740" s="200" t="s">
        <v>130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1"/>
        <v>H_177</v>
      </c>
    </row>
    <row r="741" spans="1:10" ht="15" customHeight="1">
      <c r="A741" s="44">
        <f t="shared" si="22"/>
        <v>178</v>
      </c>
      <c r="B741" s="173" t="s">
        <v>537</v>
      </c>
      <c r="C741" s="229" t="s">
        <v>34</v>
      </c>
      <c r="D741" s="51" t="s">
        <v>130</v>
      </c>
      <c r="E741" s="46">
        <v>690.75</v>
      </c>
      <c r="F741" s="193" t="s">
        <v>130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1"/>
        <v>H_178</v>
      </c>
    </row>
    <row r="742" spans="1:10" ht="15" customHeight="1">
      <c r="A742" s="44">
        <f t="shared" si="22"/>
        <v>179</v>
      </c>
      <c r="B742" s="173" t="s">
        <v>538</v>
      </c>
      <c r="C742" s="229" t="s">
        <v>34</v>
      </c>
      <c r="D742" s="51" t="s">
        <v>130</v>
      </c>
      <c r="E742" s="46">
        <v>690.75</v>
      </c>
      <c r="F742" s="193" t="s">
        <v>130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1"/>
        <v>H_179</v>
      </c>
    </row>
    <row r="743" spans="1:10" ht="15" customHeight="1">
      <c r="A743" s="44">
        <f t="shared" si="22"/>
        <v>180</v>
      </c>
      <c r="B743" s="173" t="s">
        <v>539</v>
      </c>
      <c r="C743" s="229" t="s">
        <v>34</v>
      </c>
      <c r="D743" s="51" t="s">
        <v>130</v>
      </c>
      <c r="E743" s="58">
        <v>690.75</v>
      </c>
      <c r="F743" s="200" t="s">
        <v>130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1"/>
        <v>H_180</v>
      </c>
    </row>
    <row r="744" spans="1:10" ht="15" customHeight="1">
      <c r="A744" s="44">
        <f t="shared" si="22"/>
        <v>181</v>
      </c>
      <c r="B744" s="173" t="s">
        <v>540</v>
      </c>
      <c r="C744" s="229" t="s">
        <v>34</v>
      </c>
      <c r="D744" s="51" t="s">
        <v>130</v>
      </c>
      <c r="E744" s="58">
        <v>690.75</v>
      </c>
      <c r="F744" s="200" t="s">
        <v>130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1"/>
        <v>H_181</v>
      </c>
    </row>
    <row r="745" spans="1:10" ht="15" customHeight="1">
      <c r="A745" s="44">
        <f t="shared" si="22"/>
        <v>182</v>
      </c>
      <c r="B745" s="173" t="s">
        <v>541</v>
      </c>
      <c r="C745" s="229" t="s">
        <v>34</v>
      </c>
      <c r="D745" s="51" t="s">
        <v>130</v>
      </c>
      <c r="E745" s="58">
        <v>690.75</v>
      </c>
      <c r="F745" s="200" t="s">
        <v>130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1"/>
        <v>H_182</v>
      </c>
    </row>
    <row r="746" spans="1:10" ht="15" customHeight="1">
      <c r="A746" s="44">
        <f t="shared" si="22"/>
        <v>183</v>
      </c>
      <c r="B746" s="173" t="s">
        <v>542</v>
      </c>
      <c r="C746" s="229" t="s">
        <v>34</v>
      </c>
      <c r="D746" s="51" t="s">
        <v>130</v>
      </c>
      <c r="E746" s="46">
        <v>690.75</v>
      </c>
      <c r="F746" s="193" t="s">
        <v>130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1"/>
        <v>H_183</v>
      </c>
    </row>
    <row r="747" spans="1:10" ht="15" customHeight="1">
      <c r="A747" s="44">
        <f t="shared" si="22"/>
        <v>184</v>
      </c>
      <c r="B747" s="173" t="s">
        <v>543</v>
      </c>
      <c r="C747" s="229" t="s">
        <v>34</v>
      </c>
      <c r="D747" s="51" t="s">
        <v>130</v>
      </c>
      <c r="E747" s="58">
        <v>690.75</v>
      </c>
      <c r="F747" s="200" t="s">
        <v>130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1"/>
        <v>H_184</v>
      </c>
    </row>
    <row r="748" spans="1:10" ht="15" customHeight="1">
      <c r="A748" s="44">
        <f t="shared" si="22"/>
        <v>185</v>
      </c>
      <c r="B748" s="173" t="s">
        <v>544</v>
      </c>
      <c r="C748" s="229" t="s">
        <v>34</v>
      </c>
      <c r="D748" s="51" t="s">
        <v>130</v>
      </c>
      <c r="E748" s="58">
        <v>690.75</v>
      </c>
      <c r="F748" s="200" t="s">
        <v>130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1"/>
        <v>H_185</v>
      </c>
    </row>
    <row r="749" spans="1:10" ht="15" customHeight="1">
      <c r="A749" s="44">
        <f t="shared" si="22"/>
        <v>186</v>
      </c>
      <c r="B749" s="173" t="s">
        <v>545</v>
      </c>
      <c r="C749" s="229" t="s">
        <v>34</v>
      </c>
      <c r="D749" s="51" t="s">
        <v>130</v>
      </c>
      <c r="E749" s="58">
        <v>690.75</v>
      </c>
      <c r="F749" s="200" t="s">
        <v>130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1"/>
        <v>H_186</v>
      </c>
    </row>
    <row r="750" spans="1:10" ht="15" customHeight="1">
      <c r="A750" s="44">
        <f t="shared" si="22"/>
        <v>187</v>
      </c>
      <c r="B750" s="173" t="s">
        <v>546</v>
      </c>
      <c r="C750" s="229" t="s">
        <v>34</v>
      </c>
      <c r="D750" s="51" t="s">
        <v>130</v>
      </c>
      <c r="E750" s="58">
        <v>690.75</v>
      </c>
      <c r="F750" s="200" t="s">
        <v>130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1"/>
        <v>H_187</v>
      </c>
    </row>
    <row r="751" spans="1:10" ht="15" customHeight="1">
      <c r="A751" s="44">
        <f t="shared" si="22"/>
        <v>188</v>
      </c>
      <c r="B751" s="173" t="s">
        <v>547</v>
      </c>
      <c r="C751" s="229" t="s">
        <v>34</v>
      </c>
      <c r="D751" s="51" t="s">
        <v>130</v>
      </c>
      <c r="E751" s="46">
        <v>690.75</v>
      </c>
      <c r="F751" s="193" t="s">
        <v>130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1"/>
        <v>H_188</v>
      </c>
    </row>
    <row r="752" spans="1:10" ht="15" customHeight="1">
      <c r="A752" s="44">
        <f t="shared" si="22"/>
        <v>189</v>
      </c>
      <c r="B752" s="173" t="s">
        <v>548</v>
      </c>
      <c r="C752" s="229" t="s">
        <v>34</v>
      </c>
      <c r="D752" s="51" t="s">
        <v>130</v>
      </c>
      <c r="E752" s="58">
        <v>690.75</v>
      </c>
      <c r="F752" s="200" t="s">
        <v>130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1"/>
        <v>H_189</v>
      </c>
    </row>
    <row r="753" spans="1:10" ht="15" customHeight="1">
      <c r="A753" s="44">
        <f t="shared" si="22"/>
        <v>190</v>
      </c>
      <c r="B753" s="173" t="s">
        <v>549</v>
      </c>
      <c r="C753" s="229" t="s">
        <v>34</v>
      </c>
      <c r="D753" s="51" t="s">
        <v>130</v>
      </c>
      <c r="E753" s="58">
        <v>690.75</v>
      </c>
      <c r="F753" s="200" t="s">
        <v>130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1"/>
        <v>H_190</v>
      </c>
    </row>
    <row r="754" spans="1:10" ht="15" customHeight="1">
      <c r="A754" s="44">
        <f t="shared" si="22"/>
        <v>191</v>
      </c>
      <c r="B754" s="173" t="s">
        <v>550</v>
      </c>
      <c r="C754" s="229" t="s">
        <v>34</v>
      </c>
      <c r="D754" s="51" t="s">
        <v>130</v>
      </c>
      <c r="E754" s="58">
        <v>3850</v>
      </c>
      <c r="F754" s="200" t="s">
        <v>130</v>
      </c>
      <c r="G754" s="9">
        <f>IF(Tabla9[[#This Row],[Precio
Unidad de Compra ( $)]]="","",(E754/(H754*I754)))</f>
        <v>3850</v>
      </c>
      <c r="H754" s="8">
        <v>1</v>
      </c>
      <c r="I754" s="185">
        <v>1</v>
      </c>
      <c r="J754" s="79" t="str">
        <f t="shared" si="21"/>
        <v>H_191</v>
      </c>
    </row>
    <row r="755" spans="1:10" ht="15" customHeight="1">
      <c r="A755" s="44">
        <f t="shared" si="22"/>
        <v>192</v>
      </c>
      <c r="B755" s="173" t="s">
        <v>551</v>
      </c>
      <c r="C755" s="229" t="s">
        <v>34</v>
      </c>
      <c r="D755" s="51" t="s">
        <v>130</v>
      </c>
      <c r="E755" s="58">
        <v>3850</v>
      </c>
      <c r="F755" s="200" t="s">
        <v>130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1"/>
        <v>H_192</v>
      </c>
    </row>
    <row r="756" spans="1:10" ht="15" customHeight="1">
      <c r="A756" s="44">
        <f t="shared" si="22"/>
        <v>193</v>
      </c>
      <c r="B756" s="173" t="s">
        <v>552</v>
      </c>
      <c r="C756" s="229" t="s">
        <v>34</v>
      </c>
      <c r="D756" s="51" t="s">
        <v>130</v>
      </c>
      <c r="E756" s="58">
        <v>3850</v>
      </c>
      <c r="F756" s="200" t="s">
        <v>130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ref="J756:J819" si="23">IFERROR(CONCATENATE(LEFT(C756,1),"_",TEXT(A756,"000")),"")</f>
        <v>H_193</v>
      </c>
    </row>
    <row r="757" spans="1:10" ht="15" customHeight="1">
      <c r="A757" s="44">
        <f t="shared" ref="A757:A820" si="24">A756+1</f>
        <v>194</v>
      </c>
      <c r="B757" s="173" t="s">
        <v>553</v>
      </c>
      <c r="C757" s="229" t="s">
        <v>34</v>
      </c>
      <c r="D757" s="51" t="s">
        <v>130</v>
      </c>
      <c r="E757" s="58">
        <v>3850</v>
      </c>
      <c r="F757" s="200" t="s">
        <v>130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si="23"/>
        <v>H_194</v>
      </c>
    </row>
    <row r="758" spans="1:10" ht="15" customHeight="1">
      <c r="A758" s="44">
        <f t="shared" si="24"/>
        <v>195</v>
      </c>
      <c r="B758" s="173" t="s">
        <v>554</v>
      </c>
      <c r="C758" s="229" t="s">
        <v>34</v>
      </c>
      <c r="D758" s="51" t="s">
        <v>130</v>
      </c>
      <c r="E758" s="58">
        <v>3850</v>
      </c>
      <c r="F758" s="200" t="s">
        <v>130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3"/>
        <v>H_195</v>
      </c>
    </row>
    <row r="759" spans="1:10" ht="15" customHeight="1">
      <c r="A759" s="44">
        <f t="shared" si="24"/>
        <v>196</v>
      </c>
      <c r="B759" s="173" t="s">
        <v>555</v>
      </c>
      <c r="C759" s="229" t="s">
        <v>34</v>
      </c>
      <c r="D759" s="51" t="s">
        <v>130</v>
      </c>
      <c r="E759" s="58">
        <v>3850</v>
      </c>
      <c r="F759" s="200" t="s">
        <v>130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3"/>
        <v>H_196</v>
      </c>
    </row>
    <row r="760" spans="1:10" ht="15" customHeight="1">
      <c r="A760" s="44">
        <f t="shared" si="24"/>
        <v>197</v>
      </c>
      <c r="B760" s="173" t="s">
        <v>556</v>
      </c>
      <c r="C760" s="229" t="s">
        <v>34</v>
      </c>
      <c r="D760" s="51" t="s">
        <v>130</v>
      </c>
      <c r="E760" s="58">
        <v>3850</v>
      </c>
      <c r="F760" s="200" t="s">
        <v>130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3"/>
        <v>H_197</v>
      </c>
    </row>
    <row r="761" spans="1:10" ht="15" customHeight="1">
      <c r="A761" s="44">
        <f t="shared" si="24"/>
        <v>198</v>
      </c>
      <c r="B761" s="173" t="s">
        <v>557</v>
      </c>
      <c r="C761" s="229" t="s">
        <v>34</v>
      </c>
      <c r="D761" s="51" t="s">
        <v>130</v>
      </c>
      <c r="E761" s="58">
        <v>3850</v>
      </c>
      <c r="F761" s="200" t="s">
        <v>130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3"/>
        <v>H_198</v>
      </c>
    </row>
    <row r="762" spans="1:10" ht="15" customHeight="1">
      <c r="A762" s="44">
        <f t="shared" si="24"/>
        <v>199</v>
      </c>
      <c r="B762" s="173" t="s">
        <v>558</v>
      </c>
      <c r="C762" s="229" t="s">
        <v>34</v>
      </c>
      <c r="D762" s="51" t="s">
        <v>130</v>
      </c>
      <c r="E762" s="58">
        <v>3850</v>
      </c>
      <c r="F762" s="200" t="s">
        <v>130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3"/>
        <v>H_199</v>
      </c>
    </row>
    <row r="763" spans="1:10" ht="15" customHeight="1">
      <c r="A763" s="44">
        <f t="shared" si="24"/>
        <v>200</v>
      </c>
      <c r="B763" s="173" t="s">
        <v>559</v>
      </c>
      <c r="C763" s="229" t="s">
        <v>34</v>
      </c>
      <c r="D763" s="51" t="s">
        <v>130</v>
      </c>
      <c r="E763" s="58">
        <v>3850</v>
      </c>
      <c r="F763" s="200" t="s">
        <v>130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3"/>
        <v>H_200</v>
      </c>
    </row>
    <row r="764" spans="1:10" ht="15" customHeight="1">
      <c r="A764" s="44">
        <f t="shared" si="24"/>
        <v>201</v>
      </c>
      <c r="B764" s="173" t="s">
        <v>560</v>
      </c>
      <c r="C764" s="229" t="s">
        <v>34</v>
      </c>
      <c r="D764" s="51" t="s">
        <v>130</v>
      </c>
      <c r="E764" s="58">
        <v>3850</v>
      </c>
      <c r="F764" s="200" t="s">
        <v>130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3"/>
        <v>H_201</v>
      </c>
    </row>
    <row r="765" spans="1:10" ht="15" customHeight="1">
      <c r="A765" s="44">
        <f t="shared" si="24"/>
        <v>202</v>
      </c>
      <c r="B765" s="173" t="s">
        <v>561</v>
      </c>
      <c r="C765" s="229" t="s">
        <v>34</v>
      </c>
      <c r="D765" s="51" t="s">
        <v>130</v>
      </c>
      <c r="E765" s="58">
        <v>3850</v>
      </c>
      <c r="F765" s="200" t="s">
        <v>130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3"/>
        <v>H_202</v>
      </c>
    </row>
    <row r="766" spans="1:10" ht="15" customHeight="1">
      <c r="A766" s="44">
        <f t="shared" si="24"/>
        <v>203</v>
      </c>
      <c r="B766" s="173" t="s">
        <v>562</v>
      </c>
      <c r="C766" s="229" t="s">
        <v>34</v>
      </c>
      <c r="D766" s="51" t="s">
        <v>130</v>
      </c>
      <c r="E766" s="58">
        <v>3850</v>
      </c>
      <c r="F766" s="200" t="s">
        <v>130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3"/>
        <v>H_203</v>
      </c>
    </row>
    <row r="767" spans="1:10" ht="15" customHeight="1">
      <c r="A767" s="44">
        <f t="shared" si="24"/>
        <v>204</v>
      </c>
      <c r="B767" s="173" t="s">
        <v>563</v>
      </c>
      <c r="C767" s="229" t="s">
        <v>34</v>
      </c>
      <c r="D767" s="51" t="s">
        <v>130</v>
      </c>
      <c r="E767" s="58">
        <v>3850</v>
      </c>
      <c r="F767" s="200" t="s">
        <v>130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3"/>
        <v>H_204</v>
      </c>
    </row>
    <row r="768" spans="1:10" ht="30">
      <c r="A768" s="44">
        <f t="shared" si="24"/>
        <v>205</v>
      </c>
      <c r="B768" s="173" t="s">
        <v>564</v>
      </c>
      <c r="C768" s="229" t="s">
        <v>34</v>
      </c>
      <c r="D768" s="51" t="s">
        <v>130</v>
      </c>
      <c r="E768" s="58">
        <v>3850</v>
      </c>
      <c r="F768" s="200" t="s">
        <v>130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3"/>
        <v>H_205</v>
      </c>
    </row>
    <row r="769" spans="1:10" ht="15" customHeight="1">
      <c r="A769" s="44">
        <f t="shared" si="24"/>
        <v>206</v>
      </c>
      <c r="B769" s="173" t="s">
        <v>565</v>
      </c>
      <c r="C769" s="229" t="s">
        <v>34</v>
      </c>
      <c r="D769" s="51" t="s">
        <v>130</v>
      </c>
      <c r="E769" s="58">
        <v>3850</v>
      </c>
      <c r="F769" s="200" t="s">
        <v>130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3"/>
        <v>H_206</v>
      </c>
    </row>
    <row r="770" spans="1:10" ht="15" customHeight="1">
      <c r="A770" s="44">
        <f t="shared" si="24"/>
        <v>207</v>
      </c>
      <c r="B770" s="173" t="s">
        <v>566</v>
      </c>
      <c r="C770" s="229" t="s">
        <v>34</v>
      </c>
      <c r="D770" s="51" t="s">
        <v>130</v>
      </c>
      <c r="E770" s="58">
        <v>3850</v>
      </c>
      <c r="F770" s="200" t="s">
        <v>130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3"/>
        <v>H_207</v>
      </c>
    </row>
    <row r="771" spans="1:10" ht="15" customHeight="1">
      <c r="A771" s="44">
        <f t="shared" si="24"/>
        <v>208</v>
      </c>
      <c r="B771" s="173" t="s">
        <v>567</v>
      </c>
      <c r="C771" s="229" t="s">
        <v>34</v>
      </c>
      <c r="D771" s="51" t="s">
        <v>130</v>
      </c>
      <c r="E771" s="58">
        <v>3850</v>
      </c>
      <c r="F771" s="200" t="s">
        <v>130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3"/>
        <v>H_208</v>
      </c>
    </row>
    <row r="772" spans="1:10" ht="15" customHeight="1">
      <c r="A772" s="44">
        <f t="shared" si="24"/>
        <v>209</v>
      </c>
      <c r="B772" s="173" t="s">
        <v>568</v>
      </c>
      <c r="C772" s="229" t="s">
        <v>34</v>
      </c>
      <c r="D772" s="51" t="s">
        <v>130</v>
      </c>
      <c r="E772" s="58">
        <v>3850</v>
      </c>
      <c r="F772" s="200" t="s">
        <v>130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3"/>
        <v>H_209</v>
      </c>
    </row>
    <row r="773" spans="1:10" ht="15" customHeight="1">
      <c r="A773" s="44">
        <f t="shared" si="24"/>
        <v>210</v>
      </c>
      <c r="B773" s="173" t="s">
        <v>569</v>
      </c>
      <c r="C773" s="229" t="s">
        <v>34</v>
      </c>
      <c r="D773" s="51" t="s">
        <v>130</v>
      </c>
      <c r="E773" s="58">
        <v>3850</v>
      </c>
      <c r="F773" s="200" t="s">
        <v>130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3"/>
        <v>H_210</v>
      </c>
    </row>
    <row r="774" spans="1:10" ht="15" customHeight="1">
      <c r="A774" s="44">
        <f t="shared" si="24"/>
        <v>211</v>
      </c>
      <c r="B774" s="173" t="s">
        <v>570</v>
      </c>
      <c r="C774" s="229" t="s">
        <v>34</v>
      </c>
      <c r="D774" s="51" t="s">
        <v>130</v>
      </c>
      <c r="E774" s="58">
        <v>3850</v>
      </c>
      <c r="F774" s="200" t="s">
        <v>130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3"/>
        <v>H_211</v>
      </c>
    </row>
    <row r="775" spans="1:10" ht="15" customHeight="1">
      <c r="A775" s="44">
        <f t="shared" si="24"/>
        <v>212</v>
      </c>
      <c r="B775" s="173" t="s">
        <v>571</v>
      </c>
      <c r="C775" s="229" t="s">
        <v>34</v>
      </c>
      <c r="D775" s="51" t="s">
        <v>130</v>
      </c>
      <c r="E775" s="58">
        <v>8973.7900000000009</v>
      </c>
      <c r="F775" s="200" t="s">
        <v>130</v>
      </c>
      <c r="G775" s="9">
        <f>IF(Tabla9[[#This Row],[Precio
Unidad de Compra ( $)]]="","",(E775/(H775*I775)))</f>
        <v>8973.7900000000009</v>
      </c>
      <c r="H775" s="8">
        <v>1</v>
      </c>
      <c r="I775" s="185">
        <v>1</v>
      </c>
      <c r="J775" s="79" t="str">
        <f t="shared" si="23"/>
        <v>H_212</v>
      </c>
    </row>
    <row r="776" spans="1:10" ht="15" customHeight="1">
      <c r="A776" s="44">
        <f t="shared" si="24"/>
        <v>213</v>
      </c>
      <c r="B776" s="173" t="s">
        <v>572</v>
      </c>
      <c r="C776" s="229" t="s">
        <v>34</v>
      </c>
      <c r="D776" s="51" t="s">
        <v>130</v>
      </c>
      <c r="E776" s="58">
        <v>8973.7900000000009</v>
      </c>
      <c r="F776" s="200" t="s">
        <v>130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3"/>
        <v>H_213</v>
      </c>
    </row>
    <row r="777" spans="1:10" ht="15" customHeight="1">
      <c r="A777" s="44">
        <f t="shared" si="24"/>
        <v>214</v>
      </c>
      <c r="B777" s="173" t="s">
        <v>573</v>
      </c>
      <c r="C777" s="229" t="s">
        <v>34</v>
      </c>
      <c r="D777" s="51" t="s">
        <v>130</v>
      </c>
      <c r="E777" s="58">
        <v>8973.7900000000009</v>
      </c>
      <c r="F777" s="200" t="s">
        <v>130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3"/>
        <v>H_214</v>
      </c>
    </row>
    <row r="778" spans="1:10" ht="15" customHeight="1">
      <c r="A778" s="44">
        <f t="shared" si="24"/>
        <v>215</v>
      </c>
      <c r="B778" s="173" t="s">
        <v>574</v>
      </c>
      <c r="C778" s="229" t="s">
        <v>34</v>
      </c>
      <c r="D778" s="51" t="s">
        <v>130</v>
      </c>
      <c r="E778" s="58">
        <v>1661.24</v>
      </c>
      <c r="F778" s="200" t="s">
        <v>130</v>
      </c>
      <c r="G778" s="9">
        <f>IF(Tabla9[[#This Row],[Precio
Unidad de Compra ( $)]]="","",(E778/(H778*I778)))</f>
        <v>1661.24</v>
      </c>
      <c r="H778" s="8">
        <v>1</v>
      </c>
      <c r="I778" s="185">
        <v>1</v>
      </c>
      <c r="J778" s="79" t="str">
        <f t="shared" si="23"/>
        <v>H_215</v>
      </c>
    </row>
    <row r="779" spans="1:10" ht="15" customHeight="1">
      <c r="A779" s="44">
        <f t="shared" si="24"/>
        <v>216</v>
      </c>
      <c r="B779" s="173" t="s">
        <v>575</v>
      </c>
      <c r="C779" s="229" t="s">
        <v>34</v>
      </c>
      <c r="D779" s="51" t="s">
        <v>130</v>
      </c>
      <c r="E779" s="58">
        <v>1661.24</v>
      </c>
      <c r="F779" s="200" t="s">
        <v>130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3"/>
        <v>H_216</v>
      </c>
    </row>
    <row r="780" spans="1:10" ht="15" customHeight="1">
      <c r="A780" s="44">
        <f t="shared" si="24"/>
        <v>217</v>
      </c>
      <c r="B780" s="173" t="s">
        <v>576</v>
      </c>
      <c r="C780" s="229" t="s">
        <v>34</v>
      </c>
      <c r="D780" s="51" t="s">
        <v>130</v>
      </c>
      <c r="E780" s="58">
        <v>690.75</v>
      </c>
      <c r="F780" s="200" t="s">
        <v>130</v>
      </c>
      <c r="G780" s="9">
        <f>IF(Tabla9[[#This Row],[Precio
Unidad de Compra ( $)]]="","",(E780/(H780*I780)))</f>
        <v>690.75</v>
      </c>
      <c r="H780" s="8">
        <v>1</v>
      </c>
      <c r="I780" s="185">
        <v>1</v>
      </c>
      <c r="J780" s="79" t="str">
        <f t="shared" si="23"/>
        <v>H_217</v>
      </c>
    </row>
    <row r="781" spans="1:10" ht="15" customHeight="1">
      <c r="A781" s="44">
        <f t="shared" si="24"/>
        <v>218</v>
      </c>
      <c r="B781" s="187" t="s">
        <v>577</v>
      </c>
      <c r="C781" s="229" t="s">
        <v>34</v>
      </c>
      <c r="D781" s="51" t="s">
        <v>130</v>
      </c>
      <c r="E781" s="59">
        <v>1505.04</v>
      </c>
      <c r="F781" s="193" t="s">
        <v>130</v>
      </c>
      <c r="G781" s="9">
        <f>IF(Tabla9[[#This Row],[Precio
Unidad de Compra ( $)]]="","",(E781/(H781*I781)))</f>
        <v>1505.04</v>
      </c>
      <c r="H781" s="8">
        <v>1</v>
      </c>
      <c r="I781" s="185">
        <v>1</v>
      </c>
      <c r="J781" s="79" t="str">
        <f t="shared" si="23"/>
        <v>H_218</v>
      </c>
    </row>
    <row r="782" spans="1:10" ht="15" customHeight="1">
      <c r="A782" s="44">
        <f t="shared" si="24"/>
        <v>219</v>
      </c>
      <c r="B782" s="187" t="s">
        <v>578</v>
      </c>
      <c r="C782" s="229" t="s">
        <v>34</v>
      </c>
      <c r="D782" s="51" t="s">
        <v>130</v>
      </c>
      <c r="E782" s="59">
        <v>3628.57</v>
      </c>
      <c r="F782" s="193" t="s">
        <v>130</v>
      </c>
      <c r="G782" s="9">
        <f>IF(Tabla9[[#This Row],[Precio
Unidad de Compra ( $)]]="","",(E782/(H782*I782)))</f>
        <v>3628.57</v>
      </c>
      <c r="H782" s="8">
        <v>1</v>
      </c>
      <c r="I782" s="185">
        <v>1</v>
      </c>
      <c r="J782" s="79" t="str">
        <f t="shared" si="23"/>
        <v>H_219</v>
      </c>
    </row>
    <row r="783" spans="1:10" ht="15" customHeight="1">
      <c r="A783" s="44">
        <f t="shared" si="24"/>
        <v>220</v>
      </c>
      <c r="B783" s="187" t="s">
        <v>579</v>
      </c>
      <c r="C783" s="229" t="s">
        <v>34</v>
      </c>
      <c r="D783" s="51" t="s">
        <v>130</v>
      </c>
      <c r="E783" s="59">
        <v>1505.04</v>
      </c>
      <c r="F783" s="193" t="s">
        <v>130</v>
      </c>
      <c r="G783" s="9">
        <f>IF(Tabla9[[#This Row],[Precio
Unidad de Compra ( $)]]="","",(E783/(H783*I783)))</f>
        <v>1505.04</v>
      </c>
      <c r="H783" s="8">
        <v>1</v>
      </c>
      <c r="I783" s="185">
        <v>1</v>
      </c>
      <c r="J783" s="79" t="str">
        <f t="shared" si="23"/>
        <v>H_220</v>
      </c>
    </row>
    <row r="784" spans="1:10" ht="15" customHeight="1">
      <c r="A784" s="44">
        <f t="shared" si="24"/>
        <v>221</v>
      </c>
      <c r="B784" s="173" t="s">
        <v>580</v>
      </c>
      <c r="C784" s="229" t="s">
        <v>34</v>
      </c>
      <c r="D784" s="51" t="s">
        <v>130</v>
      </c>
      <c r="E784" s="58">
        <v>2898.84</v>
      </c>
      <c r="F784" s="200" t="s">
        <v>130</v>
      </c>
      <c r="G784" s="9">
        <f>IF(Tabla9[[#This Row],[Precio
Unidad de Compra ( $)]]="","",(E784/(H784*I784)))</f>
        <v>2898.84</v>
      </c>
      <c r="H784" s="8">
        <v>1</v>
      </c>
      <c r="I784" s="185">
        <v>1</v>
      </c>
      <c r="J784" s="79" t="str">
        <f t="shared" si="23"/>
        <v>H_221</v>
      </c>
    </row>
    <row r="785" spans="1:10" ht="15" customHeight="1">
      <c r="A785" s="44">
        <f t="shared" si="24"/>
        <v>222</v>
      </c>
      <c r="B785" s="173" t="s">
        <v>581</v>
      </c>
      <c r="C785" s="229" t="s">
        <v>34</v>
      </c>
      <c r="D785" s="51" t="s">
        <v>130</v>
      </c>
      <c r="E785" s="58">
        <v>2898.84</v>
      </c>
      <c r="F785" s="200" t="s">
        <v>130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3"/>
        <v>H_222</v>
      </c>
    </row>
    <row r="786" spans="1:10" ht="15" customHeight="1">
      <c r="A786" s="44">
        <f t="shared" si="24"/>
        <v>223</v>
      </c>
      <c r="B786" s="173" t="s">
        <v>582</v>
      </c>
      <c r="C786" s="229" t="s">
        <v>34</v>
      </c>
      <c r="D786" s="51" t="s">
        <v>130</v>
      </c>
      <c r="E786" s="58">
        <v>2898.84</v>
      </c>
      <c r="F786" s="200" t="s">
        <v>130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3"/>
        <v>H_223</v>
      </c>
    </row>
    <row r="787" spans="1:10" ht="15" customHeight="1">
      <c r="A787" s="44">
        <f t="shared" si="24"/>
        <v>224</v>
      </c>
      <c r="B787" s="173" t="s">
        <v>583</v>
      </c>
      <c r="C787" s="229" t="s">
        <v>34</v>
      </c>
      <c r="D787" s="51" t="s">
        <v>130</v>
      </c>
      <c r="E787" s="58">
        <v>833</v>
      </c>
      <c r="F787" s="200" t="s">
        <v>130</v>
      </c>
      <c r="G787" s="9">
        <f>IF(Tabla9[[#This Row],[Precio
Unidad de Compra ( $)]]="","",(E787/(H787*I787)))</f>
        <v>833</v>
      </c>
      <c r="H787" s="8">
        <v>1</v>
      </c>
      <c r="I787" s="185">
        <v>1</v>
      </c>
      <c r="J787" s="79" t="str">
        <f t="shared" si="23"/>
        <v>H_224</v>
      </c>
    </row>
    <row r="788" spans="1:10" ht="15" customHeight="1">
      <c r="A788" s="44">
        <f t="shared" si="24"/>
        <v>225</v>
      </c>
      <c r="B788" s="173" t="s">
        <v>584</v>
      </c>
      <c r="C788" s="229" t="s">
        <v>34</v>
      </c>
      <c r="D788" s="51" t="s">
        <v>130</v>
      </c>
      <c r="E788" s="58">
        <v>833</v>
      </c>
      <c r="F788" s="200" t="s">
        <v>130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3"/>
        <v>H_225</v>
      </c>
    </row>
    <row r="789" spans="1:10" ht="15" customHeight="1">
      <c r="A789" s="44">
        <f t="shared" si="24"/>
        <v>226</v>
      </c>
      <c r="B789" s="173" t="s">
        <v>585</v>
      </c>
      <c r="C789" s="229" t="s">
        <v>34</v>
      </c>
      <c r="D789" s="51" t="s">
        <v>130</v>
      </c>
      <c r="E789" s="58">
        <v>1266.6666666666667</v>
      </c>
      <c r="F789" s="200" t="s">
        <v>130</v>
      </c>
      <c r="G789" s="9">
        <f>IF(Tabla9[[#This Row],[Precio
Unidad de Compra ( $)]]="","",(E789/(H789*I789)))</f>
        <v>1266.6666666666667</v>
      </c>
      <c r="H789" s="8">
        <v>1</v>
      </c>
      <c r="I789" s="185">
        <v>1</v>
      </c>
      <c r="J789" s="79" t="str">
        <f t="shared" si="23"/>
        <v>H_226</v>
      </c>
    </row>
    <row r="790" spans="1:10" ht="15" customHeight="1">
      <c r="A790" s="44">
        <f t="shared" si="24"/>
        <v>227</v>
      </c>
      <c r="B790" s="173" t="s">
        <v>586</v>
      </c>
      <c r="C790" s="229" t="s">
        <v>34</v>
      </c>
      <c r="D790" s="51" t="s">
        <v>130</v>
      </c>
      <c r="E790" s="58">
        <v>1266.6666666666667</v>
      </c>
      <c r="F790" s="200" t="s">
        <v>130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3"/>
        <v>H_227</v>
      </c>
    </row>
    <row r="791" spans="1:10" ht="30">
      <c r="A791" s="44">
        <f t="shared" si="24"/>
        <v>228</v>
      </c>
      <c r="B791" s="173" t="s">
        <v>587</v>
      </c>
      <c r="C791" s="229" t="s">
        <v>34</v>
      </c>
      <c r="D791" s="51" t="s">
        <v>130</v>
      </c>
      <c r="E791" s="58">
        <v>1266.6666666666667</v>
      </c>
      <c r="F791" s="200" t="s">
        <v>130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3"/>
        <v>H_228</v>
      </c>
    </row>
    <row r="792" spans="1:10" ht="30">
      <c r="A792" s="44">
        <f t="shared" si="24"/>
        <v>229</v>
      </c>
      <c r="B792" s="173" t="s">
        <v>588</v>
      </c>
      <c r="C792" s="229" t="s">
        <v>34</v>
      </c>
      <c r="D792" s="51" t="s">
        <v>130</v>
      </c>
      <c r="E792" s="58">
        <v>1266.6666666666667</v>
      </c>
      <c r="F792" s="200" t="s">
        <v>130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3"/>
        <v>H_229</v>
      </c>
    </row>
    <row r="793" spans="1:10" ht="30">
      <c r="A793" s="44">
        <f t="shared" si="24"/>
        <v>230</v>
      </c>
      <c r="B793" s="173" t="s">
        <v>589</v>
      </c>
      <c r="C793" s="229" t="s">
        <v>34</v>
      </c>
      <c r="D793" s="51" t="s">
        <v>130</v>
      </c>
      <c r="E793" s="46">
        <v>1266.6666666666667</v>
      </c>
      <c r="F793" s="193" t="s">
        <v>130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3"/>
        <v>H_230</v>
      </c>
    </row>
    <row r="794" spans="1:10" ht="30">
      <c r="A794" s="44">
        <f t="shared" si="24"/>
        <v>231</v>
      </c>
      <c r="B794" s="173" t="s">
        <v>590</v>
      </c>
      <c r="C794" s="229" t="s">
        <v>34</v>
      </c>
      <c r="D794" s="51" t="s">
        <v>130</v>
      </c>
      <c r="E794" s="58">
        <v>1266.6666666666667</v>
      </c>
      <c r="F794" s="200" t="s">
        <v>130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3"/>
        <v>H_231</v>
      </c>
    </row>
    <row r="795" spans="1:10" ht="30">
      <c r="A795" s="44">
        <f t="shared" si="24"/>
        <v>232</v>
      </c>
      <c r="B795" s="173" t="s">
        <v>591</v>
      </c>
      <c r="C795" s="229" t="s">
        <v>34</v>
      </c>
      <c r="D795" s="51" t="s">
        <v>130</v>
      </c>
      <c r="E795" s="58">
        <v>1266.6666666666667</v>
      </c>
      <c r="F795" s="200" t="s">
        <v>130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3"/>
        <v>H_232</v>
      </c>
    </row>
    <row r="796" spans="1:10" ht="30">
      <c r="A796" s="44">
        <f t="shared" si="24"/>
        <v>233</v>
      </c>
      <c r="B796" s="173" t="s">
        <v>592</v>
      </c>
      <c r="C796" s="229" t="s">
        <v>34</v>
      </c>
      <c r="D796" s="51" t="s">
        <v>130</v>
      </c>
      <c r="E796" s="58">
        <v>1266.6666666666667</v>
      </c>
      <c r="F796" s="200" t="s">
        <v>130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3"/>
        <v>H_233</v>
      </c>
    </row>
    <row r="797" spans="1:10" ht="30">
      <c r="A797" s="44">
        <f t="shared" si="24"/>
        <v>234</v>
      </c>
      <c r="B797" s="173" t="s">
        <v>593</v>
      </c>
      <c r="C797" s="229" t="s">
        <v>34</v>
      </c>
      <c r="D797" s="51" t="s">
        <v>130</v>
      </c>
      <c r="E797" s="58">
        <v>1266.6666666666667</v>
      </c>
      <c r="F797" s="200" t="s">
        <v>130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3"/>
        <v>H_234</v>
      </c>
    </row>
    <row r="798" spans="1:10" ht="30">
      <c r="A798" s="44">
        <f t="shared" si="24"/>
        <v>235</v>
      </c>
      <c r="B798" s="173" t="s">
        <v>594</v>
      </c>
      <c r="C798" s="229" t="s">
        <v>34</v>
      </c>
      <c r="D798" s="51" t="s">
        <v>130</v>
      </c>
      <c r="E798" s="58">
        <v>1266.6666666666667</v>
      </c>
      <c r="F798" s="200" t="s">
        <v>130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3"/>
        <v>H_235</v>
      </c>
    </row>
    <row r="799" spans="1:10" ht="30">
      <c r="A799" s="44">
        <f t="shared" si="24"/>
        <v>236</v>
      </c>
      <c r="B799" s="173" t="s">
        <v>595</v>
      </c>
      <c r="C799" s="229" t="s">
        <v>34</v>
      </c>
      <c r="D799" s="51" t="s">
        <v>130</v>
      </c>
      <c r="E799" s="58">
        <v>1266.6666666666667</v>
      </c>
      <c r="F799" s="200" t="s">
        <v>130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3"/>
        <v>H_236</v>
      </c>
    </row>
    <row r="800" spans="1:10" ht="30">
      <c r="A800" s="44">
        <f t="shared" si="24"/>
        <v>237</v>
      </c>
      <c r="B800" s="173" t="s">
        <v>596</v>
      </c>
      <c r="C800" s="229" t="s">
        <v>34</v>
      </c>
      <c r="D800" s="51" t="s">
        <v>130</v>
      </c>
      <c r="E800" s="58">
        <v>1266.6666666666667</v>
      </c>
      <c r="F800" s="200" t="s">
        <v>130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3"/>
        <v>H_237</v>
      </c>
    </row>
    <row r="801" spans="1:10" ht="30">
      <c r="A801" s="44">
        <f t="shared" si="24"/>
        <v>238</v>
      </c>
      <c r="B801" s="173" t="s">
        <v>597</v>
      </c>
      <c r="C801" s="229" t="s">
        <v>34</v>
      </c>
      <c r="D801" s="51" t="s">
        <v>130</v>
      </c>
      <c r="E801" s="58">
        <v>455.66624999999999</v>
      </c>
      <c r="F801" s="200" t="s">
        <v>130</v>
      </c>
      <c r="G801" s="9">
        <f>IF(Tabla9[[#This Row],[Precio
Unidad de Compra ( $)]]="","",(E801/(H801*I801)))</f>
        <v>455.66624999999999</v>
      </c>
      <c r="H801" s="8">
        <v>1</v>
      </c>
      <c r="I801" s="185">
        <v>1</v>
      </c>
      <c r="J801" s="79" t="str">
        <f t="shared" si="23"/>
        <v>H_238</v>
      </c>
    </row>
    <row r="802" spans="1:10" ht="30">
      <c r="A802" s="44">
        <f t="shared" si="24"/>
        <v>239</v>
      </c>
      <c r="B802" s="173" t="s">
        <v>598</v>
      </c>
      <c r="C802" s="229" t="s">
        <v>34</v>
      </c>
      <c r="D802" s="51" t="s">
        <v>130</v>
      </c>
      <c r="E802" s="58">
        <v>455.66624999999999</v>
      </c>
      <c r="F802" s="200" t="s">
        <v>130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3"/>
        <v>H_239</v>
      </c>
    </row>
    <row r="803" spans="1:10" ht="30">
      <c r="A803" s="44">
        <f t="shared" si="24"/>
        <v>240</v>
      </c>
      <c r="B803" s="173" t="s">
        <v>599</v>
      </c>
      <c r="C803" s="229" t="s">
        <v>34</v>
      </c>
      <c r="D803" s="51" t="s">
        <v>130</v>
      </c>
      <c r="E803" s="58">
        <v>455.66624999999999</v>
      </c>
      <c r="F803" s="200" t="s">
        <v>130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3"/>
        <v>H_240</v>
      </c>
    </row>
    <row r="804" spans="1:10" ht="30">
      <c r="A804" s="44">
        <f t="shared" si="24"/>
        <v>241</v>
      </c>
      <c r="B804" s="173" t="s">
        <v>600</v>
      </c>
      <c r="C804" s="229" t="s">
        <v>34</v>
      </c>
      <c r="D804" s="51" t="s">
        <v>130</v>
      </c>
      <c r="E804" s="58">
        <v>455.66624999999999</v>
      </c>
      <c r="F804" s="200" t="s">
        <v>130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3"/>
        <v>H_241</v>
      </c>
    </row>
    <row r="805" spans="1:10" ht="30">
      <c r="A805" s="44">
        <f t="shared" si="24"/>
        <v>242</v>
      </c>
      <c r="B805" s="173" t="s">
        <v>601</v>
      </c>
      <c r="C805" s="229" t="s">
        <v>34</v>
      </c>
      <c r="D805" s="51" t="s">
        <v>130</v>
      </c>
      <c r="E805" s="58">
        <v>455.66624999999999</v>
      </c>
      <c r="F805" s="200" t="s">
        <v>130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3"/>
        <v>H_242</v>
      </c>
    </row>
    <row r="806" spans="1:10" ht="30">
      <c r="A806" s="44">
        <f t="shared" si="24"/>
        <v>243</v>
      </c>
      <c r="B806" s="173" t="s">
        <v>602</v>
      </c>
      <c r="C806" s="229" t="s">
        <v>34</v>
      </c>
      <c r="D806" s="51" t="s">
        <v>130</v>
      </c>
      <c r="E806" s="58">
        <v>455.66624999999999</v>
      </c>
      <c r="F806" s="200" t="s">
        <v>130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3"/>
        <v>H_243</v>
      </c>
    </row>
    <row r="807" spans="1:10" ht="30">
      <c r="A807" s="44">
        <f t="shared" si="24"/>
        <v>244</v>
      </c>
      <c r="B807" s="173" t="s">
        <v>603</v>
      </c>
      <c r="C807" s="229" t="s">
        <v>34</v>
      </c>
      <c r="D807" s="51" t="s">
        <v>130</v>
      </c>
      <c r="E807" s="58">
        <v>455.66624999999999</v>
      </c>
      <c r="F807" s="200" t="s">
        <v>130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3"/>
        <v>H_244</v>
      </c>
    </row>
    <row r="808" spans="1:10" ht="30">
      <c r="A808" s="44">
        <f t="shared" si="24"/>
        <v>245</v>
      </c>
      <c r="B808" s="173" t="s">
        <v>604</v>
      </c>
      <c r="C808" s="229" t="s">
        <v>34</v>
      </c>
      <c r="D808" s="51" t="s">
        <v>130</v>
      </c>
      <c r="E808" s="58">
        <v>455.66624999999999</v>
      </c>
      <c r="F808" s="200" t="s">
        <v>130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3"/>
        <v>H_245</v>
      </c>
    </row>
    <row r="809" spans="1:10" ht="30">
      <c r="A809" s="44">
        <f t="shared" si="24"/>
        <v>246</v>
      </c>
      <c r="B809" s="173" t="s">
        <v>605</v>
      </c>
      <c r="C809" s="229" t="s">
        <v>34</v>
      </c>
      <c r="D809" s="51" t="s">
        <v>130</v>
      </c>
      <c r="E809" s="58">
        <v>455.66624999999999</v>
      </c>
      <c r="F809" s="200" t="s">
        <v>130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3"/>
        <v>H_246</v>
      </c>
    </row>
    <row r="810" spans="1:10" ht="30">
      <c r="A810" s="44">
        <f t="shared" si="24"/>
        <v>247</v>
      </c>
      <c r="B810" s="173" t="s">
        <v>606</v>
      </c>
      <c r="C810" s="229" t="s">
        <v>34</v>
      </c>
      <c r="D810" s="51" t="s">
        <v>130</v>
      </c>
      <c r="E810" s="58">
        <v>455.66624999999999</v>
      </c>
      <c r="F810" s="200" t="s">
        <v>130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3"/>
        <v>H_247</v>
      </c>
    </row>
    <row r="811" spans="1:10" ht="30">
      <c r="A811" s="44">
        <f t="shared" si="24"/>
        <v>248</v>
      </c>
      <c r="B811" s="173" t="s">
        <v>607</v>
      </c>
      <c r="C811" s="229" t="s">
        <v>34</v>
      </c>
      <c r="D811" s="51" t="s">
        <v>130</v>
      </c>
      <c r="E811" s="58">
        <v>455.66624999999999</v>
      </c>
      <c r="F811" s="200" t="s">
        <v>130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3"/>
        <v>H_248</v>
      </c>
    </row>
    <row r="812" spans="1:10" ht="30">
      <c r="A812" s="44">
        <f t="shared" si="24"/>
        <v>249</v>
      </c>
      <c r="B812" s="173" t="s">
        <v>608</v>
      </c>
      <c r="C812" s="229" t="s">
        <v>34</v>
      </c>
      <c r="D812" s="51" t="s">
        <v>130</v>
      </c>
      <c r="E812" s="58">
        <v>455.66624999999999</v>
      </c>
      <c r="F812" s="200" t="s">
        <v>130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3"/>
        <v>H_249</v>
      </c>
    </row>
    <row r="813" spans="1:10" ht="30">
      <c r="A813" s="44">
        <f t="shared" si="24"/>
        <v>250</v>
      </c>
      <c r="B813" s="173" t="s">
        <v>609</v>
      </c>
      <c r="C813" s="229" t="s">
        <v>34</v>
      </c>
      <c r="D813" s="51" t="s">
        <v>130</v>
      </c>
      <c r="E813" s="58">
        <v>455.66624999999999</v>
      </c>
      <c r="F813" s="200" t="s">
        <v>130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3"/>
        <v>H_250</v>
      </c>
    </row>
    <row r="814" spans="1:10" ht="30">
      <c r="A814" s="44">
        <f t="shared" si="24"/>
        <v>251</v>
      </c>
      <c r="B814" s="173" t="s">
        <v>610</v>
      </c>
      <c r="C814" s="229" t="s">
        <v>34</v>
      </c>
      <c r="D814" s="51" t="s">
        <v>130</v>
      </c>
      <c r="E814" s="58">
        <v>455.66624999999999</v>
      </c>
      <c r="F814" s="200" t="s">
        <v>130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3"/>
        <v>H_251</v>
      </c>
    </row>
    <row r="815" spans="1:10">
      <c r="A815" s="44">
        <f t="shared" si="24"/>
        <v>252</v>
      </c>
      <c r="B815" s="39" t="s">
        <v>611</v>
      </c>
      <c r="C815" s="229" t="s">
        <v>34</v>
      </c>
      <c r="D815" s="51" t="s">
        <v>130</v>
      </c>
      <c r="E815" s="46">
        <v>3356</v>
      </c>
      <c r="F815" s="193" t="s">
        <v>130</v>
      </c>
      <c r="G815" s="9">
        <f>IF(Tabla9[[#This Row],[Precio
Unidad de Compra ( $)]]="","",(E815/(H815*I815)))</f>
        <v>3356</v>
      </c>
      <c r="H815" s="8">
        <v>1</v>
      </c>
      <c r="I815" s="185">
        <v>1</v>
      </c>
      <c r="J815" s="79" t="str">
        <f t="shared" si="23"/>
        <v>H_252</v>
      </c>
    </row>
    <row r="816" spans="1:10">
      <c r="A816" s="44">
        <f t="shared" si="24"/>
        <v>253</v>
      </c>
      <c r="B816" s="173" t="s">
        <v>612</v>
      </c>
      <c r="C816" s="229" t="s">
        <v>34</v>
      </c>
      <c r="D816" s="51" t="s">
        <v>130</v>
      </c>
      <c r="E816" s="58">
        <v>1900</v>
      </c>
      <c r="F816" s="200" t="s">
        <v>130</v>
      </c>
      <c r="G816" s="9">
        <f>IF(Tabla9[[#This Row],[Precio
Unidad de Compra ( $)]]="","",(E816/(H816*I816)))</f>
        <v>1900</v>
      </c>
      <c r="H816" s="8">
        <v>1</v>
      </c>
      <c r="I816" s="185">
        <v>1</v>
      </c>
      <c r="J816" s="79" t="str">
        <f t="shared" si="23"/>
        <v>H_253</v>
      </c>
    </row>
    <row r="817" spans="1:10">
      <c r="A817" s="44">
        <f t="shared" si="24"/>
        <v>254</v>
      </c>
      <c r="B817" s="173" t="s">
        <v>613</v>
      </c>
      <c r="C817" s="229" t="s">
        <v>34</v>
      </c>
      <c r="D817" s="51" t="s">
        <v>130</v>
      </c>
      <c r="E817" s="58">
        <v>1900</v>
      </c>
      <c r="F817" s="200" t="s">
        <v>130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3"/>
        <v>H_254</v>
      </c>
    </row>
    <row r="818" spans="1:10">
      <c r="A818" s="44">
        <f t="shared" si="24"/>
        <v>255</v>
      </c>
      <c r="B818" s="173" t="s">
        <v>614</v>
      </c>
      <c r="C818" s="229" t="s">
        <v>34</v>
      </c>
      <c r="D818" s="51" t="s">
        <v>130</v>
      </c>
      <c r="E818" s="58">
        <v>23075</v>
      </c>
      <c r="F818" s="200" t="s">
        <v>130</v>
      </c>
      <c r="G818" s="9">
        <f>IF(Tabla9[[#This Row],[Precio
Unidad de Compra ( $)]]="","",(E818/(H818*I818)))</f>
        <v>23075</v>
      </c>
      <c r="H818" s="8">
        <v>1</v>
      </c>
      <c r="I818" s="185">
        <v>1</v>
      </c>
      <c r="J818" s="79" t="str">
        <f t="shared" si="23"/>
        <v>H_255</v>
      </c>
    </row>
    <row r="819" spans="1:10">
      <c r="A819" s="44">
        <f t="shared" si="24"/>
        <v>256</v>
      </c>
      <c r="B819" s="39" t="s">
        <v>615</v>
      </c>
      <c r="C819" s="229" t="s">
        <v>34</v>
      </c>
      <c r="D819" s="51" t="s">
        <v>130</v>
      </c>
      <c r="E819" s="58">
        <v>23075.289999999997</v>
      </c>
      <c r="F819" s="193" t="s">
        <v>130</v>
      </c>
      <c r="G819" s="9">
        <f>IF(Tabla9[[#This Row],[Precio
Unidad de Compra ( $)]]="","",(E819/(H819*I819)))</f>
        <v>23075.289999999997</v>
      </c>
      <c r="H819" s="8">
        <v>1</v>
      </c>
      <c r="I819" s="185">
        <v>1</v>
      </c>
      <c r="J819" s="79" t="str">
        <f t="shared" si="23"/>
        <v>H_256</v>
      </c>
    </row>
    <row r="820" spans="1:10">
      <c r="A820" s="44">
        <f t="shared" si="24"/>
        <v>257</v>
      </c>
      <c r="B820" s="173" t="s">
        <v>616</v>
      </c>
      <c r="C820" s="229" t="s">
        <v>34</v>
      </c>
      <c r="D820" s="51" t="s">
        <v>130</v>
      </c>
      <c r="E820" s="58">
        <v>1018.64</v>
      </c>
      <c r="F820" s="200" t="s">
        <v>130</v>
      </c>
      <c r="G820" s="9">
        <f>IF(Tabla9[[#This Row],[Precio
Unidad de Compra ( $)]]="","",(E820/(H820*I820)))</f>
        <v>1018.64</v>
      </c>
      <c r="H820" s="8">
        <v>1</v>
      </c>
      <c r="I820" s="185">
        <v>1</v>
      </c>
      <c r="J820" s="79" t="str">
        <f t="shared" ref="J820:J883" si="25">IFERROR(CONCATENATE(LEFT(C820,1),"_",TEXT(A820,"000")),"")</f>
        <v>H_257</v>
      </c>
    </row>
    <row r="821" spans="1:10">
      <c r="A821" s="44">
        <f t="shared" ref="A821:A887" si="26">A820+1</f>
        <v>258</v>
      </c>
      <c r="B821" s="173" t="s">
        <v>617</v>
      </c>
      <c r="C821" s="229" t="s">
        <v>34</v>
      </c>
      <c r="D821" s="51" t="s">
        <v>130</v>
      </c>
      <c r="E821" s="58">
        <v>1018.64</v>
      </c>
      <c r="F821" s="200" t="s">
        <v>130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si="25"/>
        <v>H_258</v>
      </c>
    </row>
    <row r="822" spans="1:10">
      <c r="A822" s="44">
        <f t="shared" si="26"/>
        <v>259</v>
      </c>
      <c r="B822" s="39" t="s">
        <v>618</v>
      </c>
      <c r="C822" s="229" t="s">
        <v>34</v>
      </c>
      <c r="D822" s="51" t="s">
        <v>130</v>
      </c>
      <c r="E822" s="46">
        <v>3356</v>
      </c>
      <c r="F822" s="193" t="s">
        <v>130</v>
      </c>
      <c r="G822" s="9">
        <f>IF(Tabla9[[#This Row],[Precio
Unidad de Compra ( $)]]="","",(E822/(H822*I822)))</f>
        <v>3356</v>
      </c>
      <c r="H822" s="8">
        <v>1</v>
      </c>
      <c r="I822" s="185">
        <v>1</v>
      </c>
      <c r="J822" s="79" t="str">
        <f t="shared" si="25"/>
        <v>H_259</v>
      </c>
    </row>
    <row r="823" spans="1:10" ht="30">
      <c r="A823" s="44">
        <f t="shared" si="26"/>
        <v>260</v>
      </c>
      <c r="B823" s="39" t="s">
        <v>619</v>
      </c>
      <c r="C823" s="229" t="s">
        <v>34</v>
      </c>
      <c r="D823" s="51" t="s">
        <v>130</v>
      </c>
      <c r="E823" s="46">
        <v>3356</v>
      </c>
      <c r="F823" s="193" t="s">
        <v>130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5"/>
        <v>H_260</v>
      </c>
    </row>
    <row r="824" spans="1:10">
      <c r="A824" s="44">
        <f t="shared" si="26"/>
        <v>261</v>
      </c>
      <c r="B824" s="39" t="s">
        <v>620</v>
      </c>
      <c r="C824" s="229" t="s">
        <v>34</v>
      </c>
      <c r="D824" s="51" t="s">
        <v>130</v>
      </c>
      <c r="E824" s="46">
        <v>3356</v>
      </c>
      <c r="F824" s="193" t="s">
        <v>130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5"/>
        <v>H_261</v>
      </c>
    </row>
    <row r="825" spans="1:10">
      <c r="A825" s="44">
        <f t="shared" si="26"/>
        <v>262</v>
      </c>
      <c r="B825" s="39" t="s">
        <v>621</v>
      </c>
      <c r="C825" s="229" t="s">
        <v>34</v>
      </c>
      <c r="D825" s="51" t="s">
        <v>130</v>
      </c>
      <c r="E825" s="46">
        <v>3356</v>
      </c>
      <c r="F825" s="193" t="s">
        <v>130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5"/>
        <v>H_262</v>
      </c>
    </row>
    <row r="826" spans="1:10" ht="30">
      <c r="A826" s="44">
        <f t="shared" si="26"/>
        <v>263</v>
      </c>
      <c r="B826" s="39" t="s">
        <v>622</v>
      </c>
      <c r="C826" s="229" t="s">
        <v>34</v>
      </c>
      <c r="D826" s="51" t="s">
        <v>130</v>
      </c>
      <c r="E826" s="58">
        <v>3356</v>
      </c>
      <c r="F826" s="200" t="s">
        <v>130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5"/>
        <v>H_263</v>
      </c>
    </row>
    <row r="827" spans="1:10">
      <c r="A827" s="44">
        <f t="shared" si="26"/>
        <v>264</v>
      </c>
      <c r="B827" s="39" t="s">
        <v>623</v>
      </c>
      <c r="C827" s="229" t="s">
        <v>34</v>
      </c>
      <c r="D827" s="51" t="s">
        <v>130</v>
      </c>
      <c r="E827" s="46">
        <v>3356</v>
      </c>
      <c r="F827" s="193" t="s">
        <v>130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5"/>
        <v>H_264</v>
      </c>
    </row>
    <row r="828" spans="1:10" ht="30">
      <c r="A828" s="44">
        <f t="shared" si="26"/>
        <v>265</v>
      </c>
      <c r="B828" s="39" t="s">
        <v>624</v>
      </c>
      <c r="C828" s="229" t="s">
        <v>34</v>
      </c>
      <c r="D828" s="51" t="s">
        <v>130</v>
      </c>
      <c r="E828" s="46">
        <v>3356</v>
      </c>
      <c r="F828" s="193" t="s">
        <v>130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5"/>
        <v>H_265</v>
      </c>
    </row>
    <row r="829" spans="1:10" ht="30">
      <c r="A829" s="44">
        <f t="shared" si="26"/>
        <v>266</v>
      </c>
      <c r="B829" s="39" t="s">
        <v>625</v>
      </c>
      <c r="C829" s="229" t="s">
        <v>34</v>
      </c>
      <c r="D829" s="51" t="s">
        <v>130</v>
      </c>
      <c r="E829" s="46">
        <v>3356</v>
      </c>
      <c r="F829" s="193" t="s">
        <v>130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5"/>
        <v>H_266</v>
      </c>
    </row>
    <row r="830" spans="1:10">
      <c r="A830" s="44">
        <f t="shared" si="26"/>
        <v>267</v>
      </c>
      <c r="B830" s="39" t="s">
        <v>626</v>
      </c>
      <c r="C830" s="229" t="s">
        <v>34</v>
      </c>
      <c r="D830" s="51" t="s">
        <v>130</v>
      </c>
      <c r="E830" s="58">
        <v>198</v>
      </c>
      <c r="F830" s="200" t="s">
        <v>130</v>
      </c>
      <c r="G830" s="9">
        <f>IF(Tabla9[[#This Row],[Precio
Unidad de Compra ( $)]]="","",(E830/(H830*I830)))</f>
        <v>198</v>
      </c>
      <c r="H830" s="8">
        <v>1</v>
      </c>
      <c r="I830" s="185">
        <v>1</v>
      </c>
      <c r="J830" s="79" t="str">
        <f t="shared" si="25"/>
        <v>H_267</v>
      </c>
    </row>
    <row r="831" spans="1:10">
      <c r="A831" s="44">
        <f t="shared" si="26"/>
        <v>268</v>
      </c>
      <c r="B831" s="39" t="s">
        <v>627</v>
      </c>
      <c r="C831" s="229" t="s">
        <v>34</v>
      </c>
      <c r="D831" s="51" t="s">
        <v>130</v>
      </c>
      <c r="E831" s="58">
        <v>3356</v>
      </c>
      <c r="F831" s="200" t="s">
        <v>130</v>
      </c>
      <c r="G831" s="9">
        <f>IF(Tabla9[[#This Row],[Precio
Unidad de Compra ( $)]]="","",(E831/(H831*I831)))</f>
        <v>3356</v>
      </c>
      <c r="H831" s="8">
        <v>1</v>
      </c>
      <c r="I831" s="185">
        <v>1</v>
      </c>
      <c r="J831" s="79" t="str">
        <f t="shared" si="25"/>
        <v>H_268</v>
      </c>
    </row>
    <row r="832" spans="1:10">
      <c r="A832" s="44">
        <f t="shared" si="26"/>
        <v>269</v>
      </c>
      <c r="B832" s="39" t="s">
        <v>628</v>
      </c>
      <c r="C832" s="229" t="s">
        <v>34</v>
      </c>
      <c r="D832" s="51" t="s">
        <v>130</v>
      </c>
      <c r="E832" s="58">
        <v>198</v>
      </c>
      <c r="F832" s="200" t="s">
        <v>130</v>
      </c>
      <c r="G832" s="9">
        <f>IF(Tabla9[[#This Row],[Precio
Unidad de Compra ( $)]]="","",(E832/(H832*I832)))</f>
        <v>198</v>
      </c>
      <c r="H832" s="8">
        <v>1</v>
      </c>
      <c r="I832" s="185">
        <v>1</v>
      </c>
      <c r="J832" s="79" t="str">
        <f t="shared" si="25"/>
        <v>H_269</v>
      </c>
    </row>
    <row r="833" spans="1:10">
      <c r="A833" s="44">
        <f t="shared" si="26"/>
        <v>270</v>
      </c>
      <c r="B833" s="39" t="s">
        <v>629</v>
      </c>
      <c r="C833" s="229" t="s">
        <v>34</v>
      </c>
      <c r="D833" s="51" t="s">
        <v>130</v>
      </c>
      <c r="E833" s="58">
        <v>3356</v>
      </c>
      <c r="F833" s="200" t="s">
        <v>130</v>
      </c>
      <c r="G833" s="9">
        <f>IF(Tabla9[[#This Row],[Precio
Unidad de Compra ( $)]]="","",(E833/(H833*I833)))</f>
        <v>3356</v>
      </c>
      <c r="H833" s="8">
        <v>1</v>
      </c>
      <c r="I833" s="185">
        <v>1</v>
      </c>
      <c r="J833" s="79" t="str">
        <f t="shared" si="25"/>
        <v>H_270</v>
      </c>
    </row>
    <row r="834" spans="1:10">
      <c r="A834" s="44">
        <f t="shared" si="26"/>
        <v>271</v>
      </c>
      <c r="B834" s="39" t="s">
        <v>630</v>
      </c>
      <c r="C834" s="229" t="s">
        <v>34</v>
      </c>
      <c r="D834" s="51" t="s">
        <v>130</v>
      </c>
      <c r="E834" s="58">
        <v>3356</v>
      </c>
      <c r="F834" s="200" t="s">
        <v>130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5"/>
        <v>H_271</v>
      </c>
    </row>
    <row r="835" spans="1:10" ht="30">
      <c r="A835" s="44">
        <f t="shared" si="26"/>
        <v>272</v>
      </c>
      <c r="B835" s="39" t="s">
        <v>631</v>
      </c>
      <c r="C835" s="229" t="s">
        <v>34</v>
      </c>
      <c r="D835" s="51" t="s">
        <v>130</v>
      </c>
      <c r="E835" s="46">
        <v>198</v>
      </c>
      <c r="F835" s="193" t="s">
        <v>130</v>
      </c>
      <c r="G835" s="9">
        <f>IF(Tabla9[[#This Row],[Precio
Unidad de Compra ( $)]]="","",(E835/(H835*I835)))</f>
        <v>198</v>
      </c>
      <c r="H835" s="8">
        <v>1</v>
      </c>
      <c r="I835" s="185">
        <v>1</v>
      </c>
      <c r="J835" s="79" t="str">
        <f t="shared" si="25"/>
        <v>H_272</v>
      </c>
    </row>
    <row r="836" spans="1:10" ht="30">
      <c r="A836" s="44">
        <f t="shared" si="26"/>
        <v>273</v>
      </c>
      <c r="B836" s="39" t="s">
        <v>632</v>
      </c>
      <c r="C836" s="229" t="s">
        <v>34</v>
      </c>
      <c r="D836" s="51" t="s">
        <v>130</v>
      </c>
      <c r="E836" s="58">
        <v>198</v>
      </c>
      <c r="F836" s="200" t="s">
        <v>130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5"/>
        <v>H_273</v>
      </c>
    </row>
    <row r="837" spans="1:10">
      <c r="A837" s="44">
        <f t="shared" si="26"/>
        <v>274</v>
      </c>
      <c r="B837" s="39" t="s">
        <v>633</v>
      </c>
      <c r="C837" s="229" t="s">
        <v>34</v>
      </c>
      <c r="D837" s="51" t="s">
        <v>130</v>
      </c>
      <c r="E837" s="58">
        <v>198</v>
      </c>
      <c r="F837" s="200" t="s">
        <v>130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5"/>
        <v>H_274</v>
      </c>
    </row>
    <row r="838" spans="1:10">
      <c r="A838" s="44">
        <f t="shared" si="26"/>
        <v>275</v>
      </c>
      <c r="B838" s="39" t="s">
        <v>634</v>
      </c>
      <c r="C838" s="229" t="s">
        <v>34</v>
      </c>
      <c r="D838" s="51" t="s">
        <v>130</v>
      </c>
      <c r="E838" s="58">
        <v>198</v>
      </c>
      <c r="F838" s="200" t="s">
        <v>130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5"/>
        <v>H_275</v>
      </c>
    </row>
    <row r="839" spans="1:10" ht="30">
      <c r="A839" s="44">
        <f t="shared" si="26"/>
        <v>276</v>
      </c>
      <c r="B839" s="39" t="s">
        <v>635</v>
      </c>
      <c r="C839" s="229" t="s">
        <v>34</v>
      </c>
      <c r="D839" s="51" t="s">
        <v>130</v>
      </c>
      <c r="E839" s="58">
        <v>198</v>
      </c>
      <c r="F839" s="200" t="s">
        <v>130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5"/>
        <v>H_276</v>
      </c>
    </row>
    <row r="840" spans="1:10">
      <c r="A840" s="44">
        <f t="shared" si="26"/>
        <v>277</v>
      </c>
      <c r="B840" s="39" t="s">
        <v>636</v>
      </c>
      <c r="C840" s="229" t="s">
        <v>34</v>
      </c>
      <c r="D840" s="51" t="s">
        <v>130</v>
      </c>
      <c r="E840" s="58">
        <v>3356</v>
      </c>
      <c r="F840" s="200" t="s">
        <v>130</v>
      </c>
      <c r="G840" s="9">
        <f>IF(Tabla9[[#This Row],[Precio
Unidad de Compra ( $)]]="","",(E840/(H840*I840)))</f>
        <v>3356</v>
      </c>
      <c r="H840" s="8">
        <v>1</v>
      </c>
      <c r="I840" s="185">
        <v>1</v>
      </c>
      <c r="J840" s="79" t="str">
        <f t="shared" si="25"/>
        <v>H_277</v>
      </c>
    </row>
    <row r="841" spans="1:10">
      <c r="A841" s="44">
        <f t="shared" si="26"/>
        <v>278</v>
      </c>
      <c r="B841" s="173" t="s">
        <v>637</v>
      </c>
      <c r="C841" s="229" t="s">
        <v>34</v>
      </c>
      <c r="D841" s="51" t="s">
        <v>130</v>
      </c>
      <c r="E841" s="58">
        <v>1100</v>
      </c>
      <c r="F841" s="200" t="s">
        <v>130</v>
      </c>
      <c r="G841" s="9">
        <f>IF(Tabla9[[#This Row],[Precio
Unidad de Compra ( $)]]="","",(E841/(H841*I841)))</f>
        <v>1100</v>
      </c>
      <c r="H841" s="8">
        <v>1</v>
      </c>
      <c r="I841" s="185">
        <v>1</v>
      </c>
      <c r="J841" s="79" t="str">
        <f t="shared" si="25"/>
        <v>H_278</v>
      </c>
    </row>
    <row r="842" spans="1:10">
      <c r="A842" s="44">
        <f t="shared" si="26"/>
        <v>279</v>
      </c>
      <c r="B842" s="173" t="s">
        <v>638</v>
      </c>
      <c r="C842" s="229" t="s">
        <v>34</v>
      </c>
      <c r="D842" s="51" t="s">
        <v>130</v>
      </c>
      <c r="E842" s="58">
        <v>1350</v>
      </c>
      <c r="F842" s="200" t="s">
        <v>130</v>
      </c>
      <c r="G842" s="9">
        <f>IF(Tabla9[[#This Row],[Precio
Unidad de Compra ( $)]]="","",(E842/(H842*I842)))</f>
        <v>1350</v>
      </c>
      <c r="H842" s="8">
        <v>1</v>
      </c>
      <c r="I842" s="185">
        <v>1</v>
      </c>
      <c r="J842" s="79" t="str">
        <f t="shared" si="25"/>
        <v>H_279</v>
      </c>
    </row>
    <row r="843" spans="1:10">
      <c r="A843" s="44">
        <f t="shared" si="26"/>
        <v>280</v>
      </c>
      <c r="B843" s="173" t="s">
        <v>43</v>
      </c>
      <c r="C843" s="229" t="s">
        <v>34</v>
      </c>
      <c r="D843" s="51" t="s">
        <v>130</v>
      </c>
      <c r="E843" s="58">
        <v>925</v>
      </c>
      <c r="F843" s="200" t="s">
        <v>130</v>
      </c>
      <c r="G843" s="9">
        <f>IF(Tabla9[[#This Row],[Precio
Unidad de Compra ( $)]]="","",(E843/(H843*I843)))</f>
        <v>925</v>
      </c>
      <c r="H843" s="8">
        <v>1</v>
      </c>
      <c r="I843" s="185">
        <v>1</v>
      </c>
      <c r="J843" s="79" t="str">
        <f t="shared" si="25"/>
        <v>H_280</v>
      </c>
    </row>
    <row r="844" spans="1:10">
      <c r="A844" s="44">
        <f t="shared" si="26"/>
        <v>281</v>
      </c>
      <c r="B844" s="39" t="s">
        <v>639</v>
      </c>
      <c r="C844" s="229" t="s">
        <v>34</v>
      </c>
      <c r="D844" s="51" t="s">
        <v>130</v>
      </c>
      <c r="E844" s="46">
        <v>3373</v>
      </c>
      <c r="F844" s="193" t="s">
        <v>130</v>
      </c>
      <c r="G844" s="9">
        <f>IF(Tabla9[[#This Row],[Precio
Unidad de Compra ( $)]]="","",(E844/(H844*I844)))</f>
        <v>3373</v>
      </c>
      <c r="H844" s="8">
        <v>1</v>
      </c>
      <c r="I844" s="185">
        <v>1</v>
      </c>
      <c r="J844" s="79" t="str">
        <f t="shared" si="25"/>
        <v>H_281</v>
      </c>
    </row>
    <row r="845" spans="1:10">
      <c r="A845" s="44">
        <f t="shared" si="26"/>
        <v>282</v>
      </c>
      <c r="B845" s="187" t="s">
        <v>640</v>
      </c>
      <c r="C845" s="229" t="s">
        <v>34</v>
      </c>
      <c r="D845" s="51" t="s">
        <v>130</v>
      </c>
      <c r="E845" s="59">
        <v>1275.68</v>
      </c>
      <c r="F845" s="193" t="s">
        <v>130</v>
      </c>
      <c r="G845" s="9">
        <f>IF(Tabla9[[#This Row],[Precio
Unidad de Compra ( $)]]="","",(E845/(H845*I845)))</f>
        <v>1275.68</v>
      </c>
      <c r="H845" s="8">
        <v>1</v>
      </c>
      <c r="I845" s="185">
        <v>1</v>
      </c>
      <c r="J845" s="79" t="str">
        <f t="shared" si="25"/>
        <v>H_282</v>
      </c>
    </row>
    <row r="846" spans="1:10">
      <c r="A846" s="44">
        <f t="shared" si="26"/>
        <v>283</v>
      </c>
      <c r="B846" s="39" t="s">
        <v>641</v>
      </c>
      <c r="C846" s="229" t="s">
        <v>34</v>
      </c>
      <c r="D846" s="51" t="s">
        <v>130</v>
      </c>
      <c r="E846" s="58">
        <v>3373</v>
      </c>
      <c r="F846" s="200" t="s">
        <v>130</v>
      </c>
      <c r="G846" s="9">
        <f>IF(Tabla9[[#This Row],[Precio
Unidad de Compra ( $)]]="","",(E846/(H846*I846)))</f>
        <v>3373</v>
      </c>
      <c r="H846" s="8">
        <v>1</v>
      </c>
      <c r="I846" s="185">
        <v>1</v>
      </c>
      <c r="J846" s="79" t="str">
        <f t="shared" si="25"/>
        <v>H_283</v>
      </c>
    </row>
    <row r="847" spans="1:10">
      <c r="A847" s="44">
        <f t="shared" si="26"/>
        <v>284</v>
      </c>
      <c r="B847" s="187" t="s">
        <v>642</v>
      </c>
      <c r="C847" s="229" t="s">
        <v>34</v>
      </c>
      <c r="D847" s="51" t="s">
        <v>130</v>
      </c>
      <c r="E847" s="59">
        <v>1275.68</v>
      </c>
      <c r="F847" s="193" t="s">
        <v>130</v>
      </c>
      <c r="G847" s="9">
        <f>IF(Tabla9[[#This Row],[Precio
Unidad de Compra ( $)]]="","",(E847/(H847*I847)))</f>
        <v>1275.68</v>
      </c>
      <c r="H847" s="8">
        <v>1</v>
      </c>
      <c r="I847" s="185">
        <v>1</v>
      </c>
      <c r="J847" s="79" t="str">
        <f t="shared" si="25"/>
        <v>H_284</v>
      </c>
    </row>
    <row r="848" spans="1:10">
      <c r="A848" s="44">
        <f t="shared" si="26"/>
        <v>285</v>
      </c>
      <c r="B848" s="39" t="s">
        <v>643</v>
      </c>
      <c r="C848" s="229" t="s">
        <v>34</v>
      </c>
      <c r="D848" s="51" t="s">
        <v>130</v>
      </c>
      <c r="E848" s="46">
        <v>1275.68</v>
      </c>
      <c r="F848" s="193" t="s">
        <v>130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5"/>
        <v>H_285</v>
      </c>
    </row>
    <row r="849" spans="1:10">
      <c r="A849" s="44">
        <f t="shared" si="26"/>
        <v>286</v>
      </c>
      <c r="B849" s="173" t="s">
        <v>644</v>
      </c>
      <c r="C849" s="229" t="s">
        <v>34</v>
      </c>
      <c r="D849" s="51" t="s">
        <v>130</v>
      </c>
      <c r="E849" s="58">
        <v>2746.52</v>
      </c>
      <c r="F849" s="200" t="s">
        <v>130</v>
      </c>
      <c r="G849" s="9">
        <f>IF(Tabla9[[#This Row],[Precio
Unidad de Compra ( $)]]="","",(E849/(H849*I849)))</f>
        <v>2746.52</v>
      </c>
      <c r="H849" s="8">
        <v>1</v>
      </c>
      <c r="I849" s="185">
        <v>1</v>
      </c>
      <c r="J849" s="79" t="str">
        <f t="shared" si="25"/>
        <v>H_286</v>
      </c>
    </row>
    <row r="850" spans="1:10">
      <c r="A850" s="44">
        <f t="shared" si="26"/>
        <v>287</v>
      </c>
      <c r="B850" s="39" t="s">
        <v>645</v>
      </c>
      <c r="C850" s="229" t="s">
        <v>34</v>
      </c>
      <c r="D850" s="51" t="s">
        <v>130</v>
      </c>
      <c r="E850" s="46">
        <v>1275.68</v>
      </c>
      <c r="F850" s="193" t="s">
        <v>130</v>
      </c>
      <c r="G850" s="9">
        <f>IF(Tabla9[[#This Row],[Precio
Unidad de Compra ( $)]]="","",(E850/(H850*I850)))</f>
        <v>1275.68</v>
      </c>
      <c r="H850" s="8">
        <v>1</v>
      </c>
      <c r="I850" s="185">
        <v>1</v>
      </c>
      <c r="J850" s="79" t="str">
        <f t="shared" si="25"/>
        <v>H_287</v>
      </c>
    </row>
    <row r="851" spans="1:10">
      <c r="A851" s="44">
        <f t="shared" si="26"/>
        <v>288</v>
      </c>
      <c r="B851" s="39" t="s">
        <v>646</v>
      </c>
      <c r="C851" s="229" t="s">
        <v>34</v>
      </c>
      <c r="D851" s="51" t="s">
        <v>130</v>
      </c>
      <c r="E851" s="46">
        <v>1225.7</v>
      </c>
      <c r="F851" s="193" t="s">
        <v>130</v>
      </c>
      <c r="G851" s="9">
        <f>IF(Tabla9[[#This Row],[Precio
Unidad de Compra ( $)]]="","",(E851/(H851*I851)))</f>
        <v>1225.7</v>
      </c>
      <c r="H851" s="8">
        <v>1</v>
      </c>
      <c r="I851" s="185">
        <v>1</v>
      </c>
      <c r="J851" s="79" t="str">
        <f t="shared" si="25"/>
        <v>H_288</v>
      </c>
    </row>
    <row r="852" spans="1:10">
      <c r="A852" s="44">
        <f t="shared" si="26"/>
        <v>289</v>
      </c>
      <c r="B852" s="39" t="s">
        <v>647</v>
      </c>
      <c r="C852" s="229" t="s">
        <v>34</v>
      </c>
      <c r="D852" s="51" t="s">
        <v>130</v>
      </c>
      <c r="E852" s="46">
        <v>3881.78</v>
      </c>
      <c r="F852" s="193" t="s">
        <v>130</v>
      </c>
      <c r="G852" s="9">
        <f>IF(Tabla9[[#This Row],[Precio
Unidad de Compra ( $)]]="","",(E852/(H852*I852)))</f>
        <v>3881.78</v>
      </c>
      <c r="H852" s="8">
        <v>1</v>
      </c>
      <c r="I852" s="185">
        <v>1</v>
      </c>
      <c r="J852" s="79" t="str">
        <f t="shared" si="25"/>
        <v>H_289</v>
      </c>
    </row>
    <row r="853" spans="1:10">
      <c r="A853" s="44">
        <f t="shared" si="26"/>
        <v>290</v>
      </c>
      <c r="B853" s="39" t="s">
        <v>648</v>
      </c>
      <c r="C853" s="229" t="s">
        <v>34</v>
      </c>
      <c r="D853" s="51" t="s">
        <v>130</v>
      </c>
      <c r="E853" s="46">
        <v>1275.68</v>
      </c>
      <c r="F853" s="193" t="s">
        <v>130</v>
      </c>
      <c r="G853" s="9">
        <f>IF(Tabla9[[#This Row],[Precio
Unidad de Compra ( $)]]="","",(E853/(H853*I853)))</f>
        <v>1275.68</v>
      </c>
      <c r="H853" s="8">
        <v>1</v>
      </c>
      <c r="I853" s="185">
        <v>1</v>
      </c>
      <c r="J853" s="79" t="str">
        <f t="shared" si="25"/>
        <v>H_290</v>
      </c>
    </row>
    <row r="854" spans="1:10">
      <c r="A854" s="44">
        <f t="shared" si="26"/>
        <v>291</v>
      </c>
      <c r="B854" s="39" t="s">
        <v>649</v>
      </c>
      <c r="C854" s="229" t="s">
        <v>34</v>
      </c>
      <c r="D854" s="51" t="s">
        <v>130</v>
      </c>
      <c r="E854" s="46">
        <v>3881.78</v>
      </c>
      <c r="F854" s="193" t="s">
        <v>130</v>
      </c>
      <c r="G854" s="9">
        <f>IF(Tabla9[[#This Row],[Precio
Unidad de Compra ( $)]]="","",(E854/(H854*I854)))</f>
        <v>3881.78</v>
      </c>
      <c r="H854" s="8">
        <v>1</v>
      </c>
      <c r="I854" s="185">
        <v>1</v>
      </c>
      <c r="J854" s="79" t="str">
        <f t="shared" si="25"/>
        <v>H_291</v>
      </c>
    </row>
    <row r="855" spans="1:10">
      <c r="A855" s="44">
        <f t="shared" si="26"/>
        <v>292</v>
      </c>
      <c r="B855" s="39" t="s">
        <v>650</v>
      </c>
      <c r="C855" s="229" t="s">
        <v>34</v>
      </c>
      <c r="D855" s="51" t="s">
        <v>130</v>
      </c>
      <c r="E855" s="58">
        <v>1225.7</v>
      </c>
      <c r="F855" s="200" t="s">
        <v>130</v>
      </c>
      <c r="G855" s="9">
        <f>IF(Tabla9[[#This Row],[Precio
Unidad de Compra ( $)]]="","",(E855/(H855*I855)))</f>
        <v>1225.7</v>
      </c>
      <c r="H855" s="8">
        <v>1</v>
      </c>
      <c r="I855" s="185">
        <v>1</v>
      </c>
      <c r="J855" s="79" t="str">
        <f t="shared" si="25"/>
        <v>H_292</v>
      </c>
    </row>
    <row r="856" spans="1:10">
      <c r="A856" s="44">
        <f t="shared" si="26"/>
        <v>293</v>
      </c>
      <c r="B856" s="39" t="s">
        <v>651</v>
      </c>
      <c r="C856" s="229" t="s">
        <v>34</v>
      </c>
      <c r="D856" s="51" t="s">
        <v>130</v>
      </c>
      <c r="E856" s="46">
        <v>1225.7</v>
      </c>
      <c r="F856" s="193" t="s">
        <v>130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5"/>
        <v>H_293</v>
      </c>
    </row>
    <row r="857" spans="1:10">
      <c r="A857" s="44">
        <f t="shared" si="26"/>
        <v>294</v>
      </c>
      <c r="B857" s="39" t="s">
        <v>652</v>
      </c>
      <c r="C857" s="229" t="s">
        <v>34</v>
      </c>
      <c r="D857" s="51" t="s">
        <v>130</v>
      </c>
      <c r="E857" s="46">
        <v>2400</v>
      </c>
      <c r="F857" s="193" t="s">
        <v>130</v>
      </c>
      <c r="G857" s="9">
        <f>IF(Tabla9[[#This Row],[Precio
Unidad de Compra ( $)]]="","",(E857/(H857*I857)))</f>
        <v>2400</v>
      </c>
      <c r="H857" s="8">
        <v>1</v>
      </c>
      <c r="I857" s="185">
        <v>1</v>
      </c>
      <c r="J857" s="79" t="str">
        <f t="shared" si="25"/>
        <v>H_294</v>
      </c>
    </row>
    <row r="858" spans="1:10">
      <c r="A858" s="44">
        <f t="shared" si="26"/>
        <v>295</v>
      </c>
      <c r="B858" s="39" t="s">
        <v>653</v>
      </c>
      <c r="C858" s="229" t="s">
        <v>34</v>
      </c>
      <c r="D858" s="51" t="s">
        <v>130</v>
      </c>
      <c r="E858" s="46">
        <v>1275.68</v>
      </c>
      <c r="F858" s="193" t="s">
        <v>130</v>
      </c>
      <c r="G858" s="9">
        <f>IF(Tabla9[[#This Row],[Precio
Unidad de Compra ( $)]]="","",(E858/(H858*I858)))</f>
        <v>1275.68</v>
      </c>
      <c r="H858" s="8">
        <v>1</v>
      </c>
      <c r="I858" s="185">
        <v>1</v>
      </c>
      <c r="J858" s="79" t="str">
        <f t="shared" si="25"/>
        <v>H_295</v>
      </c>
    </row>
    <row r="859" spans="1:10">
      <c r="A859" s="44">
        <f t="shared" si="26"/>
        <v>296</v>
      </c>
      <c r="B859" s="39" t="s">
        <v>654</v>
      </c>
      <c r="C859" s="229" t="s">
        <v>34</v>
      </c>
      <c r="D859" s="51" t="s">
        <v>130</v>
      </c>
      <c r="E859" s="46">
        <v>1225.7</v>
      </c>
      <c r="F859" s="193" t="s">
        <v>130</v>
      </c>
      <c r="G859" s="9">
        <f>IF(Tabla9[[#This Row],[Precio
Unidad de Compra ( $)]]="","",(E859/(H859*I859)))</f>
        <v>1225.7</v>
      </c>
      <c r="H859" s="8">
        <v>1</v>
      </c>
      <c r="I859" s="185">
        <v>1</v>
      </c>
      <c r="J859" s="79" t="str">
        <f t="shared" si="25"/>
        <v>H_296</v>
      </c>
    </row>
    <row r="860" spans="1:10">
      <c r="A860" s="44">
        <f t="shared" si="26"/>
        <v>297</v>
      </c>
      <c r="B860" s="39" t="s">
        <v>655</v>
      </c>
      <c r="C860" s="229" t="s">
        <v>34</v>
      </c>
      <c r="D860" s="51" t="s">
        <v>130</v>
      </c>
      <c r="E860" s="46">
        <v>1275.68</v>
      </c>
      <c r="F860" s="193" t="s">
        <v>130</v>
      </c>
      <c r="G860" s="9">
        <f>IF(Tabla9[[#This Row],[Precio
Unidad de Compra ( $)]]="","",(E860/(H860*I860)))</f>
        <v>1275.68</v>
      </c>
      <c r="H860" s="8">
        <v>1</v>
      </c>
      <c r="I860" s="185">
        <v>1</v>
      </c>
      <c r="J860" s="79" t="str">
        <f t="shared" si="25"/>
        <v>H_297</v>
      </c>
    </row>
    <row r="861" spans="1:10">
      <c r="A861" s="44">
        <f t="shared" si="26"/>
        <v>298</v>
      </c>
      <c r="B861" s="39" t="s">
        <v>656</v>
      </c>
      <c r="C861" s="229" t="s">
        <v>34</v>
      </c>
      <c r="D861" s="51" t="s">
        <v>130</v>
      </c>
      <c r="E861" s="46">
        <v>2400</v>
      </c>
      <c r="F861" s="193" t="s">
        <v>130</v>
      </c>
      <c r="G861" s="9">
        <f>IF(Tabla9[[#This Row],[Precio
Unidad de Compra ( $)]]="","",(E861/(H861*I861)))</f>
        <v>2400</v>
      </c>
      <c r="H861" s="8">
        <v>1</v>
      </c>
      <c r="I861" s="185">
        <v>1</v>
      </c>
      <c r="J861" s="79" t="str">
        <f t="shared" si="25"/>
        <v>H_298</v>
      </c>
    </row>
    <row r="862" spans="1:10" ht="30">
      <c r="A862" s="44">
        <f t="shared" si="26"/>
        <v>299</v>
      </c>
      <c r="B862" s="173" t="s">
        <v>657</v>
      </c>
      <c r="C862" s="229" t="s">
        <v>34</v>
      </c>
      <c r="D862" s="51" t="s">
        <v>130</v>
      </c>
      <c r="E862" s="58">
        <v>873.94</v>
      </c>
      <c r="F862" s="200" t="s">
        <v>130</v>
      </c>
      <c r="G862" s="9">
        <f>IF(Tabla9[[#This Row],[Precio
Unidad de Compra ( $)]]="","",(E862/(H862*I862)))</f>
        <v>873.94</v>
      </c>
      <c r="H862" s="8">
        <v>1</v>
      </c>
      <c r="I862" s="185">
        <v>1</v>
      </c>
      <c r="J862" s="79" t="str">
        <f t="shared" si="25"/>
        <v>H_299</v>
      </c>
    </row>
    <row r="863" spans="1:10">
      <c r="A863" s="44">
        <f t="shared" si="26"/>
        <v>300</v>
      </c>
      <c r="B863" s="173" t="s">
        <v>658</v>
      </c>
      <c r="C863" s="229" t="s">
        <v>34</v>
      </c>
      <c r="D863" s="51" t="s">
        <v>130</v>
      </c>
      <c r="E863" s="58">
        <v>873.94</v>
      </c>
      <c r="F863" s="200" t="s">
        <v>130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5"/>
        <v>H_300</v>
      </c>
    </row>
    <row r="864" spans="1:10">
      <c r="A864" s="44">
        <f t="shared" si="26"/>
        <v>301</v>
      </c>
      <c r="B864" s="173" t="s">
        <v>659</v>
      </c>
      <c r="C864" s="229" t="s">
        <v>34</v>
      </c>
      <c r="D864" s="51" t="s">
        <v>130</v>
      </c>
      <c r="E864" s="58">
        <v>873.94</v>
      </c>
      <c r="F864" s="200" t="s">
        <v>130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5"/>
        <v>H_301</v>
      </c>
    </row>
    <row r="865" spans="1:10">
      <c r="A865" s="44">
        <f t="shared" si="26"/>
        <v>302</v>
      </c>
      <c r="B865" s="173" t="s">
        <v>660</v>
      </c>
      <c r="C865" s="229" t="s">
        <v>34</v>
      </c>
      <c r="D865" s="51" t="s">
        <v>130</v>
      </c>
      <c r="E865" s="58">
        <v>873.94</v>
      </c>
      <c r="F865" s="200" t="s">
        <v>130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5"/>
        <v>H_302</v>
      </c>
    </row>
    <row r="866" spans="1:10">
      <c r="A866" s="44">
        <f t="shared" si="26"/>
        <v>303</v>
      </c>
      <c r="B866" s="39" t="s">
        <v>661</v>
      </c>
      <c r="C866" s="229" t="s">
        <v>34</v>
      </c>
      <c r="D866" s="51" t="s">
        <v>130</v>
      </c>
      <c r="E866" s="46">
        <v>131.97</v>
      </c>
      <c r="F866" s="193" t="s">
        <v>130</v>
      </c>
      <c r="G866" s="9">
        <f>IF(Tabla9[[#This Row],[Precio
Unidad de Compra ( $)]]="","",(E866/(H866*I866)))</f>
        <v>131.97</v>
      </c>
      <c r="H866" s="8">
        <v>1</v>
      </c>
      <c r="I866" s="185">
        <v>1</v>
      </c>
      <c r="J866" s="79" t="str">
        <f t="shared" si="25"/>
        <v>H_303</v>
      </c>
    </row>
    <row r="867" spans="1:10">
      <c r="A867" s="44">
        <f t="shared" si="26"/>
        <v>304</v>
      </c>
      <c r="B867" s="173" t="s">
        <v>662</v>
      </c>
      <c r="C867" s="229" t="s">
        <v>34</v>
      </c>
      <c r="D867" s="51" t="s">
        <v>130</v>
      </c>
      <c r="E867" s="58">
        <v>5450</v>
      </c>
      <c r="F867" s="200" t="s">
        <v>130</v>
      </c>
      <c r="G867" s="9">
        <f>IF(Tabla9[[#This Row],[Precio
Unidad de Compra ( $)]]="","",(E867/(H867*I867)))</f>
        <v>5450</v>
      </c>
      <c r="H867" s="8">
        <v>1</v>
      </c>
      <c r="I867" s="185">
        <v>1</v>
      </c>
      <c r="J867" s="79" t="str">
        <f t="shared" si="25"/>
        <v>H_304</v>
      </c>
    </row>
    <row r="868" spans="1:10">
      <c r="A868" s="44">
        <f t="shared" si="26"/>
        <v>305</v>
      </c>
      <c r="B868" s="173" t="s">
        <v>663</v>
      </c>
      <c r="C868" s="229" t="s">
        <v>34</v>
      </c>
      <c r="D868" s="51" t="s">
        <v>130</v>
      </c>
      <c r="E868" s="58">
        <v>5450</v>
      </c>
      <c r="F868" s="200" t="s">
        <v>130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5"/>
        <v>H_305</v>
      </c>
    </row>
    <row r="869" spans="1:10" ht="30">
      <c r="A869" s="44">
        <f t="shared" si="26"/>
        <v>306</v>
      </c>
      <c r="B869" s="173" t="s">
        <v>664</v>
      </c>
      <c r="C869" s="229" t="s">
        <v>34</v>
      </c>
      <c r="D869" s="51" t="s">
        <v>130</v>
      </c>
      <c r="E869" s="58">
        <v>5450</v>
      </c>
      <c r="F869" s="200" t="s">
        <v>130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5"/>
        <v>H_306</v>
      </c>
    </row>
    <row r="870" spans="1:10" ht="30">
      <c r="A870" s="44">
        <f t="shared" si="26"/>
        <v>307</v>
      </c>
      <c r="B870" s="173" t="s">
        <v>665</v>
      </c>
      <c r="C870" s="229" t="s">
        <v>34</v>
      </c>
      <c r="D870" s="51" t="s">
        <v>130</v>
      </c>
      <c r="E870" s="58">
        <v>5450</v>
      </c>
      <c r="F870" s="200" t="s">
        <v>130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5"/>
        <v>H_307</v>
      </c>
    </row>
    <row r="871" spans="1:10" ht="30">
      <c r="A871" s="44">
        <f t="shared" si="26"/>
        <v>308</v>
      </c>
      <c r="B871" s="173" t="s">
        <v>666</v>
      </c>
      <c r="C871" s="229" t="s">
        <v>34</v>
      </c>
      <c r="D871" s="51" t="s">
        <v>130</v>
      </c>
      <c r="E871" s="58">
        <v>5450</v>
      </c>
      <c r="F871" s="200" t="s">
        <v>130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5"/>
        <v>H_308</v>
      </c>
    </row>
    <row r="872" spans="1:10" ht="30">
      <c r="A872" s="44">
        <f t="shared" si="26"/>
        <v>309</v>
      </c>
      <c r="B872" s="173" t="s">
        <v>667</v>
      </c>
      <c r="C872" s="229" t="s">
        <v>34</v>
      </c>
      <c r="D872" s="51" t="s">
        <v>130</v>
      </c>
      <c r="E872" s="58">
        <v>5450</v>
      </c>
      <c r="F872" s="200" t="s">
        <v>130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5"/>
        <v>H_309</v>
      </c>
    </row>
    <row r="873" spans="1:10" ht="30">
      <c r="A873" s="44">
        <f t="shared" si="26"/>
        <v>310</v>
      </c>
      <c r="B873" s="173" t="s">
        <v>668</v>
      </c>
      <c r="C873" s="229" t="s">
        <v>34</v>
      </c>
      <c r="D873" s="51" t="s">
        <v>130</v>
      </c>
      <c r="E873" s="58">
        <v>5450</v>
      </c>
      <c r="F873" s="200" t="s">
        <v>130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5"/>
        <v>H_310</v>
      </c>
    </row>
    <row r="874" spans="1:10" ht="30">
      <c r="A874" s="44">
        <f t="shared" si="26"/>
        <v>311</v>
      </c>
      <c r="B874" s="173" t="s">
        <v>669</v>
      </c>
      <c r="C874" s="229" t="s">
        <v>34</v>
      </c>
      <c r="D874" s="51" t="s">
        <v>130</v>
      </c>
      <c r="E874" s="58">
        <v>5450</v>
      </c>
      <c r="F874" s="200" t="s">
        <v>130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5"/>
        <v>H_311</v>
      </c>
    </row>
    <row r="875" spans="1:10">
      <c r="A875" s="44">
        <f t="shared" si="26"/>
        <v>312</v>
      </c>
      <c r="B875" s="39" t="s">
        <v>670</v>
      </c>
      <c r="C875" s="229" t="s">
        <v>34</v>
      </c>
      <c r="D875" s="51" t="s">
        <v>130</v>
      </c>
      <c r="E875" s="46">
        <v>131.97</v>
      </c>
      <c r="F875" s="193" t="s">
        <v>130</v>
      </c>
      <c r="G875" s="9">
        <f>IF(Tabla9[[#This Row],[Precio
Unidad de Compra ( $)]]="","",(E875/(H875*I875)))</f>
        <v>131.97</v>
      </c>
      <c r="H875" s="8">
        <v>1</v>
      </c>
      <c r="I875" s="185">
        <v>1</v>
      </c>
      <c r="J875" s="79" t="str">
        <f t="shared" si="25"/>
        <v>H_312</v>
      </c>
    </row>
    <row r="876" spans="1:10">
      <c r="A876" s="44">
        <f t="shared" si="26"/>
        <v>313</v>
      </c>
      <c r="B876" s="39" t="s">
        <v>671</v>
      </c>
      <c r="C876" s="229" t="s">
        <v>34</v>
      </c>
      <c r="D876" s="51" t="s">
        <v>130</v>
      </c>
      <c r="E876" s="46">
        <v>131.97</v>
      </c>
      <c r="F876" s="193" t="s">
        <v>130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5"/>
        <v>H_313</v>
      </c>
    </row>
    <row r="877" spans="1:10">
      <c r="A877" s="44">
        <f t="shared" si="26"/>
        <v>314</v>
      </c>
      <c r="B877" s="186" t="s">
        <v>672</v>
      </c>
      <c r="C877" s="229" t="s">
        <v>34</v>
      </c>
      <c r="D877" s="51" t="s">
        <v>130</v>
      </c>
      <c r="E877" s="46">
        <v>249.9</v>
      </c>
      <c r="F877" s="193" t="s">
        <v>288</v>
      </c>
      <c r="G877" s="9">
        <f>IF(Tabla9[[#This Row],[Precio
Unidad de Compra ( $)]]="","",(E877/(H877*I877)))</f>
        <v>249.9</v>
      </c>
      <c r="H877" s="8">
        <v>1</v>
      </c>
      <c r="I877" s="185">
        <v>1</v>
      </c>
      <c r="J877" s="79" t="str">
        <f t="shared" si="25"/>
        <v>H_314</v>
      </c>
    </row>
    <row r="878" spans="1:10">
      <c r="A878" s="44">
        <f t="shared" si="26"/>
        <v>315</v>
      </c>
      <c r="B878" s="39" t="s">
        <v>673</v>
      </c>
      <c r="C878" s="229" t="s">
        <v>34</v>
      </c>
      <c r="D878" s="51" t="s">
        <v>130</v>
      </c>
      <c r="E878" s="46">
        <v>131.97</v>
      </c>
      <c r="F878" s="193" t="s">
        <v>258</v>
      </c>
      <c r="G878" s="9">
        <f>IF(Tabla9[[#This Row],[Precio
Unidad de Compra ( $)]]="","",(E878/(H878*I878)))</f>
        <v>131.97</v>
      </c>
      <c r="H878" s="8">
        <v>1</v>
      </c>
      <c r="I878" s="185">
        <v>1</v>
      </c>
      <c r="J878" s="79" t="str">
        <f t="shared" si="25"/>
        <v>H_315</v>
      </c>
    </row>
    <row r="879" spans="1:10">
      <c r="A879" s="44">
        <f t="shared" si="26"/>
        <v>316</v>
      </c>
      <c r="B879" s="39" t="s">
        <v>674</v>
      </c>
      <c r="C879" s="229" t="s">
        <v>34</v>
      </c>
      <c r="D879" s="51" t="s">
        <v>130</v>
      </c>
      <c r="E879" s="46">
        <v>131.97</v>
      </c>
      <c r="F879" s="193" t="s">
        <v>130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5"/>
        <v>H_316</v>
      </c>
    </row>
    <row r="880" spans="1:10">
      <c r="A880" s="44">
        <f t="shared" si="26"/>
        <v>317</v>
      </c>
      <c r="B880" s="39" t="s">
        <v>675</v>
      </c>
      <c r="C880" s="229" t="s">
        <v>34</v>
      </c>
      <c r="D880" s="51" t="s">
        <v>130</v>
      </c>
      <c r="E880" s="58">
        <v>131.97</v>
      </c>
      <c r="F880" s="200" t="s">
        <v>130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5"/>
        <v>H_317</v>
      </c>
    </row>
    <row r="881" spans="1:10">
      <c r="A881" s="44">
        <f t="shared" si="26"/>
        <v>318</v>
      </c>
      <c r="B881" s="39" t="s">
        <v>676</v>
      </c>
      <c r="C881" s="229" t="s">
        <v>34</v>
      </c>
      <c r="D881" s="51" t="s">
        <v>130</v>
      </c>
      <c r="E881" s="46">
        <v>131.97</v>
      </c>
      <c r="F881" s="193" t="s">
        <v>130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5"/>
        <v>H_318</v>
      </c>
    </row>
    <row r="882" spans="1:10">
      <c r="A882" s="44">
        <f t="shared" si="26"/>
        <v>319</v>
      </c>
      <c r="B882" s="39" t="s">
        <v>677</v>
      </c>
      <c r="C882" s="229" t="s">
        <v>34</v>
      </c>
      <c r="D882" s="51" t="s">
        <v>130</v>
      </c>
      <c r="E882" s="46">
        <v>131.97</v>
      </c>
      <c r="F882" s="193" t="s">
        <v>130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5"/>
        <v>H_319</v>
      </c>
    </row>
    <row r="883" spans="1:10">
      <c r="A883" s="44">
        <f t="shared" si="26"/>
        <v>320</v>
      </c>
      <c r="B883" s="39" t="s">
        <v>678</v>
      </c>
      <c r="C883" s="229" t="s">
        <v>34</v>
      </c>
      <c r="D883" s="51" t="s">
        <v>130</v>
      </c>
      <c r="E883" s="46">
        <v>131.97</v>
      </c>
      <c r="F883" s="193" t="s">
        <v>130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5"/>
        <v>H_320</v>
      </c>
    </row>
    <row r="884" spans="1:10">
      <c r="A884" s="44">
        <f t="shared" si="26"/>
        <v>321</v>
      </c>
      <c r="B884" s="39" t="s">
        <v>679</v>
      </c>
      <c r="C884" s="229" t="s">
        <v>34</v>
      </c>
      <c r="D884" s="51" t="s">
        <v>130</v>
      </c>
      <c r="E884" s="46">
        <v>131.97</v>
      </c>
      <c r="F884" s="193" t="s">
        <v>130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ref="J884:J947" si="27">IFERROR(CONCATENATE(LEFT(C884,1),"_",TEXT(A884,"000")),"")</f>
        <v>H_321</v>
      </c>
    </row>
    <row r="885" spans="1:10">
      <c r="A885" s="44">
        <f t="shared" si="26"/>
        <v>322</v>
      </c>
      <c r="B885" s="39" t="s">
        <v>680</v>
      </c>
      <c r="C885" s="229" t="s">
        <v>34</v>
      </c>
      <c r="D885" s="51" t="s">
        <v>130</v>
      </c>
      <c r="E885" s="46">
        <v>131.97</v>
      </c>
      <c r="F885" s="193" t="s">
        <v>130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si="27"/>
        <v>H_322</v>
      </c>
    </row>
    <row r="886" spans="1:10">
      <c r="A886" s="44">
        <f t="shared" si="26"/>
        <v>323</v>
      </c>
      <c r="B886" s="39" t="s">
        <v>681</v>
      </c>
      <c r="C886" s="229" t="s">
        <v>34</v>
      </c>
      <c r="D886" s="51" t="s">
        <v>130</v>
      </c>
      <c r="E886" s="46">
        <v>131.97</v>
      </c>
      <c r="F886" s="193" t="s">
        <v>130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7"/>
        <v>H_323</v>
      </c>
    </row>
    <row r="887" spans="1:10">
      <c r="A887" s="44">
        <f t="shared" si="26"/>
        <v>324</v>
      </c>
      <c r="B887" s="39" t="s">
        <v>682</v>
      </c>
      <c r="C887" s="229" t="s">
        <v>34</v>
      </c>
      <c r="D887" s="51" t="s">
        <v>130</v>
      </c>
      <c r="E887" s="46">
        <v>131.97</v>
      </c>
      <c r="F887" s="200" t="s">
        <v>130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7"/>
        <v>H_324</v>
      </c>
    </row>
    <row r="888" spans="1:10">
      <c r="A888" s="44">
        <v>1</v>
      </c>
      <c r="B888" s="39" t="s">
        <v>683</v>
      </c>
      <c r="C888" s="229" t="s">
        <v>34</v>
      </c>
      <c r="D888" s="51" t="s">
        <v>130</v>
      </c>
      <c r="E888" s="46">
        <v>131.97</v>
      </c>
      <c r="F888" s="193" t="s">
        <v>130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7"/>
        <v>H_001</v>
      </c>
    </row>
    <row r="889" spans="1:10">
      <c r="A889" s="44">
        <f t="shared" ref="A889:A920" si="28">A888+1</f>
        <v>2</v>
      </c>
      <c r="B889" s="39" t="s">
        <v>684</v>
      </c>
      <c r="C889" s="229" t="s">
        <v>34</v>
      </c>
      <c r="D889" s="51" t="s">
        <v>130</v>
      </c>
      <c r="E889" s="46">
        <v>131.97</v>
      </c>
      <c r="F889" s="193" t="s">
        <v>130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7"/>
        <v>H_002</v>
      </c>
    </row>
    <row r="890" spans="1:10">
      <c r="A890" s="44">
        <f t="shared" si="28"/>
        <v>3</v>
      </c>
      <c r="B890" s="39" t="s">
        <v>685</v>
      </c>
      <c r="C890" s="229" t="s">
        <v>34</v>
      </c>
      <c r="D890" s="51" t="s">
        <v>130</v>
      </c>
      <c r="E890" s="46">
        <v>131.97</v>
      </c>
      <c r="F890" s="193" t="s">
        <v>130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7"/>
        <v>H_003</v>
      </c>
    </row>
    <row r="891" spans="1:10">
      <c r="A891" s="44">
        <f t="shared" si="28"/>
        <v>4</v>
      </c>
      <c r="B891" s="39" t="s">
        <v>686</v>
      </c>
      <c r="C891" s="229" t="s">
        <v>34</v>
      </c>
      <c r="D891" s="51" t="s">
        <v>130</v>
      </c>
      <c r="E891" s="58">
        <v>131.97</v>
      </c>
      <c r="F891" s="200" t="s">
        <v>130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7"/>
        <v>H_004</v>
      </c>
    </row>
    <row r="892" spans="1:10">
      <c r="A892" s="44">
        <f t="shared" si="28"/>
        <v>5</v>
      </c>
      <c r="B892" s="39" t="s">
        <v>687</v>
      </c>
      <c r="C892" s="229" t="s">
        <v>34</v>
      </c>
      <c r="D892" s="51" t="s">
        <v>130</v>
      </c>
      <c r="E892" s="46">
        <v>131.97</v>
      </c>
      <c r="F892" s="193" t="s">
        <v>130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7"/>
        <v>H_005</v>
      </c>
    </row>
    <row r="893" spans="1:10">
      <c r="A893" s="44">
        <f t="shared" si="28"/>
        <v>6</v>
      </c>
      <c r="B893" s="39" t="s">
        <v>688</v>
      </c>
      <c r="C893" s="229" t="s">
        <v>34</v>
      </c>
      <c r="D893" s="51" t="s">
        <v>130</v>
      </c>
      <c r="E893" s="46">
        <v>131.97</v>
      </c>
      <c r="F893" s="193" t="s">
        <v>130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7"/>
        <v>H_006</v>
      </c>
    </row>
    <row r="894" spans="1:10">
      <c r="A894" s="44">
        <f t="shared" si="28"/>
        <v>7</v>
      </c>
      <c r="B894" s="39" t="s">
        <v>689</v>
      </c>
      <c r="C894" s="229" t="s">
        <v>34</v>
      </c>
      <c r="D894" s="51" t="s">
        <v>130</v>
      </c>
      <c r="E894" s="46">
        <v>131.97</v>
      </c>
      <c r="F894" s="193" t="s">
        <v>130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7"/>
        <v>H_007</v>
      </c>
    </row>
    <row r="895" spans="1:10">
      <c r="A895" s="44">
        <f t="shared" si="28"/>
        <v>8</v>
      </c>
      <c r="B895" s="39" t="s">
        <v>690</v>
      </c>
      <c r="C895" s="229" t="s">
        <v>34</v>
      </c>
      <c r="D895" s="51" t="s">
        <v>130</v>
      </c>
      <c r="E895" s="46">
        <v>131.97</v>
      </c>
      <c r="F895" s="193" t="s">
        <v>130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7"/>
        <v>H_008</v>
      </c>
    </row>
    <row r="896" spans="1:10">
      <c r="A896" s="44">
        <f t="shared" si="28"/>
        <v>9</v>
      </c>
      <c r="B896" s="39" t="s">
        <v>691</v>
      </c>
      <c r="C896" s="229" t="s">
        <v>34</v>
      </c>
      <c r="D896" s="51" t="s">
        <v>130</v>
      </c>
      <c r="E896" s="58">
        <v>131.97</v>
      </c>
      <c r="F896" s="200" t="s">
        <v>130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7"/>
        <v>H_009</v>
      </c>
    </row>
    <row r="897" spans="1:10" ht="30">
      <c r="A897" s="44">
        <f t="shared" si="28"/>
        <v>10</v>
      </c>
      <c r="B897" s="173" t="s">
        <v>692</v>
      </c>
      <c r="C897" s="229" t="s">
        <v>34</v>
      </c>
      <c r="D897" s="51" t="s">
        <v>130</v>
      </c>
      <c r="E897" s="58">
        <v>6957.9299999999994</v>
      </c>
      <c r="F897" s="200" t="s">
        <v>130</v>
      </c>
      <c r="G897" s="9">
        <f>IF(Tabla9[[#This Row],[Precio
Unidad de Compra ( $)]]="","",(E897/(H897*I897)))</f>
        <v>6957.9299999999994</v>
      </c>
      <c r="H897" s="8">
        <v>1</v>
      </c>
      <c r="I897" s="185">
        <v>1</v>
      </c>
      <c r="J897" s="79" t="str">
        <f t="shared" si="27"/>
        <v>H_010</v>
      </c>
    </row>
    <row r="898" spans="1:10">
      <c r="A898" s="44">
        <f t="shared" si="28"/>
        <v>11</v>
      </c>
      <c r="B898" s="173" t="s">
        <v>693</v>
      </c>
      <c r="C898" s="229" t="s">
        <v>34</v>
      </c>
      <c r="D898" s="51" t="s">
        <v>130</v>
      </c>
      <c r="E898" s="58">
        <v>2563</v>
      </c>
      <c r="F898" s="200" t="s">
        <v>130</v>
      </c>
      <c r="G898" s="9">
        <f>IF(Tabla9[[#This Row],[Precio
Unidad de Compra ( $)]]="","",(E898/(H898*I898)))</f>
        <v>2563</v>
      </c>
      <c r="H898" s="8">
        <v>1</v>
      </c>
      <c r="I898" s="185">
        <v>1</v>
      </c>
      <c r="J898" s="79" t="str">
        <f t="shared" si="27"/>
        <v>H_011</v>
      </c>
    </row>
    <row r="899" spans="1:10">
      <c r="A899" s="44">
        <f t="shared" si="28"/>
        <v>12</v>
      </c>
      <c r="B899" s="173" t="s">
        <v>694</v>
      </c>
      <c r="C899" s="229" t="s">
        <v>34</v>
      </c>
      <c r="D899" s="51" t="s">
        <v>130</v>
      </c>
      <c r="E899" s="58">
        <v>2563</v>
      </c>
      <c r="F899" s="200" t="s">
        <v>130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7"/>
        <v>H_012</v>
      </c>
    </row>
    <row r="900" spans="1:10" ht="30">
      <c r="A900" s="44">
        <f t="shared" si="28"/>
        <v>13</v>
      </c>
      <c r="B900" s="173" t="s">
        <v>695</v>
      </c>
      <c r="C900" s="229" t="s">
        <v>34</v>
      </c>
      <c r="D900" s="51" t="s">
        <v>130</v>
      </c>
      <c r="E900" s="58">
        <v>2563</v>
      </c>
      <c r="F900" s="200" t="s">
        <v>130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7"/>
        <v>H_013</v>
      </c>
    </row>
    <row r="901" spans="1:10">
      <c r="A901" s="44">
        <f t="shared" si="28"/>
        <v>14</v>
      </c>
      <c r="B901" s="173" t="s">
        <v>696</v>
      </c>
      <c r="C901" s="229" t="s">
        <v>34</v>
      </c>
      <c r="D901" s="51" t="s">
        <v>130</v>
      </c>
      <c r="E901" s="58">
        <v>2563</v>
      </c>
      <c r="F901" s="200" t="s">
        <v>130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7"/>
        <v>H_014</v>
      </c>
    </row>
    <row r="902" spans="1:10" ht="30">
      <c r="A902" s="44">
        <f t="shared" si="28"/>
        <v>15</v>
      </c>
      <c r="B902" s="173" t="s">
        <v>697</v>
      </c>
      <c r="C902" s="229" t="s">
        <v>34</v>
      </c>
      <c r="D902" s="51" t="s">
        <v>130</v>
      </c>
      <c r="E902" s="58">
        <v>2885.5</v>
      </c>
      <c r="F902" s="200" t="s">
        <v>130</v>
      </c>
      <c r="G902" s="9">
        <f>IF(Tabla9[[#This Row],[Precio
Unidad de Compra ( $)]]="","",(E902/(H902*I902)))</f>
        <v>2885.5</v>
      </c>
      <c r="H902" s="8">
        <v>1</v>
      </c>
      <c r="I902" s="185">
        <v>1</v>
      </c>
      <c r="J902" s="79" t="str">
        <f t="shared" si="27"/>
        <v>H_015</v>
      </c>
    </row>
    <row r="903" spans="1:10" ht="30">
      <c r="A903" s="44">
        <f t="shared" si="28"/>
        <v>16</v>
      </c>
      <c r="B903" s="173" t="s">
        <v>698</v>
      </c>
      <c r="C903" s="229" t="s">
        <v>34</v>
      </c>
      <c r="D903" s="51" t="s">
        <v>130</v>
      </c>
      <c r="E903" s="58">
        <v>2885.5</v>
      </c>
      <c r="F903" s="200" t="s">
        <v>130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7"/>
        <v>H_016</v>
      </c>
    </row>
    <row r="904" spans="1:10" ht="30">
      <c r="A904" s="44">
        <f t="shared" si="28"/>
        <v>17</v>
      </c>
      <c r="B904" s="173" t="s">
        <v>699</v>
      </c>
      <c r="C904" s="229" t="s">
        <v>34</v>
      </c>
      <c r="D904" s="51" t="s">
        <v>130</v>
      </c>
      <c r="E904" s="58">
        <v>2885.5</v>
      </c>
      <c r="F904" s="200" t="s">
        <v>130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7"/>
        <v>H_017</v>
      </c>
    </row>
    <row r="905" spans="1:10" ht="30">
      <c r="A905" s="44">
        <f t="shared" si="28"/>
        <v>18</v>
      </c>
      <c r="B905" s="173" t="s">
        <v>700</v>
      </c>
      <c r="C905" s="229" t="s">
        <v>34</v>
      </c>
      <c r="D905" s="51" t="s">
        <v>130</v>
      </c>
      <c r="E905" s="58">
        <v>2885.5</v>
      </c>
      <c r="F905" s="200" t="s">
        <v>130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7"/>
        <v>H_018</v>
      </c>
    </row>
    <row r="906" spans="1:10" ht="30">
      <c r="A906" s="44">
        <f t="shared" si="28"/>
        <v>19</v>
      </c>
      <c r="B906" s="173" t="s">
        <v>701</v>
      </c>
      <c r="C906" s="229" t="s">
        <v>34</v>
      </c>
      <c r="D906" s="51" t="s">
        <v>130</v>
      </c>
      <c r="E906" s="58">
        <v>2885.5</v>
      </c>
      <c r="F906" s="200" t="s">
        <v>130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7"/>
        <v>H_019</v>
      </c>
    </row>
    <row r="907" spans="1:10" ht="30">
      <c r="A907" s="44">
        <f t="shared" si="28"/>
        <v>20</v>
      </c>
      <c r="B907" s="173" t="s">
        <v>702</v>
      </c>
      <c r="C907" s="229" t="s">
        <v>34</v>
      </c>
      <c r="D907" s="51" t="s">
        <v>130</v>
      </c>
      <c r="E907" s="58">
        <v>2885.5</v>
      </c>
      <c r="F907" s="200" t="s">
        <v>130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7"/>
        <v>H_020</v>
      </c>
    </row>
    <row r="908" spans="1:10" ht="30">
      <c r="A908" s="44">
        <f t="shared" si="28"/>
        <v>21</v>
      </c>
      <c r="B908" s="173" t="s">
        <v>703</v>
      </c>
      <c r="C908" s="229" t="s">
        <v>34</v>
      </c>
      <c r="D908" s="51" t="s">
        <v>130</v>
      </c>
      <c r="E908" s="58">
        <v>2885.5</v>
      </c>
      <c r="F908" s="200" t="s">
        <v>130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7"/>
        <v>H_021</v>
      </c>
    </row>
    <row r="909" spans="1:10" ht="30">
      <c r="A909" s="44">
        <f t="shared" si="28"/>
        <v>22</v>
      </c>
      <c r="B909" s="173" t="s">
        <v>704</v>
      </c>
      <c r="C909" s="229" t="s">
        <v>34</v>
      </c>
      <c r="D909" s="51" t="s">
        <v>130</v>
      </c>
      <c r="E909" s="58">
        <v>2885.5</v>
      </c>
      <c r="F909" s="200" t="s">
        <v>130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7"/>
        <v>H_022</v>
      </c>
    </row>
    <row r="910" spans="1:10" ht="30">
      <c r="A910" s="44">
        <f t="shared" si="28"/>
        <v>23</v>
      </c>
      <c r="B910" s="173" t="s">
        <v>705</v>
      </c>
      <c r="C910" s="229" t="s">
        <v>34</v>
      </c>
      <c r="D910" s="51" t="s">
        <v>130</v>
      </c>
      <c r="E910" s="58">
        <v>2785.5</v>
      </c>
      <c r="F910" s="200" t="s">
        <v>130</v>
      </c>
      <c r="G910" s="9">
        <f>IF(Tabla9[[#This Row],[Precio
Unidad de Compra ( $)]]="","",(E910/(H910*I910)))</f>
        <v>2785.5</v>
      </c>
      <c r="H910" s="8">
        <v>1</v>
      </c>
      <c r="I910" s="185">
        <v>1</v>
      </c>
      <c r="J910" s="79" t="str">
        <f t="shared" si="27"/>
        <v>H_023</v>
      </c>
    </row>
    <row r="911" spans="1:10" ht="30">
      <c r="A911" s="44">
        <f t="shared" si="28"/>
        <v>24</v>
      </c>
      <c r="B911" s="173" t="s">
        <v>706</v>
      </c>
      <c r="C911" s="229" t="s">
        <v>34</v>
      </c>
      <c r="D911" s="51" t="s">
        <v>130</v>
      </c>
      <c r="E911" s="58">
        <v>2785.5</v>
      </c>
      <c r="F911" s="200" t="s">
        <v>130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7"/>
        <v>H_024</v>
      </c>
    </row>
    <row r="912" spans="1:10" ht="30">
      <c r="A912" s="44">
        <f t="shared" si="28"/>
        <v>25</v>
      </c>
      <c r="B912" s="173" t="s">
        <v>707</v>
      </c>
      <c r="C912" s="229" t="s">
        <v>34</v>
      </c>
      <c r="D912" s="51" t="s">
        <v>130</v>
      </c>
      <c r="E912" s="58">
        <v>1</v>
      </c>
      <c r="F912" s="200" t="s">
        <v>130</v>
      </c>
      <c r="G912" s="9">
        <f>IF(Tabla9[[#This Row],[Precio
Unidad de Compra ( $)]]="","",(E912/(H912*I912)))</f>
        <v>1</v>
      </c>
      <c r="H912" s="8">
        <v>1</v>
      </c>
      <c r="I912" s="185">
        <v>1</v>
      </c>
      <c r="J912" s="79" t="str">
        <f t="shared" si="27"/>
        <v>H_025</v>
      </c>
    </row>
    <row r="913" spans="1:10" ht="30">
      <c r="A913" s="44">
        <f t="shared" si="28"/>
        <v>26</v>
      </c>
      <c r="B913" s="173" t="s">
        <v>708</v>
      </c>
      <c r="C913" s="229" t="s">
        <v>34</v>
      </c>
      <c r="D913" s="51" t="s">
        <v>130</v>
      </c>
      <c r="E913" s="58">
        <v>1200</v>
      </c>
      <c r="F913" s="200" t="s">
        <v>130</v>
      </c>
      <c r="G913" s="9">
        <f>IF(Tabla9[[#This Row],[Precio
Unidad de Compra ( $)]]="","",(E913/(H913*I913)))</f>
        <v>1200</v>
      </c>
      <c r="H913" s="8">
        <v>1</v>
      </c>
      <c r="I913" s="185">
        <v>1</v>
      </c>
      <c r="J913" s="79" t="str">
        <f t="shared" si="27"/>
        <v>H_026</v>
      </c>
    </row>
    <row r="914" spans="1:10" ht="30">
      <c r="A914" s="44">
        <f t="shared" si="28"/>
        <v>27</v>
      </c>
      <c r="B914" s="173" t="s">
        <v>709</v>
      </c>
      <c r="C914" s="229" t="s">
        <v>34</v>
      </c>
      <c r="D914" s="51" t="s">
        <v>130</v>
      </c>
      <c r="E914" s="58">
        <v>1200</v>
      </c>
      <c r="F914" s="200" t="s">
        <v>130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7"/>
        <v>H_027</v>
      </c>
    </row>
    <row r="915" spans="1:10">
      <c r="A915" s="44">
        <f t="shared" si="28"/>
        <v>28</v>
      </c>
      <c r="B915" s="173" t="s">
        <v>710</v>
      </c>
      <c r="C915" s="229" t="s">
        <v>34</v>
      </c>
      <c r="D915" s="51" t="s">
        <v>130</v>
      </c>
      <c r="E915" s="58">
        <v>1200</v>
      </c>
      <c r="F915" s="200" t="s">
        <v>130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7"/>
        <v>H_028</v>
      </c>
    </row>
    <row r="916" spans="1:10">
      <c r="A916" s="44">
        <f t="shared" si="28"/>
        <v>29</v>
      </c>
      <c r="B916" s="173" t="s">
        <v>711</v>
      </c>
      <c r="C916" s="229" t="s">
        <v>34</v>
      </c>
      <c r="D916" s="51" t="s">
        <v>130</v>
      </c>
      <c r="E916" s="58">
        <v>500</v>
      </c>
      <c r="F916" s="200" t="s">
        <v>130</v>
      </c>
      <c r="G916" s="9">
        <f>IF(Tabla9[[#This Row],[Precio
Unidad de Compra ( $)]]="","",(E916/(H916*I916)))</f>
        <v>500</v>
      </c>
      <c r="H916" s="8">
        <v>1</v>
      </c>
      <c r="I916" s="185">
        <v>1</v>
      </c>
      <c r="J916" s="79" t="str">
        <f t="shared" si="27"/>
        <v>H_029</v>
      </c>
    </row>
    <row r="917" spans="1:10">
      <c r="A917" s="44">
        <f t="shared" si="28"/>
        <v>30</v>
      </c>
      <c r="B917" s="173" t="s">
        <v>712</v>
      </c>
      <c r="C917" s="229" t="s">
        <v>34</v>
      </c>
      <c r="D917" s="51" t="s">
        <v>130</v>
      </c>
      <c r="E917" s="58">
        <v>500</v>
      </c>
      <c r="F917" s="200" t="s">
        <v>130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7"/>
        <v>H_030</v>
      </c>
    </row>
    <row r="918" spans="1:10">
      <c r="A918" s="44">
        <f t="shared" si="28"/>
        <v>31</v>
      </c>
      <c r="B918" s="173" t="s">
        <v>713</v>
      </c>
      <c r="C918" s="229" t="s">
        <v>34</v>
      </c>
      <c r="D918" s="51" t="s">
        <v>130</v>
      </c>
      <c r="E918" s="58">
        <v>500</v>
      </c>
      <c r="F918" s="200" t="s">
        <v>130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7"/>
        <v>H_031</v>
      </c>
    </row>
    <row r="919" spans="1:10">
      <c r="A919" s="44">
        <f t="shared" si="28"/>
        <v>32</v>
      </c>
      <c r="B919" s="173" t="s">
        <v>714</v>
      </c>
      <c r="C919" s="229" t="s">
        <v>34</v>
      </c>
      <c r="D919" s="51" t="s">
        <v>130</v>
      </c>
      <c r="E919" s="58">
        <v>500</v>
      </c>
      <c r="F919" s="200" t="s">
        <v>130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7"/>
        <v>H_032</v>
      </c>
    </row>
    <row r="920" spans="1:10">
      <c r="A920" s="44">
        <f t="shared" si="28"/>
        <v>33</v>
      </c>
      <c r="B920" s="173" t="s">
        <v>715</v>
      </c>
      <c r="C920" s="229" t="s">
        <v>34</v>
      </c>
      <c r="D920" s="51" t="s">
        <v>130</v>
      </c>
      <c r="E920" s="58">
        <v>500</v>
      </c>
      <c r="F920" s="200" t="s">
        <v>130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7"/>
        <v>H_033</v>
      </c>
    </row>
    <row r="921" spans="1:10">
      <c r="A921" s="44">
        <f t="shared" ref="A921:A952" si="29">A920+1</f>
        <v>34</v>
      </c>
      <c r="B921" s="173" t="s">
        <v>716</v>
      </c>
      <c r="C921" s="229" t="s">
        <v>34</v>
      </c>
      <c r="D921" s="51" t="s">
        <v>130</v>
      </c>
      <c r="E921" s="58">
        <v>114.24</v>
      </c>
      <c r="F921" s="200" t="s">
        <v>130</v>
      </c>
      <c r="G921" s="9">
        <f>IF(Tabla9[[#This Row],[Precio
Unidad de Compra ( $)]]="","",(E921/(H921*I921)))</f>
        <v>114.24</v>
      </c>
      <c r="H921" s="8">
        <v>1</v>
      </c>
      <c r="I921" s="185">
        <v>1</v>
      </c>
      <c r="J921" s="79" t="str">
        <f t="shared" si="27"/>
        <v>H_034</v>
      </c>
    </row>
    <row r="922" spans="1:10">
      <c r="A922" s="44">
        <f t="shared" si="29"/>
        <v>35</v>
      </c>
      <c r="B922" s="173" t="s">
        <v>717</v>
      </c>
      <c r="C922" s="229" t="s">
        <v>34</v>
      </c>
      <c r="D922" s="51" t="s">
        <v>130</v>
      </c>
      <c r="E922" s="58">
        <v>114.24</v>
      </c>
      <c r="F922" s="200" t="s">
        <v>130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7"/>
        <v>H_035</v>
      </c>
    </row>
    <row r="923" spans="1:10">
      <c r="A923" s="44">
        <f t="shared" si="29"/>
        <v>36</v>
      </c>
      <c r="B923" s="173" t="s">
        <v>718</v>
      </c>
      <c r="C923" s="229" t="s">
        <v>34</v>
      </c>
      <c r="D923" s="51" t="s">
        <v>130</v>
      </c>
      <c r="E923" s="58">
        <v>114.24</v>
      </c>
      <c r="F923" s="200" t="s">
        <v>130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7"/>
        <v>H_036</v>
      </c>
    </row>
    <row r="924" spans="1:10">
      <c r="A924" s="44">
        <f t="shared" si="29"/>
        <v>37</v>
      </c>
      <c r="B924" s="173" t="s">
        <v>719</v>
      </c>
      <c r="C924" s="229" t="s">
        <v>34</v>
      </c>
      <c r="D924" s="51" t="s">
        <v>130</v>
      </c>
      <c r="E924" s="58">
        <v>114.24</v>
      </c>
      <c r="F924" s="200" t="s">
        <v>130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7"/>
        <v>H_037</v>
      </c>
    </row>
    <row r="925" spans="1:10">
      <c r="A925" s="44">
        <f t="shared" si="29"/>
        <v>38</v>
      </c>
      <c r="B925" s="173" t="s">
        <v>720</v>
      </c>
      <c r="C925" s="229" t="s">
        <v>34</v>
      </c>
      <c r="D925" s="51" t="s">
        <v>130</v>
      </c>
      <c r="E925" s="58">
        <v>114.24</v>
      </c>
      <c r="F925" s="200" t="s">
        <v>130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7"/>
        <v>H_038</v>
      </c>
    </row>
    <row r="926" spans="1:10">
      <c r="A926" s="44">
        <f t="shared" si="29"/>
        <v>39</v>
      </c>
      <c r="B926" s="173" t="s">
        <v>721</v>
      </c>
      <c r="C926" s="229" t="s">
        <v>34</v>
      </c>
      <c r="D926" s="51" t="s">
        <v>130</v>
      </c>
      <c r="E926" s="58">
        <v>114.24</v>
      </c>
      <c r="F926" s="200" t="s">
        <v>130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7"/>
        <v>H_039</v>
      </c>
    </row>
    <row r="927" spans="1:10">
      <c r="A927" s="44">
        <f t="shared" si="29"/>
        <v>40</v>
      </c>
      <c r="B927" s="173" t="s">
        <v>722</v>
      </c>
      <c r="C927" s="229" t="s">
        <v>34</v>
      </c>
      <c r="D927" s="51" t="s">
        <v>130</v>
      </c>
      <c r="E927" s="58">
        <v>114.24</v>
      </c>
      <c r="F927" s="200" t="s">
        <v>130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7"/>
        <v>H_040</v>
      </c>
    </row>
    <row r="928" spans="1:10">
      <c r="A928" s="44">
        <f t="shared" si="29"/>
        <v>41</v>
      </c>
      <c r="B928" s="173" t="s">
        <v>723</v>
      </c>
      <c r="C928" s="229" t="s">
        <v>34</v>
      </c>
      <c r="D928" s="51" t="s">
        <v>130</v>
      </c>
      <c r="E928" s="58">
        <v>114.24</v>
      </c>
      <c r="F928" s="200" t="s">
        <v>130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7"/>
        <v>H_041</v>
      </c>
    </row>
    <row r="929" spans="1:10">
      <c r="A929" s="44">
        <f t="shared" si="29"/>
        <v>42</v>
      </c>
      <c r="B929" s="173" t="s">
        <v>724</v>
      </c>
      <c r="C929" s="229" t="s">
        <v>34</v>
      </c>
      <c r="D929" s="51" t="s">
        <v>130</v>
      </c>
      <c r="E929" s="58">
        <v>114.24</v>
      </c>
      <c r="F929" s="200" t="s">
        <v>130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7"/>
        <v>H_042</v>
      </c>
    </row>
    <row r="930" spans="1:10">
      <c r="A930" s="44">
        <f t="shared" si="29"/>
        <v>43</v>
      </c>
      <c r="B930" s="173" t="s">
        <v>725</v>
      </c>
      <c r="C930" s="229" t="s">
        <v>34</v>
      </c>
      <c r="D930" s="51" t="s">
        <v>130</v>
      </c>
      <c r="E930" s="58">
        <v>114.24</v>
      </c>
      <c r="F930" s="200" t="s">
        <v>130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7"/>
        <v>H_043</v>
      </c>
    </row>
    <row r="931" spans="1:10">
      <c r="A931" s="44">
        <f t="shared" si="29"/>
        <v>44</v>
      </c>
      <c r="B931" s="173" t="s">
        <v>726</v>
      </c>
      <c r="C931" s="229" t="s">
        <v>34</v>
      </c>
      <c r="D931" s="51" t="s">
        <v>130</v>
      </c>
      <c r="E931" s="58">
        <v>114.24</v>
      </c>
      <c r="F931" s="200" t="s">
        <v>130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7"/>
        <v>H_044</v>
      </c>
    </row>
    <row r="932" spans="1:10">
      <c r="A932" s="44">
        <f t="shared" si="29"/>
        <v>45</v>
      </c>
      <c r="B932" s="173" t="s">
        <v>727</v>
      </c>
      <c r="C932" s="229" t="s">
        <v>34</v>
      </c>
      <c r="D932" s="51" t="s">
        <v>130</v>
      </c>
      <c r="E932" s="58">
        <v>114.24</v>
      </c>
      <c r="F932" s="200" t="s">
        <v>130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7"/>
        <v>H_045</v>
      </c>
    </row>
    <row r="933" spans="1:10">
      <c r="A933" s="44">
        <f t="shared" si="29"/>
        <v>46</v>
      </c>
      <c r="B933" s="173" t="s">
        <v>728</v>
      </c>
      <c r="C933" s="229" t="s">
        <v>34</v>
      </c>
      <c r="D933" s="51" t="s">
        <v>130</v>
      </c>
      <c r="E933" s="58">
        <v>114.24</v>
      </c>
      <c r="F933" s="200" t="s">
        <v>130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7"/>
        <v>H_046</v>
      </c>
    </row>
    <row r="934" spans="1:10">
      <c r="A934" s="44">
        <f t="shared" si="29"/>
        <v>47</v>
      </c>
      <c r="B934" s="173" t="s">
        <v>729</v>
      </c>
      <c r="C934" s="229" t="s">
        <v>34</v>
      </c>
      <c r="D934" s="51" t="s">
        <v>130</v>
      </c>
      <c r="E934" s="58">
        <v>114.24</v>
      </c>
      <c r="F934" s="200" t="s">
        <v>130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7"/>
        <v>H_047</v>
      </c>
    </row>
    <row r="935" spans="1:10">
      <c r="A935" s="44">
        <f t="shared" si="29"/>
        <v>48</v>
      </c>
      <c r="B935" s="173" t="s">
        <v>730</v>
      </c>
      <c r="C935" s="229" t="s">
        <v>34</v>
      </c>
      <c r="D935" s="51" t="s">
        <v>130</v>
      </c>
      <c r="E935" s="58">
        <v>1800</v>
      </c>
      <c r="F935" s="200" t="s">
        <v>130</v>
      </c>
      <c r="G935" s="9">
        <f>IF(Tabla9[[#This Row],[Precio
Unidad de Compra ( $)]]="","",(E935/(H935*I935)))</f>
        <v>1800</v>
      </c>
      <c r="H935" s="8">
        <v>1</v>
      </c>
      <c r="I935" s="185">
        <v>1</v>
      </c>
      <c r="J935" s="79" t="str">
        <f t="shared" si="27"/>
        <v>H_048</v>
      </c>
    </row>
    <row r="936" spans="1:10">
      <c r="A936" s="44">
        <f t="shared" si="29"/>
        <v>49</v>
      </c>
      <c r="B936" s="173" t="s">
        <v>731</v>
      </c>
      <c r="C936" s="229" t="s">
        <v>34</v>
      </c>
      <c r="D936" s="51" t="s">
        <v>130</v>
      </c>
      <c r="E936" s="58">
        <v>546</v>
      </c>
      <c r="F936" s="200" t="s">
        <v>130</v>
      </c>
      <c r="G936" s="9">
        <f>IF(Tabla9[[#This Row],[Precio
Unidad de Compra ( $)]]="","",(E936/(H936*I936)))</f>
        <v>546</v>
      </c>
      <c r="H936" s="8">
        <v>1</v>
      </c>
      <c r="I936" s="185">
        <v>1</v>
      </c>
      <c r="J936" s="79" t="str">
        <f t="shared" si="27"/>
        <v>H_049</v>
      </c>
    </row>
    <row r="937" spans="1:10">
      <c r="A937" s="44">
        <f t="shared" si="29"/>
        <v>50</v>
      </c>
      <c r="B937" s="173" t="s">
        <v>732</v>
      </c>
      <c r="C937" s="229" t="s">
        <v>34</v>
      </c>
      <c r="D937" s="51" t="s">
        <v>130</v>
      </c>
      <c r="E937" s="58">
        <v>114.24</v>
      </c>
      <c r="F937" s="200" t="s">
        <v>130</v>
      </c>
      <c r="G937" s="9">
        <f>IF(Tabla9[[#This Row],[Precio
Unidad de Compra ( $)]]="","",(E937/(H937*I937)))</f>
        <v>114.24</v>
      </c>
      <c r="H937" s="8">
        <v>1</v>
      </c>
      <c r="I937" s="185">
        <v>1</v>
      </c>
      <c r="J937" s="79" t="str">
        <f t="shared" si="27"/>
        <v>H_050</v>
      </c>
    </row>
    <row r="938" spans="1:10">
      <c r="A938" s="44">
        <f t="shared" si="29"/>
        <v>51</v>
      </c>
      <c r="B938" s="173" t="s">
        <v>733</v>
      </c>
      <c r="C938" s="229" t="s">
        <v>34</v>
      </c>
      <c r="D938" s="51" t="s">
        <v>130</v>
      </c>
      <c r="E938" s="58">
        <v>114.24</v>
      </c>
      <c r="F938" s="200" t="s">
        <v>130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7"/>
        <v>H_051</v>
      </c>
    </row>
    <row r="939" spans="1:10">
      <c r="A939" s="44">
        <f t="shared" si="29"/>
        <v>52</v>
      </c>
      <c r="B939" s="173" t="s">
        <v>734</v>
      </c>
      <c r="C939" s="229" t="s">
        <v>34</v>
      </c>
      <c r="D939" s="51" t="s">
        <v>130</v>
      </c>
      <c r="E939" s="58">
        <v>114.24</v>
      </c>
      <c r="F939" s="200" t="s">
        <v>130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7"/>
        <v>H_052</v>
      </c>
    </row>
    <row r="940" spans="1:10">
      <c r="A940" s="44">
        <f t="shared" si="29"/>
        <v>53</v>
      </c>
      <c r="B940" s="173" t="s">
        <v>735</v>
      </c>
      <c r="C940" s="229" t="s">
        <v>34</v>
      </c>
      <c r="D940" s="51" t="s">
        <v>130</v>
      </c>
      <c r="E940" s="58">
        <v>114.24</v>
      </c>
      <c r="F940" s="200" t="s">
        <v>130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7"/>
        <v>H_053</v>
      </c>
    </row>
    <row r="941" spans="1:10">
      <c r="A941" s="44">
        <f t="shared" si="29"/>
        <v>54</v>
      </c>
      <c r="B941" s="173" t="s">
        <v>736</v>
      </c>
      <c r="C941" s="229" t="s">
        <v>34</v>
      </c>
      <c r="D941" s="51" t="s">
        <v>130</v>
      </c>
      <c r="E941" s="58">
        <v>114.24</v>
      </c>
      <c r="F941" s="200" t="s">
        <v>130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7"/>
        <v>H_054</v>
      </c>
    </row>
    <row r="942" spans="1:10">
      <c r="A942" s="44">
        <f t="shared" si="29"/>
        <v>55</v>
      </c>
      <c r="B942" s="173" t="s">
        <v>737</v>
      </c>
      <c r="C942" s="229" t="s">
        <v>34</v>
      </c>
      <c r="D942" s="51" t="s">
        <v>130</v>
      </c>
      <c r="E942" s="58">
        <v>114.24</v>
      </c>
      <c r="F942" s="200" t="s">
        <v>130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7"/>
        <v>H_055</v>
      </c>
    </row>
    <row r="943" spans="1:10">
      <c r="A943" s="44">
        <f t="shared" si="29"/>
        <v>56</v>
      </c>
      <c r="B943" s="173" t="s">
        <v>738</v>
      </c>
      <c r="C943" s="229" t="s">
        <v>34</v>
      </c>
      <c r="D943" s="51" t="s">
        <v>130</v>
      </c>
      <c r="E943" s="58">
        <v>114.24</v>
      </c>
      <c r="F943" s="200" t="s">
        <v>130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7"/>
        <v>H_056</v>
      </c>
    </row>
    <row r="944" spans="1:10">
      <c r="A944" s="44">
        <f t="shared" si="29"/>
        <v>57</v>
      </c>
      <c r="B944" s="173" t="s">
        <v>739</v>
      </c>
      <c r="C944" s="229" t="s">
        <v>34</v>
      </c>
      <c r="D944" s="51" t="s">
        <v>130</v>
      </c>
      <c r="E944" s="58">
        <v>114.24</v>
      </c>
      <c r="F944" s="200" t="s">
        <v>130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7"/>
        <v>H_057</v>
      </c>
    </row>
    <row r="945" spans="1:10">
      <c r="A945" s="44">
        <f t="shared" si="29"/>
        <v>58</v>
      </c>
      <c r="B945" s="173" t="s">
        <v>740</v>
      </c>
      <c r="C945" s="229" t="s">
        <v>34</v>
      </c>
      <c r="D945" s="51" t="s">
        <v>130</v>
      </c>
      <c r="E945" s="58">
        <v>114.24</v>
      </c>
      <c r="F945" s="200" t="s">
        <v>130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7"/>
        <v>H_058</v>
      </c>
    </row>
    <row r="946" spans="1:10">
      <c r="A946" s="44">
        <f t="shared" si="29"/>
        <v>59</v>
      </c>
      <c r="B946" s="173" t="s">
        <v>741</v>
      </c>
      <c r="C946" s="229" t="s">
        <v>34</v>
      </c>
      <c r="D946" s="51" t="s">
        <v>130</v>
      </c>
      <c r="E946" s="58">
        <v>114.24</v>
      </c>
      <c r="F946" s="200" t="s">
        <v>130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7"/>
        <v>H_059</v>
      </c>
    </row>
    <row r="947" spans="1:10">
      <c r="A947" s="44">
        <f t="shared" si="29"/>
        <v>60</v>
      </c>
      <c r="B947" s="173" t="s">
        <v>742</v>
      </c>
      <c r="C947" s="229" t="s">
        <v>34</v>
      </c>
      <c r="D947" s="51" t="s">
        <v>130</v>
      </c>
      <c r="E947" s="58">
        <v>1550</v>
      </c>
      <c r="F947" s="200" t="s">
        <v>130</v>
      </c>
      <c r="G947" s="9">
        <f>IF(Tabla9[[#This Row],[Precio
Unidad de Compra ( $)]]="","",(E947/(H947*I947)))</f>
        <v>1550</v>
      </c>
      <c r="H947" s="8">
        <v>1</v>
      </c>
      <c r="I947" s="185">
        <v>1</v>
      </c>
      <c r="J947" s="79" t="str">
        <f t="shared" si="27"/>
        <v>H_060</v>
      </c>
    </row>
    <row r="948" spans="1:10" ht="30">
      <c r="A948" s="44">
        <f t="shared" si="29"/>
        <v>61</v>
      </c>
      <c r="B948" s="173" t="s">
        <v>743</v>
      </c>
      <c r="C948" s="229" t="s">
        <v>34</v>
      </c>
      <c r="D948" s="51" t="s">
        <v>130</v>
      </c>
      <c r="E948" s="58">
        <v>1550</v>
      </c>
      <c r="F948" s="200" t="s">
        <v>130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ref="J948:J984" si="30">IFERROR(CONCATENATE(LEFT(C948,1),"_",TEXT(A948,"000")),"")</f>
        <v>H_061</v>
      </c>
    </row>
    <row r="949" spans="1:10" ht="30">
      <c r="A949" s="44">
        <f t="shared" si="29"/>
        <v>62</v>
      </c>
      <c r="B949" s="173" t="s">
        <v>744</v>
      </c>
      <c r="C949" s="229" t="s">
        <v>34</v>
      </c>
      <c r="D949" s="51" t="s">
        <v>130</v>
      </c>
      <c r="E949" s="58">
        <v>1550</v>
      </c>
      <c r="F949" s="200" t="s">
        <v>130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si="30"/>
        <v>H_062</v>
      </c>
    </row>
    <row r="950" spans="1:10">
      <c r="A950" s="44">
        <f t="shared" si="29"/>
        <v>63</v>
      </c>
      <c r="B950" s="173" t="s">
        <v>745</v>
      </c>
      <c r="C950" s="229" t="s">
        <v>34</v>
      </c>
      <c r="D950" s="51" t="s">
        <v>130</v>
      </c>
      <c r="E950" s="58">
        <v>1550</v>
      </c>
      <c r="F950" s="200" t="s">
        <v>130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30"/>
        <v>H_063</v>
      </c>
    </row>
    <row r="951" spans="1:10">
      <c r="A951" s="44">
        <f t="shared" si="29"/>
        <v>64</v>
      </c>
      <c r="B951" s="173" t="s">
        <v>746</v>
      </c>
      <c r="C951" s="229" t="s">
        <v>34</v>
      </c>
      <c r="D951" s="51" t="s">
        <v>130</v>
      </c>
      <c r="E951" s="58">
        <v>1550</v>
      </c>
      <c r="F951" s="200" t="s">
        <v>130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30"/>
        <v>H_064</v>
      </c>
    </row>
    <row r="952" spans="1:10">
      <c r="A952" s="44">
        <f t="shared" si="29"/>
        <v>65</v>
      </c>
      <c r="B952" s="173" t="s">
        <v>747</v>
      </c>
      <c r="C952" s="229" t="s">
        <v>34</v>
      </c>
      <c r="D952" s="51" t="s">
        <v>130</v>
      </c>
      <c r="E952" s="58">
        <v>1550</v>
      </c>
      <c r="F952" s="200" t="s">
        <v>130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30"/>
        <v>H_065</v>
      </c>
    </row>
    <row r="953" spans="1:10">
      <c r="A953" s="44">
        <f t="shared" ref="A953:A984" si="31">A952+1</f>
        <v>66</v>
      </c>
      <c r="B953" s="173" t="s">
        <v>748</v>
      </c>
      <c r="C953" s="229" t="s">
        <v>34</v>
      </c>
      <c r="D953" s="51" t="s">
        <v>130</v>
      </c>
      <c r="E953" s="58">
        <v>952</v>
      </c>
      <c r="F953" s="200" t="s">
        <v>130</v>
      </c>
      <c r="G953" s="9">
        <f>IF(Tabla9[[#This Row],[Precio
Unidad de Compra ( $)]]="","",(E953/(H953*I953)))</f>
        <v>952</v>
      </c>
      <c r="H953" s="8">
        <v>1</v>
      </c>
      <c r="I953" s="185">
        <v>1</v>
      </c>
      <c r="J953" s="79" t="str">
        <f t="shared" si="30"/>
        <v>H_066</v>
      </c>
    </row>
    <row r="954" spans="1:10">
      <c r="A954" s="44">
        <f t="shared" si="31"/>
        <v>67</v>
      </c>
      <c r="B954" s="173" t="s">
        <v>749</v>
      </c>
      <c r="C954" s="229" t="s">
        <v>34</v>
      </c>
      <c r="D954" s="51" t="s">
        <v>130</v>
      </c>
      <c r="E954" s="58">
        <v>925</v>
      </c>
      <c r="F954" s="200" t="s">
        <v>130</v>
      </c>
      <c r="G954" s="9">
        <f>IF(Tabla9[[#This Row],[Precio
Unidad de Compra ( $)]]="","",(E954/(H954*I954)))</f>
        <v>925</v>
      </c>
      <c r="H954" s="8">
        <v>1</v>
      </c>
      <c r="I954" s="185">
        <v>1</v>
      </c>
      <c r="J954" s="79" t="str">
        <f t="shared" si="30"/>
        <v>H_067</v>
      </c>
    </row>
    <row r="955" spans="1:10">
      <c r="A955" s="44">
        <f t="shared" si="31"/>
        <v>68</v>
      </c>
      <c r="B955" s="173" t="s">
        <v>750</v>
      </c>
      <c r="C955" s="229" t="s">
        <v>34</v>
      </c>
      <c r="D955" s="51" t="s">
        <v>130</v>
      </c>
      <c r="E955" s="58">
        <v>1100</v>
      </c>
      <c r="F955" s="200" t="s">
        <v>130</v>
      </c>
      <c r="G955" s="9">
        <f>IF(Tabla9[[#This Row],[Precio
Unidad de Compra ( $)]]="","",(E955/(H955*I955)))</f>
        <v>1100</v>
      </c>
      <c r="H955" s="8">
        <v>1</v>
      </c>
      <c r="I955" s="185">
        <v>1</v>
      </c>
      <c r="J955" s="79" t="str">
        <f t="shared" si="30"/>
        <v>H_068</v>
      </c>
    </row>
    <row r="956" spans="1:10">
      <c r="A956" s="44">
        <f t="shared" si="31"/>
        <v>69</v>
      </c>
      <c r="B956" s="173" t="s">
        <v>751</v>
      </c>
      <c r="C956" s="229" t="s">
        <v>34</v>
      </c>
      <c r="D956" s="51" t="s">
        <v>130</v>
      </c>
      <c r="E956" s="58">
        <v>1350</v>
      </c>
      <c r="F956" s="200" t="s">
        <v>130</v>
      </c>
      <c r="G956" s="9">
        <f>IF(Tabla9[[#This Row],[Precio
Unidad de Compra ( $)]]="","",(E956/(H956*I956)))</f>
        <v>1350</v>
      </c>
      <c r="H956" s="8">
        <v>1</v>
      </c>
      <c r="I956" s="185">
        <v>1</v>
      </c>
      <c r="J956" s="79" t="str">
        <f t="shared" si="30"/>
        <v>H_069</v>
      </c>
    </row>
    <row r="957" spans="1:10">
      <c r="A957" s="44">
        <f t="shared" si="31"/>
        <v>70</v>
      </c>
      <c r="B957" s="173" t="s">
        <v>752</v>
      </c>
      <c r="C957" s="229" t="s">
        <v>34</v>
      </c>
      <c r="D957" s="51" t="s">
        <v>130</v>
      </c>
      <c r="E957" s="58">
        <v>1350</v>
      </c>
      <c r="F957" s="200" t="s">
        <v>130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30"/>
        <v>H_070</v>
      </c>
    </row>
    <row r="958" spans="1:10">
      <c r="A958" s="44">
        <f t="shared" si="31"/>
        <v>71</v>
      </c>
      <c r="B958" s="39" t="s">
        <v>753</v>
      </c>
      <c r="C958" s="229" t="s">
        <v>34</v>
      </c>
      <c r="D958" s="51" t="s">
        <v>130</v>
      </c>
      <c r="E958" s="46">
        <v>2727.48</v>
      </c>
      <c r="F958" s="193" t="s">
        <v>130</v>
      </c>
      <c r="G958" s="9">
        <f>IF(Tabla9[[#This Row],[Precio
Unidad de Compra ( $)]]="","",(E958/(H958*I958)))</f>
        <v>2727.48</v>
      </c>
      <c r="H958" s="8">
        <v>1</v>
      </c>
      <c r="I958" s="185">
        <v>1</v>
      </c>
      <c r="J958" s="79" t="str">
        <f t="shared" si="30"/>
        <v>H_071</v>
      </c>
    </row>
    <row r="959" spans="1:10">
      <c r="A959" s="44">
        <f t="shared" si="31"/>
        <v>72</v>
      </c>
      <c r="B959" s="39" t="s">
        <v>754</v>
      </c>
      <c r="C959" s="229" t="s">
        <v>34</v>
      </c>
      <c r="D959" s="51" t="s">
        <v>130</v>
      </c>
      <c r="E959" s="46">
        <v>2727.48</v>
      </c>
      <c r="F959" s="193" t="s">
        <v>130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30"/>
        <v>H_072</v>
      </c>
    </row>
    <row r="960" spans="1:10">
      <c r="A960" s="44">
        <f t="shared" si="31"/>
        <v>73</v>
      </c>
      <c r="B960" s="173" t="s">
        <v>755</v>
      </c>
      <c r="C960" s="229" t="s">
        <v>34</v>
      </c>
      <c r="D960" s="51" t="s">
        <v>130</v>
      </c>
      <c r="E960" s="58">
        <v>2727.48</v>
      </c>
      <c r="F960" s="200" t="s">
        <v>130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30"/>
        <v>H_073</v>
      </c>
    </row>
    <row r="961" spans="1:10">
      <c r="A961" s="44">
        <f t="shared" si="31"/>
        <v>74</v>
      </c>
      <c r="B961" s="173" t="s">
        <v>756</v>
      </c>
      <c r="C961" s="229" t="s">
        <v>34</v>
      </c>
      <c r="D961" s="51" t="s">
        <v>130</v>
      </c>
      <c r="E961" s="58">
        <v>2727.48</v>
      </c>
      <c r="F961" s="200" t="s">
        <v>130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30"/>
        <v>H_074</v>
      </c>
    </row>
    <row r="962" spans="1:10">
      <c r="A962" s="44">
        <f t="shared" si="31"/>
        <v>75</v>
      </c>
      <c r="B962" s="173" t="s">
        <v>757</v>
      </c>
      <c r="C962" s="229" t="s">
        <v>34</v>
      </c>
      <c r="D962" s="51" t="s">
        <v>130</v>
      </c>
      <c r="E962" s="58">
        <v>2727.48</v>
      </c>
      <c r="F962" s="200" t="s">
        <v>130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30"/>
        <v>H_075</v>
      </c>
    </row>
    <row r="963" spans="1:10">
      <c r="A963" s="44">
        <f t="shared" si="31"/>
        <v>76</v>
      </c>
      <c r="B963" s="173" t="s">
        <v>758</v>
      </c>
      <c r="C963" s="229" t="s">
        <v>34</v>
      </c>
      <c r="D963" s="51" t="s">
        <v>130</v>
      </c>
      <c r="E963" s="58">
        <v>3111.85</v>
      </c>
      <c r="F963" s="200" t="s">
        <v>130</v>
      </c>
      <c r="G963" s="9">
        <f>IF(Tabla9[[#This Row],[Precio
Unidad de Compra ( $)]]="","",(E963/(H963*I963)))</f>
        <v>3111.85</v>
      </c>
      <c r="H963" s="8">
        <v>1</v>
      </c>
      <c r="I963" s="185">
        <v>1</v>
      </c>
      <c r="J963" s="79" t="str">
        <f t="shared" si="30"/>
        <v>H_076</v>
      </c>
    </row>
    <row r="964" spans="1:10" ht="30">
      <c r="A964" s="44">
        <f t="shared" si="31"/>
        <v>77</v>
      </c>
      <c r="B964" s="173" t="s">
        <v>759</v>
      </c>
      <c r="C964" s="229" t="s">
        <v>34</v>
      </c>
      <c r="D964" s="51" t="s">
        <v>130</v>
      </c>
      <c r="E964" s="46">
        <v>1550</v>
      </c>
      <c r="F964" s="193" t="s">
        <v>130</v>
      </c>
      <c r="G964" s="9">
        <f>IF(Tabla9[[#This Row],[Precio
Unidad de Compra ( $)]]="","",(E964/(H964*I964)))</f>
        <v>1550</v>
      </c>
      <c r="H964" s="8">
        <v>1</v>
      </c>
      <c r="I964" s="185">
        <v>1</v>
      </c>
      <c r="J964" s="79" t="str">
        <f t="shared" si="30"/>
        <v>H_077</v>
      </c>
    </row>
    <row r="965" spans="1:10" ht="30">
      <c r="A965" s="44">
        <f t="shared" si="31"/>
        <v>78</v>
      </c>
      <c r="B965" s="173" t="s">
        <v>760</v>
      </c>
      <c r="C965" s="229" t="s">
        <v>34</v>
      </c>
      <c r="D965" s="51" t="s">
        <v>130</v>
      </c>
      <c r="E965" s="58">
        <v>1550</v>
      </c>
      <c r="F965" s="200" t="s">
        <v>130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30"/>
        <v>H_078</v>
      </c>
    </row>
    <row r="966" spans="1:10" ht="30">
      <c r="A966" s="44">
        <f t="shared" si="31"/>
        <v>79</v>
      </c>
      <c r="B966" s="173" t="s">
        <v>761</v>
      </c>
      <c r="C966" s="229" t="s">
        <v>34</v>
      </c>
      <c r="D966" s="51" t="s">
        <v>130</v>
      </c>
      <c r="E966" s="58">
        <v>1550</v>
      </c>
      <c r="F966" s="200" t="s">
        <v>130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30"/>
        <v>H_079</v>
      </c>
    </row>
    <row r="967" spans="1:10">
      <c r="A967" s="44">
        <f t="shared" si="31"/>
        <v>80</v>
      </c>
      <c r="B967" s="173" t="s">
        <v>762</v>
      </c>
      <c r="C967" s="229" t="s">
        <v>34</v>
      </c>
      <c r="D967" s="51" t="s">
        <v>130</v>
      </c>
      <c r="E967" s="46">
        <v>1550</v>
      </c>
      <c r="F967" s="193" t="s">
        <v>130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30"/>
        <v>H_080</v>
      </c>
    </row>
    <row r="968" spans="1:10">
      <c r="A968" s="44">
        <f t="shared" si="31"/>
        <v>81</v>
      </c>
      <c r="B968" s="173" t="s">
        <v>763</v>
      </c>
      <c r="C968" s="229" t="s">
        <v>34</v>
      </c>
      <c r="D968" s="51" t="s">
        <v>130</v>
      </c>
      <c r="E968" s="58">
        <v>1550</v>
      </c>
      <c r="F968" s="200" t="s">
        <v>130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30"/>
        <v>H_081</v>
      </c>
    </row>
    <row r="969" spans="1:10">
      <c r="A969" s="44">
        <f t="shared" si="31"/>
        <v>82</v>
      </c>
      <c r="B969" s="173" t="s">
        <v>764</v>
      </c>
      <c r="C969" s="229" t="s">
        <v>34</v>
      </c>
      <c r="D969" s="51" t="s">
        <v>130</v>
      </c>
      <c r="E969" s="58">
        <v>3844</v>
      </c>
      <c r="F969" s="200" t="s">
        <v>130</v>
      </c>
      <c r="G969" s="9">
        <f>IF(Tabla9[[#This Row],[Precio
Unidad de Compra ( $)]]="","",(E969/(H969*I969)))</f>
        <v>3844</v>
      </c>
      <c r="H969" s="8">
        <v>1</v>
      </c>
      <c r="I969" s="185">
        <v>1</v>
      </c>
      <c r="J969" s="79" t="str">
        <f t="shared" si="30"/>
        <v>H_082</v>
      </c>
    </row>
    <row r="970" spans="1:10">
      <c r="A970" s="44">
        <f t="shared" si="31"/>
        <v>83</v>
      </c>
      <c r="B970" s="173" t="s">
        <v>765</v>
      </c>
      <c r="C970" s="229" t="s">
        <v>34</v>
      </c>
      <c r="D970" s="51" t="s">
        <v>130</v>
      </c>
      <c r="E970" s="58">
        <v>3844</v>
      </c>
      <c r="F970" s="200" t="s">
        <v>130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30"/>
        <v>H_083</v>
      </c>
    </row>
    <row r="971" spans="1:10">
      <c r="A971" s="44">
        <f t="shared" si="31"/>
        <v>84</v>
      </c>
      <c r="B971" s="173" t="s">
        <v>766</v>
      </c>
      <c r="C971" s="229" t="s">
        <v>34</v>
      </c>
      <c r="D971" s="51" t="s">
        <v>130</v>
      </c>
      <c r="E971" s="58">
        <v>998.41</v>
      </c>
      <c r="F971" s="200" t="s">
        <v>130</v>
      </c>
      <c r="G971" s="9">
        <f>IF(Tabla9[[#This Row],[Precio
Unidad de Compra ( $)]]="","",(E971/(H971*I971)))</f>
        <v>998.41</v>
      </c>
      <c r="H971" s="8">
        <v>1</v>
      </c>
      <c r="I971" s="185">
        <v>1</v>
      </c>
      <c r="J971" s="79" t="str">
        <f t="shared" si="30"/>
        <v>H_084</v>
      </c>
    </row>
    <row r="972" spans="1:10">
      <c r="A972" s="44">
        <f t="shared" si="31"/>
        <v>85</v>
      </c>
      <c r="B972" s="173" t="s">
        <v>767</v>
      </c>
      <c r="C972" s="229" t="s">
        <v>34</v>
      </c>
      <c r="D972" s="51" t="s">
        <v>130</v>
      </c>
      <c r="E972" s="58">
        <v>998.41</v>
      </c>
      <c r="F972" s="200" t="s">
        <v>130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30"/>
        <v>H_085</v>
      </c>
    </row>
    <row r="973" spans="1:10">
      <c r="A973" s="44">
        <f t="shared" si="31"/>
        <v>86</v>
      </c>
      <c r="B973" s="173" t="s">
        <v>768</v>
      </c>
      <c r="C973" s="229" t="s">
        <v>34</v>
      </c>
      <c r="D973" s="51" t="s">
        <v>130</v>
      </c>
      <c r="E973" s="58">
        <v>998.41</v>
      </c>
      <c r="F973" s="200" t="s">
        <v>130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30"/>
        <v>H_086</v>
      </c>
    </row>
    <row r="974" spans="1:10">
      <c r="A974" s="44">
        <f t="shared" si="31"/>
        <v>87</v>
      </c>
      <c r="B974" s="173" t="s">
        <v>769</v>
      </c>
      <c r="C974" s="229" t="s">
        <v>34</v>
      </c>
      <c r="D974" s="51" t="s">
        <v>130</v>
      </c>
      <c r="E974" s="58">
        <v>998.41</v>
      </c>
      <c r="F974" s="200" t="s">
        <v>130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30"/>
        <v>H_087</v>
      </c>
    </row>
    <row r="975" spans="1:10">
      <c r="A975" s="44">
        <f t="shared" si="31"/>
        <v>88</v>
      </c>
      <c r="B975" s="173" t="s">
        <v>770</v>
      </c>
      <c r="C975" s="229" t="s">
        <v>34</v>
      </c>
      <c r="D975" s="51" t="s">
        <v>130</v>
      </c>
      <c r="E975" s="58">
        <v>998.41</v>
      </c>
      <c r="F975" s="200" t="s">
        <v>130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30"/>
        <v>H_088</v>
      </c>
    </row>
    <row r="976" spans="1:10">
      <c r="A976" s="44">
        <f t="shared" si="31"/>
        <v>89</v>
      </c>
      <c r="B976" s="173" t="s">
        <v>771</v>
      </c>
      <c r="C976" s="229" t="s">
        <v>34</v>
      </c>
      <c r="D976" s="51" t="s">
        <v>130</v>
      </c>
      <c r="E976" s="58">
        <v>998.41</v>
      </c>
      <c r="F976" s="200" t="s">
        <v>130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30"/>
        <v>H_089</v>
      </c>
    </row>
    <row r="977" spans="1:10">
      <c r="A977" s="44">
        <f t="shared" si="31"/>
        <v>90</v>
      </c>
      <c r="B977" s="173" t="s">
        <v>772</v>
      </c>
      <c r="C977" s="229" t="s">
        <v>34</v>
      </c>
      <c r="D977" s="51" t="s">
        <v>130</v>
      </c>
      <c r="E977" s="58">
        <v>3844</v>
      </c>
      <c r="F977" s="200" t="s">
        <v>130</v>
      </c>
      <c r="G977" s="9">
        <f>IF(Tabla9[[#This Row],[Precio
Unidad de Compra ( $)]]="","",(E977/(H977*I977)))</f>
        <v>3844</v>
      </c>
      <c r="H977" s="8">
        <v>1</v>
      </c>
      <c r="I977" s="185">
        <v>1</v>
      </c>
      <c r="J977" s="79" t="str">
        <f t="shared" si="30"/>
        <v>H_090</v>
      </c>
    </row>
    <row r="978" spans="1:10">
      <c r="A978" s="44">
        <f t="shared" si="31"/>
        <v>91</v>
      </c>
      <c r="B978" s="173" t="s">
        <v>773</v>
      </c>
      <c r="C978" s="229" t="s">
        <v>34</v>
      </c>
      <c r="D978" s="51" t="s">
        <v>130</v>
      </c>
      <c r="E978" s="58">
        <v>3844</v>
      </c>
      <c r="F978" s="200" t="s">
        <v>130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30"/>
        <v>H_091</v>
      </c>
    </row>
    <row r="979" spans="1:10">
      <c r="A979" s="44">
        <f t="shared" si="31"/>
        <v>92</v>
      </c>
      <c r="B979" s="173" t="s">
        <v>774</v>
      </c>
      <c r="C979" s="229" t="s">
        <v>34</v>
      </c>
      <c r="D979" s="51" t="s">
        <v>130</v>
      </c>
      <c r="E979" s="58">
        <v>998.41</v>
      </c>
      <c r="F979" s="200" t="s">
        <v>130</v>
      </c>
      <c r="G979" s="9">
        <f>IF(Tabla9[[#This Row],[Precio
Unidad de Compra ( $)]]="","",(E979/(H979*I979)))</f>
        <v>998.41</v>
      </c>
      <c r="H979" s="8">
        <v>1</v>
      </c>
      <c r="I979" s="185">
        <v>1</v>
      </c>
      <c r="J979" s="79" t="str">
        <f t="shared" si="30"/>
        <v>H_092</v>
      </c>
    </row>
    <row r="980" spans="1:10">
      <c r="A980" s="44">
        <f t="shared" si="31"/>
        <v>93</v>
      </c>
      <c r="B980" s="173" t="s">
        <v>775</v>
      </c>
      <c r="C980" s="229" t="s">
        <v>34</v>
      </c>
      <c r="D980" s="51" t="s">
        <v>130</v>
      </c>
      <c r="E980" s="58">
        <v>3844</v>
      </c>
      <c r="F980" s="200" t="s">
        <v>130</v>
      </c>
      <c r="G980" s="9">
        <f>IF(Tabla9[[#This Row],[Precio
Unidad de Compra ( $)]]="","",(E980/(H980*I980)))</f>
        <v>3844</v>
      </c>
      <c r="H980" s="8">
        <v>1</v>
      </c>
      <c r="I980" s="185">
        <v>1</v>
      </c>
      <c r="J980" s="79" t="str">
        <f t="shared" si="30"/>
        <v>H_093</v>
      </c>
    </row>
    <row r="981" spans="1:10">
      <c r="A981" s="44">
        <f t="shared" si="31"/>
        <v>94</v>
      </c>
      <c r="B981" s="173" t="s">
        <v>776</v>
      </c>
      <c r="C981" s="229" t="s">
        <v>34</v>
      </c>
      <c r="D981" s="51" t="s">
        <v>130</v>
      </c>
      <c r="E981" s="58">
        <v>3844</v>
      </c>
      <c r="F981" s="200" t="s">
        <v>130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30"/>
        <v>H_094</v>
      </c>
    </row>
    <row r="982" spans="1:10">
      <c r="A982" s="44">
        <f t="shared" si="31"/>
        <v>95</v>
      </c>
      <c r="B982" s="173" t="s">
        <v>777</v>
      </c>
      <c r="C982" s="229" t="s">
        <v>34</v>
      </c>
      <c r="D982" s="51" t="s">
        <v>130</v>
      </c>
      <c r="E982" s="58">
        <v>1173.3399999999999</v>
      </c>
      <c r="F982" s="200" t="s">
        <v>130</v>
      </c>
      <c r="G982" s="9">
        <f>IF(Tabla9[[#This Row],[Precio
Unidad de Compra ( $)]]="","",(E982/(H982*I982)))</f>
        <v>1173.3399999999999</v>
      </c>
      <c r="H982" s="8">
        <v>1</v>
      </c>
      <c r="I982" s="185">
        <v>1</v>
      </c>
      <c r="J982" s="79" t="str">
        <f t="shared" si="30"/>
        <v>H_095</v>
      </c>
    </row>
    <row r="983" spans="1:10">
      <c r="A983" s="44">
        <f t="shared" si="31"/>
        <v>96</v>
      </c>
      <c r="B983" s="173" t="s">
        <v>778</v>
      </c>
      <c r="C983" s="229" t="s">
        <v>34</v>
      </c>
      <c r="D983" s="51" t="s">
        <v>130</v>
      </c>
      <c r="E983" s="58">
        <v>3844</v>
      </c>
      <c r="F983" s="200" t="s">
        <v>130</v>
      </c>
      <c r="G983" s="9">
        <f>IF(Tabla9[[#This Row],[Precio
Unidad de Compra ( $)]]="","",(E983/(H983*I983)))</f>
        <v>3844</v>
      </c>
      <c r="H983" s="8">
        <v>1</v>
      </c>
      <c r="I983" s="185">
        <v>1</v>
      </c>
      <c r="J983" s="79" t="str">
        <f t="shared" si="30"/>
        <v>H_096</v>
      </c>
    </row>
    <row r="984" spans="1:10">
      <c r="A984" s="44">
        <f t="shared" si="31"/>
        <v>97</v>
      </c>
      <c r="B984" s="173" t="s">
        <v>779</v>
      </c>
      <c r="C984" s="229" t="s">
        <v>34</v>
      </c>
      <c r="D984" s="51" t="s">
        <v>130</v>
      </c>
      <c r="E984" s="58">
        <v>1200</v>
      </c>
      <c r="F984" s="200" t="s">
        <v>130</v>
      </c>
      <c r="G984" s="9">
        <f>IF(Tabla9[[#This Row],[Precio
Unidad de Compra ( $)]]="","",(E984/(H984*I984)))</f>
        <v>1200</v>
      </c>
      <c r="H984" s="8">
        <v>1</v>
      </c>
      <c r="I984" s="185">
        <v>1</v>
      </c>
      <c r="J984" s="79" t="str">
        <f t="shared" si="30"/>
        <v>H_097</v>
      </c>
    </row>
    <row r="985" spans="1:10">
      <c r="B985"/>
      <c r="C985"/>
      <c r="D985"/>
      <c r="E985"/>
      <c r="F985" s="194"/>
      <c r="H985"/>
      <c r="I985"/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A1009" s="82"/>
      <c r="B1009" s="83" t="s">
        <v>137</v>
      </c>
      <c r="C1009" s="82"/>
      <c r="D1009" s="82"/>
      <c r="E1009" s="82"/>
      <c r="F1009" s="195"/>
      <c r="G1009" s="82"/>
      <c r="H1009" s="82"/>
      <c r="I1009" s="82"/>
      <c r="J1009" s="82"/>
    </row>
    <row r="1010" spans="1:10" ht="13.5" customHeight="1">
      <c r="B1010"/>
      <c r="C1010"/>
      <c r="D1010"/>
      <c r="E1010"/>
      <c r="F1010" s="194"/>
      <c r="H1010"/>
      <c r="I1010"/>
    </row>
    <row r="1011" spans="1:10" ht="27" customHeight="1">
      <c r="A1011" s="131" t="s">
        <v>112</v>
      </c>
      <c r="B1011" s="269">
        <f>SUBTOTAL(3,(B1013:B1045))</f>
        <v>33</v>
      </c>
      <c r="C1011" s="448"/>
      <c r="D1011" s="448"/>
      <c r="E1011"/>
      <c r="F1011" s="194"/>
      <c r="H1011"/>
      <c r="I1011"/>
    </row>
    <row r="1012" spans="1:10" ht="47.25">
      <c r="A1012" s="122" t="s">
        <v>97</v>
      </c>
      <c r="B1012" s="132" t="s">
        <v>114</v>
      </c>
      <c r="C1012" s="123" t="s">
        <v>115</v>
      </c>
      <c r="D1012" s="107" t="s">
        <v>116</v>
      </c>
      <c r="E1012" s="72" t="s">
        <v>117</v>
      </c>
      <c r="F1012" s="192" t="s">
        <v>118</v>
      </c>
      <c r="G1012" s="74" t="s">
        <v>119</v>
      </c>
      <c r="H1012" s="75" t="s">
        <v>120</v>
      </c>
      <c r="I1012" s="75" t="s">
        <v>121</v>
      </c>
      <c r="J1012" s="77" t="s">
        <v>122</v>
      </c>
    </row>
    <row r="1013" spans="1:10">
      <c r="A1013" s="44">
        <v>1</v>
      </c>
      <c r="B1013" s="173" t="s">
        <v>780</v>
      </c>
      <c r="C1013" s="164" t="s">
        <v>26</v>
      </c>
      <c r="D1013" s="51" t="s">
        <v>258</v>
      </c>
      <c r="E1013" s="46">
        <v>8770.3333333333339</v>
      </c>
      <c r="F1013" s="193" t="s">
        <v>261</v>
      </c>
      <c r="G1013" s="42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2">IFERROR(CONCATENATE(LEFT(C1013,1),MID(C1013,SEARCH("_",C1013)+1,2),TEXT(A1013,"000")),"")</f>
        <v>STE001</v>
      </c>
    </row>
    <row r="1014" spans="1:10">
      <c r="A1014" s="44">
        <f t="shared" ref="A1014:A1045" si="33">A1013+1</f>
        <v>2</v>
      </c>
      <c r="B1014" s="39" t="s">
        <v>781</v>
      </c>
      <c r="C1014" s="164" t="s">
        <v>26</v>
      </c>
      <c r="D1014" s="51" t="s">
        <v>258</v>
      </c>
      <c r="E1014" s="46">
        <v>17830</v>
      </c>
      <c r="F1014" s="193" t="s">
        <v>261</v>
      </c>
      <c r="G1014" s="42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4">
        <f t="shared" si="33"/>
        <v>3</v>
      </c>
      <c r="B1015" s="41" t="s">
        <v>782</v>
      </c>
      <c r="C1015" s="164" t="s">
        <v>26</v>
      </c>
      <c r="D1015" s="51" t="s">
        <v>258</v>
      </c>
      <c r="E1015" s="46">
        <v>28016</v>
      </c>
      <c r="F1015" s="193" t="s">
        <v>261</v>
      </c>
      <c r="G1015" s="42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4">
        <f t="shared" si="33"/>
        <v>4</v>
      </c>
      <c r="B1016" s="39" t="s">
        <v>783</v>
      </c>
      <c r="C1016" s="164" t="s">
        <v>26</v>
      </c>
      <c r="D1016" s="51" t="s">
        <v>258</v>
      </c>
      <c r="E1016" s="46">
        <v>18321</v>
      </c>
      <c r="F1016" s="193" t="s">
        <v>261</v>
      </c>
      <c r="G1016" s="42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4">
        <f t="shared" si="33"/>
        <v>5</v>
      </c>
      <c r="B1017" s="39" t="s">
        <v>784</v>
      </c>
      <c r="C1017" s="164" t="s">
        <v>26</v>
      </c>
      <c r="D1017" s="51" t="s">
        <v>257</v>
      </c>
      <c r="E1017" s="46">
        <v>28016</v>
      </c>
      <c r="F1017" s="193" t="s">
        <v>261</v>
      </c>
      <c r="G1017" s="42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2"/>
        <v>STE005</v>
      </c>
    </row>
    <row r="1018" spans="1:10">
      <c r="A1018" s="44">
        <f t="shared" si="33"/>
        <v>6</v>
      </c>
      <c r="B1018" s="39" t="s">
        <v>785</v>
      </c>
      <c r="C1018" s="164" t="s">
        <v>26</v>
      </c>
      <c r="D1018" s="51" t="s">
        <v>257</v>
      </c>
      <c r="E1018" s="46">
        <v>10317</v>
      </c>
      <c r="F1018" s="193" t="s">
        <v>261</v>
      </c>
      <c r="G1018" s="42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2"/>
        <v>STE006</v>
      </c>
    </row>
    <row r="1019" spans="1:10">
      <c r="A1019" s="44">
        <f t="shared" si="33"/>
        <v>7</v>
      </c>
      <c r="B1019" s="173" t="s">
        <v>27</v>
      </c>
      <c r="C1019" s="164" t="s">
        <v>26</v>
      </c>
      <c r="D1019" s="51" t="s">
        <v>258</v>
      </c>
      <c r="E1019" s="46">
        <v>10200</v>
      </c>
      <c r="F1019" s="193" t="s">
        <v>261</v>
      </c>
      <c r="G1019" s="42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4">
        <f t="shared" si="33"/>
        <v>8</v>
      </c>
      <c r="B1020" s="173" t="s">
        <v>786</v>
      </c>
      <c r="C1020" s="164" t="s">
        <v>26</v>
      </c>
      <c r="D1020" s="51" t="s">
        <v>258</v>
      </c>
      <c r="E1020" s="46">
        <v>39999.47</v>
      </c>
      <c r="F1020" s="193" t="s">
        <v>261</v>
      </c>
      <c r="G1020" s="42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4">
        <f t="shared" si="33"/>
        <v>9</v>
      </c>
      <c r="B1021" s="41" t="s">
        <v>787</v>
      </c>
      <c r="C1021" s="164" t="s">
        <v>26</v>
      </c>
      <c r="D1021" s="51" t="s">
        <v>257</v>
      </c>
      <c r="E1021" s="46">
        <v>10200</v>
      </c>
      <c r="F1021" s="193" t="s">
        <v>261</v>
      </c>
      <c r="G1021" s="42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4">
        <f t="shared" si="33"/>
        <v>10</v>
      </c>
      <c r="B1022" s="39" t="s">
        <v>788</v>
      </c>
      <c r="C1022" s="164" t="s">
        <v>26</v>
      </c>
      <c r="D1022" s="51" t="s">
        <v>261</v>
      </c>
      <c r="E1022" s="46">
        <v>28550</v>
      </c>
      <c r="F1022" s="193" t="s">
        <v>261</v>
      </c>
      <c r="G1022" s="42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2"/>
        <v>STE010</v>
      </c>
    </row>
    <row r="1023" spans="1:10">
      <c r="A1023" s="44">
        <f t="shared" si="33"/>
        <v>11</v>
      </c>
      <c r="B1023" s="172" t="s">
        <v>789</v>
      </c>
      <c r="C1023" s="164" t="s">
        <v>26</v>
      </c>
      <c r="D1023" s="155" t="s">
        <v>258</v>
      </c>
      <c r="E1023" s="156">
        <v>34999.089999999997</v>
      </c>
      <c r="F1023" s="193" t="s">
        <v>261</v>
      </c>
      <c r="G1023" s="42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4">
        <f t="shared" si="33"/>
        <v>12</v>
      </c>
      <c r="B1024" s="172" t="s">
        <v>790</v>
      </c>
      <c r="C1024" s="164" t="s">
        <v>26</v>
      </c>
      <c r="D1024" s="155" t="s">
        <v>258</v>
      </c>
      <c r="E1024" s="156">
        <v>24999.52</v>
      </c>
      <c r="F1024" s="193" t="s">
        <v>261</v>
      </c>
      <c r="G1024" s="42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7" t="str">
        <f t="shared" si="32"/>
        <v>STE012</v>
      </c>
    </row>
    <row r="1025" spans="1:10">
      <c r="A1025" s="44">
        <f t="shared" si="33"/>
        <v>13</v>
      </c>
      <c r="B1025" s="154" t="s">
        <v>38</v>
      </c>
      <c r="C1025" s="164" t="s">
        <v>26</v>
      </c>
      <c r="D1025" s="155" t="s">
        <v>258</v>
      </c>
      <c r="E1025" s="156">
        <v>13269</v>
      </c>
      <c r="F1025" s="193" t="s">
        <v>261</v>
      </c>
      <c r="G1025" s="42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7" t="str">
        <f t="shared" si="32"/>
        <v>STE013</v>
      </c>
    </row>
    <row r="1026" spans="1:10">
      <c r="A1026" s="44">
        <f t="shared" si="33"/>
        <v>14</v>
      </c>
      <c r="B1026" s="154" t="s">
        <v>791</v>
      </c>
      <c r="C1026" s="164" t="s">
        <v>26</v>
      </c>
      <c r="D1026" s="155" t="s">
        <v>258</v>
      </c>
      <c r="E1026" s="156">
        <v>20059.829999999998</v>
      </c>
      <c r="F1026" s="193" t="s">
        <v>261</v>
      </c>
      <c r="G1026" s="42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7" t="str">
        <f t="shared" si="32"/>
        <v>STE014</v>
      </c>
    </row>
    <row r="1027" spans="1:10" ht="30">
      <c r="A1027" s="44">
        <f t="shared" si="33"/>
        <v>15</v>
      </c>
      <c r="B1027" s="154" t="s">
        <v>792</v>
      </c>
      <c r="C1027" s="164" t="s">
        <v>26</v>
      </c>
      <c r="D1027" s="155" t="s">
        <v>258</v>
      </c>
      <c r="E1027" s="156">
        <v>31945</v>
      </c>
      <c r="F1027" s="193" t="s">
        <v>261</v>
      </c>
      <c r="G1027" s="42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7" t="str">
        <f t="shared" si="32"/>
        <v>STE015</v>
      </c>
    </row>
    <row r="1028" spans="1:10" ht="30">
      <c r="A1028" s="44">
        <f t="shared" si="33"/>
        <v>16</v>
      </c>
      <c r="B1028" s="154" t="s">
        <v>793</v>
      </c>
      <c r="C1028" s="164" t="s">
        <v>26</v>
      </c>
      <c r="D1028" s="155" t="s">
        <v>258</v>
      </c>
      <c r="E1028" s="156">
        <v>59308.5</v>
      </c>
      <c r="F1028" s="193" t="s">
        <v>261</v>
      </c>
      <c r="G1028" s="42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7" t="str">
        <f t="shared" si="32"/>
        <v>STE016</v>
      </c>
    </row>
    <row r="1029" spans="1:10">
      <c r="A1029" s="44">
        <f t="shared" si="33"/>
        <v>17</v>
      </c>
      <c r="B1029" s="154" t="s">
        <v>794</v>
      </c>
      <c r="C1029" s="164" t="s">
        <v>26</v>
      </c>
      <c r="D1029" s="155" t="s">
        <v>258</v>
      </c>
      <c r="E1029" s="156">
        <v>22911.759999999998</v>
      </c>
      <c r="F1029" s="193" t="s">
        <v>261</v>
      </c>
      <c r="G1029" s="42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7" t="str">
        <f t="shared" si="32"/>
        <v>STE017</v>
      </c>
    </row>
    <row r="1030" spans="1:10" ht="30">
      <c r="A1030" s="44">
        <f t="shared" si="33"/>
        <v>18</v>
      </c>
      <c r="B1030" s="172" t="s">
        <v>795</v>
      </c>
      <c r="C1030" s="164" t="s">
        <v>26</v>
      </c>
      <c r="D1030" s="155" t="s">
        <v>258</v>
      </c>
      <c r="E1030" s="156">
        <v>39358.5</v>
      </c>
      <c r="F1030" s="193" t="s">
        <v>261</v>
      </c>
      <c r="G1030" s="42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7" t="str">
        <f t="shared" si="32"/>
        <v>STE018</v>
      </c>
    </row>
    <row r="1031" spans="1:10" ht="17.25" customHeight="1">
      <c r="A1031" s="44">
        <f t="shared" si="33"/>
        <v>19</v>
      </c>
      <c r="B1031" s="154" t="s">
        <v>796</v>
      </c>
      <c r="C1031" s="164" t="s">
        <v>26</v>
      </c>
      <c r="D1031" s="155" t="s">
        <v>258</v>
      </c>
      <c r="E1031" s="156">
        <v>34666.660000000003</v>
      </c>
      <c r="F1031" s="193" t="s">
        <v>261</v>
      </c>
      <c r="G1031" s="42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7" t="str">
        <f t="shared" si="32"/>
        <v>STE019</v>
      </c>
    </row>
    <row r="1032" spans="1:10">
      <c r="A1032" s="44">
        <f t="shared" si="33"/>
        <v>20</v>
      </c>
      <c r="B1032" s="154" t="s">
        <v>797</v>
      </c>
      <c r="C1032" s="164" t="s">
        <v>26</v>
      </c>
      <c r="D1032" s="155" t="s">
        <v>261</v>
      </c>
      <c r="E1032" s="156">
        <v>3550</v>
      </c>
      <c r="F1032" s="193" t="s">
        <v>261</v>
      </c>
      <c r="G1032" s="42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7" t="str">
        <f t="shared" si="32"/>
        <v>STE020</v>
      </c>
    </row>
    <row r="1033" spans="1:10">
      <c r="A1033" s="44">
        <f t="shared" si="33"/>
        <v>21</v>
      </c>
      <c r="B1033" s="270" t="s">
        <v>29</v>
      </c>
      <c r="C1033" s="164" t="s">
        <v>26</v>
      </c>
      <c r="D1033" s="155" t="s">
        <v>258</v>
      </c>
      <c r="E1033" s="156">
        <v>6970</v>
      </c>
      <c r="F1033" s="193" t="s">
        <v>261</v>
      </c>
      <c r="G1033" s="42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2"/>
        <v>STE021</v>
      </c>
    </row>
    <row r="1034" spans="1:10">
      <c r="A1034" s="44">
        <f t="shared" si="33"/>
        <v>22</v>
      </c>
      <c r="B1034" s="270" t="s">
        <v>798</v>
      </c>
      <c r="C1034" s="164" t="s">
        <v>26</v>
      </c>
      <c r="D1034" s="155" t="s">
        <v>258</v>
      </c>
      <c r="E1034" s="156">
        <v>9500</v>
      </c>
      <c r="F1034" s="193" t="s">
        <v>261</v>
      </c>
      <c r="G1034" s="42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7" t="str">
        <f t="shared" si="32"/>
        <v>STE022</v>
      </c>
    </row>
    <row r="1035" spans="1:10">
      <c r="A1035" s="44">
        <f t="shared" si="33"/>
        <v>23</v>
      </c>
      <c r="B1035" s="270" t="s">
        <v>799</v>
      </c>
      <c r="C1035" s="164" t="s">
        <v>26</v>
      </c>
      <c r="D1035" s="155" t="s">
        <v>258</v>
      </c>
      <c r="E1035" s="156">
        <v>4098</v>
      </c>
      <c r="F1035" s="193" t="s">
        <v>261</v>
      </c>
      <c r="G1035" s="42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7" t="str">
        <f t="shared" si="32"/>
        <v>STE023</v>
      </c>
    </row>
    <row r="1036" spans="1:10">
      <c r="A1036" s="44">
        <f t="shared" si="33"/>
        <v>24</v>
      </c>
      <c r="B1036" s="174" t="s">
        <v>800</v>
      </c>
      <c r="C1036" s="164" t="s">
        <v>26</v>
      </c>
      <c r="D1036" s="155" t="s">
        <v>258</v>
      </c>
      <c r="E1036" s="156">
        <v>8770.3333333333339</v>
      </c>
      <c r="F1036" s="193" t="s">
        <v>261</v>
      </c>
      <c r="G1036" s="42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7" t="str">
        <f t="shared" si="32"/>
        <v>STE024</v>
      </c>
    </row>
    <row r="1037" spans="1:10">
      <c r="A1037" s="44">
        <f t="shared" si="33"/>
        <v>25</v>
      </c>
      <c r="B1037" s="172" t="s">
        <v>801</v>
      </c>
      <c r="C1037" s="164" t="s">
        <v>26</v>
      </c>
      <c r="D1037" s="155" t="s">
        <v>258</v>
      </c>
      <c r="E1037" s="156">
        <v>44000</v>
      </c>
      <c r="F1037" s="193" t="s">
        <v>261</v>
      </c>
      <c r="G1037" s="42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7" t="str">
        <f t="shared" si="32"/>
        <v>STE025</v>
      </c>
    </row>
    <row r="1038" spans="1:10">
      <c r="A1038" s="44">
        <f t="shared" si="33"/>
        <v>26</v>
      </c>
      <c r="B1038" s="154" t="s">
        <v>802</v>
      </c>
      <c r="C1038" s="164" t="s">
        <v>26</v>
      </c>
      <c r="D1038" s="155" t="s">
        <v>257</v>
      </c>
      <c r="E1038" s="156">
        <v>18500</v>
      </c>
      <c r="F1038" s="193" t="s">
        <v>261</v>
      </c>
      <c r="G1038" s="42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7" t="str">
        <f t="shared" si="32"/>
        <v>STE026</v>
      </c>
    </row>
    <row r="1039" spans="1:10">
      <c r="A1039" s="44">
        <f t="shared" si="33"/>
        <v>27</v>
      </c>
      <c r="B1039" s="154" t="s">
        <v>803</v>
      </c>
      <c r="C1039" s="164" t="s">
        <v>26</v>
      </c>
      <c r="D1039" s="155" t="s">
        <v>257</v>
      </c>
      <c r="E1039" s="156">
        <v>39100</v>
      </c>
      <c r="F1039" s="193" t="s">
        <v>261</v>
      </c>
      <c r="G1039" s="42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7" t="str">
        <f t="shared" si="32"/>
        <v>STE027</v>
      </c>
    </row>
    <row r="1040" spans="1:10">
      <c r="A1040" s="44">
        <f t="shared" si="33"/>
        <v>28</v>
      </c>
      <c r="B1040" s="150" t="s">
        <v>804</v>
      </c>
      <c r="C1040" s="164" t="s">
        <v>26</v>
      </c>
      <c r="D1040" s="51" t="s">
        <v>257</v>
      </c>
      <c r="E1040" s="46">
        <v>11950</v>
      </c>
      <c r="F1040" s="193" t="s">
        <v>261</v>
      </c>
      <c r="G1040" s="42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7" t="str">
        <f t="shared" si="32"/>
        <v>STE028</v>
      </c>
    </row>
    <row r="1041" spans="1:10" ht="30">
      <c r="A1041" s="44">
        <f t="shared" si="33"/>
        <v>29</v>
      </c>
      <c r="B1041" s="39" t="s">
        <v>805</v>
      </c>
      <c r="C1041" s="164" t="s">
        <v>26</v>
      </c>
      <c r="D1041" s="51" t="s">
        <v>258</v>
      </c>
      <c r="E1041" s="46">
        <v>5194</v>
      </c>
      <c r="F1041" s="193" t="s">
        <v>261</v>
      </c>
      <c r="G1041" s="42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2"/>
        <v>STE029</v>
      </c>
    </row>
    <row r="1042" spans="1:10" ht="30">
      <c r="A1042" s="44">
        <f t="shared" si="33"/>
        <v>30</v>
      </c>
      <c r="B1042" s="154" t="s">
        <v>806</v>
      </c>
      <c r="C1042" s="164" t="s">
        <v>26</v>
      </c>
      <c r="D1042" s="155" t="s">
        <v>257</v>
      </c>
      <c r="E1042" s="156">
        <v>39358.5</v>
      </c>
      <c r="F1042" s="193" t="s">
        <v>261</v>
      </c>
      <c r="G1042" s="42">
        <f>IF(BD!$E1042="","",(E1042/(Tabla32[[#This Row],[Magnitud
1 en U]]*Tabla32[[#This Row],[Magnitud
2 en U]])))</f>
        <v>2.8113214285714285</v>
      </c>
      <c r="H1042" s="175">
        <v>140</v>
      </c>
      <c r="I1042" s="8">
        <v>100</v>
      </c>
      <c r="J1042" s="11" t="str">
        <f t="shared" si="32"/>
        <v>STE030</v>
      </c>
    </row>
    <row r="1043" spans="1:10" ht="30">
      <c r="A1043" s="44">
        <f t="shared" si="33"/>
        <v>31</v>
      </c>
      <c r="B1043" s="39" t="s">
        <v>807</v>
      </c>
      <c r="C1043" s="164" t="s">
        <v>26</v>
      </c>
      <c r="D1043" s="51" t="s">
        <v>257</v>
      </c>
      <c r="E1043" s="46">
        <v>31945</v>
      </c>
      <c r="F1043" s="193" t="s">
        <v>261</v>
      </c>
      <c r="G1043" s="42">
        <f>IF(BD!$E1043="","",(E1043/(Tabla32[[#This Row],[Magnitud
1 en U]]*Tabla32[[#This Row],[Magnitud
2 en U]])))</f>
        <v>2.2817857142857143</v>
      </c>
      <c r="H1043" s="175">
        <v>140</v>
      </c>
      <c r="I1043" s="146">
        <v>100</v>
      </c>
      <c r="J1043" s="147" t="str">
        <f t="shared" si="32"/>
        <v>STE031</v>
      </c>
    </row>
    <row r="1044" spans="1:10" ht="30">
      <c r="A1044" s="44">
        <f t="shared" si="33"/>
        <v>32</v>
      </c>
      <c r="B1044" s="39" t="s">
        <v>808</v>
      </c>
      <c r="C1044" s="164" t="s">
        <v>26</v>
      </c>
      <c r="D1044" s="51" t="s">
        <v>257</v>
      </c>
      <c r="E1044" s="46">
        <v>59308.5</v>
      </c>
      <c r="F1044" s="193" t="s">
        <v>261</v>
      </c>
      <c r="G1044" s="42">
        <f>IF(BD!$E1044="","",(E1044/(Tabla32[[#This Row],[Magnitud
1 en U]]*Tabla32[[#This Row],[Magnitud
2 en U]])))</f>
        <v>4.2363214285714283</v>
      </c>
      <c r="H1044" s="175">
        <v>140</v>
      </c>
      <c r="I1044" s="8">
        <v>100</v>
      </c>
      <c r="J1044" s="11" t="str">
        <f t="shared" si="32"/>
        <v>STE032</v>
      </c>
    </row>
    <row r="1045" spans="1:10">
      <c r="A1045" s="44">
        <f t="shared" si="33"/>
        <v>33</v>
      </c>
      <c r="B1045" s="39" t="s">
        <v>809</v>
      </c>
      <c r="C1045" s="164" t="s">
        <v>26</v>
      </c>
      <c r="D1045" s="51" t="s">
        <v>258</v>
      </c>
      <c r="E1045" s="46">
        <v>0</v>
      </c>
      <c r="F1045" s="193" t="s">
        <v>261</v>
      </c>
      <c r="G1045" s="42">
        <f>IF(BD!$E1045="","",(E1045/(Tabla32[[#This Row],[Magnitud
1 en U]]*Tabla32[[#This Row],[Magnitud
2 en U]])))</f>
        <v>0</v>
      </c>
      <c r="H1045" s="175">
        <v>140</v>
      </c>
      <c r="I1045" s="8">
        <v>100</v>
      </c>
      <c r="J1045" s="11" t="str">
        <f t="shared" si="32"/>
        <v>STE033</v>
      </c>
    </row>
    <row r="1046" spans="1:10">
      <c r="A1046" s="157"/>
      <c r="B1046" s="158"/>
      <c r="C1046" s="159"/>
      <c r="D1046" s="160"/>
      <c r="E1046" s="161"/>
      <c r="G1046" s="162"/>
      <c r="H1046" s="163"/>
      <c r="I1046" s="163"/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 ht="15.75">
      <c r="A1065" s="82"/>
      <c r="B1065" s="83" t="s">
        <v>137</v>
      </c>
      <c r="C1065" s="82"/>
      <c r="D1065" s="82"/>
      <c r="E1065" s="82"/>
      <c r="F1065" s="195"/>
      <c r="G1065" s="82"/>
      <c r="H1065" s="82"/>
      <c r="I1065" s="82"/>
      <c r="J1065" s="82"/>
    </row>
    <row r="1066" spans="1:10" ht="15.75" thickBot="1">
      <c r="B1066"/>
      <c r="C1066" s="451"/>
      <c r="D1066" s="450"/>
      <c r="E1066"/>
      <c r="F1066" s="194"/>
      <c r="H1066"/>
      <c r="I1066"/>
    </row>
    <row r="1067" spans="1:10" ht="21.75" thickBot="1">
      <c r="A1067" s="133" t="s">
        <v>112</v>
      </c>
      <c r="B1067" s="220">
        <f>SUBTOTAL(3,(B1069:B1075))</f>
        <v>7</v>
      </c>
      <c r="E1067"/>
      <c r="F1067" s="194"/>
      <c r="H1067"/>
      <c r="I1067"/>
    </row>
    <row r="1068" spans="1:10" ht="47.25">
      <c r="A1068" s="84" t="s">
        <v>97</v>
      </c>
      <c r="B1068" s="219" t="s">
        <v>114</v>
      </c>
      <c r="C1068" s="69" t="s">
        <v>115</v>
      </c>
      <c r="D1068" s="70" t="s">
        <v>116</v>
      </c>
      <c r="E1068" s="72" t="s">
        <v>117</v>
      </c>
      <c r="F1068" s="192" t="s">
        <v>118</v>
      </c>
      <c r="G1068" s="74" t="s">
        <v>119</v>
      </c>
      <c r="H1068" s="75" t="s">
        <v>120</v>
      </c>
      <c r="I1068" s="75" t="s">
        <v>121</v>
      </c>
      <c r="J1068" s="77" t="s">
        <v>122</v>
      </c>
    </row>
    <row r="1069" spans="1:10" ht="30">
      <c r="A1069" s="86">
        <v>1</v>
      </c>
      <c r="B1069" s="213" t="s">
        <v>810</v>
      </c>
      <c r="C1069" s="229" t="s">
        <v>80</v>
      </c>
      <c r="D1069" s="51" t="s">
        <v>255</v>
      </c>
      <c r="E1069" s="46">
        <v>49000</v>
      </c>
      <c r="F1069" s="193" t="s">
        <v>255</v>
      </c>
      <c r="G1069" s="9">
        <v>49000</v>
      </c>
      <c r="H1069" s="87">
        <v>1</v>
      </c>
      <c r="I1069" s="87">
        <v>1</v>
      </c>
      <c r="J1069" s="11" t="str">
        <f t="shared" ref="J1069:J1075" si="34">CONCATENATE(LEFT(C1069,1),"_",TEXT(A1069,"000"))</f>
        <v>S_001</v>
      </c>
    </row>
    <row r="1070" spans="1:10" ht="30">
      <c r="A1070" s="86">
        <v>2</v>
      </c>
      <c r="B1070" s="213" t="s">
        <v>811</v>
      </c>
      <c r="C1070" s="229" t="s">
        <v>80</v>
      </c>
      <c r="D1070" s="51" t="s">
        <v>191</v>
      </c>
      <c r="E1070" s="46">
        <v>14150</v>
      </c>
      <c r="F1070" s="193" t="s">
        <v>191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4"/>
        <v>S_002</v>
      </c>
    </row>
    <row r="1071" spans="1:10" ht="30">
      <c r="A1071" s="86">
        <f>A1070+1</f>
        <v>3</v>
      </c>
      <c r="B1071" s="213" t="s">
        <v>812</v>
      </c>
      <c r="C1071" s="229" t="s">
        <v>80</v>
      </c>
      <c r="D1071" s="51" t="s">
        <v>191</v>
      </c>
      <c r="E1071" s="46">
        <v>16000</v>
      </c>
      <c r="F1071" s="193" t="s">
        <v>191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4"/>
        <v>S_003</v>
      </c>
    </row>
    <row r="1072" spans="1:10" ht="30" customHeight="1">
      <c r="A1072" s="86">
        <f>A1071+1</f>
        <v>4</v>
      </c>
      <c r="B1072" s="213" t="s">
        <v>813</v>
      </c>
      <c r="C1072" s="229" t="s">
        <v>80</v>
      </c>
      <c r="D1072" s="51" t="s">
        <v>191</v>
      </c>
      <c r="E1072" s="46">
        <v>18633.3</v>
      </c>
      <c r="F1072" s="193" t="s">
        <v>191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4"/>
        <v>S_004</v>
      </c>
    </row>
    <row r="1073" spans="1:10" ht="30">
      <c r="A1073" s="86">
        <f>A1072+1</f>
        <v>5</v>
      </c>
      <c r="B1073" s="213" t="s">
        <v>814</v>
      </c>
      <c r="C1073" s="229" t="s">
        <v>80</v>
      </c>
      <c r="D1073" s="51" t="s">
        <v>191</v>
      </c>
      <c r="E1073" s="46">
        <v>8550</v>
      </c>
      <c r="F1073" s="193" t="s">
        <v>191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4"/>
        <v>S_005</v>
      </c>
    </row>
    <row r="1074" spans="1:10" ht="30">
      <c r="A1074" s="86">
        <f>A1073+1</f>
        <v>6</v>
      </c>
      <c r="B1074" s="213" t="s">
        <v>815</v>
      </c>
      <c r="C1074" s="229" t="s">
        <v>80</v>
      </c>
      <c r="D1074" s="51" t="s">
        <v>191</v>
      </c>
      <c r="E1074" s="46">
        <v>14000</v>
      </c>
      <c r="F1074" s="193" t="s">
        <v>191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4"/>
        <v>S_006</v>
      </c>
    </row>
    <row r="1075" spans="1:10" ht="30">
      <c r="A1075" s="248">
        <f>A1074+1</f>
        <v>7</v>
      </c>
      <c r="B1075" s="213" t="s">
        <v>816</v>
      </c>
      <c r="C1075" s="229" t="s">
        <v>80</v>
      </c>
      <c r="D1075" s="51" t="s">
        <v>191</v>
      </c>
      <c r="E1075" s="46">
        <v>24800</v>
      </c>
      <c r="F1075" s="193" t="s">
        <v>191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4"/>
        <v>S_007</v>
      </c>
    </row>
    <row r="1076" spans="1:10">
      <c r="B1076"/>
      <c r="C1076"/>
      <c r="D1076"/>
      <c r="E1076"/>
      <c r="F1076" s="194"/>
      <c r="H1076"/>
      <c r="I1076"/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1:10">
      <c r="B1089"/>
      <c r="C1089"/>
      <c r="D1089"/>
      <c r="E1089"/>
      <c r="F1089" s="194"/>
      <c r="H1089"/>
      <c r="I1089"/>
    </row>
    <row r="1090" spans="1:10">
      <c r="B1090"/>
      <c r="C1090"/>
      <c r="D1090"/>
      <c r="E1090"/>
      <c r="F1090" s="194"/>
      <c r="H1090"/>
      <c r="I1090"/>
    </row>
    <row r="1091" spans="1:10">
      <c r="B1091"/>
      <c r="C1091"/>
      <c r="D1091"/>
      <c r="E1091"/>
      <c r="F1091" s="194"/>
      <c r="H1091"/>
      <c r="I1091"/>
    </row>
    <row r="1092" spans="1:10">
      <c r="B1092"/>
      <c r="C1092"/>
      <c r="D1092"/>
      <c r="E1092"/>
      <c r="F1092" s="194"/>
      <c r="H1092"/>
      <c r="I1092"/>
    </row>
    <row r="1093" spans="1:10">
      <c r="B1093"/>
      <c r="C1093"/>
      <c r="D1093"/>
      <c r="E1093"/>
      <c r="F1093" s="194"/>
      <c r="H1093"/>
      <c r="I1093"/>
    </row>
    <row r="1094" spans="1:10">
      <c r="B1094"/>
      <c r="C1094"/>
      <c r="D1094"/>
      <c r="E1094"/>
      <c r="F1094" s="194"/>
      <c r="H1094"/>
      <c r="I1094"/>
    </row>
    <row r="1095" spans="1:10">
      <c r="B1095"/>
      <c r="C1095"/>
      <c r="D1095"/>
      <c r="E1095"/>
      <c r="F1095" s="194"/>
      <c r="H1095"/>
      <c r="I1095"/>
    </row>
    <row r="1096" spans="1:10">
      <c r="B1096"/>
      <c r="C1096"/>
      <c r="D1096"/>
      <c r="E1096"/>
      <c r="F1096" s="194"/>
      <c r="H1096"/>
      <c r="I1096"/>
    </row>
    <row r="1097" spans="1:10">
      <c r="B1097"/>
      <c r="C1097"/>
      <c r="D1097"/>
      <c r="E1097"/>
      <c r="F1097" s="194"/>
      <c r="H1097"/>
      <c r="I1097"/>
    </row>
    <row r="1098" spans="1:10">
      <c r="B1098"/>
      <c r="C1098"/>
      <c r="D1098"/>
      <c r="E1098"/>
      <c r="F1098" s="194"/>
      <c r="H1098"/>
      <c r="I1098"/>
    </row>
    <row r="1099" spans="1:10">
      <c r="B1099"/>
      <c r="C1099"/>
      <c r="D1099"/>
      <c r="E1099"/>
      <c r="F1099" s="194"/>
      <c r="H1099"/>
      <c r="I1099"/>
    </row>
    <row r="1100" spans="1:10">
      <c r="B1100"/>
      <c r="C1100"/>
      <c r="D1100"/>
      <c r="E1100"/>
      <c r="F1100" s="194"/>
      <c r="H1100"/>
      <c r="I1100"/>
    </row>
    <row r="1101" spans="1:10">
      <c r="B1101"/>
      <c r="C1101"/>
      <c r="D1101"/>
      <c r="E1101"/>
      <c r="F1101" s="194"/>
      <c r="H1101"/>
      <c r="I1101"/>
    </row>
    <row r="1102" spans="1:10">
      <c r="B1102"/>
      <c r="C1102"/>
      <c r="D1102"/>
      <c r="E1102"/>
      <c r="F1102" s="194"/>
      <c r="H1102"/>
      <c r="I1102"/>
    </row>
    <row r="1103" spans="1:10">
      <c r="B1103"/>
      <c r="C1103"/>
      <c r="D1103"/>
      <c r="E1103"/>
      <c r="F1103" s="194"/>
      <c r="H1103"/>
      <c r="I1103"/>
    </row>
    <row r="1104" spans="1:10" ht="15.75">
      <c r="A1104" s="82"/>
      <c r="B1104" s="83" t="s">
        <v>137</v>
      </c>
      <c r="C1104" s="82"/>
      <c r="D1104" s="82"/>
      <c r="E1104" s="82"/>
      <c r="F1104" s="195"/>
      <c r="G1104" s="82"/>
      <c r="H1104" s="82"/>
      <c r="I1104" s="82"/>
      <c r="J1104" s="82"/>
    </row>
    <row r="1105" spans="1:10">
      <c r="B1105"/>
      <c r="C1105"/>
      <c r="D1105"/>
      <c r="E1105"/>
      <c r="F1105" s="194"/>
      <c r="H1105"/>
      <c r="I1105"/>
    </row>
    <row r="1106" spans="1:10" ht="15.75" thickBot="1">
      <c r="C1106"/>
      <c r="D1106"/>
      <c r="E1106"/>
      <c r="F1106" s="194"/>
      <c r="H1106"/>
      <c r="I1106"/>
    </row>
    <row r="1107" spans="1:10" ht="19.5" thickBot="1">
      <c r="A1107" s="134" t="s">
        <v>112</v>
      </c>
      <c r="B1107" s="217">
        <f>SUBTOTAL(3,(B1109:B1133))</f>
        <v>25</v>
      </c>
      <c r="C1107" s="448"/>
      <c r="D1107" s="448"/>
      <c r="E1107"/>
      <c r="F1107" s="194"/>
      <c r="H1107"/>
      <c r="I1107"/>
    </row>
    <row r="1108" spans="1:10" ht="18" customHeight="1">
      <c r="A1108" s="84" t="s">
        <v>97</v>
      </c>
      <c r="B1108" s="212" t="s">
        <v>114</v>
      </c>
      <c r="C1108" s="208" t="s">
        <v>115</v>
      </c>
      <c r="D1108" s="209" t="s">
        <v>116</v>
      </c>
      <c r="E1108" s="72" t="s">
        <v>117</v>
      </c>
      <c r="F1108" s="192" t="s">
        <v>118</v>
      </c>
      <c r="G1108" s="74" t="s">
        <v>119</v>
      </c>
      <c r="H1108" s="75" t="s">
        <v>120</v>
      </c>
      <c r="I1108" s="75" t="s">
        <v>121</v>
      </c>
      <c r="J1108" s="77" t="s">
        <v>122</v>
      </c>
    </row>
    <row r="1109" spans="1:10" ht="30">
      <c r="A1109" s="86">
        <v>1</v>
      </c>
      <c r="B1109" s="213" t="s">
        <v>817</v>
      </c>
      <c r="C1109" s="40" t="s">
        <v>818</v>
      </c>
      <c r="D1109" s="51" t="s">
        <v>130</v>
      </c>
      <c r="E1109" s="46">
        <v>88750</v>
      </c>
      <c r="F1109" s="193" t="s">
        <v>130</v>
      </c>
      <c r="G1109" s="9">
        <f>IF(BD!$E1109="","",(E1109/(H1109*I1109)))</f>
        <v>88750</v>
      </c>
      <c r="H1109" s="87">
        <v>1</v>
      </c>
      <c r="I1109" s="87">
        <v>1</v>
      </c>
      <c r="J1109" s="11" t="str">
        <f t="shared" ref="J1109:J1112" si="35">CONCATENATE(LEFT(C1109,1),"_",TEXT(A1109,"000"))</f>
        <v>H_001</v>
      </c>
    </row>
    <row r="1110" spans="1:10" ht="30">
      <c r="A1110" s="86">
        <f>A1109+1</f>
        <v>2</v>
      </c>
      <c r="B1110" s="213" t="s">
        <v>819</v>
      </c>
      <c r="C1110" s="40" t="s">
        <v>818</v>
      </c>
      <c r="D1110" s="51" t="s">
        <v>130</v>
      </c>
      <c r="E1110" s="46">
        <v>18000</v>
      </c>
      <c r="F1110" s="193" t="s">
        <v>130</v>
      </c>
      <c r="G1110" s="9">
        <f>IF(BD!$E1110="","",(E1110/(H1110*I1110)))</f>
        <v>18000</v>
      </c>
      <c r="H1110" s="87">
        <v>1</v>
      </c>
      <c r="I1110" s="87">
        <v>1</v>
      </c>
      <c r="J1110" s="11" t="str">
        <f t="shared" si="35"/>
        <v>H_002</v>
      </c>
    </row>
    <row r="1111" spans="1:10" ht="30">
      <c r="A1111" s="86">
        <f t="shared" ref="A1111:A1133" si="36">A1110+1</f>
        <v>3</v>
      </c>
      <c r="B1111" s="213" t="s">
        <v>820</v>
      </c>
      <c r="C1111" s="40" t="s">
        <v>818</v>
      </c>
      <c r="D1111" s="51" t="s">
        <v>130</v>
      </c>
      <c r="E1111" s="46">
        <v>48900</v>
      </c>
      <c r="F1111" s="193" t="s">
        <v>130</v>
      </c>
      <c r="G1111" s="9">
        <f>IF(BD!$E1111="","",(E1111/(H1111*I1111)))</f>
        <v>48900</v>
      </c>
      <c r="H1111" s="87">
        <v>1</v>
      </c>
      <c r="I1111" s="87">
        <v>1</v>
      </c>
      <c r="J1111" s="11" t="str">
        <f t="shared" si="35"/>
        <v>H_003</v>
      </c>
    </row>
    <row r="1112" spans="1:10" ht="30" customHeight="1">
      <c r="A1112" s="86">
        <f t="shared" si="36"/>
        <v>4</v>
      </c>
      <c r="B1112" s="213" t="s">
        <v>821</v>
      </c>
      <c r="C1112" s="40" t="s">
        <v>818</v>
      </c>
      <c r="D1112" s="51" t="s">
        <v>130</v>
      </c>
      <c r="E1112" s="46">
        <v>5150</v>
      </c>
      <c r="F1112" s="193" t="s">
        <v>130</v>
      </c>
      <c r="G1112" s="9">
        <f>IF(BD!$E1112="","",(E1112/(H1112*I1112)))</f>
        <v>5150</v>
      </c>
      <c r="H1112" s="87">
        <v>1</v>
      </c>
      <c r="I1112" s="87">
        <v>1</v>
      </c>
      <c r="J1112" s="11" t="str">
        <f t="shared" si="35"/>
        <v>H_004</v>
      </c>
    </row>
    <row r="1113" spans="1:10" ht="30">
      <c r="A1113" s="86">
        <f t="shared" si="36"/>
        <v>5</v>
      </c>
      <c r="B1113" s="213" t="s">
        <v>822</v>
      </c>
      <c r="C1113" s="40" t="s">
        <v>818</v>
      </c>
      <c r="D1113" s="51" t="s">
        <v>130</v>
      </c>
      <c r="E1113" s="46">
        <v>6400</v>
      </c>
      <c r="F1113" s="193" t="s">
        <v>130</v>
      </c>
      <c r="G1113" s="9">
        <f>IF(BD!$E1113="","",(E1113/(H1113*I1113)))</f>
        <v>6400</v>
      </c>
      <c r="H1113" s="87">
        <v>1</v>
      </c>
      <c r="I1113" s="87">
        <v>1</v>
      </c>
      <c r="J1113" s="11" t="str">
        <f t="shared" ref="J1113:J1118" si="37">CONCATENATE(LEFT(C1113,1),"_",TEXT(A1113,"000"))</f>
        <v>H_005</v>
      </c>
    </row>
    <row r="1114" spans="1:10" ht="30">
      <c r="A1114" s="86">
        <f t="shared" si="36"/>
        <v>6</v>
      </c>
      <c r="B1114" s="213" t="s">
        <v>823</v>
      </c>
      <c r="C1114" s="40" t="s">
        <v>818</v>
      </c>
      <c r="D1114" s="51" t="s">
        <v>191</v>
      </c>
      <c r="E1114" s="46">
        <v>61500</v>
      </c>
      <c r="F1114" s="193" t="s">
        <v>191</v>
      </c>
      <c r="G1114" s="9">
        <f>IF(BD!$E1114="","",(E1114/(H1114*I1114)))</f>
        <v>61500</v>
      </c>
      <c r="H1114" s="87">
        <v>1</v>
      </c>
      <c r="I1114" s="87">
        <v>1</v>
      </c>
      <c r="J1114" s="11" t="str">
        <f t="shared" si="37"/>
        <v>H_006</v>
      </c>
    </row>
    <row r="1115" spans="1:10" ht="45">
      <c r="A1115" s="86">
        <f t="shared" si="36"/>
        <v>7</v>
      </c>
      <c r="B1115" s="213" t="s">
        <v>824</v>
      </c>
      <c r="C1115" s="40" t="s">
        <v>818</v>
      </c>
      <c r="D1115" s="51" t="s">
        <v>130</v>
      </c>
      <c r="E1115" s="46">
        <v>48683.375</v>
      </c>
      <c r="F1115" s="193" t="s">
        <v>130</v>
      </c>
      <c r="G1115" s="9">
        <f>IF(BD!$E1115="","",(E1115/(H1115*I1115)))</f>
        <v>48683.375</v>
      </c>
      <c r="H1115" s="87">
        <v>1</v>
      </c>
      <c r="I1115" s="87">
        <v>1</v>
      </c>
      <c r="J1115" s="11" t="str">
        <f t="shared" si="37"/>
        <v>H_007</v>
      </c>
    </row>
    <row r="1116" spans="1:10" ht="30">
      <c r="A1116" s="86">
        <f t="shared" si="36"/>
        <v>8</v>
      </c>
      <c r="B1116" s="213" t="s">
        <v>825</v>
      </c>
      <c r="C1116" s="40" t="s">
        <v>818</v>
      </c>
      <c r="D1116" s="51" t="s">
        <v>130</v>
      </c>
      <c r="E1116" s="46">
        <v>44533.333333333336</v>
      </c>
      <c r="F1116" s="193" t="s">
        <v>130</v>
      </c>
      <c r="G1116" s="9">
        <f>IF(BD!$E1116="","",(E1116/(H1116*I1116)))</f>
        <v>44533.333333333336</v>
      </c>
      <c r="H1116" s="8">
        <v>1</v>
      </c>
      <c r="I1116" s="8">
        <v>1</v>
      </c>
      <c r="J1116" s="11" t="str">
        <f t="shared" si="37"/>
        <v>H_008</v>
      </c>
    </row>
    <row r="1117" spans="1:10">
      <c r="A1117" s="86">
        <f t="shared" si="36"/>
        <v>9</v>
      </c>
      <c r="B1117" s="213" t="s">
        <v>826</v>
      </c>
      <c r="C1117" s="40" t="s">
        <v>818</v>
      </c>
      <c r="D1117" s="51" t="s">
        <v>130</v>
      </c>
      <c r="E1117" s="46">
        <v>30900</v>
      </c>
      <c r="F1117" s="193" t="s">
        <v>130</v>
      </c>
      <c r="G1117" s="9">
        <f>IF(BD!$E1117="","",(E1117/(H1117*I1117)))</f>
        <v>30900</v>
      </c>
      <c r="H1117" s="8">
        <v>1</v>
      </c>
      <c r="I1117" s="8">
        <v>1</v>
      </c>
      <c r="J1117" s="11" t="str">
        <f t="shared" si="37"/>
        <v>H_009</v>
      </c>
    </row>
    <row r="1118" spans="1:10" ht="30">
      <c r="A1118" s="86">
        <f t="shared" si="36"/>
        <v>10</v>
      </c>
      <c r="B1118" s="213" t="s">
        <v>827</v>
      </c>
      <c r="C1118" s="40" t="s">
        <v>818</v>
      </c>
      <c r="D1118" s="51" t="s">
        <v>828</v>
      </c>
      <c r="E1118" s="46">
        <v>44500</v>
      </c>
      <c r="F1118" s="193" t="s">
        <v>130</v>
      </c>
      <c r="G1118" s="9">
        <f>IF(BD!$E1118="","",(E1118/(H1118*I1118)))</f>
        <v>44500</v>
      </c>
      <c r="H1118" s="87">
        <v>1</v>
      </c>
      <c r="I1118" s="87">
        <v>1</v>
      </c>
      <c r="J1118" s="11" t="str">
        <f t="shared" si="37"/>
        <v>H_010</v>
      </c>
    </row>
    <row r="1119" spans="1:10">
      <c r="A1119" s="86">
        <f t="shared" si="36"/>
        <v>11</v>
      </c>
      <c r="B1119" s="213" t="s">
        <v>829</v>
      </c>
      <c r="C1119" s="40" t="s">
        <v>818</v>
      </c>
      <c r="D1119" s="51" t="s">
        <v>130</v>
      </c>
      <c r="E1119" s="46">
        <v>22370</v>
      </c>
      <c r="F1119" s="193" t="s">
        <v>130</v>
      </c>
      <c r="G1119" s="9">
        <f>IF(BD!$E1119="","",(E1119/(H1119*I1119)))</f>
        <v>22370</v>
      </c>
      <c r="H1119" s="87">
        <v>1</v>
      </c>
      <c r="I1119" s="87">
        <v>1</v>
      </c>
      <c r="J1119" s="11"/>
    </row>
    <row r="1120" spans="1:10">
      <c r="A1120" s="86">
        <f t="shared" si="36"/>
        <v>12</v>
      </c>
      <c r="B1120" s="213" t="s">
        <v>830</v>
      </c>
      <c r="C1120" s="40" t="s">
        <v>818</v>
      </c>
      <c r="D1120" s="51" t="s">
        <v>130</v>
      </c>
      <c r="E1120" s="46">
        <v>184100</v>
      </c>
      <c r="F1120" s="193" t="s">
        <v>130</v>
      </c>
      <c r="G1120" s="9">
        <f>IF(BD!$E1120="","",(E1120/(H1120*I1120)))</f>
        <v>184100</v>
      </c>
      <c r="H1120" s="8">
        <v>1</v>
      </c>
      <c r="I1120" s="8">
        <v>1</v>
      </c>
      <c r="J1120" s="11" t="str">
        <f>CONCATENATE(LEFT(C1120,1),"_",TEXT(A1120,"000"))</f>
        <v>H_012</v>
      </c>
    </row>
    <row r="1121" spans="1:10" ht="30">
      <c r="A1121" s="86">
        <f t="shared" si="36"/>
        <v>13</v>
      </c>
      <c r="B1121" s="213" t="s">
        <v>831</v>
      </c>
      <c r="C1121" s="40" t="s">
        <v>818</v>
      </c>
      <c r="D1121" s="51" t="s">
        <v>130</v>
      </c>
      <c r="E1121" s="46">
        <v>6333.3374999999996</v>
      </c>
      <c r="F1121" s="193" t="s">
        <v>130</v>
      </c>
      <c r="G1121" s="9">
        <f>IF(BD!$E1121="","",(E1121/(H1121*I1121)))</f>
        <v>6333.3374999999996</v>
      </c>
      <c r="H1121" s="87">
        <v>1</v>
      </c>
      <c r="I1121" s="87">
        <v>1</v>
      </c>
      <c r="J1121" s="11" t="str">
        <f>CONCATENATE(LEFT(C1121,1),"_",TEXT(A1121,"000"))</f>
        <v>H_013</v>
      </c>
    </row>
    <row r="1122" spans="1:10" ht="30">
      <c r="A1122" s="86">
        <f t="shared" si="36"/>
        <v>14</v>
      </c>
      <c r="B1122" s="213" t="s">
        <v>832</v>
      </c>
      <c r="C1122" s="40" t="s">
        <v>818</v>
      </c>
      <c r="D1122" s="51" t="s">
        <v>130</v>
      </c>
      <c r="E1122" s="46">
        <v>17266.599999999999</v>
      </c>
      <c r="F1122" s="193" t="s">
        <v>130</v>
      </c>
      <c r="G1122" s="9">
        <f>IF(BD!$E1122="","",(E1122/(H1122*I1122)))</f>
        <v>17266.599999999999</v>
      </c>
      <c r="H1122" s="8">
        <v>1</v>
      </c>
      <c r="I1122" s="8">
        <v>1</v>
      </c>
      <c r="J1122" s="11" t="str">
        <f>CONCATENATE(LEFT(C1122,1),"_",TEXT(A1122,"000"))</f>
        <v>H_014</v>
      </c>
    </row>
    <row r="1123" spans="1:10" ht="30">
      <c r="A1123" s="86">
        <f t="shared" si="36"/>
        <v>15</v>
      </c>
      <c r="B1123" s="214" t="s">
        <v>833</v>
      </c>
      <c r="C1123" s="40" t="s">
        <v>818</v>
      </c>
      <c r="D1123" s="51" t="s">
        <v>130</v>
      </c>
      <c r="E1123" s="46">
        <v>6796.7</v>
      </c>
      <c r="F1123" s="193" t="s">
        <v>130</v>
      </c>
      <c r="G1123" s="9">
        <f>IF(BD!$E1123="","",(E1123/(H1123*I1123)))</f>
        <v>6796.7</v>
      </c>
      <c r="H1123" s="8">
        <v>1</v>
      </c>
      <c r="I1123" s="8">
        <v>1</v>
      </c>
      <c r="J1123" s="11" t="str">
        <f>CONCATENATE(LEFT(C1123,1),"_",TEXT(A1123,"000"))</f>
        <v>H_015</v>
      </c>
    </row>
    <row r="1124" spans="1:10">
      <c r="A1124" s="86">
        <f t="shared" si="36"/>
        <v>16</v>
      </c>
      <c r="B1124" s="213" t="s">
        <v>834</v>
      </c>
      <c r="C1124" s="40" t="s">
        <v>818</v>
      </c>
      <c r="D1124" s="51" t="s">
        <v>130</v>
      </c>
      <c r="E1124" s="46">
        <v>182666.66666666666</v>
      </c>
      <c r="F1124" s="193" t="s">
        <v>130</v>
      </c>
      <c r="G1124" s="9">
        <f>IF(BD!$E1124="","",(E1124/(H1124*I1124)))</f>
        <v>182666.66666666666</v>
      </c>
      <c r="H1124" s="8">
        <v>1</v>
      </c>
      <c r="I1124" s="8">
        <v>1</v>
      </c>
      <c r="J1124" s="11" t="str">
        <f>CONCATENATE(LEFT(C1124,1),"_",TEXT(A1124,"000"))</f>
        <v>H_016</v>
      </c>
    </row>
    <row r="1125" spans="1:10" ht="30">
      <c r="A1125" s="86">
        <f t="shared" si="36"/>
        <v>17</v>
      </c>
      <c r="B1125" s="214" t="s">
        <v>835</v>
      </c>
      <c r="C1125" s="40" t="s">
        <v>818</v>
      </c>
      <c r="D1125" s="51" t="s">
        <v>828</v>
      </c>
      <c r="E1125" s="46">
        <v>2500</v>
      </c>
      <c r="F1125" s="193" t="s">
        <v>130</v>
      </c>
      <c r="G1125" s="9">
        <f>IF(BD!$E1125="","",(E1125/(H1125*I1125)))</f>
        <v>2500</v>
      </c>
      <c r="H1125" s="87">
        <v>1</v>
      </c>
      <c r="I1125" s="87">
        <v>1</v>
      </c>
      <c r="J1125" s="11"/>
    </row>
    <row r="1126" spans="1:10" ht="30">
      <c r="A1126" s="86">
        <f t="shared" si="36"/>
        <v>18</v>
      </c>
      <c r="B1126" s="213" t="s">
        <v>836</v>
      </c>
      <c r="C1126" s="40" t="s">
        <v>818</v>
      </c>
      <c r="D1126" s="51" t="s">
        <v>130</v>
      </c>
      <c r="E1126" s="46">
        <v>46996.6</v>
      </c>
      <c r="F1126" s="193" t="s">
        <v>130</v>
      </c>
      <c r="G1126" s="9">
        <f>IF(BD!$E1126="","",(E1126/(H1126*I1126)))</f>
        <v>46996.6</v>
      </c>
      <c r="H1126" s="87">
        <v>1</v>
      </c>
      <c r="I1126" s="87">
        <v>1</v>
      </c>
      <c r="J1126" s="11" t="str">
        <f t="shared" ref="J1126:J1133" si="38">CONCATENATE(LEFT(C1126,1),"_",TEXT(A1126,"000"))</f>
        <v>H_018</v>
      </c>
    </row>
    <row r="1127" spans="1:10" ht="30">
      <c r="A1127" s="86">
        <f t="shared" si="36"/>
        <v>19</v>
      </c>
      <c r="B1127" s="213" t="s">
        <v>836</v>
      </c>
      <c r="C1127" s="40" t="s">
        <v>818</v>
      </c>
      <c r="D1127" s="51" t="s">
        <v>130</v>
      </c>
      <c r="E1127" s="46">
        <v>48330</v>
      </c>
      <c r="F1127" s="193" t="s">
        <v>130</v>
      </c>
      <c r="G1127" s="9">
        <f>IF(BD!$E1127="","",(E1127/(H1127*I1127)))</f>
        <v>48330</v>
      </c>
      <c r="H1127" s="87">
        <v>1</v>
      </c>
      <c r="I1127" s="87">
        <v>1</v>
      </c>
      <c r="J1127" s="11" t="str">
        <f t="shared" si="38"/>
        <v>H_019</v>
      </c>
    </row>
    <row r="1128" spans="1:10" ht="30">
      <c r="A1128" s="86">
        <f t="shared" si="36"/>
        <v>20</v>
      </c>
      <c r="B1128" s="213" t="s">
        <v>837</v>
      </c>
      <c r="C1128" s="40" t="s">
        <v>818</v>
      </c>
      <c r="D1128" s="51" t="s">
        <v>838</v>
      </c>
      <c r="E1128" s="46">
        <v>10166.700000000001</v>
      </c>
      <c r="F1128" s="193" t="s">
        <v>838</v>
      </c>
      <c r="G1128" s="9">
        <f>IF(BD!$E1128="","",(E1128/(H1128*I1128)))</f>
        <v>10166.700000000001</v>
      </c>
      <c r="H1128" s="87">
        <v>1</v>
      </c>
      <c r="I1128" s="87">
        <v>1</v>
      </c>
      <c r="J1128" s="11" t="str">
        <f t="shared" si="38"/>
        <v>H_020</v>
      </c>
    </row>
    <row r="1129" spans="1:10">
      <c r="A1129" s="86">
        <f t="shared" si="36"/>
        <v>21</v>
      </c>
      <c r="B1129" s="213" t="s">
        <v>839</v>
      </c>
      <c r="C1129" s="40" t="s">
        <v>818</v>
      </c>
      <c r="D1129" s="51" t="s">
        <v>130</v>
      </c>
      <c r="E1129" s="46">
        <v>104388.75</v>
      </c>
      <c r="F1129" s="193" t="s">
        <v>130</v>
      </c>
      <c r="G1129" s="9">
        <f>IF(BD!$E1129="","",(E1129/(H1129*I1129)))</f>
        <v>104388.75</v>
      </c>
      <c r="H1129" s="8">
        <v>1</v>
      </c>
      <c r="I1129" s="8">
        <v>1</v>
      </c>
      <c r="J1129" s="11" t="str">
        <f t="shared" si="38"/>
        <v>H_021</v>
      </c>
    </row>
    <row r="1130" spans="1:10">
      <c r="A1130" s="86">
        <f t="shared" si="36"/>
        <v>22</v>
      </c>
      <c r="B1130" s="213" t="s">
        <v>840</v>
      </c>
      <c r="C1130" s="40" t="s">
        <v>818</v>
      </c>
      <c r="D1130" s="51" t="s">
        <v>130</v>
      </c>
      <c r="E1130" s="46">
        <v>79760</v>
      </c>
      <c r="F1130" s="193" t="s">
        <v>130</v>
      </c>
      <c r="G1130" s="9">
        <f>IF(BD!$E1130="","",(E1130/(H1130*I1130)))</f>
        <v>79760</v>
      </c>
      <c r="H1130" s="210">
        <v>1</v>
      </c>
      <c r="I1130" s="210">
        <v>1</v>
      </c>
      <c r="J1130" s="11" t="str">
        <f t="shared" si="38"/>
        <v>H_022</v>
      </c>
    </row>
    <row r="1131" spans="1:10" ht="30">
      <c r="A1131" s="86">
        <f t="shared" si="36"/>
        <v>23</v>
      </c>
      <c r="B1131" s="213" t="s">
        <v>841</v>
      </c>
      <c r="C1131" s="40" t="s">
        <v>818</v>
      </c>
      <c r="D1131" s="51" t="s">
        <v>223</v>
      </c>
      <c r="E1131" s="46">
        <v>62000</v>
      </c>
      <c r="F1131" s="193" t="s">
        <v>223</v>
      </c>
      <c r="G1131" s="9">
        <f>IF(BD!$E1131="","",(E1131/(H1131*I1131)))</f>
        <v>62000</v>
      </c>
      <c r="H1131" s="210">
        <v>1</v>
      </c>
      <c r="I1131" s="210">
        <v>1</v>
      </c>
      <c r="J1131" s="68" t="str">
        <f t="shared" si="38"/>
        <v>H_023</v>
      </c>
    </row>
    <row r="1132" spans="1:10" ht="45">
      <c r="A1132" s="86">
        <f t="shared" si="36"/>
        <v>24</v>
      </c>
      <c r="B1132" s="213" t="s">
        <v>842</v>
      </c>
      <c r="C1132" s="40" t="s">
        <v>818</v>
      </c>
      <c r="D1132" s="51" t="s">
        <v>130</v>
      </c>
      <c r="E1132" s="46">
        <v>152500</v>
      </c>
      <c r="F1132" s="193" t="s">
        <v>130</v>
      </c>
      <c r="G1132" s="9">
        <f>IF(BD!$E1132="","",(E1132/(H1132*I1132)))</f>
        <v>152500</v>
      </c>
      <c r="H1132" s="87">
        <v>1</v>
      </c>
      <c r="I1132" s="87">
        <v>1</v>
      </c>
      <c r="J1132" s="11" t="str">
        <f t="shared" si="38"/>
        <v>H_024</v>
      </c>
    </row>
    <row r="1133" spans="1:10" ht="30">
      <c r="A1133" s="86">
        <f t="shared" si="36"/>
        <v>25</v>
      </c>
      <c r="B1133" s="213" t="s">
        <v>843</v>
      </c>
      <c r="C1133" s="40" t="s">
        <v>818</v>
      </c>
      <c r="D1133" s="211" t="s">
        <v>130</v>
      </c>
      <c r="E1133" s="46">
        <v>432050</v>
      </c>
      <c r="F1133" s="193" t="s">
        <v>130</v>
      </c>
      <c r="G1133" s="9">
        <f>IF(BD!$E1133="","",(E1133/(H1133*I1133)))</f>
        <v>432050</v>
      </c>
      <c r="H1133" s="210">
        <v>1</v>
      </c>
      <c r="I1133" s="210">
        <v>1</v>
      </c>
      <c r="J1133" s="68" t="str">
        <f t="shared" si="38"/>
        <v>H_025</v>
      </c>
    </row>
    <row r="1134" spans="1:10">
      <c r="B1134"/>
      <c r="C1134"/>
      <c r="D1134"/>
      <c r="E1134"/>
      <c r="F1134" s="194"/>
      <c r="H1134"/>
      <c r="I1134"/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 ht="15.75">
      <c r="A1150" s="82"/>
      <c r="B1150" s="83" t="s">
        <v>137</v>
      </c>
      <c r="C1150" s="82"/>
      <c r="D1150" s="82"/>
      <c r="E1150" s="82"/>
      <c r="F1150" s="195"/>
      <c r="G1150" s="82"/>
      <c r="H1150" s="82"/>
      <c r="I1150" s="82"/>
      <c r="J1150" s="82"/>
    </row>
    <row r="1151" spans="1:10">
      <c r="B1151"/>
      <c r="C1151"/>
      <c r="D1151"/>
      <c r="E1151"/>
      <c r="F1151" s="194"/>
      <c r="H1151"/>
      <c r="I1151"/>
    </row>
    <row r="1152" spans="1:10">
      <c r="B1152"/>
      <c r="C1152"/>
      <c r="D1152"/>
      <c r="E1152"/>
      <c r="F1152" s="194"/>
      <c r="H1152"/>
      <c r="I1152"/>
    </row>
    <row r="1153" spans="1:10" ht="15.75" thickBot="1">
      <c r="B1153"/>
      <c r="C1153"/>
      <c r="D1153"/>
      <c r="E1153"/>
      <c r="F1153" s="194"/>
      <c r="H1153"/>
      <c r="I1153"/>
    </row>
    <row r="1154" spans="1:10" ht="21.75" thickBot="1">
      <c r="A1154" s="135" t="s">
        <v>112</v>
      </c>
      <c r="B1154" s="136">
        <f>SUBTOTAL(3,B1156:B1208)</f>
        <v>53</v>
      </c>
      <c r="C1154" s="448"/>
      <c r="D1154" s="448"/>
      <c r="E1154"/>
      <c r="F1154" s="194"/>
      <c r="H1154"/>
      <c r="I1154"/>
    </row>
    <row r="1155" spans="1:10" ht="47.25">
      <c r="A1155" s="76" t="s">
        <v>97</v>
      </c>
      <c r="B1155" s="137" t="s">
        <v>114</v>
      </c>
      <c r="C1155" s="123" t="s">
        <v>115</v>
      </c>
      <c r="D1155" s="107" t="s">
        <v>116</v>
      </c>
      <c r="E1155" s="72" t="s">
        <v>117</v>
      </c>
      <c r="F1155" s="192" t="s">
        <v>118</v>
      </c>
      <c r="G1155" s="74" t="s">
        <v>119</v>
      </c>
      <c r="H1155" s="75" t="s">
        <v>120</v>
      </c>
      <c r="I1155" s="75" t="s">
        <v>121</v>
      </c>
      <c r="J1155" s="85" t="s">
        <v>122</v>
      </c>
    </row>
    <row r="1156" spans="1:10">
      <c r="A1156" s="44">
        <v>1</v>
      </c>
      <c r="B1156" s="43" t="s">
        <v>844</v>
      </c>
      <c r="C1156" s="40" t="s">
        <v>50</v>
      </c>
      <c r="D1156" s="51" t="s">
        <v>130</v>
      </c>
      <c r="E1156" s="46">
        <v>343.33</v>
      </c>
      <c r="F1156" s="51" t="s">
        <v>130</v>
      </c>
      <c r="G1156" s="9">
        <f>IF(BD!$E1158="","",(E1156/(H1156*I1156)))</f>
        <v>343.33</v>
      </c>
      <c r="H1156" s="87">
        <v>1</v>
      </c>
      <c r="I1156" s="87">
        <v>1</v>
      </c>
      <c r="J1156" s="88" t="str">
        <f t="shared" ref="J1156:J1187" si="39">CONCATENATE(LEFT(C1156,1),MID(C1156,SEARCH("_",C1156)+1,2),TEXT(A1156,"000"))</f>
        <v>ICO001</v>
      </c>
    </row>
    <row r="1157" spans="1:10">
      <c r="A1157" s="44">
        <f>A1156+1</f>
        <v>2</v>
      </c>
      <c r="B1157" s="43" t="s">
        <v>845</v>
      </c>
      <c r="C1157" s="40" t="s">
        <v>50</v>
      </c>
      <c r="D1157" s="51" t="s">
        <v>130</v>
      </c>
      <c r="E1157" s="46">
        <v>343.33</v>
      </c>
      <c r="F1157" s="51" t="s">
        <v>130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si="39"/>
        <v>ICO002</v>
      </c>
    </row>
    <row r="1158" spans="1:10">
      <c r="A1158" s="44">
        <f t="shared" ref="A1158:A1211" si="40">A1157+1</f>
        <v>3</v>
      </c>
      <c r="B1158" s="43" t="s">
        <v>846</v>
      </c>
      <c r="C1158" s="40" t="s">
        <v>50</v>
      </c>
      <c r="D1158" s="51" t="s">
        <v>130</v>
      </c>
      <c r="E1158" s="46">
        <v>343.33</v>
      </c>
      <c r="F1158" s="51" t="s">
        <v>130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9"/>
        <v>ICO003</v>
      </c>
    </row>
    <row r="1159" spans="1:10">
      <c r="A1159" s="44">
        <f t="shared" si="40"/>
        <v>4</v>
      </c>
      <c r="B1159" s="188" t="s">
        <v>847</v>
      </c>
      <c r="C1159" s="40" t="s">
        <v>50</v>
      </c>
      <c r="D1159" s="51" t="s">
        <v>130</v>
      </c>
      <c r="E1159" s="46">
        <v>343.33</v>
      </c>
      <c r="F1159" s="51" t="s">
        <v>130</v>
      </c>
      <c r="G1159" s="9">
        <f>IF(BD!$E1156="","",(E1159/(H1159*I1159)))</f>
        <v>343.33</v>
      </c>
      <c r="H1159" s="87">
        <v>1</v>
      </c>
      <c r="I1159" s="87">
        <v>1</v>
      </c>
      <c r="J1159" s="88" t="str">
        <f t="shared" si="39"/>
        <v>ICO004</v>
      </c>
    </row>
    <row r="1160" spans="1:10">
      <c r="A1160" s="44">
        <f t="shared" si="40"/>
        <v>5</v>
      </c>
      <c r="B1160" s="188" t="s">
        <v>848</v>
      </c>
      <c r="C1160" s="40" t="s">
        <v>50</v>
      </c>
      <c r="D1160" s="51" t="s">
        <v>130</v>
      </c>
      <c r="E1160" s="46">
        <v>343.33</v>
      </c>
      <c r="F1160" s="51" t="s">
        <v>130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9"/>
        <v>ICO005</v>
      </c>
    </row>
    <row r="1161" spans="1:10">
      <c r="A1161" s="44">
        <f t="shared" si="40"/>
        <v>6</v>
      </c>
      <c r="B1161" s="188" t="s">
        <v>849</v>
      </c>
      <c r="C1161" s="40" t="s">
        <v>50</v>
      </c>
      <c r="D1161" s="51" t="s">
        <v>130</v>
      </c>
      <c r="E1161" s="46">
        <v>343.33</v>
      </c>
      <c r="F1161" s="51" t="s">
        <v>130</v>
      </c>
      <c r="G1161" s="9">
        <f>IF(BD!$E1163="","",(E1161/(H1161*I1161)))</f>
        <v>343.33</v>
      </c>
      <c r="H1161" s="87">
        <v>1</v>
      </c>
      <c r="I1161" s="87">
        <v>1</v>
      </c>
      <c r="J1161" s="88" t="str">
        <f t="shared" si="39"/>
        <v>ICO006</v>
      </c>
    </row>
    <row r="1162" spans="1:10">
      <c r="A1162" s="44">
        <f t="shared" si="40"/>
        <v>7</v>
      </c>
      <c r="B1162" s="205" t="s">
        <v>850</v>
      </c>
      <c r="C1162" s="40" t="s">
        <v>50</v>
      </c>
      <c r="D1162" s="51" t="s">
        <v>130</v>
      </c>
      <c r="E1162" s="46">
        <v>343.33</v>
      </c>
      <c r="F1162" s="51" t="s">
        <v>130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9"/>
        <v>ICO007</v>
      </c>
    </row>
    <row r="1163" spans="1:10">
      <c r="A1163" s="44">
        <f t="shared" si="40"/>
        <v>8</v>
      </c>
      <c r="B1163" s="43" t="s">
        <v>851</v>
      </c>
      <c r="C1163" s="40" t="s">
        <v>50</v>
      </c>
      <c r="D1163" s="51" t="s">
        <v>130</v>
      </c>
      <c r="E1163" s="46">
        <v>343.33</v>
      </c>
      <c r="F1163" s="51" t="s">
        <v>130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9"/>
        <v>ICO008</v>
      </c>
    </row>
    <row r="1164" spans="1:10">
      <c r="A1164" s="44">
        <f t="shared" si="40"/>
        <v>9</v>
      </c>
      <c r="B1164" s="188" t="s">
        <v>852</v>
      </c>
      <c r="C1164" s="40" t="s">
        <v>50</v>
      </c>
      <c r="D1164" s="51" t="s">
        <v>130</v>
      </c>
      <c r="E1164" s="46">
        <v>343.33</v>
      </c>
      <c r="F1164" s="51" t="s">
        <v>130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9"/>
        <v>ICO009</v>
      </c>
    </row>
    <row r="1165" spans="1:10">
      <c r="A1165" s="44">
        <f t="shared" si="40"/>
        <v>10</v>
      </c>
      <c r="B1165" s="188" t="s">
        <v>853</v>
      </c>
      <c r="C1165" s="40" t="s">
        <v>50</v>
      </c>
      <c r="D1165" s="51" t="s">
        <v>130</v>
      </c>
      <c r="E1165" s="46">
        <v>343.33</v>
      </c>
      <c r="F1165" s="51" t="s">
        <v>130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9"/>
        <v>ICO010</v>
      </c>
    </row>
    <row r="1166" spans="1:10">
      <c r="A1166" s="44">
        <f t="shared" si="40"/>
        <v>11</v>
      </c>
      <c r="B1166" s="188" t="s">
        <v>854</v>
      </c>
      <c r="C1166" s="40" t="s">
        <v>50</v>
      </c>
      <c r="D1166" s="51" t="s">
        <v>130</v>
      </c>
      <c r="E1166" s="46">
        <v>343.33</v>
      </c>
      <c r="F1166" s="51" t="s">
        <v>130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9"/>
        <v>ICO011</v>
      </c>
    </row>
    <row r="1167" spans="1:10">
      <c r="A1167" s="44">
        <f t="shared" si="40"/>
        <v>12</v>
      </c>
      <c r="B1167" s="188" t="s">
        <v>855</v>
      </c>
      <c r="C1167" s="40" t="s">
        <v>50</v>
      </c>
      <c r="D1167" s="51" t="s">
        <v>130</v>
      </c>
      <c r="E1167" s="46">
        <v>343.33</v>
      </c>
      <c r="F1167" s="51" t="s">
        <v>130</v>
      </c>
      <c r="G1167" s="9">
        <f>IF(BD!$E1161="","",(E1167/(H1167*I1167)))</f>
        <v>343.33</v>
      </c>
      <c r="H1167" s="87">
        <v>1</v>
      </c>
      <c r="I1167" s="87">
        <v>1</v>
      </c>
      <c r="J1167" s="88" t="str">
        <f t="shared" si="39"/>
        <v>ICO012</v>
      </c>
    </row>
    <row r="1168" spans="1:10">
      <c r="A1168" s="44">
        <f t="shared" si="40"/>
        <v>13</v>
      </c>
      <c r="B1168" s="188" t="s">
        <v>856</v>
      </c>
      <c r="C1168" s="40" t="s">
        <v>50</v>
      </c>
      <c r="D1168" s="51" t="s">
        <v>130</v>
      </c>
      <c r="E1168" s="46">
        <v>343.33</v>
      </c>
      <c r="F1168" s="51" t="s">
        <v>130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9"/>
        <v>ICO013</v>
      </c>
    </row>
    <row r="1169" spans="1:10">
      <c r="A1169" s="44">
        <f t="shared" si="40"/>
        <v>14</v>
      </c>
      <c r="B1169" s="188" t="s">
        <v>857</v>
      </c>
      <c r="C1169" s="40" t="s">
        <v>50</v>
      </c>
      <c r="D1169" s="51" t="s">
        <v>130</v>
      </c>
      <c r="E1169" s="46">
        <v>343.33</v>
      </c>
      <c r="F1169" s="51" t="s">
        <v>130</v>
      </c>
      <c r="G1169" s="9">
        <f>IF(BD!$E1171="","",(E1169/(H1169*I1169)))</f>
        <v>343.33</v>
      </c>
      <c r="H1169" s="87">
        <v>1</v>
      </c>
      <c r="I1169" s="87">
        <v>1</v>
      </c>
      <c r="J1169" s="88" t="str">
        <f t="shared" si="39"/>
        <v>ICO014</v>
      </c>
    </row>
    <row r="1170" spans="1:10">
      <c r="A1170" s="44">
        <f t="shared" si="40"/>
        <v>15</v>
      </c>
      <c r="B1170" s="188" t="s">
        <v>51</v>
      </c>
      <c r="C1170" s="40" t="s">
        <v>50</v>
      </c>
      <c r="D1170" s="51" t="s">
        <v>130</v>
      </c>
      <c r="E1170" s="46">
        <v>343.33</v>
      </c>
      <c r="F1170" s="51" t="s">
        <v>130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9"/>
        <v>ICO015</v>
      </c>
    </row>
    <row r="1171" spans="1:10">
      <c r="A1171" s="44">
        <f t="shared" si="40"/>
        <v>16</v>
      </c>
      <c r="B1171" s="188" t="s">
        <v>858</v>
      </c>
      <c r="C1171" s="40" t="s">
        <v>50</v>
      </c>
      <c r="D1171" s="51" t="s">
        <v>130</v>
      </c>
      <c r="E1171" s="46">
        <v>343.33</v>
      </c>
      <c r="F1171" s="51" t="s">
        <v>130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9"/>
        <v>ICO016</v>
      </c>
    </row>
    <row r="1172" spans="1:10">
      <c r="A1172" s="44">
        <f t="shared" si="40"/>
        <v>17</v>
      </c>
      <c r="B1172" s="188" t="s">
        <v>859</v>
      </c>
      <c r="C1172" s="40" t="s">
        <v>50</v>
      </c>
      <c r="D1172" s="51" t="s">
        <v>130</v>
      </c>
      <c r="E1172" s="46">
        <v>343.33</v>
      </c>
      <c r="F1172" s="51" t="s">
        <v>130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9"/>
        <v>ICO017</v>
      </c>
    </row>
    <row r="1173" spans="1:10">
      <c r="A1173" s="44">
        <f t="shared" si="40"/>
        <v>18</v>
      </c>
      <c r="B1173" s="43" t="s">
        <v>860</v>
      </c>
      <c r="C1173" s="40" t="s">
        <v>50</v>
      </c>
      <c r="D1173" s="51" t="s">
        <v>130</v>
      </c>
      <c r="E1173" s="46">
        <v>343.33</v>
      </c>
      <c r="F1173" s="51" t="s">
        <v>130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9"/>
        <v>ICO018</v>
      </c>
    </row>
    <row r="1174" spans="1:10">
      <c r="A1174" s="44">
        <f t="shared" si="40"/>
        <v>19</v>
      </c>
      <c r="B1174" s="188" t="s">
        <v>861</v>
      </c>
      <c r="C1174" s="40" t="s">
        <v>50</v>
      </c>
      <c r="D1174" s="51" t="s">
        <v>130</v>
      </c>
      <c r="E1174" s="46">
        <v>343.33</v>
      </c>
      <c r="F1174" s="51" t="s">
        <v>130</v>
      </c>
      <c r="G1174" s="9">
        <f>IF(BD!$E1169="","",(E1174/(H1174*I1174)))</f>
        <v>343.33</v>
      </c>
      <c r="H1174" s="87">
        <v>1</v>
      </c>
      <c r="I1174" s="87">
        <v>1</v>
      </c>
      <c r="J1174" s="88" t="str">
        <f t="shared" si="39"/>
        <v>ICO019</v>
      </c>
    </row>
    <row r="1175" spans="1:10">
      <c r="A1175" s="44">
        <f t="shared" si="40"/>
        <v>20</v>
      </c>
      <c r="B1175" s="154" t="s">
        <v>862</v>
      </c>
      <c r="C1175" s="40" t="s">
        <v>50</v>
      </c>
      <c r="D1175" s="51" t="s">
        <v>130</v>
      </c>
      <c r="E1175" s="46">
        <v>343.33</v>
      </c>
      <c r="F1175" s="51" t="s">
        <v>130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9"/>
        <v>ICO020</v>
      </c>
    </row>
    <row r="1176" spans="1:10" ht="30">
      <c r="A1176" s="44">
        <f t="shared" si="40"/>
        <v>21</v>
      </c>
      <c r="B1176" s="154" t="s">
        <v>863</v>
      </c>
      <c r="C1176" s="40" t="s">
        <v>50</v>
      </c>
      <c r="D1176" s="51" t="s">
        <v>130</v>
      </c>
      <c r="E1176" s="46">
        <v>308.33</v>
      </c>
      <c r="F1176" s="51" t="s">
        <v>130</v>
      </c>
      <c r="G1176" s="9">
        <f>IF(BD!$E1176="","",(E1176/(H1176*I1176)))</f>
        <v>308.33</v>
      </c>
      <c r="H1176" s="87">
        <v>1</v>
      </c>
      <c r="I1176" s="87">
        <v>1</v>
      </c>
      <c r="J1176" s="88" t="str">
        <f t="shared" si="39"/>
        <v>ICO021</v>
      </c>
    </row>
    <row r="1177" spans="1:10" ht="30">
      <c r="A1177" s="44">
        <f t="shared" si="40"/>
        <v>22</v>
      </c>
      <c r="B1177" s="154" t="s">
        <v>864</v>
      </c>
      <c r="C1177" s="40" t="s">
        <v>50</v>
      </c>
      <c r="D1177" s="51" t="s">
        <v>865</v>
      </c>
      <c r="E1177" s="46">
        <v>42631</v>
      </c>
      <c r="F1177" s="193" t="s">
        <v>865</v>
      </c>
      <c r="G1177" s="9">
        <f>IF(BD!$E1180="","",(E1177/(H1177*I1177)))</f>
        <v>42631</v>
      </c>
      <c r="H1177" s="8">
        <v>1</v>
      </c>
      <c r="I1177" s="8">
        <v>1</v>
      </c>
      <c r="J1177" s="88" t="str">
        <f t="shared" si="39"/>
        <v>ICO022</v>
      </c>
    </row>
    <row r="1178" spans="1:10" ht="30">
      <c r="A1178" s="44">
        <f t="shared" si="40"/>
        <v>23</v>
      </c>
      <c r="B1178" s="154" t="s">
        <v>866</v>
      </c>
      <c r="C1178" s="40" t="s">
        <v>50</v>
      </c>
      <c r="D1178" s="51" t="s">
        <v>867</v>
      </c>
      <c r="E1178" s="46">
        <v>6081.3</v>
      </c>
      <c r="F1178" s="193" t="s">
        <v>867</v>
      </c>
      <c r="G1178" s="9">
        <f>IF(BD!$E1181="","",(E1178/(H1178*I1178)))</f>
        <v>6081.3</v>
      </c>
      <c r="H1178" s="8">
        <v>1</v>
      </c>
      <c r="I1178" s="8">
        <v>1</v>
      </c>
      <c r="J1178" s="88" t="str">
        <f t="shared" si="39"/>
        <v>ICO023</v>
      </c>
    </row>
    <row r="1179" spans="1:10" ht="30">
      <c r="A1179" s="44">
        <f t="shared" si="40"/>
        <v>24</v>
      </c>
      <c r="B1179" s="154" t="s">
        <v>868</v>
      </c>
      <c r="C1179" s="40" t="s">
        <v>50</v>
      </c>
      <c r="D1179" s="51" t="s">
        <v>869</v>
      </c>
      <c r="E1179" s="46">
        <v>19776</v>
      </c>
      <c r="F1179" s="193" t="s">
        <v>869</v>
      </c>
      <c r="G1179" s="9">
        <f>IF(BD!$E1182="","",(E1179/(H1179*I1179)))</f>
        <v>19776</v>
      </c>
      <c r="H1179" s="8">
        <v>1</v>
      </c>
      <c r="I1179" s="8">
        <v>1</v>
      </c>
      <c r="J1179" s="88" t="str">
        <f t="shared" si="39"/>
        <v>ICO024</v>
      </c>
    </row>
    <row r="1180" spans="1:10" ht="30">
      <c r="A1180" s="44">
        <f t="shared" si="40"/>
        <v>25</v>
      </c>
      <c r="B1180" s="172" t="s">
        <v>870</v>
      </c>
      <c r="C1180" s="40" t="s">
        <v>50</v>
      </c>
      <c r="D1180" s="51" t="s">
        <v>867</v>
      </c>
      <c r="E1180" s="46">
        <v>16133.3</v>
      </c>
      <c r="F1180" s="193" t="s">
        <v>867</v>
      </c>
      <c r="G1180" s="9">
        <f>IF(BD!$E1183="","",(E1180/(H1180*I1180)))</f>
        <v>16133.3</v>
      </c>
      <c r="H1180" s="8">
        <v>1</v>
      </c>
      <c r="I1180" s="8">
        <v>1</v>
      </c>
      <c r="J1180" s="88" t="str">
        <f t="shared" si="39"/>
        <v>ICO025</v>
      </c>
    </row>
    <row r="1181" spans="1:10" ht="30">
      <c r="A1181" s="44">
        <f t="shared" si="40"/>
        <v>26</v>
      </c>
      <c r="B1181" s="172" t="s">
        <v>871</v>
      </c>
      <c r="C1181" s="40" t="s">
        <v>50</v>
      </c>
      <c r="D1181" s="51" t="s">
        <v>872</v>
      </c>
      <c r="E1181" s="46">
        <v>17300</v>
      </c>
      <c r="F1181" s="193" t="s">
        <v>872</v>
      </c>
      <c r="G1181" s="9">
        <f>IF(BD!$E1184="","",(E1181/(H1181*I1181)))</f>
        <v>17300</v>
      </c>
      <c r="H1181" s="8">
        <v>1</v>
      </c>
      <c r="I1181" s="8">
        <v>1</v>
      </c>
      <c r="J1181" s="88" t="str">
        <f t="shared" si="39"/>
        <v>ICO026</v>
      </c>
    </row>
    <row r="1182" spans="1:10">
      <c r="A1182" s="44">
        <f t="shared" si="40"/>
        <v>27</v>
      </c>
      <c r="B1182" s="154" t="s">
        <v>873</v>
      </c>
      <c r="C1182" s="40" t="s">
        <v>50</v>
      </c>
      <c r="D1182" s="51" t="s">
        <v>874</v>
      </c>
      <c r="E1182" s="46">
        <v>1583.1533333333334</v>
      </c>
      <c r="F1182" s="193" t="s">
        <v>874</v>
      </c>
      <c r="G1182" s="9">
        <f>IF(BD!$E1201="","",(E1182/(H1182*I1182)))</f>
        <v>1583.1533333333334</v>
      </c>
      <c r="H1182" s="8">
        <v>1</v>
      </c>
      <c r="I1182" s="8">
        <v>1</v>
      </c>
      <c r="J1182" s="88" t="str">
        <f t="shared" si="39"/>
        <v>ICO027</v>
      </c>
    </row>
    <row r="1183" spans="1:10">
      <c r="A1183" s="44">
        <f t="shared" si="40"/>
        <v>28</v>
      </c>
      <c r="B1183" s="154" t="s">
        <v>875</v>
      </c>
      <c r="C1183" s="40" t="s">
        <v>50</v>
      </c>
      <c r="D1183" s="51" t="s">
        <v>257</v>
      </c>
      <c r="E1183" s="46">
        <v>4180</v>
      </c>
      <c r="F1183" s="193" t="s">
        <v>257</v>
      </c>
      <c r="G1183" s="9">
        <f>IF(BD!$E1185="","",(E1183/(H1183*I1183)))</f>
        <v>4180</v>
      </c>
      <c r="H1183" s="8">
        <v>1</v>
      </c>
      <c r="I1183" s="8">
        <v>1</v>
      </c>
      <c r="J1183" s="88" t="str">
        <f t="shared" si="39"/>
        <v>ICO028</v>
      </c>
    </row>
    <row r="1184" spans="1:10">
      <c r="A1184" s="44">
        <f t="shared" si="40"/>
        <v>29</v>
      </c>
      <c r="B1184" s="172" t="s">
        <v>876</v>
      </c>
      <c r="C1184" s="40" t="s">
        <v>50</v>
      </c>
      <c r="D1184" s="51" t="s">
        <v>130</v>
      </c>
      <c r="E1184" s="46">
        <v>9522.5084745762706</v>
      </c>
      <c r="F1184" s="193" t="s">
        <v>130</v>
      </c>
      <c r="G1184" s="9">
        <f>IF(BD!$E1202="","",(E1184/(H1184*I1184)))</f>
        <v>9522.5084745762706</v>
      </c>
      <c r="H1184" s="8">
        <v>1</v>
      </c>
      <c r="I1184" s="8">
        <v>1</v>
      </c>
      <c r="J1184" s="88" t="str">
        <f t="shared" si="39"/>
        <v>ICO029</v>
      </c>
    </row>
    <row r="1185" spans="1:10">
      <c r="A1185" s="44">
        <f t="shared" si="40"/>
        <v>30</v>
      </c>
      <c r="B1185" s="264" t="s">
        <v>877</v>
      </c>
      <c r="C1185" s="40" t="s">
        <v>50</v>
      </c>
      <c r="D1185" s="101" t="s">
        <v>258</v>
      </c>
      <c r="E1185" s="46">
        <v>0</v>
      </c>
      <c r="F1185" s="193" t="s">
        <v>258</v>
      </c>
      <c r="G1185" s="9">
        <f>IF(BD!$E1209="","",(E1185/(H1185*I1185)))</f>
        <v>0</v>
      </c>
      <c r="H1185" s="101">
        <v>1</v>
      </c>
      <c r="I1185" s="101">
        <v>1</v>
      </c>
      <c r="J1185" s="88" t="str">
        <f t="shared" si="39"/>
        <v>ICO030</v>
      </c>
    </row>
    <row r="1186" spans="1:10">
      <c r="A1186" s="44">
        <f t="shared" si="40"/>
        <v>31</v>
      </c>
      <c r="B1186" s="172" t="s">
        <v>878</v>
      </c>
      <c r="C1186" s="40" t="s">
        <v>50</v>
      </c>
      <c r="D1186" s="51" t="s">
        <v>130</v>
      </c>
      <c r="E1186" s="46">
        <v>4000</v>
      </c>
      <c r="F1186" s="193" t="s">
        <v>130</v>
      </c>
      <c r="G1186" s="9">
        <f>IF(BD!$E1203="","",(E1186/(H1186*I1186)))</f>
        <v>4000</v>
      </c>
      <c r="H1186" s="8">
        <v>1</v>
      </c>
      <c r="I1186" s="8">
        <v>1</v>
      </c>
      <c r="J1186" s="88" t="str">
        <f t="shared" si="39"/>
        <v>ICO031</v>
      </c>
    </row>
    <row r="1187" spans="1:10" ht="30">
      <c r="A1187" s="44">
        <f t="shared" si="40"/>
        <v>32</v>
      </c>
      <c r="B1187" s="189" t="s">
        <v>879</v>
      </c>
      <c r="C1187" s="40" t="s">
        <v>50</v>
      </c>
      <c r="D1187" s="51" t="s">
        <v>130</v>
      </c>
      <c r="E1187" s="46">
        <v>51000</v>
      </c>
      <c r="F1187" s="193" t="s">
        <v>130</v>
      </c>
      <c r="G1187" s="9">
        <f>IF(BD!$E1186="","",(E1187/(H1187*I1187)))</f>
        <v>51000</v>
      </c>
      <c r="H1187" s="8">
        <v>1</v>
      </c>
      <c r="I1187" s="8">
        <v>1</v>
      </c>
      <c r="J1187" s="88" t="str">
        <f t="shared" si="39"/>
        <v>ICO032</v>
      </c>
    </row>
    <row r="1188" spans="1:10" ht="30">
      <c r="A1188" s="44">
        <f t="shared" si="40"/>
        <v>33</v>
      </c>
      <c r="B1188" s="266" t="s">
        <v>880</v>
      </c>
      <c r="C1188" s="40" t="s">
        <v>50</v>
      </c>
      <c r="D1188" s="51" t="s">
        <v>130</v>
      </c>
      <c r="E1188" s="46">
        <v>1600</v>
      </c>
      <c r="F1188" s="193" t="s">
        <v>130</v>
      </c>
      <c r="G1188" s="9">
        <f>IF(BD!$E1187="","",(E1188/(H1188*I1188)))</f>
        <v>1600</v>
      </c>
      <c r="H1188" s="8">
        <v>1</v>
      </c>
      <c r="I1188" s="8">
        <v>1</v>
      </c>
      <c r="J1188" s="88" t="str">
        <f t="shared" ref="J1188:J1211" si="41">CONCATENATE(LEFT(C1188,1),MID(C1188,SEARCH("_",C1188)+1,2),TEXT(A1188,"000"))</f>
        <v>ICO033</v>
      </c>
    </row>
    <row r="1189" spans="1:10" ht="30">
      <c r="A1189" s="44">
        <f t="shared" si="40"/>
        <v>34</v>
      </c>
      <c r="B1189" s="172" t="s">
        <v>881</v>
      </c>
      <c r="C1189" s="40" t="s">
        <v>50</v>
      </c>
      <c r="D1189" s="51" t="s">
        <v>130</v>
      </c>
      <c r="E1189" s="46">
        <v>1233.6600000000001</v>
      </c>
      <c r="F1189" s="193" t="s">
        <v>130</v>
      </c>
      <c r="G1189" s="9">
        <f>IF(BD!$E1188="","",(E1189/(H1189*I1189)))</f>
        <v>1233.6600000000001</v>
      </c>
      <c r="H1189" s="8">
        <v>1</v>
      </c>
      <c r="I1189" s="8">
        <v>1</v>
      </c>
      <c r="J1189" s="88" t="str">
        <f t="shared" si="41"/>
        <v>ICO034</v>
      </c>
    </row>
    <row r="1190" spans="1:10" ht="30">
      <c r="A1190" s="44">
        <f t="shared" si="40"/>
        <v>35</v>
      </c>
      <c r="B1190" s="172" t="s">
        <v>882</v>
      </c>
      <c r="C1190" s="40" t="s">
        <v>50</v>
      </c>
      <c r="D1190" s="51" t="s">
        <v>130</v>
      </c>
      <c r="E1190" s="46">
        <v>500</v>
      </c>
      <c r="F1190" s="193" t="s">
        <v>130</v>
      </c>
      <c r="G1190" s="9">
        <f>IF(BD!$E1189="","",(E1190/(H1190*I1190)))</f>
        <v>500</v>
      </c>
      <c r="H1190" s="8">
        <v>1</v>
      </c>
      <c r="I1190" s="8">
        <v>1</v>
      </c>
      <c r="J1190" s="88" t="str">
        <f t="shared" si="41"/>
        <v>ICO035</v>
      </c>
    </row>
    <row r="1191" spans="1:10">
      <c r="A1191" s="44">
        <f t="shared" si="40"/>
        <v>36</v>
      </c>
      <c r="B1191" s="189" t="s">
        <v>883</v>
      </c>
      <c r="C1191" s="40" t="s">
        <v>50</v>
      </c>
      <c r="D1191" s="51" t="s">
        <v>130</v>
      </c>
      <c r="E1191" s="46">
        <v>5900</v>
      </c>
      <c r="F1191" s="193" t="s">
        <v>130</v>
      </c>
      <c r="G1191" s="9">
        <f>IF(BD!$E1204="","",(E1191/(H1191*I1191)))</f>
        <v>5900</v>
      </c>
      <c r="H1191" s="8">
        <v>1</v>
      </c>
      <c r="I1191" s="8">
        <v>1</v>
      </c>
      <c r="J1191" s="88" t="str">
        <f t="shared" si="41"/>
        <v>ICO036</v>
      </c>
    </row>
    <row r="1192" spans="1:10">
      <c r="A1192" s="44">
        <f t="shared" si="40"/>
        <v>37</v>
      </c>
      <c r="B1192" s="172" t="s">
        <v>884</v>
      </c>
      <c r="C1192" s="40" t="s">
        <v>50</v>
      </c>
      <c r="D1192" s="51" t="s">
        <v>130</v>
      </c>
      <c r="E1192" s="46">
        <v>5900</v>
      </c>
      <c r="F1192" s="193" t="s">
        <v>130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1"/>
        <v>ICO037</v>
      </c>
    </row>
    <row r="1193" spans="1:10">
      <c r="A1193" s="44">
        <f t="shared" si="40"/>
        <v>38</v>
      </c>
      <c r="B1193" s="174" t="s">
        <v>885</v>
      </c>
      <c r="C1193" s="40" t="s">
        <v>50</v>
      </c>
      <c r="D1193" s="51" t="s">
        <v>130</v>
      </c>
      <c r="E1193" s="46">
        <v>288766.66666666669</v>
      </c>
      <c r="F1193" s="193" t="s">
        <v>130</v>
      </c>
      <c r="G1193" s="9">
        <f>IF(BD!$E1190="","",(E1193/(H1193*I1193)))</f>
        <v>288766.66666666669</v>
      </c>
      <c r="H1193" s="8">
        <v>1</v>
      </c>
      <c r="I1193" s="8">
        <v>1</v>
      </c>
      <c r="J1193" s="88" t="str">
        <f t="shared" si="41"/>
        <v>ICO038</v>
      </c>
    </row>
    <row r="1194" spans="1:10" ht="30">
      <c r="A1194" s="44">
        <f t="shared" si="40"/>
        <v>39</v>
      </c>
      <c r="B1194" s="189" t="s">
        <v>886</v>
      </c>
      <c r="C1194" s="40" t="s">
        <v>50</v>
      </c>
      <c r="D1194" s="51" t="s">
        <v>887</v>
      </c>
      <c r="E1194" s="46">
        <v>23233.4</v>
      </c>
      <c r="F1194" s="193" t="s">
        <v>887</v>
      </c>
      <c r="G1194" s="9">
        <f>IF(BD!$E1191="","",(E1194/(H1194*I1194)))</f>
        <v>23233.4</v>
      </c>
      <c r="H1194" s="8">
        <v>1</v>
      </c>
      <c r="I1194" s="8">
        <v>1</v>
      </c>
      <c r="J1194" s="88" t="str">
        <f t="shared" si="41"/>
        <v>ICO039</v>
      </c>
    </row>
    <row r="1195" spans="1:10" ht="30">
      <c r="A1195" s="44">
        <f t="shared" si="40"/>
        <v>40</v>
      </c>
      <c r="B1195" s="189" t="s">
        <v>888</v>
      </c>
      <c r="C1195" s="40" t="s">
        <v>50</v>
      </c>
      <c r="D1195" s="51" t="s">
        <v>130</v>
      </c>
      <c r="E1195" s="46">
        <v>219.5</v>
      </c>
      <c r="F1195" s="193" t="s">
        <v>130</v>
      </c>
      <c r="G1195" s="9">
        <f>IF(BD!$E1192="","",(E1195/(H1195*I1195)))</f>
        <v>219.5</v>
      </c>
      <c r="H1195" s="8">
        <v>1</v>
      </c>
      <c r="I1195" s="8">
        <v>1</v>
      </c>
      <c r="J1195" s="88" t="str">
        <f t="shared" si="41"/>
        <v>ICO040</v>
      </c>
    </row>
    <row r="1196" spans="1:10" ht="30">
      <c r="A1196" s="44">
        <f t="shared" si="40"/>
        <v>41</v>
      </c>
      <c r="B1196" s="189" t="s">
        <v>889</v>
      </c>
      <c r="C1196" s="40" t="s">
        <v>50</v>
      </c>
      <c r="D1196" s="51" t="s">
        <v>130</v>
      </c>
      <c r="E1196" s="46">
        <v>907</v>
      </c>
      <c r="F1196" s="193" t="s">
        <v>130</v>
      </c>
      <c r="G1196" s="9">
        <f>IF(BD!$E1193="","",(E1196/(H1196*I1196)))</f>
        <v>907</v>
      </c>
      <c r="H1196" s="8">
        <v>1</v>
      </c>
      <c r="I1196" s="8">
        <v>1</v>
      </c>
      <c r="J1196" s="88" t="str">
        <f t="shared" si="41"/>
        <v>ICO041</v>
      </c>
    </row>
    <row r="1197" spans="1:10">
      <c r="A1197" s="44">
        <f t="shared" si="40"/>
        <v>42</v>
      </c>
      <c r="B1197" s="172" t="s">
        <v>890</v>
      </c>
      <c r="C1197" s="40" t="s">
        <v>50</v>
      </c>
      <c r="D1197" s="51" t="s">
        <v>130</v>
      </c>
      <c r="E1197" s="46">
        <v>5333.34</v>
      </c>
      <c r="F1197" s="193" t="s">
        <v>130</v>
      </c>
      <c r="G1197" s="9">
        <f>IF(BD!$E1194="","",(E1197/(H1197*I1197)))</f>
        <v>5333.34</v>
      </c>
      <c r="H1197" s="8">
        <v>1</v>
      </c>
      <c r="I1197" s="8">
        <v>1</v>
      </c>
      <c r="J1197" s="88" t="str">
        <f t="shared" si="41"/>
        <v>ICO042</v>
      </c>
    </row>
    <row r="1198" spans="1:10" ht="30">
      <c r="A1198" s="44">
        <f t="shared" si="40"/>
        <v>43</v>
      </c>
      <c r="B1198" s="174" t="s">
        <v>891</v>
      </c>
      <c r="C1198" s="40" t="s">
        <v>50</v>
      </c>
      <c r="D1198" s="51" t="s">
        <v>255</v>
      </c>
      <c r="E1198" s="46">
        <v>867804</v>
      </c>
      <c r="F1198" s="193" t="s">
        <v>255</v>
      </c>
      <c r="G1198" s="9">
        <f>IF(BD!$E1195="","",(E1198/(H1198*I1198)))</f>
        <v>867804</v>
      </c>
      <c r="H1198" s="8">
        <v>1</v>
      </c>
      <c r="I1198" s="8">
        <v>1</v>
      </c>
      <c r="J1198" s="88" t="str">
        <f t="shared" si="41"/>
        <v>ICO043</v>
      </c>
    </row>
    <row r="1199" spans="1:10" ht="30">
      <c r="A1199" s="44">
        <f t="shared" si="40"/>
        <v>44</v>
      </c>
      <c r="B1199" s="154" t="s">
        <v>892</v>
      </c>
      <c r="C1199" s="40" t="s">
        <v>50</v>
      </c>
      <c r="D1199" s="51" t="s">
        <v>255</v>
      </c>
      <c r="E1199" s="46">
        <v>1097662</v>
      </c>
      <c r="F1199" s="193" t="s">
        <v>255</v>
      </c>
      <c r="G1199" s="9">
        <f>IF(BD!$E1196="","",(E1199/(H1199*I1199)))</f>
        <v>1097662</v>
      </c>
      <c r="H1199" s="8">
        <v>1</v>
      </c>
      <c r="I1199" s="8">
        <v>1</v>
      </c>
      <c r="J1199" s="88" t="str">
        <f t="shared" si="41"/>
        <v>ICO044</v>
      </c>
    </row>
    <row r="1200" spans="1:10" ht="30">
      <c r="A1200" s="44">
        <f t="shared" si="40"/>
        <v>45</v>
      </c>
      <c r="B1200" s="172" t="s">
        <v>893</v>
      </c>
      <c r="C1200" s="40" t="s">
        <v>50</v>
      </c>
      <c r="D1200" s="61" t="s">
        <v>865</v>
      </c>
      <c r="E1200" s="65">
        <v>74866.666666666672</v>
      </c>
      <c r="F1200" s="196" t="s">
        <v>865</v>
      </c>
      <c r="G1200" s="9">
        <f>IF(BD!$E1197="","",(E1200/(H1200*I1200)))</f>
        <v>74866.666666666672</v>
      </c>
      <c r="H1200" s="66">
        <v>1</v>
      </c>
      <c r="I1200" s="66">
        <v>1</v>
      </c>
      <c r="J1200" s="88" t="str">
        <f t="shared" si="41"/>
        <v>ICO045</v>
      </c>
    </row>
    <row r="1201" spans="1:10">
      <c r="A1201" s="44">
        <f t="shared" si="40"/>
        <v>46</v>
      </c>
      <c r="B1201" s="188" t="s">
        <v>894</v>
      </c>
      <c r="C1201" s="165" t="s">
        <v>50</v>
      </c>
      <c r="D1201" s="171" t="s">
        <v>895</v>
      </c>
      <c r="E1201" s="65">
        <v>74866.666666666672</v>
      </c>
      <c r="F1201" s="196" t="s">
        <v>895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1"/>
        <v>ICO046</v>
      </c>
    </row>
    <row r="1202" spans="1:10">
      <c r="A1202" s="44">
        <f t="shared" si="40"/>
        <v>47</v>
      </c>
      <c r="B1202" s="154" t="s">
        <v>896</v>
      </c>
      <c r="C1202" s="165" t="s">
        <v>50</v>
      </c>
      <c r="D1202" s="171" t="s">
        <v>130</v>
      </c>
      <c r="E1202" s="65">
        <v>19073</v>
      </c>
      <c r="F1202" s="196" t="s">
        <v>130</v>
      </c>
      <c r="G1202" s="9">
        <f>IF(BD!$E1199="","",(E1202/(H1202*I1202)))</f>
        <v>19073</v>
      </c>
      <c r="H1202" s="66">
        <v>1</v>
      </c>
      <c r="I1202" s="66">
        <v>1</v>
      </c>
      <c r="J1202" s="88" t="str">
        <f t="shared" si="41"/>
        <v>ICO047</v>
      </c>
    </row>
    <row r="1203" spans="1:10" ht="30">
      <c r="A1203" s="44">
        <f t="shared" si="40"/>
        <v>48</v>
      </c>
      <c r="B1203" s="172" t="s">
        <v>897</v>
      </c>
      <c r="C1203" s="165" t="s">
        <v>50</v>
      </c>
      <c r="D1203" s="171" t="s">
        <v>130</v>
      </c>
      <c r="E1203" s="65">
        <v>866.66499999999996</v>
      </c>
      <c r="F1203" s="196" t="s">
        <v>130</v>
      </c>
      <c r="G1203" s="9">
        <f>IF(BD!$E1200="","",(E1203/(H1203*I1203)))</f>
        <v>866.66499999999996</v>
      </c>
      <c r="H1203" s="89">
        <v>1</v>
      </c>
      <c r="I1203" s="89">
        <v>1</v>
      </c>
      <c r="J1203" s="88" t="str">
        <f t="shared" si="41"/>
        <v>ICO048</v>
      </c>
    </row>
    <row r="1204" spans="1:10">
      <c r="A1204" s="44">
        <f t="shared" si="40"/>
        <v>49</v>
      </c>
      <c r="B1204" s="172" t="s">
        <v>898</v>
      </c>
      <c r="C1204" s="165" t="s">
        <v>50</v>
      </c>
      <c r="D1204" s="171" t="s">
        <v>874</v>
      </c>
      <c r="E1204" s="65">
        <v>513.33285714285716</v>
      </c>
      <c r="F1204" s="196" t="s">
        <v>874</v>
      </c>
      <c r="G1204" s="9">
        <f>IF(BD!$E1201="","",(E1204/(H1204*I1204)))</f>
        <v>513.33285714285716</v>
      </c>
      <c r="H1204" s="66">
        <v>1</v>
      </c>
      <c r="I1204" s="66">
        <v>1</v>
      </c>
      <c r="J1204" s="88" t="str">
        <f t="shared" si="41"/>
        <v>ICO049</v>
      </c>
    </row>
    <row r="1205" spans="1:10">
      <c r="A1205" s="44">
        <f t="shared" si="40"/>
        <v>50</v>
      </c>
      <c r="B1205" s="154" t="s">
        <v>899</v>
      </c>
      <c r="C1205" s="165" t="s">
        <v>50</v>
      </c>
      <c r="D1205" s="171" t="s">
        <v>130</v>
      </c>
      <c r="E1205" s="65">
        <v>19000</v>
      </c>
      <c r="F1205" s="196" t="s">
        <v>130</v>
      </c>
      <c r="G1205" s="9">
        <f>IF(BD!$E1202="","",(E1205/(H1205*I1205)))</f>
        <v>19000</v>
      </c>
      <c r="H1205" s="66">
        <v>1</v>
      </c>
      <c r="I1205" s="66">
        <v>1</v>
      </c>
      <c r="J1205" s="88" t="str">
        <f t="shared" si="41"/>
        <v>ICO050</v>
      </c>
    </row>
    <row r="1206" spans="1:10">
      <c r="A1206" s="44">
        <f t="shared" si="40"/>
        <v>51</v>
      </c>
      <c r="B1206" s="172" t="s">
        <v>900</v>
      </c>
      <c r="C1206" s="165" t="s">
        <v>50</v>
      </c>
      <c r="D1206" s="171" t="s">
        <v>130</v>
      </c>
      <c r="E1206" s="65">
        <v>3800</v>
      </c>
      <c r="F1206" s="196" t="s">
        <v>130</v>
      </c>
      <c r="G1206" s="9">
        <f>IF(BD!$E1203="","",(E1206/(H1206*I1206)))</f>
        <v>3800</v>
      </c>
      <c r="H1206" s="89">
        <v>1</v>
      </c>
      <c r="I1206" s="89">
        <v>1</v>
      </c>
      <c r="J1206" s="88" t="str">
        <f t="shared" si="41"/>
        <v>ICO051</v>
      </c>
    </row>
    <row r="1207" spans="1:10" ht="30">
      <c r="A1207" s="44">
        <f t="shared" si="40"/>
        <v>52</v>
      </c>
      <c r="B1207" s="173" t="s">
        <v>901</v>
      </c>
      <c r="C1207" s="40" t="s">
        <v>50</v>
      </c>
      <c r="D1207" s="60" t="s">
        <v>191</v>
      </c>
      <c r="E1207" s="46">
        <v>3200</v>
      </c>
      <c r="F1207" s="193" t="s">
        <v>191</v>
      </c>
      <c r="G1207" s="9">
        <f>IF(BD!$E1204="","",(E1207/(H1207*I1207)))</f>
        <v>3200</v>
      </c>
      <c r="H1207" s="87">
        <v>1</v>
      </c>
      <c r="I1207" s="87">
        <v>1</v>
      </c>
      <c r="J1207" s="88" t="str">
        <f t="shared" si="41"/>
        <v>ICO052</v>
      </c>
    </row>
    <row r="1208" spans="1:10">
      <c r="A1208" s="44">
        <f t="shared" si="40"/>
        <v>53</v>
      </c>
      <c r="B1208" s="265" t="s">
        <v>902</v>
      </c>
      <c r="C1208" s="229" t="s">
        <v>50</v>
      </c>
      <c r="D1208" s="90" t="s">
        <v>233</v>
      </c>
      <c r="E1208" s="170">
        <v>7200</v>
      </c>
      <c r="F1208" s="198" t="s">
        <v>865</v>
      </c>
      <c r="G1208" s="9">
        <f>IF(BD!$E1205="","",(E1208/(H1208*I1208)))</f>
        <v>7200</v>
      </c>
      <c r="H1208" s="176">
        <v>1</v>
      </c>
      <c r="I1208" s="176">
        <v>1</v>
      </c>
      <c r="J1208" s="230" t="str">
        <f t="shared" si="41"/>
        <v>ICO053</v>
      </c>
    </row>
    <row r="1209" spans="1:10">
      <c r="A1209" s="44">
        <f t="shared" si="40"/>
        <v>54</v>
      </c>
      <c r="B1209" s="234" t="s">
        <v>903</v>
      </c>
      <c r="C1209" s="229" t="s">
        <v>50</v>
      </c>
      <c r="D1209" s="90" t="s">
        <v>130</v>
      </c>
      <c r="E1209" s="170">
        <v>6013.33</v>
      </c>
      <c r="F1209" s="198" t="s">
        <v>130</v>
      </c>
      <c r="G1209" s="9">
        <f>IF(BD!$E1206="","",(E1209/(H1209*I1209)))</f>
        <v>6013.33</v>
      </c>
      <c r="H1209" s="176">
        <v>1</v>
      </c>
      <c r="I1209" s="176">
        <v>1</v>
      </c>
      <c r="J1209" s="230" t="str">
        <f t="shared" si="41"/>
        <v>ICO054</v>
      </c>
    </row>
    <row r="1210" spans="1:10">
      <c r="A1210" s="44">
        <f t="shared" si="40"/>
        <v>55</v>
      </c>
      <c r="B1210" s="233" t="s">
        <v>904</v>
      </c>
      <c r="C1210" s="231" t="s">
        <v>50</v>
      </c>
      <c r="D1210" s="235" t="s">
        <v>130</v>
      </c>
      <c r="E1210" s="232">
        <v>1101.5</v>
      </c>
      <c r="F1210" s="199" t="s">
        <v>130</v>
      </c>
      <c r="G1210" s="9">
        <f>IF(BD!$E1207="","",(E1210/(H1210*I1210)))</f>
        <v>1101.5</v>
      </c>
      <c r="H1210" s="185">
        <v>1</v>
      </c>
      <c r="I1210" s="185">
        <v>1</v>
      </c>
      <c r="J1210" s="92" t="str">
        <f t="shared" si="41"/>
        <v>ICO055</v>
      </c>
    </row>
    <row r="1211" spans="1:10">
      <c r="A1211" s="44">
        <f t="shared" si="40"/>
        <v>56</v>
      </c>
      <c r="B1211" s="245" t="s">
        <v>905</v>
      </c>
      <c r="C1211" s="231" t="s">
        <v>50</v>
      </c>
      <c r="D1211" s="267" t="s">
        <v>130</v>
      </c>
      <c r="E1211" s="232">
        <v>11100</v>
      </c>
      <c r="F1211" s="199" t="s">
        <v>130</v>
      </c>
      <c r="G1211" s="9">
        <f>IF(BD!$E1208="","",(E1211/(H1211*I1211)))</f>
        <v>11100</v>
      </c>
      <c r="H1211" s="268">
        <v>1</v>
      </c>
      <c r="I1211" s="268">
        <v>1</v>
      </c>
      <c r="J1211" s="92" t="str">
        <f t="shared" si="41"/>
        <v>ICO056</v>
      </c>
    </row>
    <row r="1212" spans="1:10">
      <c r="B1212" s="115"/>
      <c r="C1212"/>
      <c r="D1212"/>
      <c r="E1212"/>
      <c r="F1212" s="194"/>
      <c r="H1212"/>
      <c r="I1212"/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 ht="15.75">
      <c r="A1252" s="82"/>
      <c r="B1252" s="83" t="s">
        <v>137</v>
      </c>
      <c r="C1252" s="82"/>
      <c r="D1252" s="82"/>
      <c r="E1252" s="82"/>
      <c r="F1252" s="195"/>
      <c r="G1252" s="82"/>
      <c r="H1252" s="82"/>
      <c r="I1252" s="82"/>
      <c r="J1252" s="82"/>
    </row>
    <row r="1253" spans="1:10" ht="24.75" customHeight="1">
      <c r="B1253"/>
      <c r="C1253"/>
      <c r="D1253"/>
      <c r="E1253"/>
      <c r="F1253" s="194"/>
      <c r="H1253"/>
      <c r="I1253"/>
    </row>
    <row r="1254" spans="1:10" ht="23.25">
      <c r="A1254" s="141" t="s">
        <v>112</v>
      </c>
      <c r="B1254" s="140">
        <f>SUBTOTAL(3,Tabla34[Material])</f>
        <v>83</v>
      </c>
      <c r="C1254" s="448"/>
      <c r="D1254" s="448"/>
      <c r="E1254"/>
      <c r="F1254" s="194"/>
      <c r="H1254"/>
      <c r="I1254"/>
    </row>
    <row r="1255" spans="1:10" ht="47.25">
      <c r="A1255" s="138" t="s">
        <v>97</v>
      </c>
      <c r="B1255" s="71" t="s">
        <v>114</v>
      </c>
      <c r="C1255" s="123" t="s">
        <v>115</v>
      </c>
      <c r="D1255" s="139" t="s">
        <v>116</v>
      </c>
      <c r="E1255" s="62" t="s">
        <v>117</v>
      </c>
      <c r="F1255" s="201" t="s">
        <v>118</v>
      </c>
      <c r="G1255" s="63" t="s">
        <v>119</v>
      </c>
      <c r="H1255" s="64" t="s">
        <v>120</v>
      </c>
      <c r="I1255" s="64" t="s">
        <v>121</v>
      </c>
      <c r="J1255" s="67" t="s">
        <v>122</v>
      </c>
    </row>
    <row r="1256" spans="1:10">
      <c r="A1256" s="44">
        <v>1</v>
      </c>
      <c r="B1256" s="45" t="s">
        <v>906</v>
      </c>
      <c r="C1256" s="229" t="s">
        <v>77</v>
      </c>
      <c r="D1256" s="249" t="s">
        <v>907</v>
      </c>
      <c r="E1256" s="46">
        <v>35093.533333333333</v>
      </c>
      <c r="F1256" s="193" t="s">
        <v>907</v>
      </c>
      <c r="G1256" s="9">
        <f>IF(BD!$E1256="","",(E1256/(H1256*I1256)))</f>
        <v>2924.4611111111112</v>
      </c>
      <c r="H1256" s="8">
        <v>12</v>
      </c>
      <c r="I1256" s="8">
        <v>1</v>
      </c>
      <c r="J1256" s="68" t="str">
        <f t="shared" ref="J1256:J1286" si="42">CONCATENATE(LEFT(C1256,1),MID(C1256,SEARCH("_",C1256)+1,2),TEXT(A1256,"000"))</f>
        <v>PP001</v>
      </c>
    </row>
    <row r="1257" spans="1:10">
      <c r="A1257" s="44">
        <f t="shared" ref="A1257:A1301" si="43">A1256+1</f>
        <v>2</v>
      </c>
      <c r="B1257" s="45" t="s">
        <v>908</v>
      </c>
      <c r="C1257" s="229" t="s">
        <v>77</v>
      </c>
      <c r="D1257" s="60" t="s">
        <v>130</v>
      </c>
      <c r="E1257" s="46">
        <v>3146.625</v>
      </c>
      <c r="F1257" s="193" t="s">
        <v>130</v>
      </c>
      <c r="G1257" s="9">
        <f>IF(BD!$E1257="","",(E1257/(H1257*I1257)))</f>
        <v>3146.625</v>
      </c>
      <c r="H1257" s="8">
        <v>1</v>
      </c>
      <c r="I1257" s="8">
        <v>1</v>
      </c>
      <c r="J1257" s="68" t="str">
        <f t="shared" si="42"/>
        <v>PP002</v>
      </c>
    </row>
    <row r="1258" spans="1:10">
      <c r="A1258" s="44">
        <f t="shared" si="43"/>
        <v>3</v>
      </c>
      <c r="B1258" s="39" t="s">
        <v>909</v>
      </c>
      <c r="C1258" s="229" t="s">
        <v>77</v>
      </c>
      <c r="D1258" s="51" t="s">
        <v>130</v>
      </c>
      <c r="E1258" s="46">
        <v>8731.5333333333328</v>
      </c>
      <c r="F1258" s="193" t="s">
        <v>130</v>
      </c>
      <c r="G1258" s="9">
        <f>IF(BD!$E1258="","",(E1258/(H1258*I1258)))</f>
        <v>8731.5333333333328</v>
      </c>
      <c r="H1258" s="8">
        <v>1</v>
      </c>
      <c r="I1258" s="8">
        <v>1</v>
      </c>
      <c r="J1258" s="68" t="str">
        <f t="shared" si="42"/>
        <v>PP003</v>
      </c>
    </row>
    <row r="1259" spans="1:10">
      <c r="A1259" s="44">
        <f t="shared" si="43"/>
        <v>4</v>
      </c>
      <c r="B1259" s="45" t="s">
        <v>910</v>
      </c>
      <c r="C1259" s="229" t="s">
        <v>77</v>
      </c>
      <c r="D1259" s="51" t="s">
        <v>130</v>
      </c>
      <c r="E1259" s="46">
        <v>5376.625</v>
      </c>
      <c r="F1259" s="193" t="s">
        <v>130</v>
      </c>
      <c r="G1259" s="9">
        <f>IF(BD!$E1259="","",(E1259/(H1259*I1259)))</f>
        <v>5376.625</v>
      </c>
      <c r="H1259" s="8">
        <v>1</v>
      </c>
      <c r="I1259" s="8">
        <v>1</v>
      </c>
      <c r="J1259" s="68" t="str">
        <f t="shared" si="42"/>
        <v>PP004</v>
      </c>
    </row>
    <row r="1260" spans="1:10">
      <c r="A1260" s="44">
        <f t="shared" si="43"/>
        <v>5</v>
      </c>
      <c r="B1260" s="45" t="s">
        <v>911</v>
      </c>
      <c r="C1260" s="229" t="s">
        <v>77</v>
      </c>
      <c r="D1260" s="51" t="s">
        <v>130</v>
      </c>
      <c r="E1260" s="46">
        <v>7039.5</v>
      </c>
      <c r="F1260" s="193" t="s">
        <v>130</v>
      </c>
      <c r="G1260" s="9">
        <f>IF(BD!$E1260="","",(E1260/(H1260*I1260)))</f>
        <v>7039.5</v>
      </c>
      <c r="H1260" s="8">
        <v>1</v>
      </c>
      <c r="I1260" s="8">
        <v>1</v>
      </c>
      <c r="J1260" s="68" t="str">
        <f t="shared" si="42"/>
        <v>PP005</v>
      </c>
    </row>
    <row r="1261" spans="1:10">
      <c r="A1261" s="44">
        <f t="shared" si="43"/>
        <v>6</v>
      </c>
      <c r="B1261" s="45" t="s">
        <v>912</v>
      </c>
      <c r="C1261" s="229" t="s">
        <v>77</v>
      </c>
      <c r="D1261" s="51" t="s">
        <v>130</v>
      </c>
      <c r="E1261" s="46">
        <v>13260</v>
      </c>
      <c r="F1261" s="193" t="s">
        <v>130</v>
      </c>
      <c r="G1261" s="9">
        <f>IF(BD!$E1261="","",(E1261/(H1261*I1261)))</f>
        <v>13260</v>
      </c>
      <c r="H1261" s="8">
        <v>1</v>
      </c>
      <c r="I1261" s="8">
        <v>1</v>
      </c>
      <c r="J1261" s="68" t="str">
        <f t="shared" si="42"/>
        <v>PP006</v>
      </c>
    </row>
    <row r="1262" spans="1:10">
      <c r="A1262" s="44">
        <f t="shared" si="43"/>
        <v>7</v>
      </c>
      <c r="B1262" s="45" t="s">
        <v>913</v>
      </c>
      <c r="C1262" s="229" t="s">
        <v>77</v>
      </c>
      <c r="D1262" s="51" t="s">
        <v>130</v>
      </c>
      <c r="E1262" s="46">
        <v>5136.2</v>
      </c>
      <c r="F1262" s="193" t="s">
        <v>130</v>
      </c>
      <c r="G1262" s="9">
        <f>IF(BD!$E1262="","",(E1262/(H1262*I1262)))</f>
        <v>5136.2</v>
      </c>
      <c r="H1262" s="8">
        <v>1</v>
      </c>
      <c r="I1262" s="8">
        <v>1</v>
      </c>
      <c r="J1262" s="68" t="str">
        <f t="shared" si="42"/>
        <v>PP007</v>
      </c>
    </row>
    <row r="1263" spans="1:10">
      <c r="A1263" s="44">
        <f t="shared" si="43"/>
        <v>8</v>
      </c>
      <c r="B1263" s="45" t="s">
        <v>914</v>
      </c>
      <c r="C1263" s="229" t="s">
        <v>77</v>
      </c>
      <c r="D1263" s="51" t="s">
        <v>130</v>
      </c>
      <c r="E1263" s="46">
        <v>5628.6</v>
      </c>
      <c r="F1263" s="193" t="s">
        <v>130</v>
      </c>
      <c r="G1263" s="9">
        <f>IF(BD!$E1263="","",(E1263/(H1263*I1263)))</f>
        <v>5628.6</v>
      </c>
      <c r="H1263" s="8">
        <v>1</v>
      </c>
      <c r="I1263" s="8">
        <v>1</v>
      </c>
      <c r="J1263" s="68" t="str">
        <f t="shared" si="42"/>
        <v>PP008</v>
      </c>
    </row>
    <row r="1264" spans="1:10">
      <c r="A1264" s="44">
        <f t="shared" si="43"/>
        <v>9</v>
      </c>
      <c r="B1264" s="39" t="s">
        <v>915</v>
      </c>
      <c r="C1264" s="229" t="s">
        <v>77</v>
      </c>
      <c r="D1264" s="51" t="s">
        <v>130</v>
      </c>
      <c r="E1264" s="49">
        <v>7204.6</v>
      </c>
      <c r="F1264" s="193" t="s">
        <v>130</v>
      </c>
      <c r="G1264" s="9">
        <f>IF(BD!$E1264="","",(E1264/(H1264*I1264)))</f>
        <v>7204.6</v>
      </c>
      <c r="H1264" s="8">
        <v>1</v>
      </c>
      <c r="I1264" s="8">
        <v>1</v>
      </c>
      <c r="J1264" s="68" t="str">
        <f t="shared" si="42"/>
        <v>PP009</v>
      </c>
    </row>
    <row r="1265" spans="1:10">
      <c r="A1265" s="44">
        <f t="shared" si="43"/>
        <v>10</v>
      </c>
      <c r="B1265" s="45" t="s">
        <v>916</v>
      </c>
      <c r="C1265" s="229" t="s">
        <v>77</v>
      </c>
      <c r="D1265" s="51" t="s">
        <v>130</v>
      </c>
      <c r="E1265" s="49">
        <v>12510</v>
      </c>
      <c r="F1265" s="193" t="s">
        <v>130</v>
      </c>
      <c r="G1265" s="9">
        <f>IF(BD!$E1265="","",(E1265/(H1265*I1265)))</f>
        <v>12510</v>
      </c>
      <c r="H1265" s="8">
        <v>1</v>
      </c>
      <c r="I1265" s="8">
        <v>1</v>
      </c>
      <c r="J1265" s="68" t="str">
        <f t="shared" si="42"/>
        <v>PP010</v>
      </c>
    </row>
    <row r="1266" spans="1:10">
      <c r="A1266" s="44">
        <f t="shared" si="43"/>
        <v>11</v>
      </c>
      <c r="B1266" s="45" t="s">
        <v>917</v>
      </c>
      <c r="C1266" s="229" t="s">
        <v>77</v>
      </c>
      <c r="D1266" s="51" t="s">
        <v>130</v>
      </c>
      <c r="E1266" s="49">
        <v>8789</v>
      </c>
      <c r="F1266" s="193" t="s">
        <v>130</v>
      </c>
      <c r="G1266" s="9">
        <f>IF(BD!$E1266="","",(E1266/(H1266*I1266)))</f>
        <v>8789</v>
      </c>
      <c r="H1266" s="8">
        <v>1</v>
      </c>
      <c r="I1266" s="8">
        <v>1</v>
      </c>
      <c r="J1266" s="68" t="str">
        <f t="shared" si="42"/>
        <v>PP011</v>
      </c>
    </row>
    <row r="1267" spans="1:10">
      <c r="A1267" s="44">
        <f t="shared" si="43"/>
        <v>12</v>
      </c>
      <c r="B1267" s="45" t="s">
        <v>918</v>
      </c>
      <c r="C1267" s="229" t="s">
        <v>77</v>
      </c>
      <c r="D1267" s="51" t="s">
        <v>130</v>
      </c>
      <c r="E1267" s="49">
        <v>20643.5</v>
      </c>
      <c r="F1267" s="193" t="s">
        <v>130</v>
      </c>
      <c r="G1267" s="9">
        <f>IF(BD!$E1267="","",(E1267/(H1267*I1267)))</f>
        <v>20643.5</v>
      </c>
      <c r="H1267" s="8">
        <v>1</v>
      </c>
      <c r="I1267" s="8">
        <v>1</v>
      </c>
      <c r="J1267" s="68" t="str">
        <f t="shared" si="42"/>
        <v>PP012</v>
      </c>
    </row>
    <row r="1268" spans="1:10">
      <c r="A1268" s="44">
        <f t="shared" si="43"/>
        <v>13</v>
      </c>
      <c r="B1268" s="45" t="s">
        <v>919</v>
      </c>
      <c r="C1268" s="229" t="s">
        <v>77</v>
      </c>
      <c r="D1268" s="51" t="s">
        <v>130</v>
      </c>
      <c r="E1268" s="49">
        <v>2006</v>
      </c>
      <c r="F1268" s="193" t="s">
        <v>130</v>
      </c>
      <c r="G1268" s="9">
        <f>IF(BD!$E1268="","",(E1268/(H1268*I1268)))</f>
        <v>2006</v>
      </c>
      <c r="H1268" s="8">
        <v>1</v>
      </c>
      <c r="I1268" s="8">
        <v>1</v>
      </c>
      <c r="J1268" s="68" t="str">
        <f t="shared" si="42"/>
        <v>PP013</v>
      </c>
    </row>
    <row r="1269" spans="1:10">
      <c r="A1269" s="44">
        <f t="shared" si="43"/>
        <v>14</v>
      </c>
      <c r="B1269" s="45" t="s">
        <v>920</v>
      </c>
      <c r="C1269" s="229" t="s">
        <v>77</v>
      </c>
      <c r="D1269" s="51" t="s">
        <v>130</v>
      </c>
      <c r="E1269" s="49">
        <v>36293.5</v>
      </c>
      <c r="F1269" s="193" t="s">
        <v>130</v>
      </c>
      <c r="G1269" s="9">
        <f>IF(BD!$E1269="","",(E1269/(H1269*I1269)))</f>
        <v>36293.5</v>
      </c>
      <c r="H1269" s="8">
        <v>1</v>
      </c>
      <c r="I1269" s="8">
        <v>1</v>
      </c>
      <c r="J1269" s="68" t="str">
        <f t="shared" si="42"/>
        <v>PP014</v>
      </c>
    </row>
    <row r="1270" spans="1:10">
      <c r="A1270" s="44">
        <f t="shared" si="43"/>
        <v>15</v>
      </c>
      <c r="B1270" s="39" t="s">
        <v>921</v>
      </c>
      <c r="C1270" s="229" t="s">
        <v>77</v>
      </c>
      <c r="D1270" s="51" t="s">
        <v>130</v>
      </c>
      <c r="E1270" s="49">
        <v>9613.3333333333339</v>
      </c>
      <c r="F1270" s="193" t="s">
        <v>130</v>
      </c>
      <c r="G1270" s="9">
        <f>IF(BD!$E1270="","",(E1270/(H1270*I1270)))</f>
        <v>9613.3333333333339</v>
      </c>
      <c r="H1270" s="8">
        <v>1</v>
      </c>
      <c r="I1270" s="8">
        <v>1</v>
      </c>
      <c r="J1270" s="68" t="str">
        <f t="shared" si="42"/>
        <v>PP015</v>
      </c>
    </row>
    <row r="1271" spans="1:10">
      <c r="A1271" s="44">
        <f t="shared" si="43"/>
        <v>16</v>
      </c>
      <c r="B1271" s="39" t="s">
        <v>922</v>
      </c>
      <c r="C1271" s="229" t="s">
        <v>77</v>
      </c>
      <c r="D1271" s="51" t="s">
        <v>130</v>
      </c>
      <c r="E1271" s="49">
        <v>76295</v>
      </c>
      <c r="F1271" s="193" t="s">
        <v>130</v>
      </c>
      <c r="G1271" s="9">
        <f>IF(BD!$E1271="","",(E1271/(H1271*I1271)))</f>
        <v>76295</v>
      </c>
      <c r="H1271" s="8">
        <v>1</v>
      </c>
      <c r="I1271" s="8">
        <v>1</v>
      </c>
      <c r="J1271" s="68" t="str">
        <f t="shared" si="42"/>
        <v>PP016</v>
      </c>
    </row>
    <row r="1272" spans="1:10">
      <c r="A1272" s="44">
        <f t="shared" si="43"/>
        <v>17</v>
      </c>
      <c r="B1272" s="39" t="s">
        <v>923</v>
      </c>
      <c r="C1272" s="229" t="s">
        <v>77</v>
      </c>
      <c r="D1272" s="51" t="s">
        <v>130</v>
      </c>
      <c r="E1272" s="49">
        <v>3326.46</v>
      </c>
      <c r="F1272" s="193" t="s">
        <v>130</v>
      </c>
      <c r="G1272" s="9">
        <f>IF(BD!$E1272="","",(E1272/(H1272*I1272)))</f>
        <v>3326.46</v>
      </c>
      <c r="H1272" s="8">
        <v>1</v>
      </c>
      <c r="I1272" s="8">
        <v>1</v>
      </c>
      <c r="J1272" s="68" t="str">
        <f t="shared" si="42"/>
        <v>PP017</v>
      </c>
    </row>
    <row r="1273" spans="1:10" ht="30">
      <c r="A1273" s="44">
        <f t="shared" si="43"/>
        <v>18</v>
      </c>
      <c r="B1273" s="39" t="s">
        <v>924</v>
      </c>
      <c r="C1273" s="229" t="s">
        <v>77</v>
      </c>
      <c r="D1273" s="51" t="s">
        <v>130</v>
      </c>
      <c r="E1273" s="49">
        <v>61667.5</v>
      </c>
      <c r="F1273" s="193" t="s">
        <v>130</v>
      </c>
      <c r="G1273" s="9">
        <f>IF(BD!$E1273="","",(E1273/(H1273*I1273)))</f>
        <v>61667.5</v>
      </c>
      <c r="H1273" s="8">
        <v>1</v>
      </c>
      <c r="I1273" s="8">
        <v>1</v>
      </c>
      <c r="J1273" s="68" t="str">
        <f t="shared" si="42"/>
        <v>PP018</v>
      </c>
    </row>
    <row r="1274" spans="1:10" ht="30">
      <c r="A1274" s="44">
        <f t="shared" si="43"/>
        <v>19</v>
      </c>
      <c r="B1274" s="39" t="s">
        <v>925</v>
      </c>
      <c r="C1274" s="229" t="s">
        <v>77</v>
      </c>
      <c r="D1274" s="51" t="s">
        <v>130</v>
      </c>
      <c r="E1274" s="46">
        <v>720750</v>
      </c>
      <c r="F1274" s="193" t="s">
        <v>130</v>
      </c>
      <c r="G1274" s="9">
        <f>IF(BD!$E1274="","",(E1274/(H1274*I1274)))</f>
        <v>720750</v>
      </c>
      <c r="H1274" s="8">
        <v>1</v>
      </c>
      <c r="I1274" s="8">
        <v>1</v>
      </c>
      <c r="J1274" s="68" t="str">
        <f t="shared" si="42"/>
        <v>PP019</v>
      </c>
    </row>
    <row r="1275" spans="1:10">
      <c r="A1275" s="44">
        <f t="shared" si="43"/>
        <v>20</v>
      </c>
      <c r="B1275" s="45" t="s">
        <v>926</v>
      </c>
      <c r="C1275" s="229" t="s">
        <v>77</v>
      </c>
      <c r="D1275" s="51" t="s">
        <v>874</v>
      </c>
      <c r="E1275" s="46">
        <v>3215</v>
      </c>
      <c r="F1275" s="193" t="s">
        <v>874</v>
      </c>
      <c r="G1275" s="9">
        <f>IF(BD!$E1275="","",(E1275/(H1275*I1275)))</f>
        <v>3215</v>
      </c>
      <c r="H1275" s="8">
        <v>1</v>
      </c>
      <c r="I1275" s="8">
        <v>1</v>
      </c>
      <c r="J1275" s="68" t="str">
        <f t="shared" si="42"/>
        <v>PP020</v>
      </c>
    </row>
    <row r="1276" spans="1:10">
      <c r="A1276" s="44">
        <f t="shared" si="43"/>
        <v>21</v>
      </c>
      <c r="B1276" s="45" t="s">
        <v>927</v>
      </c>
      <c r="C1276" s="229" t="s">
        <v>77</v>
      </c>
      <c r="D1276" s="51" t="s">
        <v>874</v>
      </c>
      <c r="E1276" s="46">
        <v>8300</v>
      </c>
      <c r="F1276" s="193" t="s">
        <v>874</v>
      </c>
      <c r="G1276" s="9">
        <f>IF(BD!$E1276="","",(E1276/(H1276*I1276)))</f>
        <v>8300</v>
      </c>
      <c r="H1276" s="8">
        <v>1</v>
      </c>
      <c r="I1276" s="8">
        <v>1</v>
      </c>
      <c r="J1276" s="68" t="str">
        <f t="shared" si="42"/>
        <v>PP021</v>
      </c>
    </row>
    <row r="1277" spans="1:10">
      <c r="A1277" s="44">
        <f t="shared" si="43"/>
        <v>22</v>
      </c>
      <c r="B1277" s="45" t="s">
        <v>928</v>
      </c>
      <c r="C1277" s="229" t="s">
        <v>77</v>
      </c>
      <c r="D1277" s="51" t="s">
        <v>874</v>
      </c>
      <c r="E1277" s="46">
        <v>3276</v>
      </c>
      <c r="F1277" s="193" t="s">
        <v>874</v>
      </c>
      <c r="G1277" s="9">
        <f>IF(BD!$E1277="","",(E1277/(H1277*I1277)))</f>
        <v>3276</v>
      </c>
      <c r="H1277" s="8">
        <v>1</v>
      </c>
      <c r="I1277" s="8">
        <v>1</v>
      </c>
      <c r="J1277" s="68" t="str">
        <f t="shared" si="42"/>
        <v>PP022</v>
      </c>
    </row>
    <row r="1278" spans="1:10">
      <c r="A1278" s="44">
        <f t="shared" si="43"/>
        <v>23</v>
      </c>
      <c r="B1278" s="45" t="s">
        <v>929</v>
      </c>
      <c r="C1278" s="229" t="s">
        <v>77</v>
      </c>
      <c r="D1278" s="51" t="s">
        <v>130</v>
      </c>
      <c r="E1278" s="46">
        <v>34700</v>
      </c>
      <c r="F1278" s="193" t="s">
        <v>130</v>
      </c>
      <c r="G1278" s="9">
        <f>IF(BD!$E1278="","",(E1278/(H1278*I1278)))</f>
        <v>34700</v>
      </c>
      <c r="H1278" s="8">
        <v>1</v>
      </c>
      <c r="I1278" s="8">
        <v>1</v>
      </c>
      <c r="J1278" s="68" t="str">
        <f t="shared" si="42"/>
        <v>PP023</v>
      </c>
    </row>
    <row r="1279" spans="1:10">
      <c r="A1279" s="44">
        <f t="shared" si="43"/>
        <v>24</v>
      </c>
      <c r="B1279" s="45" t="s">
        <v>930</v>
      </c>
      <c r="C1279" s="229" t="s">
        <v>77</v>
      </c>
      <c r="D1279" s="51" t="s">
        <v>130</v>
      </c>
      <c r="E1279" s="46">
        <v>16695</v>
      </c>
      <c r="F1279" s="193" t="s">
        <v>130</v>
      </c>
      <c r="G1279" s="9">
        <f>IF(BD!$E1279="","",(E1279/(H1279*I1279)))</f>
        <v>16695</v>
      </c>
      <c r="H1279" s="8">
        <v>1</v>
      </c>
      <c r="I1279" s="8">
        <v>1</v>
      </c>
      <c r="J1279" s="68" t="str">
        <f t="shared" si="42"/>
        <v>PP024</v>
      </c>
    </row>
    <row r="1280" spans="1:10">
      <c r="A1280" s="44">
        <f t="shared" si="43"/>
        <v>25</v>
      </c>
      <c r="B1280" s="45" t="s">
        <v>931</v>
      </c>
      <c r="C1280" s="229" t="s">
        <v>77</v>
      </c>
      <c r="D1280" s="51" t="s">
        <v>130</v>
      </c>
      <c r="E1280" s="46">
        <v>20585</v>
      </c>
      <c r="F1280" s="193" t="s">
        <v>130</v>
      </c>
      <c r="G1280" s="9">
        <f>IF(BD!$E1280="","",(E1280/(H1280*I1280)))</f>
        <v>20585</v>
      </c>
      <c r="H1280" s="8">
        <v>1</v>
      </c>
      <c r="I1280" s="8">
        <v>1</v>
      </c>
      <c r="J1280" s="68" t="str">
        <f t="shared" si="42"/>
        <v>PP025</v>
      </c>
    </row>
    <row r="1281" spans="1:10">
      <c r="A1281" s="44">
        <f t="shared" si="43"/>
        <v>26</v>
      </c>
      <c r="B1281" s="45" t="s">
        <v>932</v>
      </c>
      <c r="C1281" s="229" t="s">
        <v>77</v>
      </c>
      <c r="D1281" s="51" t="s">
        <v>130</v>
      </c>
      <c r="E1281" s="46">
        <v>2912.52</v>
      </c>
      <c r="F1281" s="193" t="s">
        <v>130</v>
      </c>
      <c r="G1281" s="9">
        <f>IF(BD!$E1281="","",(E1281/(H1281*I1281)))</f>
        <v>2912.52</v>
      </c>
      <c r="H1281" s="8">
        <v>1</v>
      </c>
      <c r="I1281" s="8">
        <v>1</v>
      </c>
      <c r="J1281" s="68" t="str">
        <f t="shared" si="42"/>
        <v>PP026</v>
      </c>
    </row>
    <row r="1282" spans="1:10">
      <c r="A1282" s="44">
        <f t="shared" si="43"/>
        <v>27</v>
      </c>
      <c r="B1282" s="45" t="s">
        <v>933</v>
      </c>
      <c r="C1282" s="229" t="s">
        <v>77</v>
      </c>
      <c r="D1282" s="51" t="s">
        <v>130</v>
      </c>
      <c r="E1282" s="46">
        <v>18486</v>
      </c>
      <c r="F1282" s="193" t="s">
        <v>130</v>
      </c>
      <c r="G1282" s="9">
        <f>IF(BD!$E1282="","",(E1282/(H1282*I1282)))</f>
        <v>18486</v>
      </c>
      <c r="H1282" s="8">
        <v>1</v>
      </c>
      <c r="I1282" s="8">
        <v>1</v>
      </c>
      <c r="J1282" s="68" t="str">
        <f t="shared" si="42"/>
        <v>PP027</v>
      </c>
    </row>
    <row r="1283" spans="1:10">
      <c r="A1283" s="44">
        <f t="shared" si="43"/>
        <v>28</v>
      </c>
      <c r="B1283" s="45" t="s">
        <v>934</v>
      </c>
      <c r="C1283" s="229" t="s">
        <v>77</v>
      </c>
      <c r="D1283" s="51" t="s">
        <v>130</v>
      </c>
      <c r="E1283" s="46">
        <v>18895</v>
      </c>
      <c r="F1283" s="193" t="s">
        <v>130</v>
      </c>
      <c r="G1283" s="9">
        <f>IF(BD!$E1283="","",(E1283/(H1283*I1283)))</f>
        <v>18895</v>
      </c>
      <c r="H1283" s="8">
        <v>1</v>
      </c>
      <c r="I1283" s="8">
        <v>1</v>
      </c>
      <c r="J1283" s="68" t="str">
        <f t="shared" si="42"/>
        <v>PP028</v>
      </c>
    </row>
    <row r="1284" spans="1:10">
      <c r="A1284" s="44">
        <f t="shared" si="43"/>
        <v>29</v>
      </c>
      <c r="B1284" s="45" t="s">
        <v>935</v>
      </c>
      <c r="C1284" s="229" t="s">
        <v>77</v>
      </c>
      <c r="D1284" s="51" t="s">
        <v>130</v>
      </c>
      <c r="E1284" s="46">
        <v>35150</v>
      </c>
      <c r="F1284" s="193" t="s">
        <v>130</v>
      </c>
      <c r="G1284" s="9">
        <f>IF(BD!$E1284="","",(E1284/(H1284*I1284)))</f>
        <v>35150</v>
      </c>
      <c r="H1284" s="8">
        <v>1</v>
      </c>
      <c r="I1284" s="8">
        <v>1</v>
      </c>
      <c r="J1284" s="68" t="str">
        <f t="shared" si="42"/>
        <v>PP029</v>
      </c>
    </row>
    <row r="1285" spans="1:10">
      <c r="A1285" s="44">
        <f t="shared" si="43"/>
        <v>30</v>
      </c>
      <c r="B1285" s="45" t="s">
        <v>936</v>
      </c>
      <c r="C1285" s="229" t="s">
        <v>77</v>
      </c>
      <c r="D1285" s="51" t="s">
        <v>874</v>
      </c>
      <c r="E1285" s="46">
        <v>3145</v>
      </c>
      <c r="F1285" s="193" t="s">
        <v>261</v>
      </c>
      <c r="G1285" s="9">
        <f>IF(BD!$E1285="","",(E1285/(H1285*I1285)))</f>
        <v>0.44928571428571429</v>
      </c>
      <c r="H1285" s="8">
        <v>70</v>
      </c>
      <c r="I1285" s="8">
        <v>100</v>
      </c>
      <c r="J1285" s="68" t="str">
        <f t="shared" si="42"/>
        <v>PP030</v>
      </c>
    </row>
    <row r="1286" spans="1:10">
      <c r="A1286" s="44">
        <f t="shared" si="43"/>
        <v>31</v>
      </c>
      <c r="B1286" s="45" t="s">
        <v>937</v>
      </c>
      <c r="C1286" s="229" t="s">
        <v>77</v>
      </c>
      <c r="D1286" s="51" t="s">
        <v>130</v>
      </c>
      <c r="E1286" s="46">
        <v>8470</v>
      </c>
      <c r="F1286" s="193" t="s">
        <v>130</v>
      </c>
      <c r="G1286" s="9">
        <f>IF(BD!$E1286="","",(E1286/(H1286*I1286)))</f>
        <v>8470</v>
      </c>
      <c r="H1286" s="8">
        <v>1</v>
      </c>
      <c r="I1286" s="8">
        <v>1</v>
      </c>
      <c r="J1286" s="68" t="str">
        <f t="shared" si="42"/>
        <v>PP031</v>
      </c>
    </row>
    <row r="1287" spans="1:10">
      <c r="A1287" s="44">
        <f t="shared" si="43"/>
        <v>32</v>
      </c>
      <c r="B1287" s="45" t="s">
        <v>938</v>
      </c>
      <c r="C1287" s="229" t="s">
        <v>77</v>
      </c>
      <c r="D1287" s="51" t="s">
        <v>130</v>
      </c>
      <c r="E1287" s="46">
        <v>2480</v>
      </c>
      <c r="F1287" s="193" t="s">
        <v>130</v>
      </c>
      <c r="G1287" s="9">
        <f>IF(BD!$E1287="","",(E1287/(H1287*I1287)))</f>
        <v>2480</v>
      </c>
      <c r="H1287" s="8">
        <v>1</v>
      </c>
      <c r="I1287" s="8">
        <v>1</v>
      </c>
      <c r="J1287" s="68" t="str">
        <f t="shared" ref="J1287:J1316" si="44">CONCATENATE(LEFT(C1287,1),MID(C1287,SEARCH("_",C1287)+1,2),TEXT(A1287,"000"))</f>
        <v>PP032</v>
      </c>
    </row>
    <row r="1288" spans="1:10">
      <c r="A1288" s="44">
        <f t="shared" si="43"/>
        <v>33</v>
      </c>
      <c r="B1288" s="45" t="s">
        <v>939</v>
      </c>
      <c r="C1288" s="229" t="s">
        <v>77</v>
      </c>
      <c r="D1288" s="51" t="s">
        <v>130</v>
      </c>
      <c r="E1288" s="46">
        <v>100620</v>
      </c>
      <c r="F1288" s="193" t="s">
        <v>130</v>
      </c>
      <c r="G1288" s="9">
        <f>IF(BD!$E1288="","",(E1288/(H1288*I1288)))</f>
        <v>100620</v>
      </c>
      <c r="H1288" s="8">
        <v>1</v>
      </c>
      <c r="I1288" s="8">
        <v>1</v>
      </c>
      <c r="J1288" s="68" t="str">
        <f t="shared" si="44"/>
        <v>PP033</v>
      </c>
    </row>
    <row r="1289" spans="1:10">
      <c r="A1289" s="44">
        <f t="shared" si="43"/>
        <v>34</v>
      </c>
      <c r="B1289" s="45" t="s">
        <v>940</v>
      </c>
      <c r="C1289" s="229" t="s">
        <v>77</v>
      </c>
      <c r="D1289" s="51" t="s">
        <v>130</v>
      </c>
      <c r="E1289" s="46">
        <v>50245</v>
      </c>
      <c r="F1289" s="193" t="s">
        <v>130</v>
      </c>
      <c r="G1289" s="9">
        <f>IF(BD!$E1289="","",(E1289/(H1289*I1289)))</f>
        <v>50245</v>
      </c>
      <c r="H1289" s="8">
        <v>1</v>
      </c>
      <c r="I1289" s="8">
        <v>1</v>
      </c>
      <c r="J1289" s="68" t="str">
        <f t="shared" si="44"/>
        <v>PP034</v>
      </c>
    </row>
    <row r="1290" spans="1:10">
      <c r="A1290" s="44">
        <f t="shared" si="43"/>
        <v>35</v>
      </c>
      <c r="B1290" s="45" t="s">
        <v>941</v>
      </c>
      <c r="C1290" s="229" t="s">
        <v>77</v>
      </c>
      <c r="D1290" s="51" t="s">
        <v>233</v>
      </c>
      <c r="E1290" s="46">
        <v>98275.666666666672</v>
      </c>
      <c r="F1290" s="193" t="s">
        <v>233</v>
      </c>
      <c r="G1290" s="9">
        <f>IF(BD!$E1290="","",(E1290/(H1290*I1290)))</f>
        <v>98275.666666666672</v>
      </c>
      <c r="H1290" s="8">
        <v>1</v>
      </c>
      <c r="I1290" s="8">
        <v>1</v>
      </c>
      <c r="J1290" s="68" t="str">
        <f t="shared" si="44"/>
        <v>PP035</v>
      </c>
    </row>
    <row r="1291" spans="1:10">
      <c r="A1291" s="44">
        <f t="shared" si="43"/>
        <v>36</v>
      </c>
      <c r="B1291" s="45" t="s">
        <v>942</v>
      </c>
      <c r="C1291" s="229" t="s">
        <v>77</v>
      </c>
      <c r="D1291" s="51" t="s">
        <v>130</v>
      </c>
      <c r="E1291" s="46">
        <v>33709</v>
      </c>
      <c r="F1291" s="193" t="s">
        <v>130</v>
      </c>
      <c r="G1291" s="9">
        <f>IF(BD!$E1291="","",(E1291/(H1291*I1291)))</f>
        <v>33709</v>
      </c>
      <c r="H1291" s="8">
        <v>1</v>
      </c>
      <c r="I1291" s="8">
        <v>1</v>
      </c>
      <c r="J1291" s="68" t="str">
        <f t="shared" si="44"/>
        <v>PP036</v>
      </c>
    </row>
    <row r="1292" spans="1:10">
      <c r="A1292" s="44">
        <f t="shared" si="43"/>
        <v>37</v>
      </c>
      <c r="B1292" s="45" t="s">
        <v>943</v>
      </c>
      <c r="C1292" s="229" t="s">
        <v>77</v>
      </c>
      <c r="D1292" s="51" t="s">
        <v>130</v>
      </c>
      <c r="E1292" s="46">
        <v>103948</v>
      </c>
      <c r="F1292" s="193" t="s">
        <v>130</v>
      </c>
      <c r="G1292" s="9">
        <f>IF(BD!$E1292="","",(E1292/(H1292*I1292)))</f>
        <v>103948</v>
      </c>
      <c r="H1292" s="8">
        <v>1</v>
      </c>
      <c r="I1292" s="8">
        <v>1</v>
      </c>
      <c r="J1292" s="68" t="str">
        <f t="shared" si="44"/>
        <v>PP037</v>
      </c>
    </row>
    <row r="1293" spans="1:10">
      <c r="A1293" s="44">
        <f t="shared" si="43"/>
        <v>38</v>
      </c>
      <c r="B1293" s="45" t="s">
        <v>944</v>
      </c>
      <c r="C1293" s="229" t="s">
        <v>77</v>
      </c>
      <c r="D1293" s="51" t="s">
        <v>130</v>
      </c>
      <c r="E1293" s="46">
        <v>32370</v>
      </c>
      <c r="F1293" s="193" t="s">
        <v>130</v>
      </c>
      <c r="G1293" s="9">
        <f>IF(BD!$E1293="","",(E1293/(H1293*I1293)))</f>
        <v>32370</v>
      </c>
      <c r="H1293" s="8">
        <v>1</v>
      </c>
      <c r="I1293" s="8">
        <v>1</v>
      </c>
      <c r="J1293" s="68" t="str">
        <f t="shared" si="44"/>
        <v>PP038</v>
      </c>
    </row>
    <row r="1294" spans="1:10">
      <c r="A1294" s="44">
        <f t="shared" si="43"/>
        <v>39</v>
      </c>
      <c r="B1294" s="45" t="s">
        <v>945</v>
      </c>
      <c r="C1294" s="229" t="s">
        <v>77</v>
      </c>
      <c r="D1294" s="51" t="s">
        <v>130</v>
      </c>
      <c r="E1294" s="46">
        <v>110153</v>
      </c>
      <c r="F1294" s="193" t="s">
        <v>130</v>
      </c>
      <c r="G1294" s="9">
        <f>IF(BD!$E1294="","",(E1294/(H1294*I1294)))</f>
        <v>110153</v>
      </c>
      <c r="H1294" s="8">
        <v>1</v>
      </c>
      <c r="I1294" s="8">
        <v>1</v>
      </c>
      <c r="J1294" s="68" t="str">
        <f t="shared" si="44"/>
        <v>PP039</v>
      </c>
    </row>
    <row r="1295" spans="1:10">
      <c r="A1295" s="44">
        <f t="shared" si="43"/>
        <v>40</v>
      </c>
      <c r="B1295" s="45" t="s">
        <v>946</v>
      </c>
      <c r="C1295" s="229" t="s">
        <v>77</v>
      </c>
      <c r="D1295" s="51" t="s">
        <v>130</v>
      </c>
      <c r="E1295" s="46">
        <v>49830</v>
      </c>
      <c r="F1295" s="193" t="s">
        <v>130</v>
      </c>
      <c r="G1295" s="9">
        <f>IF(BD!$E1295="","",(E1295/(H1295*I1295)))</f>
        <v>49830</v>
      </c>
      <c r="H1295" s="8">
        <v>1</v>
      </c>
      <c r="I1295" s="8">
        <v>1</v>
      </c>
      <c r="J1295" s="68" t="str">
        <f t="shared" si="44"/>
        <v>PP040</v>
      </c>
    </row>
    <row r="1296" spans="1:10">
      <c r="A1296" s="44">
        <f t="shared" si="43"/>
        <v>41</v>
      </c>
      <c r="B1296" s="45" t="s">
        <v>947</v>
      </c>
      <c r="C1296" s="229" t="s">
        <v>77</v>
      </c>
      <c r="D1296" s="51" t="s">
        <v>130</v>
      </c>
      <c r="E1296" s="46">
        <v>45846.5</v>
      </c>
      <c r="F1296" s="193" t="s">
        <v>130</v>
      </c>
      <c r="G1296" s="9">
        <f>IF(BD!$E1296="","",(E1296/(H1296*I1296)))</f>
        <v>45846.5</v>
      </c>
      <c r="H1296" s="8">
        <v>1</v>
      </c>
      <c r="I1296" s="8">
        <v>1</v>
      </c>
      <c r="J1296" s="68" t="str">
        <f t="shared" si="44"/>
        <v>PP041</v>
      </c>
    </row>
    <row r="1297" spans="1:10">
      <c r="A1297" s="44">
        <f t="shared" si="43"/>
        <v>42</v>
      </c>
      <c r="B1297" s="45" t="s">
        <v>948</v>
      </c>
      <c r="C1297" s="229" t="s">
        <v>77</v>
      </c>
      <c r="D1297" s="51" t="s">
        <v>130</v>
      </c>
      <c r="E1297" s="46">
        <v>12830</v>
      </c>
      <c r="F1297" s="193" t="s">
        <v>130</v>
      </c>
      <c r="G1297" s="9">
        <f>IF(BD!$E1297="","",(E1297/(H1297*I1297)))</f>
        <v>12830</v>
      </c>
      <c r="H1297" s="8">
        <v>1</v>
      </c>
      <c r="I1297" s="8">
        <v>1</v>
      </c>
      <c r="J1297" s="68" t="str">
        <f t="shared" si="44"/>
        <v>PP042</v>
      </c>
    </row>
    <row r="1298" spans="1:10">
      <c r="A1298" s="44">
        <f t="shared" si="43"/>
        <v>43</v>
      </c>
      <c r="B1298" s="45" t="s">
        <v>949</v>
      </c>
      <c r="C1298" s="229" t="s">
        <v>77</v>
      </c>
      <c r="D1298" s="51" t="s">
        <v>130</v>
      </c>
      <c r="E1298" s="46">
        <v>38888.571428571428</v>
      </c>
      <c r="F1298" s="193" t="s">
        <v>130</v>
      </c>
      <c r="G1298" s="9">
        <f>IF(BD!$E1298="","",(E1298/(H1298*I1298)))</f>
        <v>38888.571428571428</v>
      </c>
      <c r="H1298" s="8">
        <v>1</v>
      </c>
      <c r="I1298" s="8">
        <v>1</v>
      </c>
      <c r="J1298" s="68" t="str">
        <f t="shared" si="44"/>
        <v>PP043</v>
      </c>
    </row>
    <row r="1299" spans="1:10">
      <c r="A1299" s="44">
        <f t="shared" si="43"/>
        <v>44</v>
      </c>
      <c r="B1299" s="45" t="s">
        <v>950</v>
      </c>
      <c r="C1299" s="229" t="s">
        <v>77</v>
      </c>
      <c r="D1299" s="51" t="s">
        <v>255</v>
      </c>
      <c r="E1299" s="46">
        <v>90973.666666666672</v>
      </c>
      <c r="F1299" s="193" t="s">
        <v>261</v>
      </c>
      <c r="G1299" s="9">
        <f>IF(BD!$E1299="","",(E1299/(H1299*I1299)))</f>
        <v>2.0373928752724777</v>
      </c>
      <c r="H1299" s="8">
        <v>183</v>
      </c>
      <c r="I1299" s="8">
        <v>244</v>
      </c>
      <c r="J1299" s="68" t="str">
        <f t="shared" si="44"/>
        <v>PP044</v>
      </c>
    </row>
    <row r="1300" spans="1:10">
      <c r="A1300" s="44">
        <f t="shared" si="43"/>
        <v>45</v>
      </c>
      <c r="B1300" s="45" t="s">
        <v>951</v>
      </c>
      <c r="C1300" s="229" t="s">
        <v>77</v>
      </c>
      <c r="D1300" s="51" t="s">
        <v>130</v>
      </c>
      <c r="E1300" s="46">
        <v>22475</v>
      </c>
      <c r="F1300" s="193" t="s">
        <v>130</v>
      </c>
      <c r="G1300" s="9">
        <f>IF(BD!$E1300="","",(E1300/(H1300*I1300)))</f>
        <v>22475</v>
      </c>
      <c r="H1300" s="8">
        <v>1</v>
      </c>
      <c r="I1300" s="8">
        <v>1</v>
      </c>
      <c r="J1300" s="68" t="str">
        <f t="shared" si="44"/>
        <v>PP045</v>
      </c>
    </row>
    <row r="1301" spans="1:10">
      <c r="A1301" s="44">
        <f t="shared" si="43"/>
        <v>46</v>
      </c>
      <c r="B1301" s="45" t="s">
        <v>952</v>
      </c>
      <c r="C1301" s="229" t="s">
        <v>77</v>
      </c>
      <c r="D1301" s="51" t="s">
        <v>130</v>
      </c>
      <c r="E1301" s="46">
        <v>95966.7</v>
      </c>
      <c r="F1301" s="193" t="s">
        <v>130</v>
      </c>
      <c r="G1301" s="9">
        <f>IF(BD!$E1301="","",(E1301/(H1301*I1301)))</f>
        <v>95966.7</v>
      </c>
      <c r="H1301" s="87">
        <v>1</v>
      </c>
      <c r="I1301" s="87">
        <v>1</v>
      </c>
      <c r="J1301" s="68" t="str">
        <f t="shared" si="44"/>
        <v>PP046</v>
      </c>
    </row>
    <row r="1302" spans="1:10">
      <c r="A1302" s="44">
        <f t="shared" ref="A1302:A1338" si="45">A1301+1</f>
        <v>47</v>
      </c>
      <c r="B1302" s="45" t="s">
        <v>953</v>
      </c>
      <c r="C1302" s="229" t="s">
        <v>77</v>
      </c>
      <c r="D1302" s="51" t="s">
        <v>130</v>
      </c>
      <c r="E1302" s="46">
        <v>22654</v>
      </c>
      <c r="F1302" s="193" t="s">
        <v>130</v>
      </c>
      <c r="G1302" s="9">
        <f>IF(BD!$E1302="","",(E1302/(H1302*I1302)))</f>
        <v>22654</v>
      </c>
      <c r="H1302" s="8">
        <v>1</v>
      </c>
      <c r="I1302" s="8">
        <v>1</v>
      </c>
      <c r="J1302" s="68" t="str">
        <f t="shared" si="44"/>
        <v>PP047</v>
      </c>
    </row>
    <row r="1303" spans="1:10">
      <c r="A1303" s="44">
        <f t="shared" si="45"/>
        <v>48</v>
      </c>
      <c r="B1303" s="45" t="s">
        <v>954</v>
      </c>
      <c r="C1303" s="229" t="s">
        <v>77</v>
      </c>
      <c r="D1303" s="51" t="s">
        <v>130</v>
      </c>
      <c r="E1303" s="46">
        <v>73154</v>
      </c>
      <c r="F1303" s="193" t="s">
        <v>130</v>
      </c>
      <c r="G1303" s="9">
        <f>IF(BD!$E1303="","",(E1303/(H1303*I1303)))</f>
        <v>73154</v>
      </c>
      <c r="H1303" s="8">
        <v>1</v>
      </c>
      <c r="I1303" s="8">
        <v>1</v>
      </c>
      <c r="J1303" s="68" t="str">
        <f t="shared" si="44"/>
        <v>PP048</v>
      </c>
    </row>
    <row r="1304" spans="1:10">
      <c r="A1304" s="44">
        <f t="shared" si="45"/>
        <v>49</v>
      </c>
      <c r="B1304" s="45" t="s">
        <v>955</v>
      </c>
      <c r="C1304" s="229" t="s">
        <v>77</v>
      </c>
      <c r="D1304" s="51" t="s">
        <v>130</v>
      </c>
      <c r="E1304" s="46">
        <v>22053.571428571428</v>
      </c>
      <c r="F1304" s="193" t="s">
        <v>130</v>
      </c>
      <c r="G1304" s="9">
        <f>IF(BD!$E1304="","",(E1304/(H1304*I1304)))</f>
        <v>22053.571428571428</v>
      </c>
      <c r="H1304" s="8">
        <v>1</v>
      </c>
      <c r="I1304" s="8">
        <v>1</v>
      </c>
      <c r="J1304" s="68" t="str">
        <f t="shared" si="44"/>
        <v>PP049</v>
      </c>
    </row>
    <row r="1305" spans="1:10">
      <c r="A1305" s="44">
        <f t="shared" si="45"/>
        <v>50</v>
      </c>
      <c r="B1305" s="45" t="s">
        <v>956</v>
      </c>
      <c r="C1305" s="229" t="s">
        <v>77</v>
      </c>
      <c r="D1305" s="51" t="s">
        <v>130</v>
      </c>
      <c r="E1305" s="46">
        <v>132350</v>
      </c>
      <c r="F1305" s="193" t="s">
        <v>130</v>
      </c>
      <c r="G1305" s="9">
        <f>IF(BD!$E1305="","",(E1305/(H1305*I1305)))</f>
        <v>132350</v>
      </c>
      <c r="H1305" s="8">
        <v>1</v>
      </c>
      <c r="I1305" s="8">
        <v>1</v>
      </c>
      <c r="J1305" s="68" t="str">
        <f t="shared" si="44"/>
        <v>PP050</v>
      </c>
    </row>
    <row r="1306" spans="1:10">
      <c r="A1306" s="44">
        <f t="shared" si="45"/>
        <v>51</v>
      </c>
      <c r="B1306" s="45" t="s">
        <v>957</v>
      </c>
      <c r="C1306" s="229" t="s">
        <v>77</v>
      </c>
      <c r="D1306" s="51" t="s">
        <v>130</v>
      </c>
      <c r="E1306" s="46">
        <v>22518.5</v>
      </c>
      <c r="F1306" s="193" t="s">
        <v>130</v>
      </c>
      <c r="G1306" s="9">
        <f>IF(BD!$E1306="","",(E1306/(H1306*I1306)))</f>
        <v>22518.5</v>
      </c>
      <c r="H1306" s="8">
        <v>1</v>
      </c>
      <c r="I1306" s="8">
        <v>1</v>
      </c>
      <c r="J1306" s="68" t="str">
        <f t="shared" si="44"/>
        <v>PP051</v>
      </c>
    </row>
    <row r="1307" spans="1:10">
      <c r="A1307" s="44">
        <f t="shared" si="45"/>
        <v>52</v>
      </c>
      <c r="B1307" s="45" t="s">
        <v>958</v>
      </c>
      <c r="C1307" s="229" t="s">
        <v>77</v>
      </c>
      <c r="D1307" s="51" t="s">
        <v>130</v>
      </c>
      <c r="E1307" s="46">
        <v>2242.6</v>
      </c>
      <c r="F1307" s="193" t="s">
        <v>130</v>
      </c>
      <c r="G1307" s="9">
        <f>IF(BD!$E1307="","",(E1307/(H1307*I1307)))</f>
        <v>2242.6</v>
      </c>
      <c r="H1307" s="8">
        <v>1</v>
      </c>
      <c r="I1307" s="8">
        <v>1</v>
      </c>
      <c r="J1307" s="68" t="str">
        <f t="shared" si="44"/>
        <v>PP052</v>
      </c>
    </row>
    <row r="1308" spans="1:10">
      <c r="A1308" s="44">
        <f t="shared" si="45"/>
        <v>53</v>
      </c>
      <c r="B1308" s="45" t="s">
        <v>959</v>
      </c>
      <c r="C1308" s="229" t="s">
        <v>77</v>
      </c>
      <c r="D1308" s="51" t="s">
        <v>130</v>
      </c>
      <c r="E1308" s="46">
        <v>1875.65</v>
      </c>
      <c r="F1308" s="193" t="s">
        <v>130</v>
      </c>
      <c r="G1308" s="9">
        <f>IF(BD!$E1308="","",(E1308/(H1308*I1308)))</f>
        <v>1875.65</v>
      </c>
      <c r="H1308" s="8">
        <v>1</v>
      </c>
      <c r="I1308" s="8">
        <v>1</v>
      </c>
      <c r="J1308" s="68" t="str">
        <f t="shared" si="44"/>
        <v>PP053</v>
      </c>
    </row>
    <row r="1309" spans="1:10" ht="45">
      <c r="A1309" s="44">
        <f t="shared" si="45"/>
        <v>54</v>
      </c>
      <c r="B1309" s="45" t="s">
        <v>960</v>
      </c>
      <c r="C1309" s="229" t="s">
        <v>77</v>
      </c>
      <c r="D1309" s="51" t="s">
        <v>225</v>
      </c>
      <c r="E1309" s="46">
        <v>3130</v>
      </c>
      <c r="F1309" s="193" t="s">
        <v>225</v>
      </c>
      <c r="G1309" s="9">
        <f>IF(BD!$E1309="","",(E1309/(H1309*I1309)))</f>
        <v>3130</v>
      </c>
      <c r="H1309" s="8">
        <v>1</v>
      </c>
      <c r="I1309" s="8">
        <v>1</v>
      </c>
      <c r="J1309" s="68" t="str">
        <f t="shared" si="44"/>
        <v>PP054</v>
      </c>
    </row>
    <row r="1310" spans="1:10" ht="45">
      <c r="A1310" s="44">
        <f t="shared" si="45"/>
        <v>55</v>
      </c>
      <c r="B1310" s="45" t="s">
        <v>961</v>
      </c>
      <c r="C1310" s="229" t="s">
        <v>77</v>
      </c>
      <c r="D1310" s="51" t="s">
        <v>225</v>
      </c>
      <c r="E1310" s="46">
        <v>5010</v>
      </c>
      <c r="F1310" s="193" t="s">
        <v>225</v>
      </c>
      <c r="G1310" s="9">
        <f>IF(BD!$E1310="","",(E1310/(H1310*I1310)))</f>
        <v>5010</v>
      </c>
      <c r="H1310" s="8">
        <v>1</v>
      </c>
      <c r="I1310" s="8">
        <v>1</v>
      </c>
      <c r="J1310" s="68" t="str">
        <f t="shared" si="44"/>
        <v>PP055</v>
      </c>
    </row>
    <row r="1311" spans="1:10">
      <c r="A1311" s="44">
        <f t="shared" si="45"/>
        <v>56</v>
      </c>
      <c r="B1311" s="45" t="s">
        <v>962</v>
      </c>
      <c r="C1311" s="229" t="s">
        <v>77</v>
      </c>
      <c r="D1311" s="51" t="s">
        <v>130</v>
      </c>
      <c r="E1311" s="46">
        <v>37950</v>
      </c>
      <c r="F1311" s="193" t="s">
        <v>130</v>
      </c>
      <c r="G1311" s="9">
        <f>IF(BD!$E1311="","",(E1311/(H1311*I1311)))</f>
        <v>37950</v>
      </c>
      <c r="H1311" s="8">
        <v>1</v>
      </c>
      <c r="I1311" s="8">
        <v>1</v>
      </c>
      <c r="J1311" s="68" t="str">
        <f t="shared" si="44"/>
        <v>PP056</v>
      </c>
    </row>
    <row r="1312" spans="1:10">
      <c r="A1312" s="44">
        <f t="shared" si="45"/>
        <v>57</v>
      </c>
      <c r="B1312" s="45" t="s">
        <v>963</v>
      </c>
      <c r="C1312" s="229" t="s">
        <v>77</v>
      </c>
      <c r="D1312" s="51" t="s">
        <v>964</v>
      </c>
      <c r="E1312" s="46">
        <v>17375</v>
      </c>
      <c r="F1312" s="193" t="s">
        <v>964</v>
      </c>
      <c r="G1312" s="9">
        <f>IF(BD!$E1312="","",(E1312/(H1312*I1312)))</f>
        <v>17375</v>
      </c>
      <c r="H1312" s="8">
        <v>1</v>
      </c>
      <c r="I1312" s="8">
        <v>1</v>
      </c>
      <c r="J1312" s="68" t="str">
        <f t="shared" si="44"/>
        <v>PP057</v>
      </c>
    </row>
    <row r="1313" spans="1:10">
      <c r="A1313" s="44">
        <f t="shared" si="45"/>
        <v>58</v>
      </c>
      <c r="B1313" s="45" t="s">
        <v>965</v>
      </c>
      <c r="C1313" s="229" t="s">
        <v>77</v>
      </c>
      <c r="D1313" s="51" t="s">
        <v>257</v>
      </c>
      <c r="E1313" s="46">
        <v>107770</v>
      </c>
      <c r="F1313" s="193" t="s">
        <v>257</v>
      </c>
      <c r="G1313" s="9">
        <f>IF(BD!$E1313="","",(E1313/(H1313*I1313)))</f>
        <v>5388.5</v>
      </c>
      <c r="H1313" s="8">
        <v>20</v>
      </c>
      <c r="I1313" s="8">
        <v>1</v>
      </c>
      <c r="J1313" s="68" t="str">
        <f t="shared" si="44"/>
        <v>PP058</v>
      </c>
    </row>
    <row r="1314" spans="1:10">
      <c r="A1314" s="44">
        <f t="shared" si="45"/>
        <v>59</v>
      </c>
      <c r="B1314" s="45" t="s">
        <v>966</v>
      </c>
      <c r="C1314" s="229" t="s">
        <v>77</v>
      </c>
      <c r="D1314" s="51" t="s">
        <v>130</v>
      </c>
      <c r="E1314" s="46">
        <v>2670.7666666666669</v>
      </c>
      <c r="F1314" s="193" t="s">
        <v>130</v>
      </c>
      <c r="G1314" s="9">
        <f>IF(BD!$E1314="","",(E1314/(H1314*I1314)))</f>
        <v>2670.7666666666669</v>
      </c>
      <c r="H1314" s="8">
        <v>1</v>
      </c>
      <c r="I1314" s="8">
        <v>1</v>
      </c>
      <c r="J1314" s="68" t="str">
        <f t="shared" si="44"/>
        <v>PP059</v>
      </c>
    </row>
    <row r="1315" spans="1:10">
      <c r="A1315" s="44">
        <f t="shared" si="45"/>
        <v>60</v>
      </c>
      <c r="B1315" s="45" t="s">
        <v>967</v>
      </c>
      <c r="C1315" s="229" t="s">
        <v>77</v>
      </c>
      <c r="D1315" s="51" t="s">
        <v>225</v>
      </c>
      <c r="E1315" s="46">
        <v>21800</v>
      </c>
      <c r="F1315" s="193" t="s">
        <v>225</v>
      </c>
      <c r="G1315" s="9">
        <f>IF(BD!$E1315="","",(E1315/(H1315*I1315)))</f>
        <v>436</v>
      </c>
      <c r="H1315" s="8">
        <v>50</v>
      </c>
      <c r="I1315" s="8">
        <v>1</v>
      </c>
      <c r="J1315" s="68" t="str">
        <f t="shared" si="44"/>
        <v>PP060</v>
      </c>
    </row>
    <row r="1316" spans="1:10">
      <c r="A1316" s="44">
        <f t="shared" si="45"/>
        <v>61</v>
      </c>
      <c r="B1316" s="45" t="s">
        <v>968</v>
      </c>
      <c r="C1316" s="229" t="s">
        <v>77</v>
      </c>
      <c r="D1316" s="51" t="s">
        <v>874</v>
      </c>
      <c r="E1316" s="46">
        <v>9196.3666666666668</v>
      </c>
      <c r="F1316" s="193" t="s">
        <v>261</v>
      </c>
      <c r="G1316" s="9">
        <f>IF(BD!$E1316="","",(E1316/(H1316*I1316)))</f>
        <v>1.3137666666666667</v>
      </c>
      <c r="H1316" s="8">
        <v>70</v>
      </c>
      <c r="I1316" s="8">
        <v>100</v>
      </c>
      <c r="J1316" s="68" t="str">
        <f t="shared" si="44"/>
        <v>PP061</v>
      </c>
    </row>
    <row r="1317" spans="1:10">
      <c r="A1317" s="44">
        <f t="shared" si="45"/>
        <v>62</v>
      </c>
      <c r="B1317" s="45" t="s">
        <v>969</v>
      </c>
      <c r="C1317" s="229" t="s">
        <v>77</v>
      </c>
      <c r="D1317" s="51" t="s">
        <v>874</v>
      </c>
      <c r="E1317" s="46">
        <v>9275</v>
      </c>
      <c r="F1317" s="193" t="s">
        <v>874</v>
      </c>
      <c r="G1317" s="9">
        <f>IF(BD!$E1317="","",(E1317/(H1317*I1317)))</f>
        <v>9275</v>
      </c>
      <c r="H1317" s="8">
        <v>1</v>
      </c>
      <c r="I1317" s="8">
        <v>1</v>
      </c>
      <c r="J1317" s="68" t="str">
        <f t="shared" ref="J1317:J1336" si="46">CONCATENATE(LEFT(C1317,1),MID(C1317,SEARCH("_",C1317)+1,2),TEXT(A1317,"000"))</f>
        <v>PP062</v>
      </c>
    </row>
    <row r="1318" spans="1:10">
      <c r="A1318" s="44">
        <f t="shared" si="45"/>
        <v>63</v>
      </c>
      <c r="B1318" s="45" t="s">
        <v>970</v>
      </c>
      <c r="C1318" s="229" t="s">
        <v>77</v>
      </c>
      <c r="D1318" s="51" t="s">
        <v>130</v>
      </c>
      <c r="E1318" s="46">
        <v>46106.7</v>
      </c>
      <c r="F1318" s="193" t="s">
        <v>130</v>
      </c>
      <c r="G1318" s="9">
        <f>IF(BD!$E1318="","",(E1318/(H1318*I1318)))</f>
        <v>46106.7</v>
      </c>
      <c r="H1318" s="8">
        <v>1</v>
      </c>
      <c r="I1318" s="8">
        <v>1</v>
      </c>
      <c r="J1318" s="68" t="str">
        <f t="shared" si="46"/>
        <v>PP063</v>
      </c>
    </row>
    <row r="1319" spans="1:10">
      <c r="A1319" s="44">
        <f t="shared" si="45"/>
        <v>64</v>
      </c>
      <c r="B1319" s="45" t="s">
        <v>971</v>
      </c>
      <c r="C1319" s="229" t="s">
        <v>77</v>
      </c>
      <c r="D1319" s="51" t="s">
        <v>257</v>
      </c>
      <c r="E1319" s="46">
        <v>38155</v>
      </c>
      <c r="F1319" s="193" t="s">
        <v>257</v>
      </c>
      <c r="G1319" s="9">
        <f>IF(BD!$E1319="","",(E1319/(H1319*I1319)))</f>
        <v>763.1</v>
      </c>
      <c r="H1319" s="8">
        <v>50</v>
      </c>
      <c r="I1319" s="8">
        <v>1</v>
      </c>
      <c r="J1319" s="68" t="str">
        <f t="shared" si="46"/>
        <v>PP064</v>
      </c>
    </row>
    <row r="1320" spans="1:10">
      <c r="A1320" s="44">
        <f t="shared" si="45"/>
        <v>65</v>
      </c>
      <c r="B1320" s="45" t="s">
        <v>972</v>
      </c>
      <c r="C1320" s="229" t="s">
        <v>77</v>
      </c>
      <c r="D1320" s="51" t="s">
        <v>874</v>
      </c>
      <c r="E1320" s="46">
        <v>189.5</v>
      </c>
      <c r="F1320" s="193" t="s">
        <v>874</v>
      </c>
      <c r="G1320" s="9">
        <f>IF(BD!$E1320="","",(E1320/(H1320*I1320)))</f>
        <v>189.5</v>
      </c>
      <c r="H1320" s="8">
        <v>1</v>
      </c>
      <c r="I1320" s="8">
        <v>1</v>
      </c>
      <c r="J1320" s="68" t="str">
        <f t="shared" si="46"/>
        <v>PP065</v>
      </c>
    </row>
    <row r="1321" spans="1:10">
      <c r="A1321" s="44">
        <f t="shared" si="45"/>
        <v>66</v>
      </c>
      <c r="B1321" s="45" t="s">
        <v>973</v>
      </c>
      <c r="C1321" s="229" t="s">
        <v>77</v>
      </c>
      <c r="D1321" s="51" t="s">
        <v>130</v>
      </c>
      <c r="E1321" s="46">
        <v>13585</v>
      </c>
      <c r="F1321" s="193" t="s">
        <v>130</v>
      </c>
      <c r="G1321" s="9">
        <f>IF(BD!$E1321="","",(E1321/(H1321*I1321)))</f>
        <v>13585</v>
      </c>
      <c r="H1321" s="8">
        <v>1</v>
      </c>
      <c r="I1321" s="8">
        <v>1</v>
      </c>
      <c r="J1321" s="68" t="str">
        <f t="shared" si="46"/>
        <v>PP066</v>
      </c>
    </row>
    <row r="1322" spans="1:10">
      <c r="A1322" s="44">
        <f t="shared" si="45"/>
        <v>67</v>
      </c>
      <c r="B1322" s="45" t="s">
        <v>974</v>
      </c>
      <c r="C1322" s="229" t="s">
        <v>77</v>
      </c>
      <c r="D1322" s="51" t="s">
        <v>975</v>
      </c>
      <c r="E1322" s="46">
        <v>5850</v>
      </c>
      <c r="F1322" s="193" t="s">
        <v>975</v>
      </c>
      <c r="G1322" s="9">
        <f>IF(BD!$E1322="","",(E1322/(H1322*I1322)))</f>
        <v>5850</v>
      </c>
      <c r="H1322" s="8">
        <v>1</v>
      </c>
      <c r="I1322" s="8">
        <v>1</v>
      </c>
      <c r="J1322" s="68" t="str">
        <f t="shared" si="46"/>
        <v>PP067</v>
      </c>
    </row>
    <row r="1323" spans="1:10">
      <c r="A1323" s="44">
        <f t="shared" si="45"/>
        <v>68</v>
      </c>
      <c r="B1323" s="45" t="s">
        <v>976</v>
      </c>
      <c r="C1323" s="229" t="s">
        <v>77</v>
      </c>
      <c r="D1323" s="51" t="s">
        <v>130</v>
      </c>
      <c r="E1323" s="46">
        <v>25650</v>
      </c>
      <c r="F1323" s="193" t="s">
        <v>130</v>
      </c>
      <c r="G1323" s="9">
        <f>IF(BD!$E1323="","",(E1323/(H1323*I1323)))</f>
        <v>25650</v>
      </c>
      <c r="H1323" s="8">
        <v>1</v>
      </c>
      <c r="I1323" s="8">
        <v>1</v>
      </c>
      <c r="J1323" s="68" t="str">
        <f t="shared" si="46"/>
        <v>PP068</v>
      </c>
    </row>
    <row r="1324" spans="1:10">
      <c r="A1324" s="44">
        <f t="shared" si="45"/>
        <v>69</v>
      </c>
      <c r="B1324" s="45" t="s">
        <v>977</v>
      </c>
      <c r="C1324" s="229" t="s">
        <v>77</v>
      </c>
      <c r="D1324" s="51" t="s">
        <v>130</v>
      </c>
      <c r="E1324" s="46">
        <v>2760</v>
      </c>
      <c r="F1324" s="193" t="s">
        <v>130</v>
      </c>
      <c r="G1324" s="9">
        <f>IF(BD!$E1324="","",(E1324/(H1324*I1324)))</f>
        <v>2760</v>
      </c>
      <c r="H1324" s="8">
        <v>1</v>
      </c>
      <c r="I1324" s="8">
        <v>1</v>
      </c>
      <c r="J1324" s="68" t="str">
        <f t="shared" si="46"/>
        <v>PP069</v>
      </c>
    </row>
    <row r="1325" spans="1:10">
      <c r="A1325" s="44">
        <f t="shared" si="45"/>
        <v>70</v>
      </c>
      <c r="B1325" s="45" t="s">
        <v>978</v>
      </c>
      <c r="C1325" s="229" t="s">
        <v>77</v>
      </c>
      <c r="D1325" s="51" t="s">
        <v>130</v>
      </c>
      <c r="E1325" s="46">
        <v>109000</v>
      </c>
      <c r="F1325" s="193" t="s">
        <v>130</v>
      </c>
      <c r="G1325" s="9">
        <f>IF(BD!$E1325="","",(E1325/(H1325*I1325)))</f>
        <v>109000</v>
      </c>
      <c r="H1325" s="8">
        <v>1</v>
      </c>
      <c r="I1325" s="8">
        <v>1</v>
      </c>
      <c r="J1325" s="68" t="str">
        <f t="shared" si="46"/>
        <v>PP070</v>
      </c>
    </row>
    <row r="1326" spans="1:10">
      <c r="A1326" s="44">
        <f t="shared" si="45"/>
        <v>71</v>
      </c>
      <c r="B1326" s="45" t="s">
        <v>979</v>
      </c>
      <c r="C1326" s="229" t="s">
        <v>77</v>
      </c>
      <c r="D1326" s="51" t="s">
        <v>130</v>
      </c>
      <c r="E1326" s="46">
        <v>758.33233532934105</v>
      </c>
      <c r="F1326" s="193" t="s">
        <v>130</v>
      </c>
      <c r="G1326" s="9">
        <f>IF(BD!$E1326="","",(E1326/(H1326*I1326)))</f>
        <v>758.33233532934105</v>
      </c>
      <c r="H1326" s="8">
        <v>1</v>
      </c>
      <c r="I1326" s="8">
        <v>1</v>
      </c>
      <c r="J1326" s="68" t="str">
        <f t="shared" si="46"/>
        <v>PP071</v>
      </c>
    </row>
    <row r="1327" spans="1:10">
      <c r="A1327" s="44">
        <f t="shared" si="45"/>
        <v>72</v>
      </c>
      <c r="B1327" s="45" t="s">
        <v>980</v>
      </c>
      <c r="C1327" s="229" t="s">
        <v>77</v>
      </c>
      <c r="D1327" s="51" t="s">
        <v>130</v>
      </c>
      <c r="E1327" s="46">
        <v>2233.3000000000002</v>
      </c>
      <c r="F1327" s="193" t="s">
        <v>130</v>
      </c>
      <c r="G1327" s="9">
        <f>IF(BD!$E1327="","",(E1327/(H1327*I1327)))</f>
        <v>2233.3000000000002</v>
      </c>
      <c r="H1327" s="8">
        <v>1</v>
      </c>
      <c r="I1327" s="8">
        <v>1</v>
      </c>
      <c r="J1327" s="68" t="str">
        <f t="shared" si="46"/>
        <v>PP072</v>
      </c>
    </row>
    <row r="1328" spans="1:10">
      <c r="A1328" s="44">
        <f t="shared" si="45"/>
        <v>73</v>
      </c>
      <c r="B1328" s="45" t="s">
        <v>981</v>
      </c>
      <c r="C1328" s="229" t="s">
        <v>77</v>
      </c>
      <c r="D1328" s="51" t="s">
        <v>130</v>
      </c>
      <c r="E1328" s="46">
        <v>17680</v>
      </c>
      <c r="F1328" s="193" t="s">
        <v>130</v>
      </c>
      <c r="G1328" s="9">
        <f>IF(BD!$E1328="","",(E1328/(H1328*I1328)))</f>
        <v>17680</v>
      </c>
      <c r="H1328" s="8">
        <v>1</v>
      </c>
      <c r="I1328" s="8">
        <v>1</v>
      </c>
      <c r="J1328" s="68" t="str">
        <f t="shared" si="46"/>
        <v>PP073</v>
      </c>
    </row>
    <row r="1329" spans="1:10">
      <c r="A1329" s="44">
        <f t="shared" si="45"/>
        <v>74</v>
      </c>
      <c r="B1329" s="45" t="s">
        <v>982</v>
      </c>
      <c r="C1329" s="229" t="s">
        <v>77</v>
      </c>
      <c r="D1329" s="51" t="s">
        <v>130</v>
      </c>
      <c r="E1329" s="46">
        <v>16710</v>
      </c>
      <c r="F1329" s="193" t="s">
        <v>130</v>
      </c>
      <c r="G1329" s="9">
        <f>IF(BD!$E1329="","",(E1329/(H1329*I1329)))</f>
        <v>16710</v>
      </c>
      <c r="H1329" s="8">
        <v>1</v>
      </c>
      <c r="I1329" s="8">
        <v>1</v>
      </c>
      <c r="J1329" s="68" t="str">
        <f t="shared" si="46"/>
        <v>PP074</v>
      </c>
    </row>
    <row r="1330" spans="1:10">
      <c r="A1330" s="44">
        <f t="shared" si="45"/>
        <v>75</v>
      </c>
      <c r="B1330" s="39" t="s">
        <v>983</v>
      </c>
      <c r="C1330" s="229" t="s">
        <v>77</v>
      </c>
      <c r="D1330" s="51" t="s">
        <v>130</v>
      </c>
      <c r="E1330" s="46">
        <v>4120</v>
      </c>
      <c r="F1330" s="193" t="s">
        <v>130</v>
      </c>
      <c r="G1330" s="9">
        <f>IF(BD!$E1330="","",(E1330/(H1330*I1330)))</f>
        <v>4120</v>
      </c>
      <c r="H1330" s="8">
        <v>1</v>
      </c>
      <c r="I1330" s="8">
        <v>1</v>
      </c>
      <c r="J1330" s="68" t="str">
        <f t="shared" si="46"/>
        <v>PP075</v>
      </c>
    </row>
    <row r="1331" spans="1:10" ht="30">
      <c r="A1331" s="44">
        <f t="shared" si="45"/>
        <v>76</v>
      </c>
      <c r="B1331" s="45" t="s">
        <v>984</v>
      </c>
      <c r="C1331" s="229" t="s">
        <v>77</v>
      </c>
      <c r="D1331" s="51" t="s">
        <v>233</v>
      </c>
      <c r="E1331" s="46">
        <v>45500</v>
      </c>
      <c r="F1331" s="193" t="s">
        <v>233</v>
      </c>
      <c r="G1331" s="9">
        <f>IF(BD!$E1331="","",(E1331/(H1331*I1331)))</f>
        <v>45500</v>
      </c>
      <c r="H1331" s="8">
        <v>1</v>
      </c>
      <c r="I1331" s="8">
        <v>1</v>
      </c>
      <c r="J1331" s="68" t="str">
        <f t="shared" si="46"/>
        <v>PP076</v>
      </c>
    </row>
    <row r="1332" spans="1:10" ht="30">
      <c r="A1332" s="44">
        <f t="shared" si="45"/>
        <v>77</v>
      </c>
      <c r="B1332" s="45" t="s">
        <v>985</v>
      </c>
      <c r="C1332" s="229" t="s">
        <v>77</v>
      </c>
      <c r="D1332" s="51" t="s">
        <v>233</v>
      </c>
      <c r="E1332" s="46">
        <v>44156.666666666664</v>
      </c>
      <c r="F1332" s="193" t="s">
        <v>233</v>
      </c>
      <c r="G1332" s="9">
        <f>IF(BD!$E1332="","",(E1332/(H1332*I1332)))</f>
        <v>44156.666666666664</v>
      </c>
      <c r="H1332" s="8">
        <v>1</v>
      </c>
      <c r="I1332" s="8">
        <v>1</v>
      </c>
      <c r="J1332" s="68" t="str">
        <f t="shared" si="46"/>
        <v>PP077</v>
      </c>
    </row>
    <row r="1333" spans="1:10">
      <c r="A1333" s="44">
        <f t="shared" si="45"/>
        <v>78</v>
      </c>
      <c r="B1333" s="45" t="s">
        <v>986</v>
      </c>
      <c r="C1333" s="229" t="s">
        <v>77</v>
      </c>
      <c r="D1333" s="51" t="s">
        <v>233</v>
      </c>
      <c r="E1333" s="46">
        <v>43333.333333333336</v>
      </c>
      <c r="F1333" s="193" t="s">
        <v>233</v>
      </c>
      <c r="G1333" s="9">
        <f>IF(BD!$E1333="","",(E1333/(H1333*I1333)))</f>
        <v>43333.333333333336</v>
      </c>
      <c r="H1333" s="8">
        <v>1</v>
      </c>
      <c r="I1333" s="8">
        <v>1</v>
      </c>
      <c r="J1333" s="68" t="str">
        <f t="shared" si="46"/>
        <v>PP078</v>
      </c>
    </row>
    <row r="1334" spans="1:10">
      <c r="A1334" s="44">
        <f t="shared" si="45"/>
        <v>79</v>
      </c>
      <c r="B1334" s="45" t="s">
        <v>987</v>
      </c>
      <c r="C1334" s="229" t="s">
        <v>77</v>
      </c>
      <c r="D1334" s="51" t="s">
        <v>130</v>
      </c>
      <c r="E1334" s="46">
        <v>2860</v>
      </c>
      <c r="F1334" s="193" t="s">
        <v>130</v>
      </c>
      <c r="G1334" s="9">
        <f>IF(BD!$E1334="","",(E1334/(H1334*I1334)))</f>
        <v>2860</v>
      </c>
      <c r="H1334" s="8">
        <v>1</v>
      </c>
      <c r="I1334" s="8">
        <v>1</v>
      </c>
      <c r="J1334" s="68" t="str">
        <f t="shared" si="46"/>
        <v>PP079</v>
      </c>
    </row>
    <row r="1335" spans="1:10">
      <c r="A1335" s="44">
        <f t="shared" si="45"/>
        <v>80</v>
      </c>
      <c r="B1335" s="45" t="s">
        <v>988</v>
      </c>
      <c r="C1335" s="229" t="s">
        <v>77</v>
      </c>
      <c r="D1335" s="51" t="s">
        <v>130</v>
      </c>
      <c r="E1335" s="46">
        <v>212420</v>
      </c>
      <c r="F1335" s="193" t="s">
        <v>130</v>
      </c>
      <c r="G1335" s="9">
        <f>IF(BD!$E1335="","",(E1335/(H1335*I1335)))</f>
        <v>212420</v>
      </c>
      <c r="H1335" s="8">
        <v>1</v>
      </c>
      <c r="I1335" s="8">
        <v>1</v>
      </c>
      <c r="J1335" s="68" t="str">
        <f t="shared" si="46"/>
        <v>PP080</v>
      </c>
    </row>
    <row r="1336" spans="1:10">
      <c r="A1336" s="44">
        <f t="shared" si="45"/>
        <v>81</v>
      </c>
      <c r="B1336" s="91" t="s">
        <v>989</v>
      </c>
      <c r="C1336" s="229" t="s">
        <v>77</v>
      </c>
      <c r="D1336" s="90" t="s">
        <v>130</v>
      </c>
      <c r="E1336" s="170">
        <v>245960</v>
      </c>
      <c r="F1336" s="198" t="s">
        <v>130</v>
      </c>
      <c r="G1336" s="9">
        <f>IF(BD!$E1336="","",(E1336/(H1336*I1336)))</f>
        <v>245960</v>
      </c>
      <c r="H1336" s="8">
        <v>1</v>
      </c>
      <c r="I1336" s="8">
        <v>1</v>
      </c>
      <c r="J1336" s="68" t="str">
        <f t="shared" si="46"/>
        <v>PP081</v>
      </c>
    </row>
    <row r="1337" spans="1:10" ht="30">
      <c r="A1337" s="44">
        <f t="shared" si="45"/>
        <v>82</v>
      </c>
      <c r="B1337" s="45" t="s">
        <v>990</v>
      </c>
      <c r="C1337" s="229" t="s">
        <v>77</v>
      </c>
      <c r="D1337" s="51" t="s">
        <v>130</v>
      </c>
      <c r="E1337" s="46">
        <v>1270000</v>
      </c>
      <c r="F1337" s="193" t="s">
        <v>130</v>
      </c>
      <c r="G1337" s="9">
        <f>IF(BD!$E1337="","",(E1337/(H1337*I1337)))</f>
        <v>1270000</v>
      </c>
      <c r="H1337" s="8">
        <v>1</v>
      </c>
      <c r="I1337" s="8">
        <v>1</v>
      </c>
      <c r="J1337" s="68" t="str">
        <f>CONCATENATE(LEFT(C1337,1),MID(C1337,SEARCH("_",C1337)+1,2),TEXT(A1337,"000"))</f>
        <v>PP082</v>
      </c>
    </row>
    <row r="1338" spans="1:10">
      <c r="A1338" s="44">
        <f t="shared" si="45"/>
        <v>83</v>
      </c>
      <c r="B1338" s="45" t="s">
        <v>991</v>
      </c>
      <c r="C1338" s="40" t="s">
        <v>50</v>
      </c>
      <c r="D1338" s="51" t="s">
        <v>874</v>
      </c>
      <c r="E1338" s="46">
        <v>1583.1533333333334</v>
      </c>
      <c r="F1338" s="193" t="s">
        <v>874</v>
      </c>
      <c r="G1338" s="9">
        <f>IF(BD!$E1338="","",(E1338/(H1338*I1338)))</f>
        <v>1583.1533333333334</v>
      </c>
      <c r="H1338" s="8">
        <v>1</v>
      </c>
      <c r="I1338" s="8">
        <v>1</v>
      </c>
      <c r="J1338" s="68" t="str">
        <f>CONCATENATE(LEFT(C1338,1),MID(C1338,SEARCH("_",C1338)+1,2),TEXT(A1338,"000"))</f>
        <v>ICO083</v>
      </c>
    </row>
    <row r="1339" spans="1:10">
      <c r="B1339"/>
      <c r="C1339"/>
      <c r="D1339"/>
      <c r="E1339"/>
      <c r="F1339" s="194"/>
      <c r="H1339"/>
      <c r="I1339"/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 ht="15.75">
      <c r="A1345" s="82"/>
      <c r="B1345" s="83" t="s">
        <v>137</v>
      </c>
      <c r="C1345" s="82"/>
      <c r="D1345" s="82"/>
      <c r="E1345" s="82"/>
      <c r="F1345" s="195"/>
      <c r="G1345" s="82"/>
      <c r="H1345" s="82"/>
      <c r="I1345" s="82"/>
      <c r="J1345" s="82"/>
    </row>
    <row r="1346" spans="1:10">
      <c r="B1346"/>
      <c r="C1346"/>
      <c r="D1346"/>
      <c r="E1346"/>
      <c r="F1346" s="194"/>
      <c r="H1346"/>
      <c r="I1346"/>
    </row>
    <row r="1347" spans="1:10" ht="25.5" customHeight="1"/>
    <row r="1348" spans="1:10" ht="18.75">
      <c r="A1348" s="142" t="s">
        <v>112</v>
      </c>
      <c r="B1348" s="169">
        <f>SUBTOTAL(3,(B1350:B1435))</f>
        <v>86</v>
      </c>
      <c r="C1348" s="448"/>
      <c r="D1348" s="448"/>
      <c r="E1348"/>
      <c r="F1348" s="194"/>
      <c r="H1348"/>
      <c r="I1348"/>
    </row>
    <row r="1349" spans="1:10" ht="47.25">
      <c r="A1349" s="96" t="s">
        <v>97</v>
      </c>
      <c r="B1349" s="143" t="s">
        <v>114</v>
      </c>
      <c r="C1349" s="106" t="s">
        <v>115</v>
      </c>
      <c r="D1349" s="107" t="s">
        <v>116</v>
      </c>
      <c r="E1349" s="95" t="s">
        <v>117</v>
      </c>
      <c r="F1349" s="202" t="s">
        <v>118</v>
      </c>
      <c r="G1349" s="108" t="s">
        <v>119</v>
      </c>
      <c r="H1349" s="109" t="s">
        <v>120</v>
      </c>
      <c r="I1349" s="109" t="s">
        <v>121</v>
      </c>
      <c r="J1349" s="110" t="s">
        <v>122</v>
      </c>
    </row>
    <row r="1350" spans="1:10">
      <c r="A1350" s="86">
        <v>1</v>
      </c>
      <c r="B1350" s="105" t="s">
        <v>992</v>
      </c>
      <c r="C1350" s="104" t="s">
        <v>993</v>
      </c>
      <c r="D1350" s="100" t="s">
        <v>124</v>
      </c>
      <c r="E1350" s="98"/>
      <c r="F1350" s="203" t="s">
        <v>124</v>
      </c>
      <c r="G1350" s="101"/>
      <c r="H1350" s="102"/>
      <c r="I1350" s="102"/>
      <c r="J1350" s="103"/>
    </row>
    <row r="1351" spans="1:10">
      <c r="A1351" s="86">
        <f>A1350+1</f>
        <v>2</v>
      </c>
      <c r="B1351" s="105" t="s">
        <v>994</v>
      </c>
      <c r="C1351" s="104" t="s">
        <v>993</v>
      </c>
      <c r="D1351" s="97" t="s">
        <v>124</v>
      </c>
      <c r="E1351" s="98"/>
      <c r="F1351" s="204" t="s">
        <v>124</v>
      </c>
      <c r="G1351" s="11"/>
      <c r="H1351" s="99"/>
      <c r="I1351" s="99"/>
      <c r="J1351" s="92"/>
    </row>
    <row r="1352" spans="1:10">
      <c r="A1352" s="86">
        <f t="shared" ref="A1352:A1415" si="47">A1351+1</f>
        <v>3</v>
      </c>
      <c r="B1352" s="105" t="s">
        <v>995</v>
      </c>
      <c r="C1352" s="104" t="s">
        <v>993</v>
      </c>
      <c r="D1352" s="97" t="s">
        <v>996</v>
      </c>
      <c r="E1352" s="98"/>
      <c r="F1352" s="204" t="s">
        <v>996</v>
      </c>
      <c r="G1352" s="11"/>
      <c r="H1352" s="99"/>
      <c r="I1352" s="99"/>
      <c r="J1352" s="92"/>
    </row>
    <row r="1353" spans="1:10">
      <c r="A1353" s="86">
        <f t="shared" si="47"/>
        <v>4</v>
      </c>
      <c r="B1353" s="105" t="s">
        <v>997</v>
      </c>
      <c r="C1353" s="104" t="s">
        <v>993</v>
      </c>
      <c r="D1353" s="100" t="s">
        <v>124</v>
      </c>
      <c r="E1353" s="98"/>
      <c r="F1353" s="203" t="s">
        <v>124</v>
      </c>
      <c r="G1353" s="101"/>
      <c r="H1353" s="102"/>
      <c r="I1353" s="102"/>
      <c r="J1353" s="103"/>
    </row>
    <row r="1354" spans="1:10">
      <c r="A1354" s="86">
        <f t="shared" si="47"/>
        <v>5</v>
      </c>
      <c r="B1354" s="105" t="s">
        <v>998</v>
      </c>
      <c r="C1354" s="104" t="s">
        <v>993</v>
      </c>
      <c r="D1354" s="97" t="s">
        <v>124</v>
      </c>
      <c r="E1354" s="98"/>
      <c r="F1354" s="204" t="s">
        <v>124</v>
      </c>
      <c r="G1354" s="11"/>
      <c r="H1354" s="99"/>
      <c r="I1354" s="99"/>
      <c r="J1354" s="92"/>
    </row>
    <row r="1355" spans="1:10">
      <c r="A1355" s="86">
        <f t="shared" si="47"/>
        <v>6</v>
      </c>
      <c r="B1355" s="105" t="s">
        <v>999</v>
      </c>
      <c r="C1355" s="104" t="s">
        <v>993</v>
      </c>
      <c r="D1355" s="97" t="s">
        <v>124</v>
      </c>
      <c r="E1355" s="98"/>
      <c r="F1355" s="204" t="s">
        <v>124</v>
      </c>
      <c r="G1355" s="11"/>
      <c r="H1355" s="99"/>
      <c r="I1355" s="99"/>
      <c r="J1355" s="92"/>
    </row>
    <row r="1356" spans="1:10">
      <c r="A1356" s="86">
        <f t="shared" si="47"/>
        <v>7</v>
      </c>
      <c r="B1356" s="105" t="s">
        <v>1000</v>
      </c>
      <c r="C1356" s="104" t="s">
        <v>993</v>
      </c>
      <c r="D1356" s="100" t="s">
        <v>124</v>
      </c>
      <c r="E1356" s="98"/>
      <c r="F1356" s="203" t="s">
        <v>124</v>
      </c>
      <c r="G1356" s="101"/>
      <c r="H1356" s="102"/>
      <c r="I1356" s="102"/>
      <c r="J1356" s="103"/>
    </row>
    <row r="1357" spans="1:10">
      <c r="A1357" s="86">
        <f t="shared" si="47"/>
        <v>8</v>
      </c>
      <c r="B1357" s="105" t="s">
        <v>1001</v>
      </c>
      <c r="C1357" s="104" t="s">
        <v>993</v>
      </c>
      <c r="D1357" s="100" t="s">
        <v>125</v>
      </c>
      <c r="E1357" s="98"/>
      <c r="F1357" s="203" t="s">
        <v>125</v>
      </c>
      <c r="G1357" s="101"/>
      <c r="H1357" s="102"/>
      <c r="I1357" s="102"/>
      <c r="J1357" s="103"/>
    </row>
    <row r="1358" spans="1:10">
      <c r="A1358" s="86">
        <f t="shared" si="47"/>
        <v>9</v>
      </c>
      <c r="B1358" s="105" t="s">
        <v>1002</v>
      </c>
      <c r="C1358" s="104" t="s">
        <v>993</v>
      </c>
      <c r="D1358" s="97" t="s">
        <v>1003</v>
      </c>
      <c r="E1358" s="98"/>
      <c r="F1358" s="204" t="s">
        <v>1003</v>
      </c>
      <c r="G1358" s="11"/>
      <c r="H1358" s="99"/>
      <c r="I1358" s="99"/>
      <c r="J1358" s="92"/>
    </row>
    <row r="1359" spans="1:10">
      <c r="A1359" s="86">
        <f t="shared" si="47"/>
        <v>10</v>
      </c>
      <c r="B1359" s="105" t="s">
        <v>1004</v>
      </c>
      <c r="C1359" s="104" t="s">
        <v>993</v>
      </c>
      <c r="D1359" s="100" t="s">
        <v>996</v>
      </c>
      <c r="E1359" s="98"/>
      <c r="F1359" s="203" t="s">
        <v>996</v>
      </c>
      <c r="G1359" s="101"/>
      <c r="H1359" s="102"/>
      <c r="I1359" s="102"/>
      <c r="J1359" s="103"/>
    </row>
    <row r="1360" spans="1:10">
      <c r="A1360" s="86">
        <f t="shared" si="47"/>
        <v>11</v>
      </c>
      <c r="B1360" s="105" t="s">
        <v>1005</v>
      </c>
      <c r="C1360" s="104" t="s">
        <v>993</v>
      </c>
      <c r="D1360" s="100" t="s">
        <v>124</v>
      </c>
      <c r="E1360" s="98"/>
      <c r="F1360" s="203" t="s">
        <v>124</v>
      </c>
      <c r="G1360" s="101"/>
      <c r="H1360" s="102"/>
      <c r="I1360" s="102"/>
      <c r="J1360" s="103"/>
    </row>
    <row r="1361" spans="1:10">
      <c r="A1361" s="86">
        <f t="shared" si="47"/>
        <v>12</v>
      </c>
      <c r="B1361" s="105" t="s">
        <v>1006</v>
      </c>
      <c r="C1361" s="104" t="s">
        <v>993</v>
      </c>
      <c r="D1361" s="97" t="s">
        <v>996</v>
      </c>
      <c r="E1361" s="98"/>
      <c r="F1361" s="204" t="s">
        <v>996</v>
      </c>
      <c r="G1361" s="101"/>
      <c r="H1361" s="102"/>
      <c r="I1361" s="102"/>
      <c r="J1361" s="103"/>
    </row>
    <row r="1362" spans="1:10">
      <c r="A1362" s="86">
        <f t="shared" si="47"/>
        <v>13</v>
      </c>
      <c r="B1362" s="105" t="s">
        <v>1007</v>
      </c>
      <c r="C1362" s="104" t="s">
        <v>993</v>
      </c>
      <c r="D1362" s="100" t="s">
        <v>125</v>
      </c>
      <c r="E1362" s="98"/>
      <c r="F1362" s="203" t="s">
        <v>125</v>
      </c>
      <c r="G1362" s="101"/>
      <c r="H1362" s="102"/>
      <c r="I1362" s="102"/>
      <c r="J1362" s="103"/>
    </row>
    <row r="1363" spans="1:10">
      <c r="A1363" s="86">
        <f t="shared" si="47"/>
        <v>14</v>
      </c>
      <c r="B1363" s="105" t="s">
        <v>1008</v>
      </c>
      <c r="C1363" s="104" t="s">
        <v>993</v>
      </c>
      <c r="D1363" s="100" t="s">
        <v>124</v>
      </c>
      <c r="E1363" s="98"/>
      <c r="F1363" s="203" t="s">
        <v>124</v>
      </c>
      <c r="G1363" s="101"/>
      <c r="H1363" s="102"/>
      <c r="I1363" s="102"/>
      <c r="J1363" s="103"/>
    </row>
    <row r="1364" spans="1:10">
      <c r="A1364" s="86">
        <f t="shared" si="47"/>
        <v>15</v>
      </c>
      <c r="B1364" s="105" t="s">
        <v>1009</v>
      </c>
      <c r="C1364" s="104" t="s">
        <v>993</v>
      </c>
      <c r="D1364" s="97" t="s">
        <v>124</v>
      </c>
      <c r="E1364" s="98"/>
      <c r="F1364" s="204" t="s">
        <v>124</v>
      </c>
      <c r="G1364" s="11"/>
      <c r="H1364" s="99"/>
      <c r="I1364" s="99"/>
      <c r="J1364" s="92"/>
    </row>
    <row r="1365" spans="1:10">
      <c r="A1365" s="86">
        <f t="shared" si="47"/>
        <v>16</v>
      </c>
      <c r="B1365" s="105" t="s">
        <v>1010</v>
      </c>
      <c r="C1365" s="104" t="s">
        <v>993</v>
      </c>
      <c r="D1365" s="97" t="s">
        <v>124</v>
      </c>
      <c r="E1365" s="98"/>
      <c r="F1365" s="204" t="s">
        <v>124</v>
      </c>
      <c r="G1365" s="11"/>
      <c r="H1365" s="99"/>
      <c r="I1365" s="99"/>
      <c r="J1365" s="92"/>
    </row>
    <row r="1366" spans="1:10">
      <c r="A1366" s="86">
        <f t="shared" si="47"/>
        <v>17</v>
      </c>
      <c r="B1366" s="105" t="s">
        <v>1011</v>
      </c>
      <c r="C1366" s="104" t="s">
        <v>993</v>
      </c>
      <c r="D1366" s="97" t="s">
        <v>1003</v>
      </c>
      <c r="E1366" s="98"/>
      <c r="F1366" s="204" t="s">
        <v>1003</v>
      </c>
      <c r="G1366" s="11"/>
      <c r="H1366" s="99"/>
      <c r="I1366" s="99"/>
      <c r="J1366" s="92"/>
    </row>
    <row r="1367" spans="1:10">
      <c r="A1367" s="86">
        <f t="shared" si="47"/>
        <v>18</v>
      </c>
      <c r="B1367" s="105" t="s">
        <v>1012</v>
      </c>
      <c r="C1367" s="104" t="s">
        <v>993</v>
      </c>
      <c r="D1367" s="97" t="s">
        <v>124</v>
      </c>
      <c r="E1367" s="98"/>
      <c r="F1367" s="204" t="s">
        <v>124</v>
      </c>
      <c r="G1367" s="11"/>
      <c r="H1367" s="99"/>
      <c r="I1367" s="99"/>
      <c r="J1367" s="92"/>
    </row>
    <row r="1368" spans="1:10">
      <c r="A1368" s="86">
        <f t="shared" si="47"/>
        <v>19</v>
      </c>
      <c r="B1368" s="105" t="s">
        <v>1013</v>
      </c>
      <c r="C1368" s="104" t="s">
        <v>993</v>
      </c>
      <c r="D1368" s="97" t="s">
        <v>1003</v>
      </c>
      <c r="E1368" s="98"/>
      <c r="F1368" s="204" t="s">
        <v>1003</v>
      </c>
      <c r="G1368" s="11"/>
      <c r="H1368" s="99"/>
      <c r="I1368" s="99"/>
      <c r="J1368" s="92"/>
    </row>
    <row r="1369" spans="1:10">
      <c r="A1369" s="86">
        <f t="shared" si="47"/>
        <v>20</v>
      </c>
      <c r="B1369" s="105" t="s">
        <v>1014</v>
      </c>
      <c r="C1369" s="104" t="s">
        <v>993</v>
      </c>
      <c r="D1369" s="97" t="s">
        <v>838</v>
      </c>
      <c r="E1369" s="98"/>
      <c r="F1369" s="204" t="s">
        <v>838</v>
      </c>
      <c r="G1369" s="11"/>
      <c r="H1369" s="99"/>
      <c r="I1369" s="99"/>
      <c r="J1369" s="92"/>
    </row>
    <row r="1370" spans="1:10">
      <c r="A1370" s="86">
        <f t="shared" si="47"/>
        <v>21</v>
      </c>
      <c r="B1370" s="105" t="s">
        <v>1015</v>
      </c>
      <c r="C1370" s="104" t="s">
        <v>993</v>
      </c>
      <c r="D1370" s="97" t="s">
        <v>1003</v>
      </c>
      <c r="E1370" s="98"/>
      <c r="F1370" s="204" t="s">
        <v>1003</v>
      </c>
      <c r="G1370" s="11"/>
      <c r="H1370" s="99"/>
      <c r="I1370" s="99"/>
      <c r="J1370" s="92"/>
    </row>
    <row r="1371" spans="1:10">
      <c r="A1371" s="86">
        <f t="shared" si="47"/>
        <v>22</v>
      </c>
      <c r="B1371" s="105" t="s">
        <v>1016</v>
      </c>
      <c r="C1371" s="104" t="s">
        <v>993</v>
      </c>
      <c r="D1371" s="97" t="s">
        <v>125</v>
      </c>
      <c r="E1371" s="98"/>
      <c r="F1371" s="204" t="s">
        <v>125</v>
      </c>
      <c r="G1371" s="11"/>
      <c r="H1371" s="99"/>
      <c r="I1371" s="99"/>
      <c r="J1371" s="92"/>
    </row>
    <row r="1372" spans="1:10">
      <c r="A1372" s="86">
        <f t="shared" si="47"/>
        <v>23</v>
      </c>
      <c r="B1372" s="105" t="s">
        <v>1017</v>
      </c>
      <c r="C1372" s="104" t="s">
        <v>993</v>
      </c>
      <c r="D1372" s="97" t="s">
        <v>838</v>
      </c>
      <c r="E1372" s="98"/>
      <c r="F1372" s="204" t="s">
        <v>838</v>
      </c>
      <c r="G1372" s="11"/>
      <c r="H1372" s="99"/>
      <c r="I1372" s="99"/>
      <c r="J1372" s="92"/>
    </row>
    <row r="1373" spans="1:10">
      <c r="A1373" s="86">
        <f t="shared" si="47"/>
        <v>24</v>
      </c>
      <c r="B1373" s="105" t="s">
        <v>1018</v>
      </c>
      <c r="C1373" s="104" t="s">
        <v>993</v>
      </c>
      <c r="D1373" s="100" t="s">
        <v>1003</v>
      </c>
      <c r="E1373" s="98"/>
      <c r="F1373" s="203" t="s">
        <v>1003</v>
      </c>
      <c r="G1373" s="101"/>
      <c r="H1373" s="102"/>
      <c r="I1373" s="102"/>
      <c r="J1373" s="103"/>
    </row>
    <row r="1374" spans="1:10">
      <c r="A1374" s="86">
        <f t="shared" si="47"/>
        <v>25</v>
      </c>
      <c r="B1374" s="105" t="s">
        <v>1019</v>
      </c>
      <c r="C1374" s="104" t="s">
        <v>993</v>
      </c>
      <c r="D1374" s="100" t="s">
        <v>1003</v>
      </c>
      <c r="E1374" s="98"/>
      <c r="F1374" s="203" t="s">
        <v>1003</v>
      </c>
      <c r="G1374" s="101"/>
      <c r="H1374" s="102"/>
      <c r="I1374" s="102"/>
      <c r="J1374" s="103"/>
    </row>
    <row r="1375" spans="1:10">
      <c r="A1375" s="86">
        <f t="shared" si="47"/>
        <v>26</v>
      </c>
      <c r="B1375" s="105" t="s">
        <v>1020</v>
      </c>
      <c r="C1375" s="104" t="s">
        <v>993</v>
      </c>
      <c r="D1375" s="97" t="s">
        <v>1003</v>
      </c>
      <c r="E1375" s="98"/>
      <c r="F1375" s="204" t="s">
        <v>1003</v>
      </c>
      <c r="G1375" s="11"/>
      <c r="H1375" s="99"/>
      <c r="I1375" s="99"/>
      <c r="J1375" s="92"/>
    </row>
    <row r="1376" spans="1:10">
      <c r="A1376" s="86">
        <f t="shared" si="47"/>
        <v>27</v>
      </c>
      <c r="B1376" s="105" t="s">
        <v>1021</v>
      </c>
      <c r="C1376" s="104" t="s">
        <v>993</v>
      </c>
      <c r="D1376" s="97" t="s">
        <v>1003</v>
      </c>
      <c r="E1376" s="98"/>
      <c r="F1376" s="204" t="s">
        <v>1003</v>
      </c>
      <c r="G1376" s="11"/>
      <c r="H1376" s="99"/>
      <c r="I1376" s="99"/>
      <c r="J1376" s="92"/>
    </row>
    <row r="1377" spans="1:10">
      <c r="A1377" s="86">
        <f t="shared" si="47"/>
        <v>28</v>
      </c>
      <c r="B1377" s="105" t="s">
        <v>1022</v>
      </c>
      <c r="C1377" s="104" t="s">
        <v>993</v>
      </c>
      <c r="D1377" s="100" t="s">
        <v>1003</v>
      </c>
      <c r="E1377" s="98"/>
      <c r="F1377" s="203" t="s">
        <v>1003</v>
      </c>
      <c r="G1377" s="101"/>
      <c r="H1377" s="102"/>
      <c r="I1377" s="102"/>
      <c r="J1377" s="103"/>
    </row>
    <row r="1378" spans="1:10">
      <c r="A1378" s="86">
        <f t="shared" si="47"/>
        <v>29</v>
      </c>
      <c r="B1378" s="105" t="s">
        <v>1023</v>
      </c>
      <c r="C1378" s="104" t="s">
        <v>993</v>
      </c>
      <c r="D1378" s="97" t="s">
        <v>838</v>
      </c>
      <c r="E1378" s="98"/>
      <c r="F1378" s="204" t="s">
        <v>838</v>
      </c>
      <c r="G1378" s="11"/>
      <c r="H1378" s="99"/>
      <c r="I1378" s="99"/>
      <c r="J1378" s="92"/>
    </row>
    <row r="1379" spans="1:10">
      <c r="A1379" s="86">
        <f t="shared" si="47"/>
        <v>30</v>
      </c>
      <c r="B1379" s="105" t="s">
        <v>1024</v>
      </c>
      <c r="C1379" s="104" t="s">
        <v>993</v>
      </c>
      <c r="D1379" s="97" t="s">
        <v>124</v>
      </c>
      <c r="E1379" s="98"/>
      <c r="F1379" s="204" t="s">
        <v>124</v>
      </c>
      <c r="G1379" s="11"/>
      <c r="H1379" s="99"/>
      <c r="I1379" s="99"/>
      <c r="J1379" s="92"/>
    </row>
    <row r="1380" spans="1:10">
      <c r="A1380" s="86">
        <f t="shared" si="47"/>
        <v>31</v>
      </c>
      <c r="B1380" s="105" t="s">
        <v>1025</v>
      </c>
      <c r="C1380" s="104" t="s">
        <v>993</v>
      </c>
      <c r="D1380" s="97" t="s">
        <v>124</v>
      </c>
      <c r="E1380" s="98"/>
      <c r="F1380" s="204" t="s">
        <v>124</v>
      </c>
      <c r="G1380" s="11"/>
      <c r="H1380" s="99"/>
      <c r="I1380" s="99"/>
      <c r="J1380" s="92"/>
    </row>
    <row r="1381" spans="1:10">
      <c r="A1381" s="86">
        <f t="shared" si="47"/>
        <v>32</v>
      </c>
      <c r="B1381" s="105" t="s">
        <v>1026</v>
      </c>
      <c r="C1381" s="104" t="s">
        <v>993</v>
      </c>
      <c r="D1381" s="97" t="s">
        <v>996</v>
      </c>
      <c r="E1381" s="98"/>
      <c r="F1381" s="204" t="s">
        <v>996</v>
      </c>
      <c r="G1381" s="11"/>
      <c r="H1381" s="99"/>
      <c r="I1381" s="99"/>
      <c r="J1381" s="92"/>
    </row>
    <row r="1382" spans="1:10">
      <c r="A1382" s="86">
        <f t="shared" si="47"/>
        <v>33</v>
      </c>
      <c r="B1382" s="105" t="s">
        <v>1027</v>
      </c>
      <c r="C1382" s="104" t="s">
        <v>993</v>
      </c>
      <c r="D1382" s="100" t="s">
        <v>124</v>
      </c>
      <c r="E1382" s="98"/>
      <c r="F1382" s="203" t="s">
        <v>124</v>
      </c>
      <c r="G1382" s="101"/>
      <c r="H1382" s="102"/>
      <c r="I1382" s="102"/>
      <c r="J1382" s="103"/>
    </row>
    <row r="1383" spans="1:10">
      <c r="A1383" s="86">
        <f t="shared" si="47"/>
        <v>34</v>
      </c>
      <c r="B1383" s="105" t="s">
        <v>1028</v>
      </c>
      <c r="C1383" s="104" t="s">
        <v>993</v>
      </c>
      <c r="D1383" s="97" t="s">
        <v>125</v>
      </c>
      <c r="E1383" s="98"/>
      <c r="F1383" s="204" t="s">
        <v>125</v>
      </c>
      <c r="G1383" s="11"/>
      <c r="H1383" s="99"/>
      <c r="I1383" s="99"/>
      <c r="J1383" s="92"/>
    </row>
    <row r="1384" spans="1:10">
      <c r="A1384" s="86">
        <f t="shared" si="47"/>
        <v>35</v>
      </c>
      <c r="B1384" s="105" t="s">
        <v>1029</v>
      </c>
      <c r="C1384" s="104" t="s">
        <v>993</v>
      </c>
      <c r="D1384" s="100" t="s">
        <v>124</v>
      </c>
      <c r="E1384" s="98"/>
      <c r="F1384" s="203" t="s">
        <v>124</v>
      </c>
      <c r="G1384" s="101"/>
      <c r="H1384" s="102"/>
      <c r="I1384" s="102"/>
      <c r="J1384" s="103"/>
    </row>
    <row r="1385" spans="1:10">
      <c r="A1385" s="86">
        <f t="shared" si="47"/>
        <v>36</v>
      </c>
      <c r="B1385" s="105" t="s">
        <v>1030</v>
      </c>
      <c r="C1385" s="104" t="s">
        <v>993</v>
      </c>
      <c r="D1385" s="100" t="s">
        <v>1003</v>
      </c>
      <c r="E1385" s="98"/>
      <c r="F1385" s="203" t="s">
        <v>1003</v>
      </c>
      <c r="G1385" s="101"/>
      <c r="H1385" s="102"/>
      <c r="I1385" s="102"/>
      <c r="J1385" s="103"/>
    </row>
    <row r="1386" spans="1:10">
      <c r="A1386" s="86">
        <f t="shared" si="47"/>
        <v>37</v>
      </c>
      <c r="B1386" s="105" t="s">
        <v>1031</v>
      </c>
      <c r="C1386" s="104" t="s">
        <v>993</v>
      </c>
      <c r="D1386" s="97" t="s">
        <v>124</v>
      </c>
      <c r="E1386" s="98"/>
      <c r="F1386" s="204" t="s">
        <v>124</v>
      </c>
      <c r="G1386" s="11"/>
      <c r="H1386" s="99"/>
      <c r="I1386" s="99"/>
      <c r="J1386" s="92"/>
    </row>
    <row r="1387" spans="1:10">
      <c r="A1387" s="86">
        <f t="shared" si="47"/>
        <v>38</v>
      </c>
      <c r="B1387" s="105" t="s">
        <v>1032</v>
      </c>
      <c r="C1387" s="104" t="s">
        <v>993</v>
      </c>
      <c r="D1387" s="97" t="s">
        <v>124</v>
      </c>
      <c r="E1387" s="98"/>
      <c r="F1387" s="204" t="s">
        <v>124</v>
      </c>
      <c r="G1387" s="11"/>
      <c r="H1387" s="99"/>
      <c r="I1387" s="99"/>
      <c r="J1387" s="92"/>
    </row>
    <row r="1388" spans="1:10">
      <c r="A1388" s="86">
        <f t="shared" si="47"/>
        <v>39</v>
      </c>
      <c r="B1388" s="105" t="s">
        <v>1033</v>
      </c>
      <c r="C1388" s="104" t="s">
        <v>993</v>
      </c>
      <c r="D1388" s="97" t="s">
        <v>125</v>
      </c>
      <c r="E1388" s="98"/>
      <c r="F1388" s="204" t="s">
        <v>125</v>
      </c>
      <c r="G1388" s="11"/>
      <c r="H1388" s="99"/>
      <c r="I1388" s="99"/>
      <c r="J1388" s="92"/>
    </row>
    <row r="1389" spans="1:10">
      <c r="A1389" s="86">
        <f t="shared" si="47"/>
        <v>40</v>
      </c>
      <c r="B1389" s="105" t="s">
        <v>1034</v>
      </c>
      <c r="C1389" s="104" t="s">
        <v>993</v>
      </c>
      <c r="D1389" s="100" t="s">
        <v>1003</v>
      </c>
      <c r="E1389" s="98"/>
      <c r="F1389" s="203" t="s">
        <v>1003</v>
      </c>
      <c r="G1389" s="101"/>
      <c r="H1389" s="102"/>
      <c r="I1389" s="102"/>
      <c r="J1389" s="103"/>
    </row>
    <row r="1390" spans="1:10">
      <c r="A1390" s="86">
        <f t="shared" si="47"/>
        <v>41</v>
      </c>
      <c r="B1390" s="105" t="s">
        <v>1035</v>
      </c>
      <c r="C1390" s="104" t="s">
        <v>993</v>
      </c>
      <c r="D1390" s="100" t="s">
        <v>838</v>
      </c>
      <c r="E1390" s="98"/>
      <c r="F1390" s="203" t="s">
        <v>838</v>
      </c>
      <c r="G1390" s="101"/>
      <c r="H1390" s="102"/>
      <c r="I1390" s="102"/>
      <c r="J1390" s="103"/>
    </row>
    <row r="1391" spans="1:10">
      <c r="A1391" s="86">
        <f t="shared" si="47"/>
        <v>42</v>
      </c>
      <c r="B1391" s="105" t="s">
        <v>1036</v>
      </c>
      <c r="C1391" s="104" t="s">
        <v>993</v>
      </c>
      <c r="D1391" s="100" t="s">
        <v>1037</v>
      </c>
      <c r="E1391" s="98"/>
      <c r="F1391" s="203" t="s">
        <v>1037</v>
      </c>
      <c r="G1391" s="101"/>
      <c r="H1391" s="102"/>
      <c r="I1391" s="102"/>
      <c r="J1391" s="103"/>
    </row>
    <row r="1392" spans="1:10">
      <c r="A1392" s="86">
        <f t="shared" si="47"/>
        <v>43</v>
      </c>
      <c r="B1392" s="105" t="s">
        <v>1038</v>
      </c>
      <c r="C1392" s="104" t="s">
        <v>993</v>
      </c>
      <c r="D1392" s="97" t="s">
        <v>124</v>
      </c>
      <c r="E1392" s="98"/>
      <c r="F1392" s="204" t="s">
        <v>124</v>
      </c>
      <c r="G1392" s="11"/>
      <c r="H1392" s="99"/>
      <c r="I1392" s="99"/>
      <c r="J1392" s="92"/>
    </row>
    <row r="1393" spans="1:10">
      <c r="A1393" s="86">
        <f t="shared" si="47"/>
        <v>44</v>
      </c>
      <c r="B1393" s="105" t="s">
        <v>1039</v>
      </c>
      <c r="C1393" s="104" t="s">
        <v>993</v>
      </c>
      <c r="D1393" s="100" t="s">
        <v>838</v>
      </c>
      <c r="E1393" s="98"/>
      <c r="F1393" s="203" t="s">
        <v>838</v>
      </c>
      <c r="G1393" s="101"/>
      <c r="H1393" s="102"/>
      <c r="I1393" s="102"/>
      <c r="J1393" s="103"/>
    </row>
    <row r="1394" spans="1:10">
      <c r="A1394" s="86">
        <f t="shared" si="47"/>
        <v>45</v>
      </c>
      <c r="B1394" s="105" t="s">
        <v>1040</v>
      </c>
      <c r="C1394" s="104" t="s">
        <v>993</v>
      </c>
      <c r="D1394" s="97" t="s">
        <v>838</v>
      </c>
      <c r="E1394" s="98"/>
      <c r="F1394" s="204" t="s">
        <v>838</v>
      </c>
      <c r="G1394" s="11"/>
      <c r="H1394" s="99"/>
      <c r="I1394" s="99"/>
      <c r="J1394" s="92"/>
    </row>
    <row r="1395" spans="1:10">
      <c r="A1395" s="86">
        <f t="shared" si="47"/>
        <v>46</v>
      </c>
      <c r="B1395" s="105" t="s">
        <v>1041</v>
      </c>
      <c r="C1395" s="104" t="s">
        <v>993</v>
      </c>
      <c r="D1395" s="100" t="s">
        <v>125</v>
      </c>
      <c r="E1395" s="98"/>
      <c r="F1395" s="203" t="s">
        <v>125</v>
      </c>
      <c r="G1395" s="101"/>
      <c r="H1395" s="102"/>
      <c r="I1395" s="102"/>
      <c r="J1395" s="103"/>
    </row>
    <row r="1396" spans="1:10">
      <c r="A1396" s="86">
        <f t="shared" si="47"/>
        <v>47</v>
      </c>
      <c r="B1396" s="105" t="s">
        <v>1042</v>
      </c>
      <c r="C1396" s="104" t="s">
        <v>993</v>
      </c>
      <c r="D1396" s="97" t="s">
        <v>124</v>
      </c>
      <c r="E1396" s="98"/>
      <c r="F1396" s="204" t="s">
        <v>124</v>
      </c>
      <c r="G1396" s="11"/>
      <c r="H1396" s="99"/>
      <c r="I1396" s="99"/>
      <c r="J1396" s="92"/>
    </row>
    <row r="1397" spans="1:10" ht="26.25">
      <c r="A1397" s="86">
        <f t="shared" si="47"/>
        <v>48</v>
      </c>
      <c r="B1397" s="105" t="s">
        <v>1043</v>
      </c>
      <c r="C1397" s="104" t="s">
        <v>993</v>
      </c>
      <c r="D1397" s="97" t="s">
        <v>828</v>
      </c>
      <c r="E1397" s="166">
        <v>205766.7</v>
      </c>
      <c r="F1397" s="204" t="s">
        <v>828</v>
      </c>
      <c r="G1397" s="167">
        <v>205766.7</v>
      </c>
      <c r="H1397" s="168">
        <v>1</v>
      </c>
      <c r="I1397" s="168">
        <v>1</v>
      </c>
      <c r="J1397" s="92"/>
    </row>
    <row r="1398" spans="1:10">
      <c r="A1398" s="86">
        <f t="shared" si="47"/>
        <v>49</v>
      </c>
      <c r="B1398" s="105" t="s">
        <v>1044</v>
      </c>
      <c r="C1398" s="104" t="s">
        <v>993</v>
      </c>
      <c r="D1398" s="97" t="s">
        <v>838</v>
      </c>
      <c r="E1398" s="98"/>
      <c r="F1398" s="204" t="s">
        <v>838</v>
      </c>
      <c r="G1398" s="11"/>
      <c r="H1398" s="99"/>
      <c r="I1398" s="99"/>
      <c r="J1398" s="92"/>
    </row>
    <row r="1399" spans="1:10">
      <c r="A1399" s="86">
        <f t="shared" si="47"/>
        <v>50</v>
      </c>
      <c r="B1399" s="105" t="s">
        <v>1045</v>
      </c>
      <c r="C1399" s="104" t="s">
        <v>993</v>
      </c>
      <c r="D1399" s="100" t="s">
        <v>124</v>
      </c>
      <c r="E1399" s="98"/>
      <c r="F1399" s="203" t="s">
        <v>124</v>
      </c>
      <c r="G1399" s="101"/>
      <c r="H1399" s="102"/>
      <c r="I1399" s="102"/>
      <c r="J1399" s="103"/>
    </row>
    <row r="1400" spans="1:10">
      <c r="A1400" s="86">
        <f t="shared" si="47"/>
        <v>51</v>
      </c>
      <c r="B1400" s="105" t="s">
        <v>1046</v>
      </c>
      <c r="C1400" s="104" t="s">
        <v>993</v>
      </c>
      <c r="D1400" s="97" t="s">
        <v>1003</v>
      </c>
      <c r="E1400" s="98"/>
      <c r="F1400" s="204" t="s">
        <v>1003</v>
      </c>
      <c r="G1400" s="11"/>
      <c r="H1400" s="99"/>
      <c r="I1400" s="99"/>
      <c r="J1400" s="92"/>
    </row>
    <row r="1401" spans="1:10">
      <c r="A1401" s="86">
        <f t="shared" si="47"/>
        <v>52</v>
      </c>
      <c r="B1401" s="105" t="s">
        <v>1047</v>
      </c>
      <c r="C1401" s="104" t="s">
        <v>993</v>
      </c>
      <c r="D1401" s="100" t="s">
        <v>1003</v>
      </c>
      <c r="E1401" s="98"/>
      <c r="F1401" s="203" t="s">
        <v>1003</v>
      </c>
      <c r="G1401" s="101"/>
      <c r="H1401" s="102"/>
      <c r="I1401" s="102"/>
      <c r="J1401" s="103"/>
    </row>
    <row r="1402" spans="1:10">
      <c r="A1402" s="86">
        <f t="shared" si="47"/>
        <v>53</v>
      </c>
      <c r="B1402" s="105" t="s">
        <v>1048</v>
      </c>
      <c r="C1402" s="104" t="s">
        <v>993</v>
      </c>
      <c r="D1402" s="97" t="s">
        <v>1003</v>
      </c>
      <c r="E1402" s="98"/>
      <c r="F1402" s="204" t="s">
        <v>1003</v>
      </c>
      <c r="G1402" s="11"/>
      <c r="H1402" s="99"/>
      <c r="I1402" s="99"/>
      <c r="J1402" s="92"/>
    </row>
    <row r="1403" spans="1:10">
      <c r="A1403" s="86">
        <f t="shared" si="47"/>
        <v>54</v>
      </c>
      <c r="B1403" s="105" t="s">
        <v>1049</v>
      </c>
      <c r="C1403" s="104" t="s">
        <v>993</v>
      </c>
      <c r="D1403" s="97" t="s">
        <v>124</v>
      </c>
      <c r="E1403" s="98"/>
      <c r="F1403" s="204" t="s">
        <v>124</v>
      </c>
      <c r="G1403" s="11"/>
      <c r="H1403" s="99"/>
      <c r="I1403" s="99"/>
      <c r="J1403" s="92"/>
    </row>
    <row r="1404" spans="1:10">
      <c r="A1404" s="86">
        <f t="shared" si="47"/>
        <v>55</v>
      </c>
      <c r="B1404" s="105" t="s">
        <v>1050</v>
      </c>
      <c r="C1404" s="104" t="s">
        <v>993</v>
      </c>
      <c r="D1404" s="97" t="s">
        <v>1003</v>
      </c>
      <c r="E1404" s="98"/>
      <c r="F1404" s="204" t="s">
        <v>1003</v>
      </c>
      <c r="G1404" s="11"/>
      <c r="H1404" s="99"/>
      <c r="I1404" s="99"/>
      <c r="J1404" s="92"/>
    </row>
    <row r="1405" spans="1:10">
      <c r="A1405" s="86">
        <f t="shared" si="47"/>
        <v>56</v>
      </c>
      <c r="B1405" s="105" t="s">
        <v>1051</v>
      </c>
      <c r="C1405" s="104" t="s">
        <v>993</v>
      </c>
      <c r="D1405" s="97" t="s">
        <v>124</v>
      </c>
      <c r="E1405" s="98"/>
      <c r="F1405" s="204" t="s">
        <v>124</v>
      </c>
      <c r="G1405" s="11"/>
      <c r="H1405" s="99"/>
      <c r="I1405" s="99"/>
      <c r="J1405" s="92"/>
    </row>
    <row r="1406" spans="1:10">
      <c r="A1406" s="86">
        <f t="shared" si="47"/>
        <v>57</v>
      </c>
      <c r="B1406" s="105" t="s">
        <v>1052</v>
      </c>
      <c r="C1406" s="104" t="s">
        <v>993</v>
      </c>
      <c r="D1406" s="100" t="s">
        <v>1003</v>
      </c>
      <c r="E1406" s="98"/>
      <c r="F1406" s="203" t="s">
        <v>1003</v>
      </c>
      <c r="G1406" s="101"/>
      <c r="H1406" s="102"/>
      <c r="I1406" s="102"/>
      <c r="J1406" s="103"/>
    </row>
    <row r="1407" spans="1:10">
      <c r="A1407" s="86">
        <f t="shared" si="47"/>
        <v>58</v>
      </c>
      <c r="B1407" s="105" t="s">
        <v>1053</v>
      </c>
      <c r="C1407" s="104" t="s">
        <v>993</v>
      </c>
      <c r="D1407" s="100" t="s">
        <v>125</v>
      </c>
      <c r="E1407" s="98"/>
      <c r="F1407" s="203" t="s">
        <v>125</v>
      </c>
      <c r="G1407" s="101"/>
      <c r="H1407" s="102"/>
      <c r="I1407" s="102"/>
      <c r="J1407" s="103"/>
    </row>
    <row r="1408" spans="1:10">
      <c r="A1408" s="86">
        <f t="shared" si="47"/>
        <v>59</v>
      </c>
      <c r="B1408" s="105" t="s">
        <v>1054</v>
      </c>
      <c r="C1408" s="104" t="s">
        <v>993</v>
      </c>
      <c r="D1408" s="100" t="s">
        <v>124</v>
      </c>
      <c r="E1408" s="98"/>
      <c r="F1408" s="203" t="s">
        <v>124</v>
      </c>
      <c r="G1408" s="101"/>
      <c r="H1408" s="102"/>
      <c r="I1408" s="102"/>
      <c r="J1408" s="103"/>
    </row>
    <row r="1409" spans="1:10">
      <c r="A1409" s="86">
        <f t="shared" si="47"/>
        <v>60</v>
      </c>
      <c r="B1409" s="105" t="s">
        <v>1055</v>
      </c>
      <c r="C1409" s="104" t="s">
        <v>993</v>
      </c>
      <c r="D1409" s="100" t="s">
        <v>124</v>
      </c>
      <c r="E1409" s="98"/>
      <c r="F1409" s="203" t="s">
        <v>124</v>
      </c>
      <c r="G1409" s="101"/>
      <c r="H1409" s="102"/>
      <c r="I1409" s="102"/>
      <c r="J1409" s="103"/>
    </row>
    <row r="1410" spans="1:10">
      <c r="A1410" s="86">
        <f t="shared" si="47"/>
        <v>61</v>
      </c>
      <c r="B1410" s="105" t="s">
        <v>1056</v>
      </c>
      <c r="C1410" s="104" t="s">
        <v>993</v>
      </c>
      <c r="D1410" s="100" t="s">
        <v>125</v>
      </c>
      <c r="E1410" s="98"/>
      <c r="F1410" s="203" t="s">
        <v>125</v>
      </c>
      <c r="G1410" s="101"/>
      <c r="H1410" s="102"/>
      <c r="I1410" s="102"/>
      <c r="J1410" s="103"/>
    </row>
    <row r="1411" spans="1:10">
      <c r="A1411" s="86">
        <f t="shared" si="47"/>
        <v>62</v>
      </c>
      <c r="B1411" s="105" t="s">
        <v>1057</v>
      </c>
      <c r="C1411" s="104" t="s">
        <v>993</v>
      </c>
      <c r="D1411" s="97" t="s">
        <v>124</v>
      </c>
      <c r="E1411" s="98"/>
      <c r="F1411" s="204" t="s">
        <v>124</v>
      </c>
      <c r="G1411" s="11"/>
      <c r="H1411" s="99"/>
      <c r="I1411" s="99"/>
      <c r="J1411" s="92"/>
    </row>
    <row r="1412" spans="1:10">
      <c r="A1412" s="86">
        <f t="shared" si="47"/>
        <v>63</v>
      </c>
      <c r="B1412" s="105" t="s">
        <v>1058</v>
      </c>
      <c r="C1412" s="104" t="s">
        <v>993</v>
      </c>
      <c r="D1412" s="97" t="s">
        <v>996</v>
      </c>
      <c r="E1412" s="98"/>
      <c r="F1412" s="204" t="s">
        <v>996</v>
      </c>
      <c r="G1412" s="101"/>
      <c r="H1412" s="102"/>
      <c r="I1412" s="102"/>
      <c r="J1412" s="103"/>
    </row>
    <row r="1413" spans="1:10">
      <c r="A1413" s="86">
        <f t="shared" si="47"/>
        <v>64</v>
      </c>
      <c r="B1413" s="105" t="s">
        <v>1059</v>
      </c>
      <c r="C1413" s="104" t="s">
        <v>993</v>
      </c>
      <c r="D1413" s="97" t="s">
        <v>996</v>
      </c>
      <c r="E1413" s="98"/>
      <c r="F1413" s="204" t="s">
        <v>996</v>
      </c>
      <c r="G1413" s="11"/>
      <c r="H1413" s="99"/>
      <c r="I1413" s="99"/>
      <c r="J1413" s="92"/>
    </row>
    <row r="1414" spans="1:10">
      <c r="A1414" s="86">
        <f t="shared" si="47"/>
        <v>65</v>
      </c>
      <c r="B1414" s="105" t="s">
        <v>1060</v>
      </c>
      <c r="C1414" s="104" t="s">
        <v>993</v>
      </c>
      <c r="D1414" s="100" t="s">
        <v>1003</v>
      </c>
      <c r="E1414" s="98"/>
      <c r="F1414" s="203" t="s">
        <v>1003</v>
      </c>
      <c r="G1414" s="101"/>
      <c r="H1414" s="102"/>
      <c r="I1414" s="102"/>
      <c r="J1414" s="103"/>
    </row>
    <row r="1415" spans="1:10">
      <c r="A1415" s="86">
        <f t="shared" si="47"/>
        <v>66</v>
      </c>
      <c r="B1415" s="105" t="s">
        <v>1061</v>
      </c>
      <c r="C1415" s="104" t="s">
        <v>993</v>
      </c>
      <c r="D1415" s="100" t="s">
        <v>124</v>
      </c>
      <c r="E1415" s="98"/>
      <c r="F1415" s="203" t="s">
        <v>124</v>
      </c>
      <c r="G1415" s="101"/>
      <c r="H1415" s="102"/>
      <c r="I1415" s="102"/>
      <c r="J1415" s="103"/>
    </row>
    <row r="1416" spans="1:10">
      <c r="A1416" s="86">
        <f t="shared" ref="A1416:A1435" si="48">A1415+1</f>
        <v>67</v>
      </c>
      <c r="B1416" s="105" t="s">
        <v>1062</v>
      </c>
      <c r="C1416" s="104" t="s">
        <v>993</v>
      </c>
      <c r="D1416" s="100" t="s">
        <v>125</v>
      </c>
      <c r="E1416" s="98"/>
      <c r="F1416" s="203" t="s">
        <v>125</v>
      </c>
      <c r="G1416" s="101"/>
      <c r="H1416" s="102"/>
      <c r="I1416" s="102"/>
      <c r="J1416" s="103"/>
    </row>
    <row r="1417" spans="1:10">
      <c r="A1417" s="86">
        <f t="shared" si="48"/>
        <v>68</v>
      </c>
      <c r="B1417" s="105" t="s">
        <v>1063</v>
      </c>
      <c r="C1417" s="104" t="s">
        <v>993</v>
      </c>
      <c r="D1417" s="100" t="s">
        <v>125</v>
      </c>
      <c r="E1417" s="98"/>
      <c r="F1417" s="203" t="s">
        <v>125</v>
      </c>
      <c r="G1417" s="101"/>
      <c r="H1417" s="102"/>
      <c r="I1417" s="102"/>
      <c r="J1417" s="103"/>
    </row>
    <row r="1418" spans="1:10">
      <c r="A1418" s="86">
        <f t="shared" si="48"/>
        <v>69</v>
      </c>
      <c r="B1418" s="105" t="s">
        <v>1064</v>
      </c>
      <c r="C1418" s="104" t="s">
        <v>993</v>
      </c>
      <c r="D1418" s="100" t="s">
        <v>125</v>
      </c>
      <c r="E1418" s="98"/>
      <c r="F1418" s="203" t="s">
        <v>125</v>
      </c>
      <c r="G1418" s="101"/>
      <c r="H1418" s="102"/>
      <c r="I1418" s="102"/>
      <c r="J1418" s="103"/>
    </row>
    <row r="1419" spans="1:10">
      <c r="A1419" s="86">
        <f t="shared" si="48"/>
        <v>70</v>
      </c>
      <c r="B1419" s="105" t="s">
        <v>1065</v>
      </c>
      <c r="C1419" s="104" t="s">
        <v>993</v>
      </c>
      <c r="D1419" s="97" t="s">
        <v>125</v>
      </c>
      <c r="E1419" s="98"/>
      <c r="F1419" s="204" t="s">
        <v>125</v>
      </c>
      <c r="G1419" s="11"/>
      <c r="H1419" s="99"/>
      <c r="I1419" s="99"/>
      <c r="J1419" s="92"/>
    </row>
    <row r="1420" spans="1:10">
      <c r="A1420" s="86">
        <f t="shared" si="48"/>
        <v>71</v>
      </c>
      <c r="B1420" s="105" t="s">
        <v>1066</v>
      </c>
      <c r="C1420" s="104" t="s">
        <v>993</v>
      </c>
      <c r="D1420" s="100" t="s">
        <v>125</v>
      </c>
      <c r="E1420" s="98"/>
      <c r="F1420" s="203" t="s">
        <v>125</v>
      </c>
      <c r="G1420" s="101"/>
      <c r="H1420" s="102"/>
      <c r="I1420" s="102"/>
      <c r="J1420" s="103"/>
    </row>
    <row r="1421" spans="1:10">
      <c r="A1421" s="86">
        <f t="shared" si="48"/>
        <v>72</v>
      </c>
      <c r="B1421" s="105" t="s">
        <v>1067</v>
      </c>
      <c r="C1421" s="104" t="s">
        <v>993</v>
      </c>
      <c r="D1421" s="97" t="s">
        <v>125</v>
      </c>
      <c r="E1421" s="98"/>
      <c r="F1421" s="204" t="s">
        <v>125</v>
      </c>
      <c r="G1421" s="11"/>
      <c r="H1421" s="99"/>
      <c r="I1421" s="99"/>
      <c r="J1421" s="92"/>
    </row>
    <row r="1422" spans="1:10">
      <c r="A1422" s="86">
        <f t="shared" si="48"/>
        <v>73</v>
      </c>
      <c r="B1422" s="105" t="s">
        <v>1068</v>
      </c>
      <c r="C1422" s="104" t="s">
        <v>993</v>
      </c>
      <c r="D1422" s="97" t="s">
        <v>125</v>
      </c>
      <c r="E1422" s="98"/>
      <c r="F1422" s="204" t="s">
        <v>125</v>
      </c>
      <c r="G1422" s="11"/>
      <c r="H1422" s="99"/>
      <c r="I1422" s="99"/>
      <c r="J1422" s="92"/>
    </row>
    <row r="1423" spans="1:10">
      <c r="A1423" s="86">
        <f t="shared" si="48"/>
        <v>74</v>
      </c>
      <c r="B1423" s="105" t="s">
        <v>1069</v>
      </c>
      <c r="C1423" s="104" t="s">
        <v>993</v>
      </c>
      <c r="D1423" s="97" t="s">
        <v>125</v>
      </c>
      <c r="E1423" s="98"/>
      <c r="F1423" s="204" t="s">
        <v>125</v>
      </c>
      <c r="G1423" s="11"/>
      <c r="H1423" s="99"/>
      <c r="I1423" s="99"/>
      <c r="J1423" s="92"/>
    </row>
    <row r="1424" spans="1:10">
      <c r="A1424" s="86">
        <f t="shared" si="48"/>
        <v>75</v>
      </c>
      <c r="B1424" s="105" t="s">
        <v>1070</v>
      </c>
      <c r="C1424" s="104" t="s">
        <v>993</v>
      </c>
      <c r="D1424" s="100" t="s">
        <v>125</v>
      </c>
      <c r="E1424" s="98"/>
      <c r="F1424" s="203" t="s">
        <v>125</v>
      </c>
      <c r="G1424" s="101"/>
      <c r="H1424" s="102"/>
      <c r="I1424" s="102"/>
      <c r="J1424" s="103"/>
    </row>
    <row r="1425" spans="1:10">
      <c r="A1425" s="86">
        <f t="shared" si="48"/>
        <v>76</v>
      </c>
      <c r="B1425" s="105" t="s">
        <v>1071</v>
      </c>
      <c r="C1425" s="104" t="s">
        <v>993</v>
      </c>
      <c r="D1425" s="100" t="s">
        <v>125</v>
      </c>
      <c r="E1425" s="98"/>
      <c r="F1425" s="203" t="s">
        <v>125</v>
      </c>
      <c r="G1425" s="101"/>
      <c r="H1425" s="102"/>
      <c r="I1425" s="102"/>
      <c r="J1425" s="103"/>
    </row>
    <row r="1426" spans="1:10">
      <c r="A1426" s="86">
        <f t="shared" si="48"/>
        <v>77</v>
      </c>
      <c r="B1426" s="105" t="s">
        <v>1072</v>
      </c>
      <c r="C1426" s="104" t="s">
        <v>993</v>
      </c>
      <c r="D1426" s="100" t="s">
        <v>124</v>
      </c>
      <c r="E1426" s="98"/>
      <c r="F1426" s="203" t="s">
        <v>124</v>
      </c>
      <c r="G1426" s="101"/>
      <c r="H1426" s="102"/>
      <c r="I1426" s="102"/>
      <c r="J1426" s="103"/>
    </row>
    <row r="1427" spans="1:10">
      <c r="A1427" s="86">
        <f t="shared" si="48"/>
        <v>78</v>
      </c>
      <c r="B1427" s="105" t="s">
        <v>1073</v>
      </c>
      <c r="C1427" s="104" t="s">
        <v>993</v>
      </c>
      <c r="D1427" s="100" t="s">
        <v>125</v>
      </c>
      <c r="E1427" s="98"/>
      <c r="F1427" s="203" t="s">
        <v>125</v>
      </c>
      <c r="G1427" s="11"/>
      <c r="H1427" s="99"/>
      <c r="I1427" s="99"/>
      <c r="J1427" s="92"/>
    </row>
    <row r="1428" spans="1:10">
      <c r="A1428" s="86">
        <f t="shared" si="48"/>
        <v>79</v>
      </c>
      <c r="B1428" s="105" t="s">
        <v>1074</v>
      </c>
      <c r="C1428" s="104" t="s">
        <v>993</v>
      </c>
      <c r="D1428" s="100" t="s">
        <v>125</v>
      </c>
      <c r="E1428" s="98"/>
      <c r="F1428" s="203" t="s">
        <v>125</v>
      </c>
      <c r="G1428" s="101"/>
      <c r="H1428" s="102"/>
      <c r="I1428" s="102"/>
      <c r="J1428" s="103"/>
    </row>
    <row r="1429" spans="1:10">
      <c r="A1429" s="86">
        <f t="shared" si="48"/>
        <v>80</v>
      </c>
      <c r="B1429" s="105" t="s">
        <v>1075</v>
      </c>
      <c r="C1429" s="104" t="s">
        <v>993</v>
      </c>
      <c r="D1429" s="97" t="s">
        <v>125</v>
      </c>
      <c r="E1429" s="98"/>
      <c r="F1429" s="204" t="s">
        <v>125</v>
      </c>
      <c r="G1429" s="11"/>
      <c r="H1429" s="99"/>
      <c r="I1429" s="99"/>
      <c r="J1429" s="92"/>
    </row>
    <row r="1430" spans="1:10">
      <c r="A1430" s="86">
        <f t="shared" si="48"/>
        <v>81</v>
      </c>
      <c r="B1430" s="105" t="s">
        <v>1076</v>
      </c>
      <c r="C1430" s="104" t="s">
        <v>993</v>
      </c>
      <c r="D1430" s="100" t="s">
        <v>1003</v>
      </c>
      <c r="E1430" s="98"/>
      <c r="F1430" s="203" t="s">
        <v>1003</v>
      </c>
      <c r="G1430" s="101"/>
      <c r="H1430" s="102"/>
      <c r="I1430" s="102"/>
      <c r="J1430" s="103"/>
    </row>
    <row r="1431" spans="1:10">
      <c r="A1431" s="86">
        <f t="shared" si="48"/>
        <v>82</v>
      </c>
      <c r="B1431" s="105" t="s">
        <v>1077</v>
      </c>
      <c r="C1431" s="104" t="s">
        <v>993</v>
      </c>
      <c r="D1431" s="100" t="s">
        <v>125</v>
      </c>
      <c r="E1431" s="98"/>
      <c r="F1431" s="203" t="s">
        <v>125</v>
      </c>
      <c r="G1431" s="101"/>
      <c r="H1431" s="102"/>
      <c r="I1431" s="102"/>
      <c r="J1431" s="103"/>
    </row>
    <row r="1432" spans="1:10">
      <c r="A1432" s="86">
        <f t="shared" si="48"/>
        <v>83</v>
      </c>
      <c r="B1432" s="105" t="s">
        <v>1078</v>
      </c>
      <c r="C1432" s="104" t="s">
        <v>993</v>
      </c>
      <c r="D1432" s="97" t="s">
        <v>1003</v>
      </c>
      <c r="E1432" s="98"/>
      <c r="F1432" s="204" t="s">
        <v>1003</v>
      </c>
      <c r="G1432" s="11"/>
      <c r="H1432" s="99"/>
      <c r="I1432" s="99"/>
      <c r="J1432" s="92"/>
    </row>
    <row r="1433" spans="1:10">
      <c r="A1433" s="86">
        <f t="shared" si="48"/>
        <v>84</v>
      </c>
      <c r="B1433" s="105" t="s">
        <v>1079</v>
      </c>
      <c r="C1433" s="104" t="s">
        <v>993</v>
      </c>
      <c r="D1433" s="100" t="s">
        <v>1003</v>
      </c>
      <c r="E1433" s="98"/>
      <c r="F1433" s="203" t="s">
        <v>1003</v>
      </c>
      <c r="G1433" s="101"/>
      <c r="H1433" s="102"/>
      <c r="I1433" s="102"/>
      <c r="J1433" s="103"/>
    </row>
    <row r="1434" spans="1:10">
      <c r="A1434" s="86">
        <f t="shared" si="48"/>
        <v>85</v>
      </c>
      <c r="B1434" s="105" t="s">
        <v>1080</v>
      </c>
      <c r="C1434" s="104" t="s">
        <v>993</v>
      </c>
      <c r="D1434" s="100" t="s">
        <v>1003</v>
      </c>
      <c r="E1434" s="98"/>
      <c r="F1434" s="203" t="s">
        <v>1003</v>
      </c>
      <c r="G1434" s="101"/>
      <c r="H1434" s="102"/>
      <c r="I1434" s="102"/>
      <c r="J1434" s="103"/>
    </row>
    <row r="1435" spans="1:10">
      <c r="A1435" s="86">
        <f t="shared" si="48"/>
        <v>86</v>
      </c>
      <c r="B1435" s="105" t="s">
        <v>1081</v>
      </c>
      <c r="C1435" s="104" t="s">
        <v>993</v>
      </c>
      <c r="D1435" s="97" t="s">
        <v>125</v>
      </c>
      <c r="E1435" s="98"/>
      <c r="F1435" s="204" t="s">
        <v>125</v>
      </c>
      <c r="G1435" s="11"/>
      <c r="H1435" s="99"/>
      <c r="I1435" s="99"/>
      <c r="J1435" s="92"/>
    </row>
  </sheetData>
  <sheetProtection algorithmName="SHA-512" hashValue="eNDxK27trgDDfaMtWNJ5JqgC15m/c2j5L2eIR4SldINUXHcQNrRk/JBjvA/xIoSvM0JgpNX0I//0W0NkILOapg==" saltValue="Zqulyq5DQA+tZxvjCPs0Sw==" spinCount="100000" sheet="1" objects="1" scenarios="1" selectLockedCells="1" selectUnlockedCells="1"/>
  <mergeCells count="13">
    <mergeCell ref="H6:I6"/>
    <mergeCell ref="A1:D3"/>
    <mergeCell ref="C6:D6"/>
    <mergeCell ref="C1154:D1154"/>
    <mergeCell ref="E1:F2"/>
    <mergeCell ref="E3:F3"/>
    <mergeCell ref="C1254:D1254"/>
    <mergeCell ref="C1348:D1348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207:F1207 H1263:I1264 B1042 B1073:I1074 C1208:F1208 H1207:I1208 D1337:F1337 B1020:B1024 C1210:F1210 H1160:J1178 D1177:F1205 C1160:C1207 J163:J240 D222:F238 A162:A245 E1263:E1276 F1263:F1336 D1263:D1336 C1357:C1435 B564:B599 B1113:B1133 H1113:I1126 G1109:G1133 H1210:I1210 H1179:I1205 F825:F984 C564:F564 E565:F824 A564:A984 G564:J984 D1160:E1176 C162:J162 H222:I238 D1113:F1133 C565:D984 A518:J540 C163:C245 A34:J141 A8:J19 J1179:J1208 H163:I182 H183:H220 I183:I221 G162:G245 H1127:J1133 D163:F220 G1156:G1211 A1263:A1338 H1281:I1337 D1016:F1043 H1016:J1043">
    <cfRule type="containsBlanks" dxfId="157" priority="74">
      <formula>LEN(TRIM(A8))=0</formula>
    </cfRule>
  </conditionalFormatting>
  <conditionalFormatting sqref="A1073">
    <cfRule type="containsBlanks" dxfId="156" priority="65">
      <formula>LEN(TRIM(A1073))=0</formula>
    </cfRule>
  </conditionalFormatting>
  <conditionalFormatting sqref="E1277:E1279">
    <cfRule type="containsBlanks" dxfId="155" priority="55">
      <formula>LEN(TRIM(E1277))=0</formula>
    </cfRule>
  </conditionalFormatting>
  <conditionalFormatting sqref="E1280">
    <cfRule type="containsBlanks" dxfId="154" priority="54">
      <formula>LEN(TRIM(E1280))=0</formula>
    </cfRule>
  </conditionalFormatting>
  <conditionalFormatting sqref="A1074:A1075">
    <cfRule type="containsBlanks" dxfId="153" priority="39">
      <formula>LEN(TRIM(A1074))=0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7:E1033">
    <cfRule type="expression" dxfId="147" priority="180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4:E211">
    <cfRule type="expression" dxfId="146" priority="19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5" priority="13">
      <formula>LEN(TRIM(D236))=0</formula>
    </cfRule>
  </conditionalFormatting>
  <conditionalFormatting sqref="E825:E984 E241:E245">
    <cfRule type="expression" dxfId="144" priority="12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3" priority="11">
      <formula>LEN(TRIM(F241))=0</formula>
    </cfRule>
  </conditionalFormatting>
  <conditionalFormatting sqref="B1165:B1176">
    <cfRule type="containsBlanks" dxfId="142" priority="9">
      <formula>LEN(TRIM(B1165))=0</formula>
    </cfRule>
  </conditionalFormatting>
  <conditionalFormatting sqref="B171:B182">
    <cfRule type="containsBlanks" dxfId="141" priority="8">
      <formula>LEN(TRIM(B171))=0</formula>
    </cfRule>
  </conditionalFormatting>
  <conditionalFormatting sqref="B220">
    <cfRule type="containsBlanks" dxfId="140" priority="7">
      <formula>LEN(TRIM(B220))=0</formula>
    </cfRule>
  </conditionalFormatting>
  <conditionalFormatting sqref="B237">
    <cfRule type="containsBlanks" dxfId="139" priority="6">
      <formula>LEN(TRIM(B237))=0</formula>
    </cfRule>
  </conditionalFormatting>
  <conditionalFormatting sqref="B1:B1048576">
    <cfRule type="duplicateValues" dxfId="138" priority="5"/>
  </conditionalFormatting>
  <conditionalFormatting sqref="E212:E217">
    <cfRule type="expression" dxfId="137" priority="665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6" priority="666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09:C1133">
    <cfRule type="containsBlanks" dxfId="135" priority="4">
      <formula>LEN(TRIM(C1109))=0</formula>
    </cfRule>
  </conditionalFormatting>
  <conditionalFormatting sqref="C1211">
    <cfRule type="containsBlanks" dxfId="134" priority="3">
      <formula>LEN(TRIM(C1211))=0</formula>
    </cfRule>
  </conditionalFormatting>
  <conditionalFormatting sqref="F1044:F1045">
    <cfRule type="containsBlanks" dxfId="133" priority="2">
      <formula>LEN(TRIM(F1044))=0</formula>
    </cfRule>
  </conditionalFormatting>
  <conditionalFormatting sqref="C1338:F1338 H1338:I1338">
    <cfRule type="containsBlanks" dxfId="132" priority="1">
      <formula>LEN(TRIM(C1338))=0</formula>
    </cfRule>
  </conditionalFormatting>
  <dataValidations count="3">
    <dataValidation type="list" allowBlank="1" showInputMessage="1" showErrorMessage="1" sqref="C34:C141 C516 C1073:C1075 C162:C245 C1210:C1211 C1357:C1435 C1160:C1208 C8:C19 C518:C540 C564:C984 C1109:C1133 C1338 C1046:C1067" xr:uid="{00000000-0002-0000-0200-000000000000}">
      <formula1>CATEGORIAS</formula1>
    </dataValidation>
    <dataValidation type="list" allowBlank="1" showInputMessage="1" sqref="F516 D8:D19 F8:F19 F1073:F1075 D1073:D1075 D1207:D1208 F1207:F1208 F241:F245 F236:F238 F162:F217 D162:D201 D1210 D218:D220 D1160:D1205 D564:D984 D34:D141 F34:F141 D222:D237 D518:D540 F518:F540 D1016:D1026 D1113:D1133 F1113:F1133 F1263:F1338 D1263:D1336 D1357:D1435 F1357:F1435 F564:F984 F1177:F1205 D1338 F1016:F1045" xr:uid="{00000000-0002-0000-0200-000001000000}">
      <formula1>Unidades</formula1>
    </dataValidation>
    <dataValidation type="list" allowBlank="1" showInputMessage="1" showErrorMessage="1" sqref="D202:D217 D241:D245 D1337 D238 D1027:D1067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 A1156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1082</v>
      </c>
      <c r="F1" s="14" t="s">
        <v>1083</v>
      </c>
      <c r="H1" s="18" t="s">
        <v>1084</v>
      </c>
      <c r="I1" s="18" t="s">
        <v>1085</v>
      </c>
      <c r="K1" s="18" t="s">
        <v>24</v>
      </c>
      <c r="M1" s="18" t="s">
        <v>1086</v>
      </c>
    </row>
    <row r="2" spans="1:13" ht="44.25" customHeight="1" outlineLevel="1">
      <c r="A2" s="16" t="s">
        <v>1087</v>
      </c>
      <c r="B2" s="16" t="s">
        <v>1088</v>
      </c>
      <c r="D2" s="12" t="s">
        <v>1089</v>
      </c>
      <c r="F2" s="3" t="s">
        <v>1090</v>
      </c>
      <c r="H2" s="19" t="s">
        <v>1091</v>
      </c>
      <c r="I2" s="20">
        <v>71765586</v>
      </c>
      <c r="K2" t="s">
        <v>1092</v>
      </c>
      <c r="M2" s="82" t="s">
        <v>53</v>
      </c>
    </row>
    <row r="3" spans="1:13" outlineLevel="1">
      <c r="A3" s="3" t="s">
        <v>1093</v>
      </c>
      <c r="B3" s="5" t="s">
        <v>233</v>
      </c>
      <c r="D3" s="12" t="s">
        <v>1094</v>
      </c>
      <c r="F3" s="2" t="s">
        <v>1095</v>
      </c>
      <c r="H3" s="21" t="s">
        <v>1096</v>
      </c>
      <c r="I3" s="22">
        <v>43687423</v>
      </c>
      <c r="K3" t="s">
        <v>1097</v>
      </c>
      <c r="M3" s="82" t="s">
        <v>67</v>
      </c>
    </row>
    <row r="4" spans="1:13" ht="30" outlineLevel="1">
      <c r="A4" s="2" t="s">
        <v>1098</v>
      </c>
      <c r="B4" s="5" t="s">
        <v>288</v>
      </c>
      <c r="D4" s="13" t="s">
        <v>1099</v>
      </c>
      <c r="F4" s="3" t="s">
        <v>1100</v>
      </c>
      <c r="H4" s="19" t="s">
        <v>1101</v>
      </c>
      <c r="I4" s="23">
        <v>3353808</v>
      </c>
      <c r="K4" t="s">
        <v>1102</v>
      </c>
      <c r="M4" s="82" t="s">
        <v>34</v>
      </c>
    </row>
    <row r="5" spans="1:13" ht="30" outlineLevel="1">
      <c r="A5" s="3" t="s">
        <v>1103</v>
      </c>
      <c r="B5" s="5" t="s">
        <v>1104</v>
      </c>
      <c r="D5" s="13" t="s">
        <v>14</v>
      </c>
      <c r="F5" s="2" t="s">
        <v>1105</v>
      </c>
      <c r="H5" s="24" t="s">
        <v>1106</v>
      </c>
      <c r="I5" s="25">
        <v>1036620040</v>
      </c>
      <c r="K5" t="s">
        <v>1107</v>
      </c>
      <c r="M5" s="82" t="s">
        <v>818</v>
      </c>
    </row>
    <row r="6" spans="1:13" outlineLevel="1">
      <c r="A6" s="2" t="s">
        <v>306</v>
      </c>
      <c r="B6" s="5" t="s">
        <v>306</v>
      </c>
      <c r="F6" s="3" t="s">
        <v>1108</v>
      </c>
      <c r="H6" s="19" t="s">
        <v>1109</v>
      </c>
      <c r="I6" s="26">
        <v>1033686182</v>
      </c>
      <c r="K6" t="s">
        <v>1110</v>
      </c>
      <c r="M6" s="117" t="s">
        <v>50</v>
      </c>
    </row>
    <row r="7" spans="1:13" outlineLevel="1">
      <c r="A7" s="2" t="s">
        <v>1111</v>
      </c>
      <c r="B7" s="5" t="s">
        <v>1112</v>
      </c>
      <c r="F7" s="2" t="s">
        <v>1113</v>
      </c>
      <c r="H7" s="24" t="s">
        <v>1114</v>
      </c>
      <c r="I7" s="25">
        <v>32209568</v>
      </c>
      <c r="K7" t="s">
        <v>1115</v>
      </c>
      <c r="M7" s="82" t="s">
        <v>31</v>
      </c>
    </row>
    <row r="8" spans="1:13" outlineLevel="1">
      <c r="A8" s="3" t="s">
        <v>1116</v>
      </c>
      <c r="B8" s="5" t="s">
        <v>1117</v>
      </c>
      <c r="F8" s="3" t="s">
        <v>1118</v>
      </c>
      <c r="H8" s="27" t="s">
        <v>1119</v>
      </c>
      <c r="I8" s="23">
        <v>71292446</v>
      </c>
      <c r="K8" t="s">
        <v>1120</v>
      </c>
      <c r="M8" s="82" t="s">
        <v>26</v>
      </c>
    </row>
    <row r="9" spans="1:13" outlineLevel="1">
      <c r="A9" s="2" t="s">
        <v>1121</v>
      </c>
      <c r="B9" s="5" t="s">
        <v>975</v>
      </c>
      <c r="F9" s="2" t="s">
        <v>1122</v>
      </c>
      <c r="H9" s="28" t="s">
        <v>1123</v>
      </c>
      <c r="I9" s="29">
        <v>70323724</v>
      </c>
      <c r="K9" t="s">
        <v>1124</v>
      </c>
      <c r="M9" s="82" t="s">
        <v>80</v>
      </c>
    </row>
    <row r="10" spans="1:13" outlineLevel="1">
      <c r="A10" s="2" t="s">
        <v>1125</v>
      </c>
      <c r="B10" s="5" t="s">
        <v>124</v>
      </c>
      <c r="F10" s="3" t="s">
        <v>9</v>
      </c>
      <c r="H10" s="27" t="s">
        <v>1126</v>
      </c>
      <c r="I10" s="23">
        <v>32142539</v>
      </c>
      <c r="K10" t="s">
        <v>1127</v>
      </c>
      <c r="M10" s="247" t="s">
        <v>139</v>
      </c>
    </row>
    <row r="11" spans="1:13" outlineLevel="1">
      <c r="A11" s="2" t="s">
        <v>1128</v>
      </c>
      <c r="B11" s="5" t="s">
        <v>1129</v>
      </c>
      <c r="F11" s="2" t="s">
        <v>1130</v>
      </c>
      <c r="H11" s="24" t="s">
        <v>1131</v>
      </c>
      <c r="I11" s="25">
        <v>79897894</v>
      </c>
      <c r="K11" t="s">
        <v>1132</v>
      </c>
      <c r="M11" s="247" t="s">
        <v>77</v>
      </c>
    </row>
    <row r="12" spans="1:13" outlineLevel="1">
      <c r="A12" s="3" t="s">
        <v>1133</v>
      </c>
      <c r="B12" s="5" t="s">
        <v>838</v>
      </c>
      <c r="F12" s="3"/>
      <c r="H12" s="30" t="s">
        <v>1134</v>
      </c>
      <c r="I12" s="31">
        <v>32184975</v>
      </c>
      <c r="M12" s="247" t="s">
        <v>993</v>
      </c>
    </row>
    <row r="13" spans="1:13" outlineLevel="1">
      <c r="A13" s="3" t="s">
        <v>1135</v>
      </c>
      <c r="B13" s="5" t="s">
        <v>1135</v>
      </c>
      <c r="H13" s="24" t="s">
        <v>6</v>
      </c>
      <c r="I13" s="25">
        <v>71662031</v>
      </c>
    </row>
    <row r="14" spans="1:13" outlineLevel="1">
      <c r="A14" s="3" t="s">
        <v>1136</v>
      </c>
      <c r="B14" s="5" t="s">
        <v>1003</v>
      </c>
      <c r="H14" s="27" t="s">
        <v>1137</v>
      </c>
      <c r="I14" s="23">
        <v>70512283</v>
      </c>
    </row>
    <row r="15" spans="1:13" outlineLevel="1">
      <c r="A15" s="2" t="s">
        <v>223</v>
      </c>
      <c r="B15" s="5" t="s">
        <v>223</v>
      </c>
      <c r="H15" s="28" t="s">
        <v>1138</v>
      </c>
      <c r="I15" s="29">
        <v>16757142</v>
      </c>
    </row>
    <row r="16" spans="1:13" outlineLevel="1">
      <c r="A16" s="2" t="s">
        <v>1139</v>
      </c>
      <c r="B16" s="5" t="s">
        <v>255</v>
      </c>
      <c r="H16" s="273" t="s">
        <v>1140</v>
      </c>
      <c r="I16" s="25">
        <v>71278905</v>
      </c>
    </row>
    <row r="17" spans="1:9" outlineLevel="1">
      <c r="A17" s="2" t="s">
        <v>1141</v>
      </c>
      <c r="B17" s="5" t="s">
        <v>1142</v>
      </c>
      <c r="H17" s="27" t="s">
        <v>1143</v>
      </c>
      <c r="I17" s="23">
        <v>1152194903</v>
      </c>
    </row>
    <row r="18" spans="1:9" outlineLevel="1">
      <c r="A18" s="2" t="s">
        <v>1144</v>
      </c>
      <c r="B18" s="5" t="s">
        <v>996</v>
      </c>
      <c r="H18" s="28" t="s">
        <v>1145</v>
      </c>
      <c r="I18" s="275" t="s">
        <v>1146</v>
      </c>
    </row>
    <row r="19" spans="1:9" outlineLevel="1">
      <c r="A19" s="3" t="s">
        <v>1147</v>
      </c>
      <c r="B19" s="5" t="s">
        <v>258</v>
      </c>
      <c r="H19" s="27" t="s">
        <v>1148</v>
      </c>
      <c r="I19" s="23">
        <v>71639999</v>
      </c>
    </row>
    <row r="20" spans="1:9" outlineLevel="1">
      <c r="A20" t="s">
        <v>1149</v>
      </c>
      <c r="B20" s="5" t="s">
        <v>1150</v>
      </c>
      <c r="H20" s="28" t="s">
        <v>1151</v>
      </c>
      <c r="I20" s="29">
        <v>1121878447</v>
      </c>
    </row>
    <row r="21" spans="1:9" outlineLevel="1">
      <c r="A21" t="s">
        <v>1152</v>
      </c>
      <c r="B21" s="6" t="s">
        <v>125</v>
      </c>
      <c r="H21" s="24" t="s">
        <v>1153</v>
      </c>
      <c r="I21" s="25">
        <v>1032366226</v>
      </c>
    </row>
    <row r="22" spans="1:9" outlineLevel="1">
      <c r="A22" t="s">
        <v>220</v>
      </c>
      <c r="B22" s="5" t="s">
        <v>220</v>
      </c>
      <c r="H22" s="27" t="s">
        <v>1154</v>
      </c>
      <c r="I22" s="23">
        <v>43506380</v>
      </c>
    </row>
    <row r="23" spans="1:9" outlineLevel="1">
      <c r="A23" s="4" t="s">
        <v>1155</v>
      </c>
      <c r="B23" s="5" t="s">
        <v>225</v>
      </c>
      <c r="H23" s="27" t="s">
        <v>1156</v>
      </c>
      <c r="I23" s="23">
        <v>43498846</v>
      </c>
    </row>
    <row r="24" spans="1:9" outlineLevel="1">
      <c r="A24" t="s">
        <v>1157</v>
      </c>
      <c r="B24" s="5" t="s">
        <v>191</v>
      </c>
      <c r="H24" s="24" t="s">
        <v>1158</v>
      </c>
      <c r="I24" s="25">
        <v>1128404319</v>
      </c>
    </row>
    <row r="25" spans="1:9" outlineLevel="1">
      <c r="A25" s="4" t="s">
        <v>874</v>
      </c>
      <c r="B25" s="5" t="s">
        <v>874</v>
      </c>
      <c r="H25" s="27" t="s">
        <v>1159</v>
      </c>
      <c r="I25" s="23">
        <v>1037584367</v>
      </c>
    </row>
    <row r="26" spans="1:9" outlineLevel="1">
      <c r="A26" t="s">
        <v>964</v>
      </c>
      <c r="B26" s="5" t="s">
        <v>964</v>
      </c>
      <c r="H26" s="28" t="s">
        <v>1160</v>
      </c>
      <c r="I26" s="29">
        <v>70114326</v>
      </c>
    </row>
    <row r="27" spans="1:9" outlineLevel="1">
      <c r="A27" t="s">
        <v>257</v>
      </c>
      <c r="B27" s="5" t="s">
        <v>257</v>
      </c>
      <c r="H27" s="27" t="s">
        <v>1161</v>
      </c>
      <c r="I27" s="23">
        <v>5820573</v>
      </c>
    </row>
    <row r="28" spans="1:9" outlineLevel="1">
      <c r="A28" s="4" t="s">
        <v>1162</v>
      </c>
      <c r="B28" s="5" t="s">
        <v>130</v>
      </c>
      <c r="H28" s="207" t="s">
        <v>1163</v>
      </c>
      <c r="I28" s="29">
        <v>80810881</v>
      </c>
    </row>
    <row r="29" spans="1:9" outlineLevel="1">
      <c r="H29" s="207" t="s">
        <v>1164</v>
      </c>
      <c r="I29" s="29">
        <v>70566616</v>
      </c>
    </row>
    <row r="30" spans="1:9" outlineLevel="1">
      <c r="H30" s="11" t="s">
        <v>1165</v>
      </c>
      <c r="I30" s="92">
        <v>71765633</v>
      </c>
    </row>
    <row r="31" spans="1:9" outlineLevel="1">
      <c r="H31" s="274" t="s">
        <v>1166</v>
      </c>
      <c r="I31" s="274">
        <v>43874217</v>
      </c>
    </row>
    <row r="32" spans="1:9" outlineLevel="1">
      <c r="H32" s="4" t="s">
        <v>1167</v>
      </c>
      <c r="I32" s="4">
        <v>43599159</v>
      </c>
    </row>
    <row r="33" spans="8:9" outlineLevel="1">
      <c r="H33" s="4" t="s">
        <v>1168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2023-12-15T14:13:48Z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