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perez\OneDrive - Servicio Nacional de Aprendizaje\Escritorio\AÑO 2023\2023\PEDIDOS 2023\ALEX MARULANDA\"/>
    </mc:Choice>
  </mc:AlternateContent>
  <xr:revisionPtr revIDLastSave="0" documentId="8_{F8F56A46-D7A0-4E4F-990A-71C8EBBCF741}" xr6:coauthVersionLast="47" xr6:coauthVersionMax="47" xr10:uidLastSave="{00000000-0000-0000-0000-000000000000}"/>
  <bookViews>
    <workbookView xWindow="-120" yWindow="-120" windowWidth="29040" windowHeight="1584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Listas!$H$2:$H$31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2" i="38" l="1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6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<sst xmlns="http://schemas.openxmlformats.org/spreadsheetml/2006/main" count="5038" uniqueCount="1392">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</sst>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D10" sqref="D10:N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/>
      </c>
      <c r="G1" s="360"/>
      <c r="H1" s="361"/>
      <c r="I1" s="362" t="s">
        <v>1</v>
      </c>
      <c r="J1" s="363"/>
      <c r="K1" s="247"/>
      <c r="L1" s="341" t="s">
        <v>2</v>
      </c>
      <c r="M1" s="364"/>
      <c r="N1" s="364"/>
      <c r="O1" s="365"/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4" t="s">
        <v>4</v>
      </c>
    </row>
    <row r="2" spans="1:28" ht="23.25" customHeight="1">
      <c r="A2" s="376"/>
      <c r="B2" s="377"/>
      <c r="C2" s="380" t="s">
        <v>5</v>
      </c>
      <c r="D2" s="381"/>
      <c r="E2" s="382"/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 t="str">
        <f>IF(E2="","",INDEX(Listas!H2:I30,MATCH('Soli_citud '!E2,Listas!H2:H30,0),2))</f>
        <v/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/>
      <c r="F3" s="391"/>
      <c r="G3" s="391"/>
      <c r="H3" s="391"/>
      <c r="I3" s="391"/>
      <c r="J3" s="391"/>
      <c r="K3" s="392"/>
      <c r="L3" s="339" t="s">
        <v>8</v>
      </c>
      <c r="M3" s="340"/>
      <c r="N3" s="341"/>
      <c r="O3" s="315"/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9</v>
      </c>
      <c r="B4" s="373"/>
      <c r="C4" s="373"/>
      <c r="D4" s="367"/>
      <c r="E4" s="368"/>
      <c r="F4" s="368"/>
      <c r="G4" s="368"/>
      <c r="H4" s="368"/>
      <c r="I4" s="368"/>
      <c r="J4" s="368"/>
      <c r="K4" s="368"/>
      <c r="L4" s="369" t="s">
        <v>10</v>
      </c>
      <c r="M4" s="369"/>
      <c r="N4" s="369"/>
      <c r="O4" s="370"/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11</v>
      </c>
      <c r="B5" s="393"/>
      <c r="C5" s="393"/>
      <c r="D5" s="394">
        <f ca="1">IF(K5="","",(SUM(W10:Y28)-(SUMIF(U10:V28,"Restar_Pedido",W10:Y28)))/$K$5)</f>
        <v>0</v>
      </c>
      <c r="E5" s="395"/>
      <c r="F5" s="396"/>
      <c r="G5" s="380" t="s">
        <v>12</v>
      </c>
      <c r="H5" s="397"/>
      <c r="I5" s="397"/>
      <c r="J5" s="381"/>
      <c r="K5" s="355">
        <v>3</v>
      </c>
      <c r="L5" s="355"/>
      <c r="M5" s="356" t="s">
        <v>13</v>
      </c>
      <c r="N5" s="356"/>
      <c r="O5" s="345">
        <f ca="1">IFERROR(IF(K5=0,"",D5*K5),"")</f>
        <v>0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14</v>
      </c>
      <c r="B7" s="385"/>
      <c r="C7" s="385"/>
      <c r="D7" s="386" t="s">
        <v>15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16</v>
      </c>
      <c r="P7" s="334"/>
      <c r="Q7" s="387" t="s">
        <v>17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18</v>
      </c>
      <c r="T8" s="336"/>
      <c r="U8" s="336"/>
      <c r="V8" s="337">
        <f>IF(K5="","",1/K5)</f>
        <v>0.33333333333333331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5" t="s">
        <v>19</v>
      </c>
      <c r="T9" s="335"/>
      <c r="U9" s="334" t="s">
        <v>20</v>
      </c>
      <c r="V9" s="334"/>
      <c r="W9" s="334" t="s">
        <v>21</v>
      </c>
      <c r="X9" s="334"/>
      <c r="Y9" s="334"/>
    </row>
    <row r="10" spans="1:28" ht="17.25" customHeight="1">
      <c r="A10" s="308"/>
      <c r="B10" s="308"/>
      <c r="C10" s="309"/>
      <c r="D10" s="398"/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/>
      </c>
      <c r="P10" s="314"/>
      <c r="Q10" s="315"/>
      <c r="R10" s="316"/>
      <c r="S10" s="317">
        <f>IFERROR(IF(Q10="Unidad","1",(Q10*$K$5)),"")</f>
        <v>0</v>
      </c>
      <c r="T10" s="318"/>
      <c r="U10" s="305"/>
      <c r="V10" s="401"/>
      <c r="W10" s="306" t="str">
        <f ca="1">IFERROR(IF(D10="","",INDEX(Tabla_Completa,MATCH('Soli_citud '!D10,Materiales,0),7)*S10),"")</f>
        <v/>
      </c>
      <c r="X10" s="306"/>
      <c r="Y10" s="306"/>
      <c r="Z10" s="34"/>
    </row>
    <row r="11" spans="1:28" ht="17.25" customHeight="1">
      <c r="A11" s="307"/>
      <c r="B11" s="308"/>
      <c r="C11" s="309"/>
      <c r="D11" s="398"/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/>
      </c>
      <c r="P11" s="314"/>
      <c r="Q11" s="315"/>
      <c r="R11" s="316"/>
      <c r="S11" s="317">
        <f t="shared" ref="S11:S31" si="1">IFERROR(IF(Q11="Unidad","1",(Q11*$K$5)),"")</f>
        <v>0</v>
      </c>
      <c r="T11" s="318"/>
      <c r="U11" s="305"/>
      <c r="V11" s="305"/>
      <c r="W11" s="306" t="str">
        <f ca="1">IFERROR(IF(D11="","",INDEX(Tabla_Completa,MATCH('Soli_citud '!D11,Materiales,0),7)*S11),"")</f>
        <v/>
      </c>
      <c r="X11" s="306"/>
      <c r="Y11" s="306"/>
    </row>
    <row r="12" spans="1:28" ht="15.75" customHeight="1">
      <c r="A12" s="307"/>
      <c r="B12" s="308"/>
      <c r="C12" s="309"/>
      <c r="D12" s="402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305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22</v>
      </c>
      <c r="B39" s="319"/>
      <c r="C39" s="319"/>
      <c r="D39" s="320" t="s">
        <v>23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1" t="s">
        <v>25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26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27</v>
      </c>
      <c r="O44" s="332"/>
      <c r="P44" s="332"/>
      <c r="Q44" s="332"/>
      <c r="R44" s="327" t="s">
        <v>28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29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30</v>
      </c>
      <c r="O45" s="332"/>
      <c r="P45" s="332"/>
      <c r="Q45" s="332"/>
      <c r="R45" s="328" t="s">
        <v>31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32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33</v>
      </c>
      <c r="O46" s="332"/>
      <c r="P46" s="332"/>
      <c r="Q46" s="332"/>
      <c r="R46" s="329" t="s">
        <v>34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35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36</v>
      </c>
      <c r="O47" s="332"/>
      <c r="P47" s="332"/>
      <c r="Q47" s="332"/>
      <c r="R47" s="329" t="s">
        <v>37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38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39</v>
      </c>
      <c r="O48" s="332"/>
      <c r="P48" s="332"/>
      <c r="Q48" s="332"/>
      <c r="R48" s="329" t="s">
        <v>40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41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42</v>
      </c>
      <c r="O49" s="333"/>
      <c r="P49" s="333"/>
      <c r="Q49" s="333"/>
      <c r="R49" s="328" t="s">
        <v>43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44</v>
      </c>
      <c r="O50" s="332"/>
      <c r="P50" s="332"/>
      <c r="Q50" s="332"/>
      <c r="R50" s="329" t="s">
        <v>45</v>
      </c>
      <c r="S50" s="329"/>
      <c r="T50" s="329"/>
      <c r="U50" s="329"/>
      <c r="V50" s="329"/>
      <c r="W50" s="329"/>
      <c r="X50" s="329"/>
    </row>
    <row r="51" spans="1:24" ht="15.75">
      <c r="N51" s="332" t="s">
        <v>46</v>
      </c>
      <c r="O51" s="332"/>
      <c r="P51" s="332"/>
      <c r="Q51" s="332"/>
      <c r="R51" s="329" t="s">
        <v>47</v>
      </c>
      <c r="S51" s="329"/>
      <c r="T51" s="329"/>
      <c r="U51" s="329"/>
      <c r="V51" s="329"/>
      <c r="W51" s="329"/>
      <c r="X51" s="329"/>
    </row>
    <row r="52" spans="1:24" ht="15.75">
      <c r="N52" s="332" t="s">
        <v>48</v>
      </c>
      <c r="O52" s="332"/>
      <c r="P52" s="332"/>
      <c r="Q52" s="332"/>
      <c r="R52" s="329" t="s">
        <v>37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4" t="s">
        <v>49</v>
      </c>
      <c r="E1" s="415"/>
      <c r="F1" s="415"/>
      <c r="G1" s="415"/>
      <c r="H1" s="415"/>
      <c r="I1" s="415"/>
      <c r="J1" s="421" t="s">
        <v>50</v>
      </c>
      <c r="K1" s="422"/>
      <c r="L1" s="422"/>
      <c r="M1" s="423"/>
      <c r="N1" s="416" t="str">
        <f>IF('Soli_citud '!O1="","",'Soli_citud '!O1)</f>
        <v/>
      </c>
      <c r="O1" s="417"/>
      <c r="P1" s="467" t="s">
        <v>51</v>
      </c>
      <c r="Q1" s="468"/>
      <c r="R1" s="463" t="str">
        <f>IF('Soli_citud '!D4="","",'Soli_citud '!D4)</f>
        <v/>
      </c>
      <c r="S1" s="464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4"/>
      <c r="E2" s="415"/>
      <c r="F2" s="415"/>
      <c r="G2" s="415"/>
      <c r="H2" s="415"/>
      <c r="I2" s="415"/>
      <c r="J2" s="424" t="s">
        <v>53</v>
      </c>
      <c r="K2" s="425"/>
      <c r="L2" s="425"/>
      <c r="M2" s="426"/>
      <c r="N2" s="418" t="str">
        <f>'Soli_citud '!F1</f>
        <v/>
      </c>
      <c r="O2" s="419"/>
      <c r="P2" s="469"/>
      <c r="Q2" s="470"/>
      <c r="R2" s="465"/>
      <c r="S2" s="466"/>
    </row>
    <row r="3" spans="1:27" ht="15.75" customHeight="1">
      <c r="A3" s="258"/>
      <c r="B3" s="261"/>
      <c r="C3" s="262"/>
      <c r="D3" s="414"/>
      <c r="E3" s="415"/>
      <c r="F3" s="415"/>
      <c r="G3" s="415"/>
      <c r="H3" s="415"/>
      <c r="I3" s="415"/>
      <c r="J3" s="420" t="s">
        <v>54</v>
      </c>
      <c r="K3" s="420"/>
      <c r="L3" s="420"/>
      <c r="M3" s="420"/>
      <c r="N3" s="406" t="str">
        <f>IF('Soli_citud '!O3="","",'Soli_citud '!O3)</f>
        <v/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8"/>
      <c r="B4" s="263"/>
      <c r="C4" s="264"/>
      <c r="D4" s="414"/>
      <c r="E4" s="415"/>
      <c r="F4" s="415"/>
      <c r="G4" s="415"/>
      <c r="H4" s="415"/>
      <c r="I4" s="415"/>
      <c r="J4" s="411" t="s">
        <v>55</v>
      </c>
      <c r="K4" s="411"/>
      <c r="L4" s="411"/>
      <c r="M4" s="412" t="str">
        <f>IF('Soli_citud '!O4="","",'Soli_citud '!O4)</f>
        <v/>
      </c>
      <c r="N4" s="412"/>
      <c r="O4" s="413"/>
      <c r="P4" s="469"/>
      <c r="Q4" s="470"/>
      <c r="R4" s="314"/>
      <c r="S4" s="475"/>
    </row>
    <row r="5" spans="1:27" ht="2.25" customHeight="1">
      <c r="A5" s="258"/>
      <c r="P5" s="469"/>
      <c r="Q5" s="470"/>
    </row>
    <row r="6" spans="1:27" ht="27" customHeight="1">
      <c r="A6" s="258"/>
      <c r="B6" s="452" t="s">
        <v>56</v>
      </c>
      <c r="C6" s="453"/>
      <c r="D6" s="454"/>
      <c r="E6" s="408" t="s">
        <v>57</v>
      </c>
      <c r="F6" s="408"/>
      <c r="G6" s="408"/>
      <c r="H6" s="408"/>
      <c r="I6" s="409"/>
      <c r="J6" s="443" t="s">
        <v>58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8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8"/>
      <c r="B8" s="430" t="str">
        <f ca="1">IF('Soli_citud '!D5&lt;= 0,"",'Soli_citud '!D5)</f>
        <v/>
      </c>
      <c r="C8" s="431"/>
      <c r="D8" s="432"/>
      <c r="E8" s="449" t="s">
        <v>59</v>
      </c>
      <c r="F8" s="450"/>
      <c r="G8" s="450"/>
      <c r="H8" s="450"/>
      <c r="I8" s="451"/>
      <c r="J8" s="445" t="str">
        <f>IF('Soli_citud '!E2="","",'Soli_citud '!E2)</f>
        <v/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8"/>
      <c r="B9" s="433" t="s">
        <v>60</v>
      </c>
      <c r="C9" s="434"/>
      <c r="D9" s="459"/>
      <c r="E9" s="458" t="s">
        <v>61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8"/>
      <c r="B10" s="435"/>
      <c r="C10" s="436"/>
      <c r="D10" s="459"/>
      <c r="E10" s="458"/>
      <c r="F10" s="458"/>
      <c r="G10" s="440"/>
      <c r="H10" s="441"/>
      <c r="I10" s="442"/>
      <c r="J10" s="428" t="s">
        <v>62</v>
      </c>
      <c r="K10" s="428"/>
      <c r="L10" s="429"/>
      <c r="M10" s="243">
        <f>'Soli_citud '!K5</f>
        <v>3</v>
      </c>
      <c r="N10" s="447" t="s">
        <v>63</v>
      </c>
      <c r="O10" s="448"/>
      <c r="P10" s="471"/>
      <c r="Q10" s="472"/>
      <c r="R10" s="244" t="s">
        <v>64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65</v>
      </c>
      <c r="B11" s="265" t="s">
        <v>66</v>
      </c>
      <c r="C11" s="460" t="s">
        <v>67</v>
      </c>
      <c r="D11" s="461"/>
      <c r="E11" s="461"/>
      <c r="F11" s="462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9" t="s">
        <v>20</v>
      </c>
      <c r="M11" s="427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3" t="str">
        <f>IFERROR(IF('Soli_citud '!D10="","",'Soli_citud '!D10),"")</f>
        <v/>
      </c>
      <c r="D12" s="403"/>
      <c r="E12" s="403"/>
      <c r="F12" s="403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4"/>
      <c r="M12" s="405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3" t="str">
        <f>IFERROR(IF('Soli_citud '!D11="","",'Soli_citud '!D11),"")</f>
        <v/>
      </c>
      <c r="D13" s="403"/>
      <c r="E13" s="403"/>
      <c r="F13" s="403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4"/>
      <c r="M13" s="405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3" t="str">
        <f>IFERROR(IF('Soli_citud '!D12="","",'Soli_citud '!D12),"")</f>
        <v/>
      </c>
      <c r="D14" s="403"/>
      <c r="E14" s="403"/>
      <c r="F14" s="403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4"/>
      <c r="M14" s="405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3" t="str">
        <f>IFERROR(IF('Soli_citud '!D13="","",'Soli_citud '!D13),"")</f>
        <v/>
      </c>
      <c r="D15" s="403"/>
      <c r="E15" s="403"/>
      <c r="F15" s="403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4"/>
      <c r="M15" s="405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3" t="str">
        <f>IFERROR(IF('Soli_citud '!D14="","",'Soli_citud '!D14),"")</f>
        <v/>
      </c>
      <c r="D16" s="403"/>
      <c r="E16" s="403"/>
      <c r="F16" s="403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4"/>
      <c r="M16" s="405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3" t="str">
        <f>IFERROR(IF('Soli_citud '!D15="","",'Soli_citud '!D15),"")</f>
        <v/>
      </c>
      <c r="D17" s="403"/>
      <c r="E17" s="403"/>
      <c r="F17" s="403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4"/>
      <c r="M17" s="405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3" t="str">
        <f>IFERROR(IF('Soli_citud '!D16="","",'Soli_citud '!D16),"")</f>
        <v/>
      </c>
      <c r="D18" s="403"/>
      <c r="E18" s="403"/>
      <c r="F18" s="403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4"/>
      <c r="M18" s="405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4"/>
      <c r="M19" s="405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4"/>
      <c r="M20" s="405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4"/>
      <c r="M21" s="405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4"/>
      <c r="M22" s="405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4"/>
      <c r="M23" s="405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4"/>
      <c r="M24" s="405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4"/>
      <c r="M25" s="405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4"/>
      <c r="M26" s="405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4"/>
      <c r="M27" s="405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4"/>
      <c r="M28" s="405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4"/>
      <c r="M29" s="405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4"/>
      <c r="M30" s="405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4"/>
      <c r="M31" s="405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4"/>
      <c r="M32" s="405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Q6" activePane="bottomRight" state="frozen"/>
      <selection pane="bottomRight" sqref="A1:D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79</v>
      </c>
      <c r="F1" s="490"/>
      <c r="Z1" s="253" t="s">
        <v>52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861</v>
      </c>
      <c r="F3" s="491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8"/>
      <c r="D6" s="489"/>
      <c r="H6" s="486" t="s">
        <v>81</v>
      </c>
      <c r="I6" s="486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>
        <v>97100</v>
      </c>
      <c r="F16" s="188" t="s">
        <v>93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312</v>
      </c>
      <c r="C246" s="277" t="s">
        <v>223</v>
      </c>
      <c r="D246" s="48" t="s">
        <v>228</v>
      </c>
      <c r="E246" s="141">
        <v>7000</v>
      </c>
      <c r="F246" s="193" t="s">
        <v>313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314</v>
      </c>
      <c r="C247" s="277" t="s">
        <v>223</v>
      </c>
      <c r="D247" s="48" t="s">
        <v>227</v>
      </c>
      <c r="E247" s="141">
        <v>12000</v>
      </c>
      <c r="F247" s="193" t="s">
        <v>313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315</v>
      </c>
      <c r="C248" s="277" t="s">
        <v>223</v>
      </c>
      <c r="D248" s="48" t="s">
        <v>98</v>
      </c>
      <c r="E248" s="141">
        <v>7266.666666666667</v>
      </c>
      <c r="F248" s="193" t="s">
        <v>313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316</v>
      </c>
      <c r="C249" s="277" t="s">
        <v>223</v>
      </c>
      <c r="D249" s="48" t="s">
        <v>98</v>
      </c>
      <c r="E249" s="141">
        <v>7266.666666666667</v>
      </c>
      <c r="F249" s="193" t="s">
        <v>313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278" t="s">
        <v>98</v>
      </c>
      <c r="E250" s="141">
        <v>7266.665</v>
      </c>
      <c r="F250" s="279" t="s">
        <v>313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318</v>
      </c>
      <c r="C251" s="277" t="s">
        <v>223</v>
      </c>
      <c r="D251" s="278" t="s">
        <v>227</v>
      </c>
      <c r="E251" s="141">
        <v>5000</v>
      </c>
      <c r="F251" s="279" t="s">
        <v>313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228</v>
      </c>
      <c r="E252" s="304">
        <v>7183</v>
      </c>
      <c r="F252" s="279" t="s">
        <v>231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320</v>
      </c>
      <c r="C253" s="277" t="s">
        <v>223</v>
      </c>
      <c r="D253" s="278" t="s">
        <v>228</v>
      </c>
      <c r="E253" s="304">
        <v>10597</v>
      </c>
      <c r="F253" s="279" t="s">
        <v>231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356</v>
      </c>
      <c r="C288" s="277" t="s">
        <v>223</v>
      </c>
      <c r="D288" s="48" t="s">
        <v>228</v>
      </c>
      <c r="E288" s="166">
        <v>84</v>
      </c>
      <c r="F288" s="279" t="s">
        <v>294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357</v>
      </c>
      <c r="C289" s="277" t="s">
        <v>223</v>
      </c>
      <c r="D289" s="278" t="s">
        <v>228</v>
      </c>
      <c r="E289" s="166">
        <v>10780</v>
      </c>
      <c r="F289" s="279" t="s">
        <v>231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80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65</v>
      </c>
      <c r="B515" s="125" t="s">
        <v>82</v>
      </c>
      <c r="C515" s="119" t="s">
        <v>83</v>
      </c>
      <c r="D515" s="103" t="s">
        <v>84</v>
      </c>
      <c r="E515" s="69" t="s">
        <v>85</v>
      </c>
      <c r="F515" s="187" t="s">
        <v>86</v>
      </c>
      <c r="G515" s="71" t="s">
        <v>87</v>
      </c>
      <c r="H515" s="72" t="s">
        <v>88</v>
      </c>
      <c r="I515" s="72" t="s">
        <v>89</v>
      </c>
      <c r="J515" s="74" t="s">
        <v>90</v>
      </c>
    </row>
    <row r="516" spans="1:10" ht="15" customHeight="1">
      <c r="A516" s="41">
        <v>1</v>
      </c>
      <c r="B516" s="146" t="s">
        <v>358</v>
      </c>
      <c r="C516" s="220" t="s">
        <v>33</v>
      </c>
      <c r="D516" s="48" t="s">
        <v>359</v>
      </c>
      <c r="E516" s="43">
        <v>380</v>
      </c>
      <c r="F516" s="188" t="s">
        <v>359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360</v>
      </c>
      <c r="C517" s="220" t="s">
        <v>33</v>
      </c>
      <c r="D517" s="50" t="s">
        <v>359</v>
      </c>
      <c r="E517" s="52">
        <v>848.47</v>
      </c>
      <c r="F517" s="51" t="s">
        <v>359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361</v>
      </c>
      <c r="C518" s="220" t="s">
        <v>33</v>
      </c>
      <c r="D518" s="50" t="s">
        <v>359</v>
      </c>
      <c r="E518" s="43">
        <v>815</v>
      </c>
      <c r="F518" s="188" t="s">
        <v>359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362</v>
      </c>
      <c r="C519" s="220" t="s">
        <v>33</v>
      </c>
      <c r="D519" s="50" t="s">
        <v>359</v>
      </c>
      <c r="E519" s="43">
        <v>623.66666666666663</v>
      </c>
      <c r="F519" s="188" t="s">
        <v>359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363</v>
      </c>
      <c r="C520" s="220" t="s">
        <v>33</v>
      </c>
      <c r="D520" s="48" t="s">
        <v>359</v>
      </c>
      <c r="E520" s="43">
        <v>698.53</v>
      </c>
      <c r="F520" s="188" t="s">
        <v>359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364</v>
      </c>
      <c r="C521" s="220" t="s">
        <v>33</v>
      </c>
      <c r="D521" s="48" t="s">
        <v>359</v>
      </c>
      <c r="E521" s="43">
        <v>390.66666666666669</v>
      </c>
      <c r="F521" s="188" t="s">
        <v>359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365</v>
      </c>
      <c r="C522" s="220" t="s">
        <v>33</v>
      </c>
      <c r="D522" s="48" t="s">
        <v>359</v>
      </c>
      <c r="E522" s="43">
        <v>477.19</v>
      </c>
      <c r="F522" s="51" t="s">
        <v>359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366</v>
      </c>
      <c r="C523" s="220" t="s">
        <v>33</v>
      </c>
      <c r="D523" s="48" t="s">
        <v>359</v>
      </c>
      <c r="E523" s="43">
        <v>998.41</v>
      </c>
      <c r="F523" s="188" t="s">
        <v>359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367</v>
      </c>
      <c r="C524" s="220" t="s">
        <v>33</v>
      </c>
      <c r="D524" s="48" t="s">
        <v>359</v>
      </c>
      <c r="E524" s="43">
        <v>898.44999999999993</v>
      </c>
      <c r="F524" s="188" t="s">
        <v>359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368</v>
      </c>
      <c r="C525" s="220" t="s">
        <v>33</v>
      </c>
      <c r="D525" s="216" t="s">
        <v>359</v>
      </c>
      <c r="E525" s="218">
        <v>1500</v>
      </c>
      <c r="F525" s="174" t="s">
        <v>359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369</v>
      </c>
      <c r="C526" s="220" t="s">
        <v>33</v>
      </c>
      <c r="D526" s="48" t="s">
        <v>359</v>
      </c>
      <c r="E526" s="217">
        <v>53371.5</v>
      </c>
      <c r="F526" s="51" t="s">
        <v>359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370</v>
      </c>
      <c r="C527" s="220" t="s">
        <v>33</v>
      </c>
      <c r="D527" s="48" t="s">
        <v>359</v>
      </c>
      <c r="E527" s="43">
        <v>897.26</v>
      </c>
      <c r="F527" s="188" t="s">
        <v>359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371</v>
      </c>
      <c r="C528" s="220" t="s">
        <v>33</v>
      </c>
      <c r="D528" s="53" t="s">
        <v>359</v>
      </c>
      <c r="E528" s="43">
        <v>1673.3335</v>
      </c>
      <c r="F528" s="188" t="s">
        <v>359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372</v>
      </c>
      <c r="C529" s="220" t="s">
        <v>33</v>
      </c>
      <c r="D529" s="50" t="s">
        <v>359</v>
      </c>
      <c r="E529" s="45">
        <v>250</v>
      </c>
      <c r="F529" s="51" t="s">
        <v>359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373</v>
      </c>
      <c r="C530" s="220" t="s">
        <v>33</v>
      </c>
      <c r="D530" s="50" t="s">
        <v>359</v>
      </c>
      <c r="E530" s="52">
        <v>898.45</v>
      </c>
      <c r="F530" s="51" t="s">
        <v>359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374</v>
      </c>
      <c r="C531" s="220" t="s">
        <v>33</v>
      </c>
      <c r="D531" s="50" t="s">
        <v>359</v>
      </c>
      <c r="E531" s="52">
        <v>898.45</v>
      </c>
      <c r="F531" s="51" t="s">
        <v>359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375</v>
      </c>
      <c r="C532" s="220" t="s">
        <v>33</v>
      </c>
      <c r="D532" s="215" t="s">
        <v>359</v>
      </c>
      <c r="E532" s="145">
        <v>549.78</v>
      </c>
      <c r="F532" s="51" t="s">
        <v>359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376</v>
      </c>
      <c r="C533" s="220" t="s">
        <v>33</v>
      </c>
      <c r="D533" s="215" t="s">
        <v>359</v>
      </c>
      <c r="E533" s="219">
        <v>357</v>
      </c>
      <c r="F533" s="51" t="s">
        <v>359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377</v>
      </c>
      <c r="C534" s="220" t="s">
        <v>33</v>
      </c>
      <c r="D534" s="215" t="s">
        <v>359</v>
      </c>
      <c r="E534" s="145">
        <v>998.41</v>
      </c>
      <c r="F534" s="51" t="s">
        <v>359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378</v>
      </c>
      <c r="C535" s="220" t="s">
        <v>33</v>
      </c>
      <c r="D535" s="144" t="s">
        <v>359</v>
      </c>
      <c r="E535" s="145">
        <v>898.45</v>
      </c>
      <c r="F535" s="54" t="s">
        <v>359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379</v>
      </c>
      <c r="C536" s="220" t="s">
        <v>33</v>
      </c>
      <c r="D536" s="172" t="s">
        <v>359</v>
      </c>
      <c r="E536" s="173">
        <v>1200</v>
      </c>
      <c r="F536" s="174" t="s">
        <v>359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380</v>
      </c>
      <c r="C537" s="220" t="s">
        <v>33</v>
      </c>
      <c r="D537" s="144" t="s">
        <v>359</v>
      </c>
      <c r="E537" s="141">
        <v>1217</v>
      </c>
      <c r="F537" s="188" t="s">
        <v>359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381</v>
      </c>
      <c r="C538" s="220" t="s">
        <v>33</v>
      </c>
      <c r="D538" s="144" t="s">
        <v>359</v>
      </c>
      <c r="E538" s="145">
        <v>759.22</v>
      </c>
      <c r="F538" s="51" t="s">
        <v>359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80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65</v>
      </c>
      <c r="B561" s="178" t="s">
        <v>82</v>
      </c>
      <c r="C561" s="66" t="s">
        <v>83</v>
      </c>
      <c r="D561" s="67" t="s">
        <v>84</v>
      </c>
      <c r="E561" s="69" t="s">
        <v>85</v>
      </c>
      <c r="F561" s="187" t="s">
        <v>86</v>
      </c>
      <c r="G561" s="71" t="s">
        <v>87</v>
      </c>
      <c r="H561" s="72" t="s">
        <v>88</v>
      </c>
      <c r="I561" s="179" t="s">
        <v>89</v>
      </c>
      <c r="J561" s="75" t="s">
        <v>90</v>
      </c>
    </row>
    <row r="562" spans="1:10" ht="15" customHeight="1">
      <c r="A562" s="41">
        <v>1</v>
      </c>
      <c r="B562" s="233" t="s">
        <v>382</v>
      </c>
      <c r="C562" s="220" t="s">
        <v>36</v>
      </c>
      <c r="D562" s="48" t="s">
        <v>98</v>
      </c>
      <c r="E562" s="43">
        <v>304.64</v>
      </c>
      <c r="F562" s="188" t="s">
        <v>98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3" t="s">
        <v>383</v>
      </c>
      <c r="C563" s="220" t="s">
        <v>36</v>
      </c>
      <c r="D563" s="48" t="s">
        <v>98</v>
      </c>
      <c r="E563" s="55">
        <v>3356</v>
      </c>
      <c r="F563" s="194" t="s">
        <v>98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3" t="s">
        <v>384</v>
      </c>
      <c r="C564" s="220" t="s">
        <v>36</v>
      </c>
      <c r="D564" s="48" t="s">
        <v>98</v>
      </c>
      <c r="E564" s="55">
        <v>304.64</v>
      </c>
      <c r="F564" s="194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3" t="s">
        <v>385</v>
      </c>
      <c r="C565" s="220" t="s">
        <v>36</v>
      </c>
      <c r="D565" s="48" t="s">
        <v>98</v>
      </c>
      <c r="E565" s="43">
        <v>304.64</v>
      </c>
      <c r="F565" s="188" t="s">
        <v>98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3" t="s">
        <v>386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3" t="s">
        <v>387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3" t="s">
        <v>388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3" t="s">
        <v>389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390</v>
      </c>
      <c r="C570" s="220" t="s">
        <v>36</v>
      </c>
      <c r="D570" s="48" t="s">
        <v>98</v>
      </c>
      <c r="E570" s="43">
        <v>304.64</v>
      </c>
      <c r="F570" s="188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391</v>
      </c>
      <c r="C571" s="220" t="s">
        <v>36</v>
      </c>
      <c r="D571" s="48" t="s">
        <v>98</v>
      </c>
      <c r="E571" s="55">
        <v>304.64</v>
      </c>
      <c r="F571" s="194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392</v>
      </c>
      <c r="C572" s="220" t="s">
        <v>36</v>
      </c>
      <c r="D572" s="48" t="s">
        <v>98</v>
      </c>
      <c r="E572" s="43">
        <v>2400</v>
      </c>
      <c r="F572" s="188" t="s">
        <v>98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393</v>
      </c>
      <c r="C573" s="220" t="s">
        <v>36</v>
      </c>
      <c r="D573" s="48" t="s">
        <v>98</v>
      </c>
      <c r="E573" s="43">
        <v>2400</v>
      </c>
      <c r="F573" s="188" t="s">
        <v>98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394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395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396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397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398</v>
      </c>
      <c r="C578" s="220" t="s">
        <v>36</v>
      </c>
      <c r="D578" s="48" t="s">
        <v>98</v>
      </c>
      <c r="E578" s="43">
        <v>304.64</v>
      </c>
      <c r="F578" s="194" t="s">
        <v>98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399</v>
      </c>
      <c r="C579" s="220" t="s">
        <v>36</v>
      </c>
      <c r="D579" s="48" t="s">
        <v>98</v>
      </c>
      <c r="E579" s="43">
        <v>304.64</v>
      </c>
      <c r="F579" s="188" t="s">
        <v>98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400</v>
      </c>
      <c r="C580" s="220" t="s">
        <v>36</v>
      </c>
      <c r="D580" s="48" t="s">
        <v>98</v>
      </c>
      <c r="E580" s="43">
        <v>304.64</v>
      </c>
      <c r="F580" s="188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401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402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403</v>
      </c>
      <c r="C583" s="220" t="s">
        <v>36</v>
      </c>
      <c r="D583" s="48" t="s">
        <v>98</v>
      </c>
      <c r="E583" s="55">
        <v>304.64</v>
      </c>
      <c r="F583" s="194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404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405</v>
      </c>
      <c r="C585" s="220" t="s">
        <v>36</v>
      </c>
      <c r="D585" s="48" t="s">
        <v>98</v>
      </c>
      <c r="E585" s="43">
        <v>304.64</v>
      </c>
      <c r="F585" s="188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406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407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408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409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410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411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412</v>
      </c>
      <c r="C592" s="220" t="s">
        <v>36</v>
      </c>
      <c r="D592" s="48" t="s">
        <v>98</v>
      </c>
      <c r="E592" s="55">
        <v>304.64</v>
      </c>
      <c r="F592" s="194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413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414</v>
      </c>
      <c r="C594" s="220" t="s">
        <v>36</v>
      </c>
      <c r="D594" s="48" t="s">
        <v>98</v>
      </c>
      <c r="E594" s="43">
        <v>3356</v>
      </c>
      <c r="F594" s="188" t="s">
        <v>98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415</v>
      </c>
      <c r="C595" s="220" t="s">
        <v>36</v>
      </c>
      <c r="D595" s="48" t="s">
        <v>98</v>
      </c>
      <c r="E595" s="43">
        <v>3356</v>
      </c>
      <c r="F595" s="188" t="s">
        <v>98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416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417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418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419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420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421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422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423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424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425</v>
      </c>
      <c r="C605" s="220" t="s">
        <v>36</v>
      </c>
      <c r="D605" s="48" t="s">
        <v>98</v>
      </c>
      <c r="E605" s="43">
        <v>1537.48</v>
      </c>
      <c r="F605" s="188" t="s">
        <v>98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426</v>
      </c>
      <c r="C606" s="220" t="s">
        <v>36</v>
      </c>
      <c r="D606" s="48" t="s">
        <v>98</v>
      </c>
      <c r="E606" s="55">
        <v>1537.48</v>
      </c>
      <c r="F606" s="188" t="s">
        <v>98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427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428</v>
      </c>
      <c r="C608" s="220" t="s">
        <v>36</v>
      </c>
      <c r="D608" s="48" t="s">
        <v>98</v>
      </c>
      <c r="E608" s="43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429</v>
      </c>
      <c r="C609" s="220" t="s">
        <v>36</v>
      </c>
      <c r="D609" s="48" t="s">
        <v>98</v>
      </c>
      <c r="E609" s="55">
        <v>1537.48</v>
      </c>
      <c r="F609" s="194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430</v>
      </c>
      <c r="C610" s="220" t="s">
        <v>36</v>
      </c>
      <c r="D610" s="48" t="s">
        <v>98</v>
      </c>
      <c r="E610" s="55">
        <v>2727.48</v>
      </c>
      <c r="F610" s="188" t="s">
        <v>98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431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432</v>
      </c>
      <c r="C612" s="220" t="s">
        <v>36</v>
      </c>
      <c r="D612" s="48" t="s">
        <v>98</v>
      </c>
      <c r="E612" s="55">
        <v>11057</v>
      </c>
      <c r="F612" s="194" t="s">
        <v>98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433</v>
      </c>
      <c r="C613" s="220" t="s">
        <v>36</v>
      </c>
      <c r="D613" s="48" t="s">
        <v>98</v>
      </c>
      <c r="E613" s="55">
        <v>11057</v>
      </c>
      <c r="F613" s="194" t="s">
        <v>98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434</v>
      </c>
      <c r="C614" s="220" t="s">
        <v>36</v>
      </c>
      <c r="D614" s="48" t="s">
        <v>98</v>
      </c>
      <c r="E614" s="55">
        <v>375</v>
      </c>
      <c r="F614" s="194" t="s">
        <v>98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435</v>
      </c>
      <c r="C615" s="220" t="s">
        <v>36</v>
      </c>
      <c r="D615" s="48" t="s">
        <v>98</v>
      </c>
      <c r="E615" s="55">
        <v>1006.6666666666666</v>
      </c>
      <c r="F615" s="194" t="s">
        <v>98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436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437</v>
      </c>
      <c r="C617" s="220" t="s">
        <v>36</v>
      </c>
      <c r="D617" s="48" t="s">
        <v>98</v>
      </c>
      <c r="E617" s="55">
        <v>375</v>
      </c>
      <c r="F617" s="194" t="s">
        <v>98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438</v>
      </c>
      <c r="C618" s="220" t="s">
        <v>36</v>
      </c>
      <c r="D618" s="48" t="s">
        <v>98</v>
      </c>
      <c r="E618" s="55">
        <v>177.31</v>
      </c>
      <c r="F618" s="194" t="s">
        <v>98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439</v>
      </c>
      <c r="C619" s="220" t="s">
        <v>36</v>
      </c>
      <c r="D619" s="48" t="s">
        <v>98</v>
      </c>
      <c r="E619" s="55">
        <v>177.31</v>
      </c>
      <c r="F619" s="194" t="s">
        <v>98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440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441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442</v>
      </c>
      <c r="C622" s="220" t="s">
        <v>36</v>
      </c>
      <c r="D622" s="48" t="s">
        <v>98</v>
      </c>
      <c r="E622" s="43">
        <v>1280.44</v>
      </c>
      <c r="F622" s="194" t="s">
        <v>98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443</v>
      </c>
      <c r="C623" s="220" t="s">
        <v>36</v>
      </c>
      <c r="D623" s="48" t="s">
        <v>98</v>
      </c>
      <c r="E623" s="55">
        <v>1280.44</v>
      </c>
      <c r="F623" s="194" t="s">
        <v>98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444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445</v>
      </c>
      <c r="C625" s="220" t="s">
        <v>36</v>
      </c>
      <c r="D625" s="48" t="s">
        <v>98</v>
      </c>
      <c r="E625" s="43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446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447</v>
      </c>
      <c r="C627" s="220" t="s">
        <v>36</v>
      </c>
      <c r="D627" s="48" t="s">
        <v>98</v>
      </c>
      <c r="E627" s="55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448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449</v>
      </c>
      <c r="C629" s="220" t="s">
        <v>36</v>
      </c>
      <c r="D629" s="48" t="s">
        <v>98</v>
      </c>
      <c r="E629" s="55">
        <v>14750</v>
      </c>
      <c r="F629" s="194" t="s">
        <v>98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450</v>
      </c>
      <c r="C630" s="220" t="s">
        <v>36</v>
      </c>
      <c r="D630" s="48" t="s">
        <v>98</v>
      </c>
      <c r="E630" s="55">
        <v>14750</v>
      </c>
      <c r="F630" s="194" t="s">
        <v>98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451</v>
      </c>
      <c r="C631" s="220" t="s">
        <v>36</v>
      </c>
      <c r="D631" s="48" t="s">
        <v>98</v>
      </c>
      <c r="E631" s="55">
        <v>4799.2700000000004</v>
      </c>
      <c r="F631" s="194" t="s">
        <v>98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452</v>
      </c>
      <c r="C632" s="220" t="s">
        <v>36</v>
      </c>
      <c r="D632" s="48" t="s">
        <v>98</v>
      </c>
      <c r="E632" s="55">
        <v>4799.2700000000004</v>
      </c>
      <c r="F632" s="194" t="s">
        <v>98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453</v>
      </c>
      <c r="C633" s="220" t="s">
        <v>36</v>
      </c>
      <c r="D633" s="48" t="s">
        <v>98</v>
      </c>
      <c r="E633" s="55">
        <v>1000</v>
      </c>
      <c r="F633" s="194" t="s">
        <v>98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454</v>
      </c>
      <c r="C634" s="220" t="s">
        <v>36</v>
      </c>
      <c r="D634" s="48" t="s">
        <v>98</v>
      </c>
      <c r="E634" s="55">
        <v>1000</v>
      </c>
      <c r="F634" s="194" t="s">
        <v>98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455</v>
      </c>
      <c r="C635" s="220" t="s">
        <v>36</v>
      </c>
      <c r="D635" s="48" t="s">
        <v>98</v>
      </c>
      <c r="E635" s="55">
        <v>6957.9299999999994</v>
      </c>
      <c r="F635" s="194" t="s">
        <v>98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456</v>
      </c>
      <c r="C636" s="220" t="s">
        <v>36</v>
      </c>
      <c r="D636" s="48" t="s">
        <v>98</v>
      </c>
      <c r="E636" s="55">
        <v>6957.9299999999994</v>
      </c>
      <c r="F636" s="194" t="s">
        <v>98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457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458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459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460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461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462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463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464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465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466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467</v>
      </c>
      <c r="C647" s="220" t="s">
        <v>36</v>
      </c>
      <c r="D647" s="48" t="s">
        <v>98</v>
      </c>
      <c r="E647" s="43">
        <v>3700</v>
      </c>
      <c r="F647" s="188" t="s">
        <v>98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468</v>
      </c>
      <c r="C648" s="220" t="s">
        <v>36</v>
      </c>
      <c r="D648" s="48" t="s">
        <v>98</v>
      </c>
      <c r="E648" s="43">
        <v>3700</v>
      </c>
      <c r="F648" s="188" t="s">
        <v>98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469</v>
      </c>
      <c r="C649" s="220" t="s">
        <v>36</v>
      </c>
      <c r="D649" s="48" t="s">
        <v>98</v>
      </c>
      <c r="E649" s="55">
        <v>1200</v>
      </c>
      <c r="F649" s="194" t="s">
        <v>98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470</v>
      </c>
      <c r="C650" s="220" t="s">
        <v>36</v>
      </c>
      <c r="D650" s="48" t="s">
        <v>98</v>
      </c>
      <c r="E650" s="55">
        <v>1200</v>
      </c>
      <c r="F650" s="194" t="s">
        <v>98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471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472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473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474</v>
      </c>
      <c r="C654" s="220" t="s">
        <v>36</v>
      </c>
      <c r="D654" s="48" t="s">
        <v>98</v>
      </c>
      <c r="E654" s="55">
        <v>873.94</v>
      </c>
      <c r="F654" s="194" t="s">
        <v>98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475</v>
      </c>
      <c r="C655" s="220" t="s">
        <v>36</v>
      </c>
      <c r="D655" s="48" t="s">
        <v>98</v>
      </c>
      <c r="E655" s="55">
        <v>873.94</v>
      </c>
      <c r="F655" s="194" t="s">
        <v>98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476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477</v>
      </c>
      <c r="C657" s="220" t="s">
        <v>36</v>
      </c>
      <c r="D657" s="48" t="s">
        <v>98</v>
      </c>
      <c r="E657" s="55">
        <v>1173.3399999999999</v>
      </c>
      <c r="F657" s="194" t="s">
        <v>98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478</v>
      </c>
      <c r="C658" s="220" t="s">
        <v>36</v>
      </c>
      <c r="D658" s="48" t="s">
        <v>98</v>
      </c>
      <c r="E658" s="55">
        <v>998.41</v>
      </c>
      <c r="F658" s="194" t="s">
        <v>98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479</v>
      </c>
      <c r="C659" s="220" t="s">
        <v>36</v>
      </c>
      <c r="D659" s="48" t="s">
        <v>98</v>
      </c>
      <c r="E659" s="55">
        <v>998.41</v>
      </c>
      <c r="F659" s="194" t="s">
        <v>98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480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481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482</v>
      </c>
      <c r="C662" s="220" t="s">
        <v>36</v>
      </c>
      <c r="D662" s="48" t="s">
        <v>98</v>
      </c>
      <c r="E662" s="55">
        <v>1173.3399999999999</v>
      </c>
      <c r="F662" s="194" t="s">
        <v>98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483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484</v>
      </c>
      <c r="C664" s="220" t="s">
        <v>36</v>
      </c>
      <c r="D664" s="48" t="s">
        <v>98</v>
      </c>
      <c r="E664" s="55">
        <v>998.41</v>
      </c>
      <c r="F664" s="194" t="s">
        <v>98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485</v>
      </c>
      <c r="C665" s="220" t="s">
        <v>36</v>
      </c>
      <c r="D665" s="48" t="s">
        <v>98</v>
      </c>
      <c r="E665" s="55">
        <v>1173.3399999999999</v>
      </c>
      <c r="F665" s="194" t="s">
        <v>98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486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487</v>
      </c>
      <c r="C667" s="220" t="s">
        <v>36</v>
      </c>
      <c r="D667" s="48" t="s">
        <v>98</v>
      </c>
      <c r="E667" s="55">
        <v>998.41</v>
      </c>
      <c r="F667" s="194" t="s">
        <v>98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488</v>
      </c>
      <c r="C668" s="220" t="s">
        <v>36</v>
      </c>
      <c r="D668" s="48" t="s">
        <v>98</v>
      </c>
      <c r="E668" s="55">
        <v>1018.64</v>
      </c>
      <c r="F668" s="194" t="s">
        <v>98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489</v>
      </c>
      <c r="C669" s="220" t="s">
        <v>36</v>
      </c>
      <c r="D669" s="48" t="s">
        <v>98</v>
      </c>
      <c r="E669" s="55">
        <v>1173.3399999999999</v>
      </c>
      <c r="F669" s="194" t="s">
        <v>98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490</v>
      </c>
      <c r="C670" s="220" t="s">
        <v>36</v>
      </c>
      <c r="D670" s="48" t="s">
        <v>98</v>
      </c>
      <c r="E670" s="55">
        <v>1173.3399999999999</v>
      </c>
      <c r="F670" s="194" t="s">
        <v>98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491</v>
      </c>
      <c r="C671" s="220" t="s">
        <v>36</v>
      </c>
      <c r="D671" s="48" t="s">
        <v>98</v>
      </c>
      <c r="E671" s="55">
        <v>1018.64</v>
      </c>
      <c r="F671" s="194" t="s">
        <v>98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492</v>
      </c>
      <c r="C672" s="220" t="s">
        <v>36</v>
      </c>
      <c r="D672" s="48" t="s">
        <v>98</v>
      </c>
      <c r="E672" s="55">
        <v>1018.64</v>
      </c>
      <c r="F672" s="194" t="s">
        <v>98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493</v>
      </c>
      <c r="C673" s="220" t="s">
        <v>36</v>
      </c>
      <c r="D673" s="48" t="s">
        <v>98</v>
      </c>
      <c r="E673" s="55">
        <v>2746.52</v>
      </c>
      <c r="F673" s="194" t="s">
        <v>98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494</v>
      </c>
      <c r="C674" s="220" t="s">
        <v>36</v>
      </c>
      <c r="D674" s="48" t="s">
        <v>98</v>
      </c>
      <c r="E674" s="55">
        <v>1173.3399999999999</v>
      </c>
      <c r="F674" s="194" t="s">
        <v>98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495</v>
      </c>
      <c r="C675" s="220" t="s">
        <v>36</v>
      </c>
      <c r="D675" s="48" t="s">
        <v>98</v>
      </c>
      <c r="E675" s="55">
        <v>1173.3399999999999</v>
      </c>
      <c r="F675" s="194" t="s">
        <v>98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496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497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498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499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500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501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502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503</v>
      </c>
      <c r="C683" s="220" t="s">
        <v>36</v>
      </c>
      <c r="D683" s="48" t="s">
        <v>98</v>
      </c>
      <c r="E683" s="55">
        <v>2563</v>
      </c>
      <c r="F683" s="188" t="s">
        <v>98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504</v>
      </c>
      <c r="C684" s="220" t="s">
        <v>36</v>
      </c>
      <c r="D684" s="48" t="s">
        <v>98</v>
      </c>
      <c r="E684" s="43">
        <v>2364.5299999999997</v>
      </c>
      <c r="F684" s="188" t="s">
        <v>98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505</v>
      </c>
      <c r="C685" s="220" t="s">
        <v>36</v>
      </c>
      <c r="D685" s="48" t="s">
        <v>98</v>
      </c>
      <c r="E685" s="43">
        <v>2364.5299999999997</v>
      </c>
      <c r="F685" s="188" t="s">
        <v>98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506</v>
      </c>
      <c r="C686" s="220" t="s">
        <v>36</v>
      </c>
      <c r="D686" s="48" t="s">
        <v>98</v>
      </c>
      <c r="E686" s="43">
        <v>2563</v>
      </c>
      <c r="F686" s="188" t="s">
        <v>98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507</v>
      </c>
      <c r="C687" s="220" t="s">
        <v>36</v>
      </c>
      <c r="D687" s="48" t="s">
        <v>98</v>
      </c>
      <c r="E687" s="55">
        <v>2563</v>
      </c>
      <c r="F687" s="194" t="s">
        <v>98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508</v>
      </c>
      <c r="C688" s="220" t="s">
        <v>36</v>
      </c>
      <c r="D688" s="48" t="s">
        <v>98</v>
      </c>
      <c r="E688" s="55">
        <v>2563</v>
      </c>
      <c r="F688" s="194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509</v>
      </c>
      <c r="C689" s="220" t="s">
        <v>36</v>
      </c>
      <c r="D689" s="48" t="s">
        <v>98</v>
      </c>
      <c r="E689" s="43">
        <v>2440.69</v>
      </c>
      <c r="F689" s="188" t="s">
        <v>98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510</v>
      </c>
      <c r="C690" s="220" t="s">
        <v>36</v>
      </c>
      <c r="D690" s="48" t="s">
        <v>98</v>
      </c>
      <c r="E690" s="43">
        <v>2440.69</v>
      </c>
      <c r="F690" s="188" t="s">
        <v>98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511</v>
      </c>
      <c r="C691" s="220" t="s">
        <v>36</v>
      </c>
      <c r="D691" s="48" t="s">
        <v>98</v>
      </c>
      <c r="E691" s="55">
        <v>873.94</v>
      </c>
      <c r="F691" s="194" t="s">
        <v>98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512</v>
      </c>
      <c r="C692" s="220" t="s">
        <v>36</v>
      </c>
      <c r="D692" s="48" t="s">
        <v>98</v>
      </c>
      <c r="E692" s="55">
        <v>873.94</v>
      </c>
      <c r="F692" s="194" t="s">
        <v>98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513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514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515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516</v>
      </c>
      <c r="C696" s="220" t="s">
        <v>36</v>
      </c>
      <c r="D696" s="48" t="s">
        <v>98</v>
      </c>
      <c r="E696" s="55">
        <v>1547</v>
      </c>
      <c r="F696" s="194" t="s">
        <v>98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517</v>
      </c>
      <c r="C697" s="220" t="s">
        <v>36</v>
      </c>
      <c r="D697" s="48" t="s">
        <v>98</v>
      </c>
      <c r="E697" s="55">
        <v>1547</v>
      </c>
      <c r="F697" s="194" t="s">
        <v>98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518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519</v>
      </c>
      <c r="C699" s="220" t="s">
        <v>36</v>
      </c>
      <c r="D699" s="48" t="s">
        <v>98</v>
      </c>
      <c r="E699" s="55">
        <v>1850</v>
      </c>
      <c r="F699" s="194" t="s">
        <v>98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520</v>
      </c>
      <c r="C700" s="220" t="s">
        <v>36</v>
      </c>
      <c r="D700" s="48" t="s">
        <v>98</v>
      </c>
      <c r="E700" s="55">
        <v>1850</v>
      </c>
      <c r="F700" s="194" t="s">
        <v>98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521</v>
      </c>
      <c r="C701" s="220" t="s">
        <v>36</v>
      </c>
      <c r="D701" s="48" t="s">
        <v>98</v>
      </c>
      <c r="E701" s="55">
        <v>4799.2700000000004</v>
      </c>
      <c r="F701" s="194" t="s">
        <v>98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522</v>
      </c>
      <c r="C702" s="220" t="s">
        <v>36</v>
      </c>
      <c r="D702" s="48" t="s">
        <v>98</v>
      </c>
      <c r="E702" s="55">
        <v>4799.2700000000004</v>
      </c>
      <c r="F702" s="194" t="s">
        <v>98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523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524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525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526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527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528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529</v>
      </c>
      <c r="C709" s="220" t="s">
        <v>36</v>
      </c>
      <c r="D709" s="48" t="s">
        <v>98</v>
      </c>
      <c r="E709" s="55">
        <v>1000</v>
      </c>
      <c r="F709" s="194" t="s">
        <v>98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530</v>
      </c>
      <c r="C710" s="220" t="s">
        <v>36</v>
      </c>
      <c r="D710" s="48" t="s">
        <v>98</v>
      </c>
      <c r="E710" s="55">
        <v>8973.7900000000009</v>
      </c>
      <c r="F710" s="194" t="s">
        <v>98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531</v>
      </c>
      <c r="C711" s="220" t="s">
        <v>36</v>
      </c>
      <c r="D711" s="48" t="s">
        <v>98</v>
      </c>
      <c r="E711" s="55">
        <v>8973.7900000000009</v>
      </c>
      <c r="F711" s="194" t="s">
        <v>98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532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533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534</v>
      </c>
      <c r="C714" s="220" t="s">
        <v>36</v>
      </c>
      <c r="D714" s="48" t="s">
        <v>98</v>
      </c>
      <c r="E714" s="55">
        <v>3844.89</v>
      </c>
      <c r="F714" s="194" t="s">
        <v>98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535</v>
      </c>
      <c r="C715" s="220" t="s">
        <v>36</v>
      </c>
      <c r="D715" s="48" t="s">
        <v>98</v>
      </c>
      <c r="E715" s="55">
        <v>3844.89</v>
      </c>
      <c r="F715" s="194" t="s">
        <v>98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536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537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538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539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540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541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542</v>
      </c>
      <c r="C722" s="220" t="s">
        <v>36</v>
      </c>
      <c r="D722" s="48" t="s">
        <v>98</v>
      </c>
      <c r="E722" s="55">
        <v>1661.24</v>
      </c>
      <c r="F722" s="194" t="s">
        <v>98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543</v>
      </c>
      <c r="C723" s="220" t="s">
        <v>36</v>
      </c>
      <c r="D723" s="48" t="s">
        <v>98</v>
      </c>
      <c r="E723" s="55">
        <v>1661.24</v>
      </c>
      <c r="F723" s="194" t="s">
        <v>98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544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545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546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547</v>
      </c>
      <c r="C727" s="220" t="s">
        <v>36</v>
      </c>
      <c r="D727" s="48" t="s">
        <v>98</v>
      </c>
      <c r="E727" s="55">
        <v>690.75</v>
      </c>
      <c r="F727" s="194" t="s">
        <v>98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548</v>
      </c>
      <c r="C728" s="220" t="s">
        <v>36</v>
      </c>
      <c r="D728" s="48" t="s">
        <v>98</v>
      </c>
      <c r="E728" s="55">
        <v>690.75</v>
      </c>
      <c r="F728" s="194" t="s">
        <v>98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549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550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551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552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553</v>
      </c>
      <c r="C733" s="220" t="s">
        <v>36</v>
      </c>
      <c r="D733" s="48" t="s">
        <v>98</v>
      </c>
      <c r="E733" s="43">
        <v>690.75</v>
      </c>
      <c r="F733" s="188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554</v>
      </c>
      <c r="C734" s="220" t="s">
        <v>36</v>
      </c>
      <c r="D734" s="48" t="s">
        <v>98</v>
      </c>
      <c r="E734" s="43">
        <v>690.75</v>
      </c>
      <c r="F734" s="188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555</v>
      </c>
      <c r="C735" s="220" t="s">
        <v>36</v>
      </c>
      <c r="D735" s="48" t="s">
        <v>98</v>
      </c>
      <c r="E735" s="55">
        <v>690.75</v>
      </c>
      <c r="F735" s="194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556</v>
      </c>
      <c r="C736" s="220" t="s">
        <v>36</v>
      </c>
      <c r="D736" s="48" t="s">
        <v>98</v>
      </c>
      <c r="E736" s="55">
        <v>690.75</v>
      </c>
      <c r="F736" s="194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557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558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559</v>
      </c>
      <c r="C739" s="220" t="s">
        <v>36</v>
      </c>
      <c r="D739" s="48" t="s">
        <v>98</v>
      </c>
      <c r="E739" s="43">
        <v>690.75</v>
      </c>
      <c r="F739" s="188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560</v>
      </c>
      <c r="C740" s="220" t="s">
        <v>36</v>
      </c>
      <c r="D740" s="48" t="s">
        <v>98</v>
      </c>
      <c r="E740" s="43">
        <v>690.75</v>
      </c>
      <c r="F740" s="188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561</v>
      </c>
      <c r="C741" s="220" t="s">
        <v>36</v>
      </c>
      <c r="D741" s="48" t="s">
        <v>98</v>
      </c>
      <c r="E741" s="55">
        <v>690.75</v>
      </c>
      <c r="F741" s="194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562</v>
      </c>
      <c r="C742" s="220" t="s">
        <v>36</v>
      </c>
      <c r="D742" s="48" t="s">
        <v>98</v>
      </c>
      <c r="E742" s="55">
        <v>690.75</v>
      </c>
      <c r="F742" s="194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563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564</v>
      </c>
      <c r="C744" s="220" t="s">
        <v>36</v>
      </c>
      <c r="D744" s="48" t="s">
        <v>98</v>
      </c>
      <c r="E744" s="43">
        <v>690.75</v>
      </c>
      <c r="F744" s="188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565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566</v>
      </c>
      <c r="C746" s="220" t="s">
        <v>36</v>
      </c>
      <c r="D746" s="48" t="s">
        <v>98</v>
      </c>
      <c r="E746" s="55">
        <v>690.75</v>
      </c>
      <c r="F746" s="194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567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568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569</v>
      </c>
      <c r="C749" s="220" t="s">
        <v>36</v>
      </c>
      <c r="D749" s="48" t="s">
        <v>98</v>
      </c>
      <c r="E749" s="43">
        <v>690.75</v>
      </c>
      <c r="F749" s="188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570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571</v>
      </c>
      <c r="C751" s="220" t="s">
        <v>36</v>
      </c>
      <c r="D751" s="48" t="s">
        <v>98</v>
      </c>
      <c r="E751" s="55">
        <v>690.75</v>
      </c>
      <c r="F751" s="194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572</v>
      </c>
      <c r="C752" s="220" t="s">
        <v>36</v>
      </c>
      <c r="D752" s="48" t="s">
        <v>98</v>
      </c>
      <c r="E752" s="55">
        <v>3850</v>
      </c>
      <c r="F752" s="194" t="s">
        <v>98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573</v>
      </c>
      <c r="C753" s="220" t="s">
        <v>36</v>
      </c>
      <c r="D753" s="48" t="s">
        <v>98</v>
      </c>
      <c r="E753" s="55">
        <v>3850</v>
      </c>
      <c r="F753" s="194" t="s">
        <v>98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574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575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576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577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578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579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580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581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582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583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584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585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586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587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588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589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590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591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592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593</v>
      </c>
      <c r="C773" s="220" t="s">
        <v>36</v>
      </c>
      <c r="D773" s="48" t="s">
        <v>98</v>
      </c>
      <c r="E773" s="55">
        <v>8973.7900000000009</v>
      </c>
      <c r="F773" s="194" t="s">
        <v>98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594</v>
      </c>
      <c r="C774" s="220" t="s">
        <v>36</v>
      </c>
      <c r="D774" s="48" t="s">
        <v>98</v>
      </c>
      <c r="E774" s="55">
        <v>8973.7900000000009</v>
      </c>
      <c r="F774" s="194" t="s">
        <v>98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595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596</v>
      </c>
      <c r="C776" s="220" t="s">
        <v>36</v>
      </c>
      <c r="D776" s="48" t="s">
        <v>98</v>
      </c>
      <c r="E776" s="55">
        <v>1661.24</v>
      </c>
      <c r="F776" s="194" t="s">
        <v>98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597</v>
      </c>
      <c r="C777" s="220" t="s">
        <v>36</v>
      </c>
      <c r="D777" s="48" t="s">
        <v>98</v>
      </c>
      <c r="E777" s="55">
        <v>1661.24</v>
      </c>
      <c r="F777" s="194" t="s">
        <v>98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598</v>
      </c>
      <c r="C778" s="220" t="s">
        <v>36</v>
      </c>
      <c r="D778" s="48" t="s">
        <v>98</v>
      </c>
      <c r="E778" s="55">
        <v>690.75</v>
      </c>
      <c r="F778" s="194" t="s">
        <v>98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599</v>
      </c>
      <c r="C779" s="220" t="s">
        <v>36</v>
      </c>
      <c r="D779" s="48" t="s">
        <v>98</v>
      </c>
      <c r="E779" s="56">
        <v>1505.04</v>
      </c>
      <c r="F779" s="188" t="s">
        <v>98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600</v>
      </c>
      <c r="C780" s="220" t="s">
        <v>36</v>
      </c>
      <c r="D780" s="48" t="s">
        <v>98</v>
      </c>
      <c r="E780" s="56">
        <v>3628.57</v>
      </c>
      <c r="F780" s="188" t="s">
        <v>98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601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602</v>
      </c>
      <c r="C782" s="220" t="s">
        <v>36</v>
      </c>
      <c r="D782" s="48" t="s">
        <v>98</v>
      </c>
      <c r="E782" s="55">
        <v>2898.84</v>
      </c>
      <c r="F782" s="194" t="s">
        <v>98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603</v>
      </c>
      <c r="C783" s="220" t="s">
        <v>36</v>
      </c>
      <c r="D783" s="48" t="s">
        <v>98</v>
      </c>
      <c r="E783" s="55">
        <v>2898.84</v>
      </c>
      <c r="F783" s="194" t="s">
        <v>98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604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605</v>
      </c>
      <c r="C785" s="220" t="s">
        <v>36</v>
      </c>
      <c r="D785" s="48" t="s">
        <v>98</v>
      </c>
      <c r="E785" s="55">
        <v>833</v>
      </c>
      <c r="F785" s="194" t="s">
        <v>98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606</v>
      </c>
      <c r="C786" s="220" t="s">
        <v>36</v>
      </c>
      <c r="D786" s="48" t="s">
        <v>98</v>
      </c>
      <c r="E786" s="55">
        <v>833</v>
      </c>
      <c r="F786" s="194" t="s">
        <v>98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607</v>
      </c>
      <c r="C787" s="220" t="s">
        <v>36</v>
      </c>
      <c r="D787" s="48" t="s">
        <v>98</v>
      </c>
      <c r="E787" s="55">
        <v>1266.6666666666667</v>
      </c>
      <c r="F787" s="194" t="s">
        <v>98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608</v>
      </c>
      <c r="C788" s="220" t="s">
        <v>36</v>
      </c>
      <c r="D788" s="48" t="s">
        <v>98</v>
      </c>
      <c r="E788" s="55">
        <v>1266.6666666666667</v>
      </c>
      <c r="F788" s="194" t="s">
        <v>98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609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610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611</v>
      </c>
      <c r="C791" s="220" t="s">
        <v>36</v>
      </c>
      <c r="D791" s="48" t="s">
        <v>98</v>
      </c>
      <c r="E791" s="43">
        <v>1266.6666666666667</v>
      </c>
      <c r="F791" s="188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612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613</v>
      </c>
      <c r="C793" s="220" t="s">
        <v>36</v>
      </c>
      <c r="D793" s="48" t="s">
        <v>98</v>
      </c>
      <c r="E793" s="55">
        <v>1266.6666666666667</v>
      </c>
      <c r="F793" s="194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614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615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616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617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618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619</v>
      </c>
      <c r="C799" s="220" t="s">
        <v>36</v>
      </c>
      <c r="D799" s="48" t="s">
        <v>98</v>
      </c>
      <c r="E799" s="55">
        <v>455.66624999999999</v>
      </c>
      <c r="F799" s="194" t="s">
        <v>98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620</v>
      </c>
      <c r="C800" s="220" t="s">
        <v>36</v>
      </c>
      <c r="D800" s="48" t="s">
        <v>98</v>
      </c>
      <c r="E800" s="55">
        <v>455.66624999999999</v>
      </c>
      <c r="F800" s="194" t="s">
        <v>98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621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622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623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624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625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626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627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628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629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630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631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632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633</v>
      </c>
      <c r="C813" s="220" t="s">
        <v>36</v>
      </c>
      <c r="D813" s="48" t="s">
        <v>98</v>
      </c>
      <c r="E813" s="43">
        <v>3356</v>
      </c>
      <c r="F813" s="188" t="s">
        <v>98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634</v>
      </c>
      <c r="C814" s="220" t="s">
        <v>36</v>
      </c>
      <c r="D814" s="48" t="s">
        <v>98</v>
      </c>
      <c r="E814" s="55">
        <v>1900</v>
      </c>
      <c r="F814" s="194" t="s">
        <v>98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635</v>
      </c>
      <c r="C815" s="220" t="s">
        <v>36</v>
      </c>
      <c r="D815" s="48" t="s">
        <v>98</v>
      </c>
      <c r="E815" s="55">
        <v>1900</v>
      </c>
      <c r="F815" s="194" t="s">
        <v>98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636</v>
      </c>
      <c r="C816" s="220" t="s">
        <v>36</v>
      </c>
      <c r="D816" s="48" t="s">
        <v>98</v>
      </c>
      <c r="E816" s="55">
        <v>23075</v>
      </c>
      <c r="F816" s="194" t="s">
        <v>98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637</v>
      </c>
      <c r="C817" s="220" t="s">
        <v>36</v>
      </c>
      <c r="D817" s="48" t="s">
        <v>98</v>
      </c>
      <c r="E817" s="55">
        <v>23075.289999999997</v>
      </c>
      <c r="F817" s="188" t="s">
        <v>98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638</v>
      </c>
      <c r="C818" s="220" t="s">
        <v>36</v>
      </c>
      <c r="D818" s="48" t="s">
        <v>98</v>
      </c>
      <c r="E818" s="55">
        <v>1018.64</v>
      </c>
      <c r="F818" s="194" t="s">
        <v>98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639</v>
      </c>
      <c r="C819" s="220" t="s">
        <v>36</v>
      </c>
      <c r="D819" s="48" t="s">
        <v>98</v>
      </c>
      <c r="E819" s="55">
        <v>1018.64</v>
      </c>
      <c r="F819" s="194" t="s">
        <v>98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640</v>
      </c>
      <c r="C820" s="220" t="s">
        <v>36</v>
      </c>
      <c r="D820" s="48" t="s">
        <v>98</v>
      </c>
      <c r="E820" s="43">
        <v>3356</v>
      </c>
      <c r="F820" s="188" t="s">
        <v>98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641</v>
      </c>
      <c r="C821" s="220" t="s">
        <v>36</v>
      </c>
      <c r="D821" s="48" t="s">
        <v>98</v>
      </c>
      <c r="E821" s="43">
        <v>3356</v>
      </c>
      <c r="F821" s="188" t="s">
        <v>98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642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643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644</v>
      </c>
      <c r="C824" s="220" t="s">
        <v>36</v>
      </c>
      <c r="D824" s="48" t="s">
        <v>98</v>
      </c>
      <c r="E824" s="55">
        <v>3356</v>
      </c>
      <c r="F824" s="194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645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646</v>
      </c>
      <c r="C826" s="220" t="s">
        <v>36</v>
      </c>
      <c r="D826" s="48" t="s">
        <v>98</v>
      </c>
      <c r="E826" s="43">
        <v>3356</v>
      </c>
      <c r="F826" s="188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647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648</v>
      </c>
      <c r="C828" s="220" t="s">
        <v>36</v>
      </c>
      <c r="D828" s="48" t="s">
        <v>98</v>
      </c>
      <c r="E828" s="55">
        <v>198</v>
      </c>
      <c r="F828" s="194" t="s">
        <v>98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649</v>
      </c>
      <c r="C829" s="220" t="s">
        <v>36</v>
      </c>
      <c r="D829" s="48" t="s">
        <v>98</v>
      </c>
      <c r="E829" s="55">
        <v>3356</v>
      </c>
      <c r="F829" s="194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650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651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652</v>
      </c>
      <c r="C832" s="220" t="s">
        <v>36</v>
      </c>
      <c r="D832" s="48" t="s">
        <v>98</v>
      </c>
      <c r="E832" s="55">
        <v>3356</v>
      </c>
      <c r="F832" s="194" t="s">
        <v>98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653</v>
      </c>
      <c r="C833" s="220" t="s">
        <v>36</v>
      </c>
      <c r="D833" s="48" t="s">
        <v>98</v>
      </c>
      <c r="E833" s="43">
        <v>198</v>
      </c>
      <c r="F833" s="188" t="s">
        <v>98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654</v>
      </c>
      <c r="C834" s="220" t="s">
        <v>36</v>
      </c>
      <c r="D834" s="48" t="s">
        <v>98</v>
      </c>
      <c r="E834" s="55">
        <v>198</v>
      </c>
      <c r="F834" s="194" t="s">
        <v>98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655</v>
      </c>
      <c r="C835" s="220" t="s">
        <v>36</v>
      </c>
      <c r="D835" s="48" t="s">
        <v>98</v>
      </c>
      <c r="E835" s="55">
        <v>198</v>
      </c>
      <c r="F835" s="194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656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657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658</v>
      </c>
      <c r="C838" s="220" t="s">
        <v>36</v>
      </c>
      <c r="D838" s="48" t="s">
        <v>98</v>
      </c>
      <c r="E838" s="55">
        <v>3356</v>
      </c>
      <c r="F838" s="194" t="s">
        <v>98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659</v>
      </c>
      <c r="C839" s="220" t="s">
        <v>36</v>
      </c>
      <c r="D839" s="48" t="s">
        <v>98</v>
      </c>
      <c r="E839" s="55">
        <v>1100</v>
      </c>
      <c r="F839" s="194" t="s">
        <v>98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660</v>
      </c>
      <c r="C840" s="220" t="s">
        <v>36</v>
      </c>
      <c r="D840" s="48" t="s">
        <v>98</v>
      </c>
      <c r="E840" s="55">
        <v>1350</v>
      </c>
      <c r="F840" s="194" t="s">
        <v>98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661</v>
      </c>
      <c r="C841" s="220" t="s">
        <v>36</v>
      </c>
      <c r="D841" s="48" t="s">
        <v>98</v>
      </c>
      <c r="E841" s="55">
        <v>925</v>
      </c>
      <c r="F841" s="194" t="s">
        <v>98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662</v>
      </c>
      <c r="C842" s="220" t="s">
        <v>36</v>
      </c>
      <c r="D842" s="48" t="s">
        <v>98</v>
      </c>
      <c r="E842" s="43">
        <v>3373</v>
      </c>
      <c r="F842" s="188" t="s">
        <v>98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663</v>
      </c>
      <c r="C843" s="220" t="s">
        <v>36</v>
      </c>
      <c r="D843" s="48" t="s">
        <v>98</v>
      </c>
      <c r="E843" s="56">
        <v>1275.68</v>
      </c>
      <c r="F843" s="188" t="s">
        <v>98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664</v>
      </c>
      <c r="C844" s="220" t="s">
        <v>36</v>
      </c>
      <c r="D844" s="48" t="s">
        <v>98</v>
      </c>
      <c r="E844" s="55">
        <v>3373</v>
      </c>
      <c r="F844" s="194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665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666</v>
      </c>
      <c r="C846" s="220" t="s">
        <v>36</v>
      </c>
      <c r="D846" s="48" t="s">
        <v>98</v>
      </c>
      <c r="E846" s="43">
        <v>1275.68</v>
      </c>
      <c r="F846" s="188" t="s">
        <v>98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667</v>
      </c>
      <c r="C847" s="220" t="s">
        <v>36</v>
      </c>
      <c r="D847" s="48" t="s">
        <v>98</v>
      </c>
      <c r="E847" s="55">
        <v>2746.52</v>
      </c>
      <c r="F847" s="194" t="s">
        <v>98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668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669</v>
      </c>
      <c r="C849" s="220" t="s">
        <v>36</v>
      </c>
      <c r="D849" s="48" t="s">
        <v>98</v>
      </c>
      <c r="E849" s="43">
        <v>1225.7</v>
      </c>
      <c r="F849" s="188" t="s">
        <v>98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670</v>
      </c>
      <c r="C850" s="220" t="s">
        <v>36</v>
      </c>
      <c r="D850" s="48" t="s">
        <v>98</v>
      </c>
      <c r="E850" s="43">
        <v>3881.78</v>
      </c>
      <c r="F850" s="188" t="s">
        <v>98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671</v>
      </c>
      <c r="C851" s="220" t="s">
        <v>36</v>
      </c>
      <c r="D851" s="48" t="s">
        <v>98</v>
      </c>
      <c r="E851" s="43">
        <v>1275.68</v>
      </c>
      <c r="F851" s="188" t="s">
        <v>98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672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673</v>
      </c>
      <c r="C853" s="220" t="s">
        <v>36</v>
      </c>
      <c r="D853" s="48" t="s">
        <v>98</v>
      </c>
      <c r="E853" s="55">
        <v>1225.7</v>
      </c>
      <c r="F853" s="194" t="s">
        <v>98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674</v>
      </c>
      <c r="C854" s="220" t="s">
        <v>36</v>
      </c>
      <c r="D854" s="48" t="s">
        <v>98</v>
      </c>
      <c r="E854" s="43">
        <v>1225.7</v>
      </c>
      <c r="F854" s="188" t="s">
        <v>98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675</v>
      </c>
      <c r="C855" s="220" t="s">
        <v>36</v>
      </c>
      <c r="D855" s="48" t="s">
        <v>98</v>
      </c>
      <c r="E855" s="43">
        <v>2400</v>
      </c>
      <c r="F855" s="188" t="s">
        <v>98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676</v>
      </c>
      <c r="C856" s="220" t="s">
        <v>36</v>
      </c>
      <c r="D856" s="48" t="s">
        <v>98</v>
      </c>
      <c r="E856" s="43">
        <v>1275.68</v>
      </c>
      <c r="F856" s="188" t="s">
        <v>98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677</v>
      </c>
      <c r="C857" s="220" t="s">
        <v>36</v>
      </c>
      <c r="D857" s="48" t="s">
        <v>98</v>
      </c>
      <c r="E857" s="43">
        <v>1225.7</v>
      </c>
      <c r="F857" s="188" t="s">
        <v>98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678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679</v>
      </c>
      <c r="C859" s="220" t="s">
        <v>36</v>
      </c>
      <c r="D859" s="48" t="s">
        <v>98</v>
      </c>
      <c r="E859" s="43">
        <v>2400</v>
      </c>
      <c r="F859" s="188" t="s">
        <v>98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680</v>
      </c>
      <c r="C860" s="220" t="s">
        <v>36</v>
      </c>
      <c r="D860" s="48" t="s">
        <v>98</v>
      </c>
      <c r="E860" s="55">
        <v>873.94</v>
      </c>
      <c r="F860" s="194" t="s">
        <v>98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681</v>
      </c>
      <c r="C861" s="220" t="s">
        <v>36</v>
      </c>
      <c r="D861" s="48" t="s">
        <v>98</v>
      </c>
      <c r="E861" s="55">
        <v>873.94</v>
      </c>
      <c r="F861" s="194" t="s">
        <v>98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682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683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684</v>
      </c>
      <c r="C864" s="220" t="s">
        <v>36</v>
      </c>
      <c r="D864" s="48" t="s">
        <v>98</v>
      </c>
      <c r="E864" s="43">
        <v>131.97</v>
      </c>
      <c r="F864" s="188" t="s">
        <v>98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685</v>
      </c>
      <c r="C865" s="220" t="s">
        <v>36</v>
      </c>
      <c r="D865" s="48" t="s">
        <v>98</v>
      </c>
      <c r="E865" s="55">
        <v>5450</v>
      </c>
      <c r="F865" s="194" t="s">
        <v>98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686</v>
      </c>
      <c r="C866" s="220" t="s">
        <v>36</v>
      </c>
      <c r="D866" s="48" t="s">
        <v>98</v>
      </c>
      <c r="E866" s="55">
        <v>5450</v>
      </c>
      <c r="F866" s="194" t="s">
        <v>98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687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688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689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690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691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692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693</v>
      </c>
      <c r="C873" s="220" t="s">
        <v>36</v>
      </c>
      <c r="D873" s="48" t="s">
        <v>98</v>
      </c>
      <c r="E873" s="43">
        <v>131.97</v>
      </c>
      <c r="F873" s="188" t="s">
        <v>98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694</v>
      </c>
      <c r="C874" s="220" t="s">
        <v>36</v>
      </c>
      <c r="D874" s="48" t="s">
        <v>98</v>
      </c>
      <c r="E874" s="43">
        <v>131.97</v>
      </c>
      <c r="F874" s="188" t="s">
        <v>98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695</v>
      </c>
      <c r="C875" s="220" t="s">
        <v>36</v>
      </c>
      <c r="D875" s="48" t="s">
        <v>98</v>
      </c>
      <c r="E875" s="43">
        <v>249.9</v>
      </c>
      <c r="F875" s="188" t="s">
        <v>98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696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697</v>
      </c>
      <c r="C877" s="220" t="s">
        <v>36</v>
      </c>
      <c r="D877" s="48" t="s">
        <v>98</v>
      </c>
      <c r="E877" s="43">
        <v>131.97</v>
      </c>
      <c r="F877" s="188" t="s">
        <v>98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698</v>
      </c>
      <c r="C878" s="220" t="s">
        <v>36</v>
      </c>
      <c r="D878" s="48" t="s">
        <v>98</v>
      </c>
      <c r="E878" s="55">
        <v>131.97</v>
      </c>
      <c r="F878" s="194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699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700</v>
      </c>
      <c r="C880" s="220" t="s">
        <v>36</v>
      </c>
      <c r="D880" s="48" t="s">
        <v>98</v>
      </c>
      <c r="E880" s="43">
        <v>131.97</v>
      </c>
      <c r="F880" s="188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701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702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703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704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705</v>
      </c>
      <c r="C885" s="220" t="s">
        <v>36</v>
      </c>
      <c r="D885" s="48" t="s">
        <v>98</v>
      </c>
      <c r="E885" s="43">
        <v>131.97</v>
      </c>
      <c r="F885" s="194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706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707</v>
      </c>
      <c r="C887" s="220" t="s">
        <v>36</v>
      </c>
      <c r="D887" s="48" t="s">
        <v>98</v>
      </c>
      <c r="E887" s="43">
        <v>131.97</v>
      </c>
      <c r="F887" s="188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708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709</v>
      </c>
      <c r="C889" s="220" t="s">
        <v>36</v>
      </c>
      <c r="D889" s="48" t="s">
        <v>98</v>
      </c>
      <c r="E889" s="55">
        <v>131.97</v>
      </c>
      <c r="F889" s="194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710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711</v>
      </c>
      <c r="C891" s="220" t="s">
        <v>36</v>
      </c>
      <c r="D891" s="48" t="s">
        <v>98</v>
      </c>
      <c r="E891" s="43">
        <v>131.97</v>
      </c>
      <c r="F891" s="188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712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713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714</v>
      </c>
      <c r="C894" s="220" t="s">
        <v>36</v>
      </c>
      <c r="D894" s="48" t="s">
        <v>98</v>
      </c>
      <c r="E894" s="55">
        <v>131.97</v>
      </c>
      <c r="F894" s="194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715</v>
      </c>
      <c r="C895" s="220" t="s">
        <v>36</v>
      </c>
      <c r="D895" s="48" t="s">
        <v>98</v>
      </c>
      <c r="E895" s="55">
        <v>6957.9299999999994</v>
      </c>
      <c r="F895" s="194" t="s">
        <v>98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716</v>
      </c>
      <c r="C896" s="220" t="s">
        <v>36</v>
      </c>
      <c r="D896" s="48" t="s">
        <v>98</v>
      </c>
      <c r="E896" s="55">
        <v>2563</v>
      </c>
      <c r="F896" s="194" t="s">
        <v>98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717</v>
      </c>
      <c r="C897" s="220" t="s">
        <v>36</v>
      </c>
      <c r="D897" s="48" t="s">
        <v>98</v>
      </c>
      <c r="E897" s="55">
        <v>2563</v>
      </c>
      <c r="F897" s="194" t="s">
        <v>98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718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719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720</v>
      </c>
      <c r="C900" s="220" t="s">
        <v>36</v>
      </c>
      <c r="D900" s="48" t="s">
        <v>98</v>
      </c>
      <c r="E900" s="55">
        <v>2885.5</v>
      </c>
      <c r="F900" s="194" t="s">
        <v>98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721</v>
      </c>
      <c r="C901" s="220" t="s">
        <v>36</v>
      </c>
      <c r="D901" s="48" t="s">
        <v>98</v>
      </c>
      <c r="E901" s="55">
        <v>2885.5</v>
      </c>
      <c r="F901" s="194" t="s">
        <v>98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722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723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724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725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726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727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728</v>
      </c>
      <c r="C908" s="220" t="s">
        <v>36</v>
      </c>
      <c r="D908" s="48" t="s">
        <v>98</v>
      </c>
      <c r="E908" s="55">
        <v>2785.5</v>
      </c>
      <c r="F908" s="194" t="s">
        <v>98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729</v>
      </c>
      <c r="C909" s="220" t="s">
        <v>36</v>
      </c>
      <c r="D909" s="48" t="s">
        <v>98</v>
      </c>
      <c r="E909" s="55">
        <v>2785.5</v>
      </c>
      <c r="F909" s="194" t="s">
        <v>98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730</v>
      </c>
      <c r="C910" s="220" t="s">
        <v>36</v>
      </c>
      <c r="D910" s="48" t="s">
        <v>98</v>
      </c>
      <c r="E910" s="55">
        <v>1</v>
      </c>
      <c r="F910" s="194" t="s">
        <v>98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731</v>
      </c>
      <c r="C911" s="220" t="s">
        <v>36</v>
      </c>
      <c r="D911" s="48" t="s">
        <v>98</v>
      </c>
      <c r="E911" s="55">
        <v>1200</v>
      </c>
      <c r="F911" s="194" t="s">
        <v>98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732</v>
      </c>
      <c r="C912" s="220" t="s">
        <v>36</v>
      </c>
      <c r="D912" s="48" t="s">
        <v>98</v>
      </c>
      <c r="E912" s="55">
        <v>1200</v>
      </c>
      <c r="F912" s="194" t="s">
        <v>98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733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734</v>
      </c>
      <c r="C914" s="220" t="s">
        <v>36</v>
      </c>
      <c r="D914" s="48" t="s">
        <v>98</v>
      </c>
      <c r="E914" s="55">
        <v>500</v>
      </c>
      <c r="F914" s="194" t="s">
        <v>98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735</v>
      </c>
      <c r="C915" s="220" t="s">
        <v>36</v>
      </c>
      <c r="D915" s="48" t="s">
        <v>98</v>
      </c>
      <c r="E915" s="55">
        <v>500</v>
      </c>
      <c r="F915" s="194" t="s">
        <v>98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736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737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738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739</v>
      </c>
      <c r="C919" s="220" t="s">
        <v>36</v>
      </c>
      <c r="D919" s="48" t="s">
        <v>98</v>
      </c>
      <c r="E919" s="55">
        <v>114.24</v>
      </c>
      <c r="F919" s="194" t="s">
        <v>98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740</v>
      </c>
      <c r="C920" s="220" t="s">
        <v>36</v>
      </c>
      <c r="D920" s="48" t="s">
        <v>98</v>
      </c>
      <c r="E920" s="55">
        <v>114.24</v>
      </c>
      <c r="F920" s="194" t="s">
        <v>98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741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742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743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744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745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746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747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748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749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750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751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752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753</v>
      </c>
      <c r="C933" s="220" t="s">
        <v>36</v>
      </c>
      <c r="D933" s="48" t="s">
        <v>98</v>
      </c>
      <c r="E933" s="55">
        <v>1800</v>
      </c>
      <c r="F933" s="194" t="s">
        <v>98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754</v>
      </c>
      <c r="C934" s="220" t="s">
        <v>36</v>
      </c>
      <c r="D934" s="48" t="s">
        <v>98</v>
      </c>
      <c r="E934" s="55">
        <v>546</v>
      </c>
      <c r="F934" s="194" t="s">
        <v>98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755</v>
      </c>
      <c r="C935" s="220" t="s">
        <v>36</v>
      </c>
      <c r="D935" s="48" t="s">
        <v>98</v>
      </c>
      <c r="E935" s="55">
        <v>114.24</v>
      </c>
      <c r="F935" s="194" t="s">
        <v>98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756</v>
      </c>
      <c r="C936" s="220" t="s">
        <v>36</v>
      </c>
      <c r="D936" s="48" t="s">
        <v>98</v>
      </c>
      <c r="E936" s="55">
        <v>114.24</v>
      </c>
      <c r="F936" s="194" t="s">
        <v>98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757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758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759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760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761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762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763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764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765</v>
      </c>
      <c r="C945" s="220" t="s">
        <v>36</v>
      </c>
      <c r="D945" s="48" t="s">
        <v>98</v>
      </c>
      <c r="E945" s="55">
        <v>1550</v>
      </c>
      <c r="F945" s="194" t="s">
        <v>98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766</v>
      </c>
      <c r="C946" s="220" t="s">
        <v>36</v>
      </c>
      <c r="D946" s="48" t="s">
        <v>98</v>
      </c>
      <c r="E946" s="55">
        <v>1550</v>
      </c>
      <c r="F946" s="194" t="s">
        <v>98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767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768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769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770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771</v>
      </c>
      <c r="C951" s="220" t="s">
        <v>36</v>
      </c>
      <c r="D951" s="48" t="s">
        <v>98</v>
      </c>
      <c r="E951" s="55">
        <v>952</v>
      </c>
      <c r="F951" s="194" t="s">
        <v>98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772</v>
      </c>
      <c r="C952" s="220" t="s">
        <v>36</v>
      </c>
      <c r="D952" s="48" t="s">
        <v>98</v>
      </c>
      <c r="E952" s="55">
        <v>925</v>
      </c>
      <c r="F952" s="194" t="s">
        <v>98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773</v>
      </c>
      <c r="C953" s="220" t="s">
        <v>36</v>
      </c>
      <c r="D953" s="48" t="s">
        <v>98</v>
      </c>
      <c r="E953" s="55">
        <v>1100</v>
      </c>
      <c r="F953" s="194" t="s">
        <v>98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774</v>
      </c>
      <c r="C954" s="220" t="s">
        <v>36</v>
      </c>
      <c r="D954" s="48" t="s">
        <v>98</v>
      </c>
      <c r="E954" s="55">
        <v>1350</v>
      </c>
      <c r="F954" s="194" t="s">
        <v>98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775</v>
      </c>
      <c r="C955" s="220" t="s">
        <v>36</v>
      </c>
      <c r="D955" s="48" t="s">
        <v>98</v>
      </c>
      <c r="E955" s="55">
        <v>1350</v>
      </c>
      <c r="F955" s="194" t="s">
        <v>98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776</v>
      </c>
      <c r="C956" s="220" t="s">
        <v>36</v>
      </c>
      <c r="D956" s="48" t="s">
        <v>98</v>
      </c>
      <c r="E956" s="43">
        <v>2727.48</v>
      </c>
      <c r="F956" s="188" t="s">
        <v>98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777</v>
      </c>
      <c r="C957" s="220" t="s">
        <v>36</v>
      </c>
      <c r="D957" s="48" t="s">
        <v>98</v>
      </c>
      <c r="E957" s="43">
        <v>2727.48</v>
      </c>
      <c r="F957" s="188" t="s">
        <v>98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778</v>
      </c>
      <c r="C958" s="220" t="s">
        <v>36</v>
      </c>
      <c r="D958" s="48" t="s">
        <v>98</v>
      </c>
      <c r="E958" s="55">
        <v>2727.48</v>
      </c>
      <c r="F958" s="194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779</v>
      </c>
      <c r="C959" s="220" t="s">
        <v>36</v>
      </c>
      <c r="D959" s="48" t="s">
        <v>98</v>
      </c>
      <c r="E959" s="55">
        <v>2727.48</v>
      </c>
      <c r="F959" s="194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780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781</v>
      </c>
      <c r="C961" s="220" t="s">
        <v>36</v>
      </c>
      <c r="D961" s="48" t="s">
        <v>98</v>
      </c>
      <c r="E961" s="55">
        <v>3111.85</v>
      </c>
      <c r="F961" s="194" t="s">
        <v>98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782</v>
      </c>
      <c r="C962" s="220" t="s">
        <v>36</v>
      </c>
      <c r="D962" s="48" t="s">
        <v>98</v>
      </c>
      <c r="E962" s="43">
        <v>1550</v>
      </c>
      <c r="F962" s="188" t="s">
        <v>98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783</v>
      </c>
      <c r="C963" s="220" t="s">
        <v>36</v>
      </c>
      <c r="D963" s="48" t="s">
        <v>98</v>
      </c>
      <c r="E963" s="55">
        <v>1550</v>
      </c>
      <c r="F963" s="194" t="s">
        <v>98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784</v>
      </c>
      <c r="C964" s="220" t="s">
        <v>36</v>
      </c>
      <c r="D964" s="48" t="s">
        <v>98</v>
      </c>
      <c r="E964" s="55">
        <v>1550</v>
      </c>
      <c r="F964" s="194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785</v>
      </c>
      <c r="C965" s="220" t="s">
        <v>36</v>
      </c>
      <c r="D965" s="48" t="s">
        <v>98</v>
      </c>
      <c r="E965" s="43">
        <v>1550</v>
      </c>
      <c r="F965" s="188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786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787</v>
      </c>
      <c r="C967" s="220" t="s">
        <v>36</v>
      </c>
      <c r="D967" s="48" t="s">
        <v>98</v>
      </c>
      <c r="E967" s="55">
        <v>3844</v>
      </c>
      <c r="F967" s="194" t="s">
        <v>98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788</v>
      </c>
      <c r="C968" s="220" t="s">
        <v>36</v>
      </c>
      <c r="D968" s="48" t="s">
        <v>98</v>
      </c>
      <c r="E968" s="55">
        <v>3844</v>
      </c>
      <c r="F968" s="194" t="s">
        <v>98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789</v>
      </c>
      <c r="C969" s="220" t="s">
        <v>36</v>
      </c>
      <c r="D969" s="48" t="s">
        <v>98</v>
      </c>
      <c r="E969" s="55">
        <v>998.41</v>
      </c>
      <c r="F969" s="194" t="s">
        <v>98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790</v>
      </c>
      <c r="C970" s="220" t="s">
        <v>36</v>
      </c>
      <c r="D970" s="48" t="s">
        <v>98</v>
      </c>
      <c r="E970" s="55">
        <v>998.41</v>
      </c>
      <c r="F970" s="194" t="s">
        <v>98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791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792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793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794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795</v>
      </c>
      <c r="C975" s="220" t="s">
        <v>36</v>
      </c>
      <c r="D975" s="48" t="s">
        <v>98</v>
      </c>
      <c r="E975" s="55">
        <v>3844</v>
      </c>
      <c r="F975" s="194" t="s">
        <v>98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796</v>
      </c>
      <c r="C976" s="220" t="s">
        <v>36</v>
      </c>
      <c r="D976" s="48" t="s">
        <v>98</v>
      </c>
      <c r="E976" s="55">
        <v>3844</v>
      </c>
      <c r="F976" s="194" t="s">
        <v>98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797</v>
      </c>
      <c r="C977" s="220" t="s">
        <v>36</v>
      </c>
      <c r="D977" s="48" t="s">
        <v>98</v>
      </c>
      <c r="E977" s="55">
        <v>998.41</v>
      </c>
      <c r="F977" s="194" t="s">
        <v>98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798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799</v>
      </c>
      <c r="C979" s="220" t="s">
        <v>36</v>
      </c>
      <c r="D979" s="48" t="s">
        <v>98</v>
      </c>
      <c r="E979" s="55">
        <v>3844</v>
      </c>
      <c r="F979" s="194" t="s">
        <v>98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800</v>
      </c>
      <c r="C980" s="220" t="s">
        <v>36</v>
      </c>
      <c r="D980" s="48" t="s">
        <v>98</v>
      </c>
      <c r="E980" s="55">
        <v>1173.3399999999999</v>
      </c>
      <c r="F980" s="194" t="s">
        <v>98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801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802</v>
      </c>
      <c r="C982" s="220" t="s">
        <v>36</v>
      </c>
      <c r="D982" s="48" t="s">
        <v>98</v>
      </c>
      <c r="E982" s="55">
        <v>1200</v>
      </c>
      <c r="F982" s="194" t="s">
        <v>98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80</v>
      </c>
      <c r="B1009" s="251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65</v>
      </c>
      <c r="B1010" s="128" t="s">
        <v>82</v>
      </c>
      <c r="C1010" s="119" t="s">
        <v>83</v>
      </c>
      <c r="D1010" s="103" t="s">
        <v>84</v>
      </c>
      <c r="E1010" s="69" t="s">
        <v>85</v>
      </c>
      <c r="F1010" s="187" t="s">
        <v>86</v>
      </c>
      <c r="G1010" s="71" t="s">
        <v>87</v>
      </c>
      <c r="H1010" s="72" t="s">
        <v>88</v>
      </c>
      <c r="I1010" s="72" t="s">
        <v>89</v>
      </c>
      <c r="J1010" s="74" t="s">
        <v>90</v>
      </c>
    </row>
    <row r="1011" spans="1:10">
      <c r="A1011" s="41">
        <v>1</v>
      </c>
      <c r="B1011" s="168" t="s">
        <v>803</v>
      </c>
      <c r="C1011" s="160" t="s">
        <v>46</v>
      </c>
      <c r="D1011" s="48" t="s">
        <v>228</v>
      </c>
      <c r="E1011" s="43">
        <v>8770.3333333333339</v>
      </c>
      <c r="F1011" s="188" t="s">
        <v>231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804</v>
      </c>
      <c r="C1012" s="160" t="s">
        <v>46</v>
      </c>
      <c r="D1012" s="48" t="s">
        <v>228</v>
      </c>
      <c r="E1012" s="43">
        <v>17830</v>
      </c>
      <c r="F1012" s="188" t="s">
        <v>231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805</v>
      </c>
      <c r="C1013" s="160" t="s">
        <v>46</v>
      </c>
      <c r="D1013" s="48" t="s">
        <v>228</v>
      </c>
      <c r="E1013" s="43">
        <v>28016</v>
      </c>
      <c r="F1013" s="188" t="s">
        <v>231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806</v>
      </c>
      <c r="C1014" s="160" t="s">
        <v>46</v>
      </c>
      <c r="D1014" s="48" t="s">
        <v>228</v>
      </c>
      <c r="E1014" s="43">
        <v>18321</v>
      </c>
      <c r="F1014" s="188" t="s">
        <v>231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807</v>
      </c>
      <c r="C1015" s="160" t="s">
        <v>46</v>
      </c>
      <c r="D1015" s="48" t="s">
        <v>227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808</v>
      </c>
      <c r="C1016" s="160" t="s">
        <v>46</v>
      </c>
      <c r="D1016" s="48" t="s">
        <v>227</v>
      </c>
      <c r="E1016" s="43">
        <v>10317</v>
      </c>
      <c r="F1016" s="188" t="s">
        <v>231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809</v>
      </c>
      <c r="C1017" s="160" t="s">
        <v>46</v>
      </c>
      <c r="D1017" s="48" t="s">
        <v>228</v>
      </c>
      <c r="E1017" s="43">
        <v>10200</v>
      </c>
      <c r="F1017" s="188" t="s">
        <v>231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810</v>
      </c>
      <c r="C1018" s="160" t="s">
        <v>46</v>
      </c>
      <c r="D1018" s="48" t="s">
        <v>228</v>
      </c>
      <c r="E1018" s="43">
        <v>39999.47</v>
      </c>
      <c r="F1018" s="188" t="s">
        <v>231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811</v>
      </c>
      <c r="C1019" s="160" t="s">
        <v>46</v>
      </c>
      <c r="D1019" s="48" t="s">
        <v>227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812</v>
      </c>
      <c r="C1020" s="160" t="s">
        <v>46</v>
      </c>
      <c r="D1020" s="48" t="s">
        <v>231</v>
      </c>
      <c r="E1020" s="43">
        <v>28550</v>
      </c>
      <c r="F1020" s="188" t="s">
        <v>231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813</v>
      </c>
      <c r="C1021" s="160" t="s">
        <v>46</v>
      </c>
      <c r="D1021" s="151" t="s">
        <v>228</v>
      </c>
      <c r="E1021" s="152">
        <v>34999.089999999997</v>
      </c>
      <c r="F1021" s="188" t="s">
        <v>231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814</v>
      </c>
      <c r="C1022" s="160" t="s">
        <v>46</v>
      </c>
      <c r="D1022" s="151" t="s">
        <v>228</v>
      </c>
      <c r="E1022" s="152">
        <v>24999.52</v>
      </c>
      <c r="F1022" s="188" t="s">
        <v>231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815</v>
      </c>
      <c r="C1023" s="160" t="s">
        <v>46</v>
      </c>
      <c r="D1023" s="151" t="s">
        <v>228</v>
      </c>
      <c r="E1023" s="152">
        <v>13269</v>
      </c>
      <c r="F1023" s="188" t="s">
        <v>231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816</v>
      </c>
      <c r="C1024" s="160" t="s">
        <v>46</v>
      </c>
      <c r="D1024" s="151" t="s">
        <v>228</v>
      </c>
      <c r="E1024" s="152">
        <v>20059.829999999998</v>
      </c>
      <c r="F1024" s="188" t="s">
        <v>231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817</v>
      </c>
      <c r="C1025" s="160" t="s">
        <v>46</v>
      </c>
      <c r="D1025" s="151" t="s">
        <v>228</v>
      </c>
      <c r="E1025" s="152">
        <v>31945</v>
      </c>
      <c r="F1025" s="188" t="s">
        <v>231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818</v>
      </c>
      <c r="C1026" s="160" t="s">
        <v>46</v>
      </c>
      <c r="D1026" s="151" t="s">
        <v>228</v>
      </c>
      <c r="E1026" s="152">
        <v>59308.5</v>
      </c>
      <c r="F1026" s="188" t="s">
        <v>231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819</v>
      </c>
      <c r="C1027" s="160" t="s">
        <v>46</v>
      </c>
      <c r="D1027" s="151" t="s">
        <v>228</v>
      </c>
      <c r="E1027" s="152">
        <v>22911.759999999998</v>
      </c>
      <c r="F1027" s="188" t="s">
        <v>231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820</v>
      </c>
      <c r="C1028" s="160" t="s">
        <v>46</v>
      </c>
      <c r="D1028" s="151" t="s">
        <v>228</v>
      </c>
      <c r="E1028" s="152">
        <v>39358.5</v>
      </c>
      <c r="F1028" s="188" t="s">
        <v>231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821</v>
      </c>
      <c r="C1029" s="160" t="s">
        <v>46</v>
      </c>
      <c r="D1029" s="151" t="s">
        <v>228</v>
      </c>
      <c r="E1029" s="152">
        <v>34666.660000000003</v>
      </c>
      <c r="F1029" s="188" t="s">
        <v>231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822</v>
      </c>
      <c r="C1030" s="160" t="s">
        <v>46</v>
      </c>
      <c r="D1030" s="151" t="s">
        <v>231</v>
      </c>
      <c r="E1030" s="152">
        <v>3550</v>
      </c>
      <c r="F1030" s="188" t="s">
        <v>231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2" t="s">
        <v>823</v>
      </c>
      <c r="C1031" s="160" t="s">
        <v>46</v>
      </c>
      <c r="D1031" s="151" t="s">
        <v>228</v>
      </c>
      <c r="E1031" s="152">
        <v>6970</v>
      </c>
      <c r="F1031" s="188" t="s">
        <v>231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2" t="s">
        <v>824</v>
      </c>
      <c r="C1032" s="160" t="s">
        <v>46</v>
      </c>
      <c r="D1032" s="151" t="s">
        <v>228</v>
      </c>
      <c r="E1032" s="152">
        <v>9500</v>
      </c>
      <c r="F1032" s="188" t="s">
        <v>231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2" t="s">
        <v>825</v>
      </c>
      <c r="C1033" s="160" t="s">
        <v>46</v>
      </c>
      <c r="D1033" s="151" t="s">
        <v>228</v>
      </c>
      <c r="E1033" s="152">
        <v>4098</v>
      </c>
      <c r="F1033" s="188" t="s">
        <v>231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826</v>
      </c>
      <c r="C1034" s="160" t="s">
        <v>46</v>
      </c>
      <c r="D1034" s="151" t="s">
        <v>228</v>
      </c>
      <c r="E1034" s="152">
        <v>8770.3333333333339</v>
      </c>
      <c r="F1034" s="188" t="s">
        <v>231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827</v>
      </c>
      <c r="C1035" s="160" t="s">
        <v>46</v>
      </c>
      <c r="D1035" s="151" t="s">
        <v>228</v>
      </c>
      <c r="E1035" s="152">
        <v>44000</v>
      </c>
      <c r="F1035" s="188" t="s">
        <v>231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828</v>
      </c>
      <c r="C1036" s="160" t="s">
        <v>46</v>
      </c>
      <c r="D1036" s="151" t="s">
        <v>227</v>
      </c>
      <c r="E1036" s="152">
        <v>18500</v>
      </c>
      <c r="F1036" s="188" t="s">
        <v>231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829</v>
      </c>
      <c r="C1037" s="160" t="s">
        <v>46</v>
      </c>
      <c r="D1037" s="151" t="s">
        <v>227</v>
      </c>
      <c r="E1037" s="152">
        <v>39100</v>
      </c>
      <c r="F1037" s="188" t="s">
        <v>231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830</v>
      </c>
      <c r="C1038" s="160" t="s">
        <v>46</v>
      </c>
      <c r="D1038" s="48" t="s">
        <v>227</v>
      </c>
      <c r="E1038" s="43">
        <v>11950</v>
      </c>
      <c r="F1038" s="188" t="s">
        <v>231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831</v>
      </c>
      <c r="C1039" s="160" t="s">
        <v>46</v>
      </c>
      <c r="D1039" s="48" t="s">
        <v>228</v>
      </c>
      <c r="E1039" s="43">
        <v>5194</v>
      </c>
      <c r="F1039" s="188" t="s">
        <v>231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832</v>
      </c>
      <c r="C1040" s="160" t="s">
        <v>46</v>
      </c>
      <c r="D1040" s="151" t="s">
        <v>227</v>
      </c>
      <c r="E1040" s="152">
        <v>39358.5</v>
      </c>
      <c r="F1040" s="188" t="s">
        <v>231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833</v>
      </c>
      <c r="C1041" s="160" t="s">
        <v>46</v>
      </c>
      <c r="D1041" s="48" t="s">
        <v>227</v>
      </c>
      <c r="E1041" s="43">
        <v>31945</v>
      </c>
      <c r="F1041" s="188" t="s">
        <v>231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834</v>
      </c>
      <c r="C1042" s="160" t="s">
        <v>46</v>
      </c>
      <c r="D1042" s="48" t="s">
        <v>227</v>
      </c>
      <c r="E1042" s="43">
        <v>59308.5</v>
      </c>
      <c r="F1042" s="188" t="s">
        <v>231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835</v>
      </c>
      <c r="C1043" s="160" t="s">
        <v>46</v>
      </c>
      <c r="D1043" s="48" t="s">
        <v>228</v>
      </c>
      <c r="E1043" s="43">
        <v>0</v>
      </c>
      <c r="F1043" s="188" t="s">
        <v>231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80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65</v>
      </c>
      <c r="B1066" s="211" t="s">
        <v>82</v>
      </c>
      <c r="C1066" s="66" t="s">
        <v>83</v>
      </c>
      <c r="D1066" s="67" t="s">
        <v>84</v>
      </c>
      <c r="E1066" s="69" t="s">
        <v>85</v>
      </c>
      <c r="F1066" s="187" t="s">
        <v>86</v>
      </c>
      <c r="G1066" s="71" t="s">
        <v>87</v>
      </c>
      <c r="H1066" s="72" t="s">
        <v>88</v>
      </c>
      <c r="I1066" s="72" t="s">
        <v>89</v>
      </c>
      <c r="J1066" s="74" t="s">
        <v>90</v>
      </c>
    </row>
    <row r="1067" spans="1:10" ht="30">
      <c r="A1067" s="83">
        <v>1</v>
      </c>
      <c r="B1067" s="206" t="s">
        <v>836</v>
      </c>
      <c r="C1067" s="220" t="s">
        <v>48</v>
      </c>
      <c r="D1067" s="48" t="s">
        <v>225</v>
      </c>
      <c r="E1067" s="43">
        <v>49000</v>
      </c>
      <c r="F1067" s="188" t="s">
        <v>225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837</v>
      </c>
      <c r="C1068" s="220" t="s">
        <v>48</v>
      </c>
      <c r="D1068" s="48" t="s">
        <v>160</v>
      </c>
      <c r="E1068" s="43">
        <v>14150</v>
      </c>
      <c r="F1068" s="188" t="s">
        <v>160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838</v>
      </c>
      <c r="C1069" s="220" t="s">
        <v>48</v>
      </c>
      <c r="D1069" s="48" t="s">
        <v>160</v>
      </c>
      <c r="E1069" s="43">
        <v>16000</v>
      </c>
      <c r="F1069" s="188" t="s">
        <v>160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839</v>
      </c>
      <c r="C1070" s="220" t="s">
        <v>48</v>
      </c>
      <c r="D1070" s="48" t="s">
        <v>160</v>
      </c>
      <c r="E1070" s="43">
        <v>18633.3</v>
      </c>
      <c r="F1070" s="188" t="s">
        <v>160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840</v>
      </c>
      <c r="C1071" s="220" t="s">
        <v>48</v>
      </c>
      <c r="D1071" s="48" t="s">
        <v>160</v>
      </c>
      <c r="E1071" s="43">
        <v>8550</v>
      </c>
      <c r="F1071" s="188" t="s">
        <v>160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841</v>
      </c>
      <c r="C1072" s="220" t="s">
        <v>48</v>
      </c>
      <c r="D1072" s="48" t="s">
        <v>160</v>
      </c>
      <c r="E1072" s="43">
        <v>14000</v>
      </c>
      <c r="F1072" s="188" t="s">
        <v>160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5">
        <f>A1072+1</f>
        <v>7</v>
      </c>
      <c r="B1073" s="206" t="s">
        <v>842</v>
      </c>
      <c r="C1073" s="220" t="s">
        <v>48</v>
      </c>
      <c r="D1073" s="48" t="s">
        <v>160</v>
      </c>
      <c r="E1073" s="43">
        <v>24800</v>
      </c>
      <c r="F1073" s="188" t="s">
        <v>160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80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65</v>
      </c>
      <c r="B1106" s="205" t="s">
        <v>82</v>
      </c>
      <c r="C1106" s="202" t="s">
        <v>83</v>
      </c>
      <c r="D1106" s="203" t="s">
        <v>84</v>
      </c>
      <c r="E1106" s="69" t="s">
        <v>85</v>
      </c>
      <c r="F1106" s="187" t="s">
        <v>86</v>
      </c>
      <c r="G1106" s="71" t="s">
        <v>87</v>
      </c>
      <c r="H1106" s="72" t="s">
        <v>88</v>
      </c>
      <c r="I1106" s="72" t="s">
        <v>89</v>
      </c>
      <c r="J1106" s="74" t="s">
        <v>90</v>
      </c>
    </row>
    <row r="1107" spans="1:10" ht="30">
      <c r="A1107" s="83">
        <v>1</v>
      </c>
      <c r="B1107" s="206" t="s">
        <v>843</v>
      </c>
      <c r="C1107" s="37" t="s">
        <v>844</v>
      </c>
      <c r="D1107" s="48" t="s">
        <v>98</v>
      </c>
      <c r="E1107" s="43">
        <v>88750</v>
      </c>
      <c r="F1107" s="188" t="s">
        <v>98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845</v>
      </c>
      <c r="C1108" s="37" t="s">
        <v>844</v>
      </c>
      <c r="D1108" s="48" t="s">
        <v>98</v>
      </c>
      <c r="E1108" s="43">
        <v>18000</v>
      </c>
      <c r="F1108" s="188" t="s">
        <v>98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846</v>
      </c>
      <c r="C1109" s="37" t="s">
        <v>844</v>
      </c>
      <c r="D1109" s="48" t="s">
        <v>98</v>
      </c>
      <c r="E1109" s="43">
        <v>48900</v>
      </c>
      <c r="F1109" s="188" t="s">
        <v>98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847</v>
      </c>
      <c r="C1110" s="37" t="s">
        <v>844</v>
      </c>
      <c r="D1110" s="48" t="s">
        <v>98</v>
      </c>
      <c r="E1110" s="43">
        <v>5150</v>
      </c>
      <c r="F1110" s="188" t="s">
        <v>98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848</v>
      </c>
      <c r="C1111" s="37" t="s">
        <v>844</v>
      </c>
      <c r="D1111" s="48" t="s">
        <v>98</v>
      </c>
      <c r="E1111" s="43">
        <v>6400</v>
      </c>
      <c r="F1111" s="188" t="s">
        <v>98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849</v>
      </c>
      <c r="C1112" s="37" t="s">
        <v>844</v>
      </c>
      <c r="D1112" s="48" t="s">
        <v>160</v>
      </c>
      <c r="E1112" s="43">
        <v>61500</v>
      </c>
      <c r="F1112" s="188" t="s">
        <v>160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850</v>
      </c>
      <c r="C1113" s="37" t="s">
        <v>844</v>
      </c>
      <c r="D1113" s="48" t="s">
        <v>98</v>
      </c>
      <c r="E1113" s="43">
        <v>48683.375</v>
      </c>
      <c r="F1113" s="188" t="s">
        <v>98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851</v>
      </c>
      <c r="C1114" s="37" t="s">
        <v>844</v>
      </c>
      <c r="D1114" s="48" t="s">
        <v>160</v>
      </c>
      <c r="E1114" s="43"/>
      <c r="F1114" s="48" t="s">
        <v>160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852</v>
      </c>
      <c r="C1115" s="37" t="s">
        <v>844</v>
      </c>
      <c r="D1115" s="48" t="s">
        <v>160</v>
      </c>
      <c r="E1115" s="43"/>
      <c r="F1115" s="48" t="s">
        <v>160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853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854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855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856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857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858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859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860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861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862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863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864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865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866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867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868</v>
      </c>
      <c r="C1131" s="37" t="s">
        <v>844</v>
      </c>
      <c r="D1131" s="204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869</v>
      </c>
      <c r="C1132" s="276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3" t="s">
        <v>870</v>
      </c>
      <c r="C1133" s="277" t="s">
        <v>844</v>
      </c>
      <c r="D1133" s="278" t="s">
        <v>160</v>
      </c>
      <c r="E1133" s="141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3" t="s">
        <v>871</v>
      </c>
      <c r="C1134" s="277" t="s">
        <v>844</v>
      </c>
      <c r="D1134" s="278" t="s">
        <v>160</v>
      </c>
      <c r="E1134" s="141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3" t="s">
        <v>872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3" t="s">
        <v>873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3" t="s">
        <v>874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3" t="s">
        <v>875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3" t="s">
        <v>876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3" t="s">
        <v>877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3" t="s">
        <v>878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3" t="s">
        <v>879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3" t="s">
        <v>880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3" t="s">
        <v>881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3" t="s">
        <v>882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3" t="s">
        <v>883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3" t="s">
        <v>884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3" t="s">
        <v>885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3" t="s">
        <v>886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3" t="s">
        <v>887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3" t="s">
        <v>888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3" t="s">
        <v>889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3" t="s">
        <v>890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3" t="s">
        <v>891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3" t="s">
        <v>892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3" t="s">
        <v>893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3" t="s">
        <v>894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3" t="s">
        <v>895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3" t="s">
        <v>896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3" t="s">
        <v>897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3" t="s">
        <v>898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3" t="s">
        <v>899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3" t="s">
        <v>900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3" t="s">
        <v>901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3" t="s">
        <v>902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3" t="s">
        <v>903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3" t="s">
        <v>904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3" t="s">
        <v>905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3" t="s">
        <v>906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3" t="s">
        <v>907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3" t="s">
        <v>908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3" t="s">
        <v>909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3" t="s">
        <v>910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3" t="s">
        <v>911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3" t="s">
        <v>912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3" t="s">
        <v>913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3" t="s">
        <v>914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3" t="s">
        <v>915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3" t="s">
        <v>916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3" t="s">
        <v>917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3" t="s">
        <v>918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3" t="s">
        <v>919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3" t="s">
        <v>920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3" t="s">
        <v>921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3" t="s">
        <v>922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3" t="s">
        <v>923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3" t="s">
        <v>924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3" t="s">
        <v>925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3" t="s">
        <v>926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3" t="s">
        <v>927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3" t="s">
        <v>928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3" t="s">
        <v>929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3" t="s">
        <v>930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3" t="s">
        <v>931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3" t="s">
        <v>932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3" t="s">
        <v>933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3" t="s">
        <v>934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3" t="s">
        <v>935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3" t="s">
        <v>936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3" t="s">
        <v>937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3" t="s">
        <v>938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3" t="s">
        <v>939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3" t="s">
        <v>940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3" t="s">
        <v>941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3" t="s">
        <v>942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3" t="s">
        <v>943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3" t="s">
        <v>944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3" t="s">
        <v>945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3" t="s">
        <v>946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3" t="s">
        <v>947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3" t="s">
        <v>948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3" t="s">
        <v>949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3" t="s">
        <v>950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3" t="s">
        <v>951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3" t="s">
        <v>952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3" t="s">
        <v>953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3" t="s">
        <v>954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3" t="s">
        <v>955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3" t="s">
        <v>956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3" t="s">
        <v>957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3" t="s">
        <v>958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3" t="s">
        <v>959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3" t="s">
        <v>960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3" t="s">
        <v>961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3" t="s">
        <v>962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3" t="s">
        <v>963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3" t="s">
        <v>964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3" t="s">
        <v>965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3" t="s">
        <v>966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3" t="s">
        <v>967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3" t="s">
        <v>968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3" t="s">
        <v>969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3" t="s">
        <v>970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3" t="s">
        <v>971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3" t="s">
        <v>972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3" t="s">
        <v>973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3" t="s">
        <v>974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3" t="s">
        <v>975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3" t="s">
        <v>976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3" t="s">
        <v>977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3" t="s">
        <v>978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3" t="s">
        <v>979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3" t="s">
        <v>980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3" t="s">
        <v>981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3" t="s">
        <v>982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3" t="s">
        <v>983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3" t="s">
        <v>984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3" t="s">
        <v>985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3" t="s">
        <v>986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3" t="s">
        <v>987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3" t="s">
        <v>988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3" t="s">
        <v>989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3" t="s">
        <v>990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3" t="s">
        <v>991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3" t="s">
        <v>992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3" t="s">
        <v>993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3" t="s">
        <v>994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3" t="s">
        <v>995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3" t="s">
        <v>996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3" t="s">
        <v>997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3" t="s">
        <v>998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3" t="s">
        <v>999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3" t="s">
        <v>1000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3" t="s">
        <v>1001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3" t="s">
        <v>1002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3" t="s">
        <v>1003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3" t="s">
        <v>1004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3" t="s">
        <v>1005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3" t="s">
        <v>1006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3" t="s">
        <v>1007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3" t="s">
        <v>1008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3" t="s">
        <v>1009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3" t="s">
        <v>1010</v>
      </c>
      <c r="C1273" s="277" t="s">
        <v>844</v>
      </c>
      <c r="D1273" s="278" t="s">
        <v>98</v>
      </c>
      <c r="E1273" s="141">
        <v>44533.333333333336</v>
      </c>
      <c r="F1273" s="279" t="s">
        <v>98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3" t="s">
        <v>1011</v>
      </c>
      <c r="C1274" s="277" t="s">
        <v>844</v>
      </c>
      <c r="D1274" s="278" t="s">
        <v>98</v>
      </c>
      <c r="E1274" s="141">
        <v>30900</v>
      </c>
      <c r="F1274" s="279" t="s">
        <v>98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3" t="s">
        <v>1012</v>
      </c>
      <c r="C1275" s="277" t="s">
        <v>844</v>
      </c>
      <c r="D1275" s="278" t="s">
        <v>1013</v>
      </c>
      <c r="E1275" s="141">
        <v>44500</v>
      </c>
      <c r="F1275" s="279" t="s">
        <v>98</v>
      </c>
      <c r="G1275" s="9">
        <f>IF(BD!$E1275="","",(E1275/(H1275*I1275)))</f>
        <v>44500</v>
      </c>
      <c r="H1275" s="280">
        <v>1</v>
      </c>
      <c r="I1275" s="280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3" t="s">
        <v>1014</v>
      </c>
      <c r="C1276" s="277" t="s">
        <v>844</v>
      </c>
      <c r="D1276" s="278" t="s">
        <v>98</v>
      </c>
      <c r="E1276" s="141">
        <v>22370</v>
      </c>
      <c r="F1276" s="279" t="s">
        <v>98</v>
      </c>
      <c r="G1276" s="9">
        <f>IF(BD!$E1276="","",(E1276/(H1276*I1276)))</f>
        <v>22370</v>
      </c>
      <c r="H1276" s="280">
        <v>1</v>
      </c>
      <c r="I1276" s="280">
        <v>1</v>
      </c>
      <c r="J1276" s="143"/>
    </row>
    <row r="1277" spans="1:10">
      <c r="A1277" s="83">
        <f t="shared" si="44"/>
        <v>171</v>
      </c>
      <c r="B1277" s="233" t="s">
        <v>1015</v>
      </c>
      <c r="C1277" s="277" t="s">
        <v>844</v>
      </c>
      <c r="D1277" s="278" t="s">
        <v>98</v>
      </c>
      <c r="E1277" s="141">
        <v>184100</v>
      </c>
      <c r="F1277" s="279" t="s">
        <v>98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3" t="s">
        <v>1016</v>
      </c>
      <c r="C1278" s="277" t="s">
        <v>844</v>
      </c>
      <c r="D1278" s="278" t="s">
        <v>98</v>
      </c>
      <c r="E1278" s="141">
        <v>6333.3374999999996</v>
      </c>
      <c r="F1278" s="279" t="s">
        <v>98</v>
      </c>
      <c r="G1278" s="9">
        <f>IF(BD!$E1278="","",(E1278/(H1278*I1278)))</f>
        <v>6333.3374999999996</v>
      </c>
      <c r="H1278" s="280">
        <v>1</v>
      </c>
      <c r="I1278" s="280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3" t="s">
        <v>1017</v>
      </c>
      <c r="C1279" s="277" t="s">
        <v>844</v>
      </c>
      <c r="D1279" s="278" t="s">
        <v>98</v>
      </c>
      <c r="E1279" s="141">
        <v>17266.599999999999</v>
      </c>
      <c r="F1279" s="279" t="s">
        <v>98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8" t="s">
        <v>1018</v>
      </c>
      <c r="C1280" s="277" t="s">
        <v>844</v>
      </c>
      <c r="D1280" s="278" t="s">
        <v>98</v>
      </c>
      <c r="E1280" s="141">
        <v>6796.7</v>
      </c>
      <c r="F1280" s="279" t="s">
        <v>98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3" t="s">
        <v>1019</v>
      </c>
      <c r="C1281" s="277" t="s">
        <v>844</v>
      </c>
      <c r="D1281" s="278" t="s">
        <v>98</v>
      </c>
      <c r="E1281" s="141">
        <v>182666.66666666666</v>
      </c>
      <c r="F1281" s="279" t="s">
        <v>98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8" t="s">
        <v>1020</v>
      </c>
      <c r="C1282" s="277" t="s">
        <v>844</v>
      </c>
      <c r="D1282" s="278" t="s">
        <v>1013</v>
      </c>
      <c r="E1282" s="141">
        <v>2500</v>
      </c>
      <c r="F1282" s="279" t="s">
        <v>98</v>
      </c>
      <c r="G1282" s="9">
        <f>IF(BD!$E1282="","",(E1282/(H1282*I1282)))</f>
        <v>2500</v>
      </c>
      <c r="H1282" s="280">
        <v>1</v>
      </c>
      <c r="I1282" s="280">
        <v>1</v>
      </c>
      <c r="J1282" s="143"/>
    </row>
    <row r="1283" spans="1:10" ht="30">
      <c r="A1283" s="83">
        <f t="shared" si="44"/>
        <v>177</v>
      </c>
      <c r="B1283" s="233" t="s">
        <v>1021</v>
      </c>
      <c r="C1283" s="277" t="s">
        <v>844</v>
      </c>
      <c r="D1283" s="278" t="s">
        <v>98</v>
      </c>
      <c r="E1283" s="141">
        <v>46996.6</v>
      </c>
      <c r="F1283" s="279" t="s">
        <v>98</v>
      </c>
      <c r="G1283" s="9">
        <f>IF(BD!$E1283="","",(E1283/(H1283*I1283)))</f>
        <v>46996.6</v>
      </c>
      <c r="H1283" s="280">
        <v>1</v>
      </c>
      <c r="I1283" s="280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3" t="s">
        <v>1021</v>
      </c>
      <c r="C1284" s="277" t="s">
        <v>844</v>
      </c>
      <c r="D1284" s="278" t="s">
        <v>98</v>
      </c>
      <c r="E1284" s="141">
        <v>48330</v>
      </c>
      <c r="F1284" s="279" t="s">
        <v>98</v>
      </c>
      <c r="G1284" s="9">
        <f>IF(BD!$E1284="","",(E1284/(H1284*I1284)))</f>
        <v>48330</v>
      </c>
      <c r="H1284" s="280">
        <v>1</v>
      </c>
      <c r="I1284" s="280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3" t="s">
        <v>1022</v>
      </c>
      <c r="C1285" s="277" t="s">
        <v>844</v>
      </c>
      <c r="D1285" s="278" t="s">
        <v>1023</v>
      </c>
      <c r="E1285" s="141">
        <v>10166.700000000001</v>
      </c>
      <c r="F1285" s="279" t="s">
        <v>1023</v>
      </c>
      <c r="G1285" s="9">
        <f>IF(BD!$E1285="","",(E1285/(H1285*I1285)))</f>
        <v>10166.700000000001</v>
      </c>
      <c r="H1285" s="280">
        <v>1</v>
      </c>
      <c r="I1285" s="280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3" t="s">
        <v>1024</v>
      </c>
      <c r="C1286" s="277" t="s">
        <v>844</v>
      </c>
      <c r="D1286" s="278" t="s">
        <v>98</v>
      </c>
      <c r="E1286" s="141">
        <v>104388.75</v>
      </c>
      <c r="F1286" s="279" t="s">
        <v>98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3" t="s">
        <v>1025</v>
      </c>
      <c r="C1287" s="277" t="s">
        <v>844</v>
      </c>
      <c r="D1287" s="278" t="s">
        <v>98</v>
      </c>
      <c r="E1287" s="141">
        <v>79760</v>
      </c>
      <c r="F1287" s="279" t="s">
        <v>98</v>
      </c>
      <c r="G1287" s="9">
        <f>IF(BD!$E1287="","",(E1287/(H1287*I1287)))</f>
        <v>79760</v>
      </c>
      <c r="H1287" s="280">
        <v>1</v>
      </c>
      <c r="I1287" s="280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3" t="s">
        <v>1026</v>
      </c>
      <c r="C1288" s="277" t="s">
        <v>844</v>
      </c>
      <c r="D1288" s="278" t="s">
        <v>192</v>
      </c>
      <c r="E1288" s="141">
        <v>62000</v>
      </c>
      <c r="F1288" s="279" t="s">
        <v>192</v>
      </c>
      <c r="G1288" s="9">
        <f>IF(BD!$E1288="","",(E1288/(H1288*I1288)))</f>
        <v>62000</v>
      </c>
      <c r="H1288" s="280">
        <v>1</v>
      </c>
      <c r="I1288" s="280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3" t="s">
        <v>1027</v>
      </c>
      <c r="C1289" s="277" t="s">
        <v>844</v>
      </c>
      <c r="D1289" s="278" t="s">
        <v>98</v>
      </c>
      <c r="E1289" s="141">
        <v>152500</v>
      </c>
      <c r="F1289" s="279" t="s">
        <v>98</v>
      </c>
      <c r="G1289" s="9">
        <f>IF(BD!$E1289="","",(E1289/(H1289*I1289)))</f>
        <v>152500</v>
      </c>
      <c r="H1289" s="280">
        <v>1</v>
      </c>
      <c r="I1289" s="280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3" t="s">
        <v>1028</v>
      </c>
      <c r="C1290" s="277" t="s">
        <v>844</v>
      </c>
      <c r="D1290" s="278" t="s">
        <v>98</v>
      </c>
      <c r="E1290" s="141">
        <v>432050</v>
      </c>
      <c r="F1290" s="279" t="s">
        <v>98</v>
      </c>
      <c r="G1290" s="9">
        <f>IF(BD!$E1290="","",(E1290/(H1290*I1290)))</f>
        <v>432050</v>
      </c>
      <c r="H1290" s="280">
        <v>1</v>
      </c>
      <c r="I1290" s="280">
        <v>1</v>
      </c>
      <c r="J1290" s="143" t="str">
        <f t="shared" si="46"/>
        <v>H_184</v>
      </c>
    </row>
    <row r="1291" spans="1:10">
      <c r="A1291" s="271"/>
      <c r="B1291" s="233"/>
      <c r="C1291" s="272"/>
      <c r="D1291" s="249"/>
      <c r="E1291" s="273"/>
      <c r="F1291" s="274"/>
      <c r="G1291" s="275"/>
      <c r="H1291" s="281"/>
      <c r="I1291" s="281"/>
      <c r="J1291" s="4"/>
    </row>
    <row r="1292" spans="1:10">
      <c r="A1292" s="271"/>
      <c r="B1292" s="233"/>
      <c r="C1292" s="272"/>
      <c r="D1292" s="249"/>
      <c r="E1292" s="273"/>
      <c r="F1292" s="274"/>
      <c r="G1292" s="275"/>
      <c r="H1292" s="281"/>
      <c r="I1292" s="281"/>
      <c r="J1292" s="4"/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 ht="15.75">
      <c r="A1322" s="79"/>
      <c r="B1322" s="80" t="s">
        <v>106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80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65</v>
      </c>
      <c r="B1327" s="133" t="s">
        <v>82</v>
      </c>
      <c r="C1327" s="119" t="s">
        <v>83</v>
      </c>
      <c r="D1327" s="103" t="s">
        <v>84</v>
      </c>
      <c r="E1327" s="69" t="s">
        <v>85</v>
      </c>
      <c r="F1327" s="187" t="s">
        <v>86</v>
      </c>
      <c r="G1327" s="71" t="s">
        <v>87</v>
      </c>
      <c r="H1327" s="72" t="s">
        <v>88</v>
      </c>
      <c r="I1327" s="72" t="s">
        <v>89</v>
      </c>
      <c r="J1327" s="82" t="s">
        <v>90</v>
      </c>
    </row>
    <row r="1328" spans="1:10">
      <c r="A1328" s="41">
        <v>1</v>
      </c>
      <c r="B1328" s="40" t="s">
        <v>1029</v>
      </c>
      <c r="C1328" s="37" t="s">
        <v>1030</v>
      </c>
      <c r="D1328" s="48" t="s">
        <v>98</v>
      </c>
      <c r="E1328" s="43">
        <v>343.33</v>
      </c>
      <c r="F1328" s="48" t="s">
        <v>98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1031</v>
      </c>
      <c r="C1329" s="37" t="s">
        <v>1030</v>
      </c>
      <c r="D1329" s="48" t="s">
        <v>98</v>
      </c>
      <c r="E1329" s="43">
        <v>343.33</v>
      </c>
      <c r="F1329" s="48" t="s">
        <v>98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1032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1033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1034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1035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1036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1037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1038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1039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1040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1041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1042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1043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1044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1045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1046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1047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1048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1049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1050</v>
      </c>
      <c r="C1348" s="37" t="s">
        <v>1030</v>
      </c>
      <c r="D1348" s="48" t="s">
        <v>98</v>
      </c>
      <c r="E1348" s="43">
        <v>308.33</v>
      </c>
      <c r="F1348" s="48" t="s">
        <v>98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1051</v>
      </c>
      <c r="C1349" s="37" t="s">
        <v>1030</v>
      </c>
      <c r="D1349" s="48" t="s">
        <v>1052</v>
      </c>
      <c r="E1349" s="43">
        <v>42631</v>
      </c>
      <c r="F1349" s="188" t="s">
        <v>98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1053</v>
      </c>
      <c r="C1350" s="37" t="s">
        <v>1030</v>
      </c>
      <c r="D1350" s="48" t="s">
        <v>1054</v>
      </c>
      <c r="E1350" s="43">
        <v>6081.3</v>
      </c>
      <c r="F1350" s="188" t="s">
        <v>1054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1055</v>
      </c>
      <c r="C1351" s="37" t="s">
        <v>1030</v>
      </c>
      <c r="D1351" s="48" t="s">
        <v>1056</v>
      </c>
      <c r="E1351" s="43">
        <v>19776</v>
      </c>
      <c r="F1351" s="188" t="s">
        <v>227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1057</v>
      </c>
      <c r="C1352" s="37" t="s">
        <v>1030</v>
      </c>
      <c r="D1352" s="48" t="s">
        <v>1054</v>
      </c>
      <c r="E1352" s="43">
        <v>16133.3</v>
      </c>
      <c r="F1352" s="188" t="s">
        <v>194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1058</v>
      </c>
      <c r="C1353" s="37" t="s">
        <v>1030</v>
      </c>
      <c r="D1353" s="48" t="s">
        <v>1059</v>
      </c>
      <c r="E1353" s="43">
        <v>17300</v>
      </c>
      <c r="F1353" s="188" t="s">
        <v>1059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1060</v>
      </c>
      <c r="C1354" s="37" t="s">
        <v>1030</v>
      </c>
      <c r="D1354" s="48" t="s">
        <v>1061</v>
      </c>
      <c r="E1354" s="43">
        <v>1583.1533333333334</v>
      </c>
      <c r="F1354" s="188" t="s">
        <v>1061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1062</v>
      </c>
      <c r="C1355" s="37" t="s">
        <v>1030</v>
      </c>
      <c r="D1355" s="48" t="s">
        <v>227</v>
      </c>
      <c r="E1355" s="43">
        <v>4180</v>
      </c>
      <c r="F1355" s="188" t="s">
        <v>227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1063</v>
      </c>
      <c r="C1356" s="37" t="s">
        <v>1030</v>
      </c>
      <c r="D1356" s="48" t="s">
        <v>98</v>
      </c>
      <c r="E1356" s="43">
        <v>9522.5084745762706</v>
      </c>
      <c r="F1356" s="188" t="s">
        <v>98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8" t="s">
        <v>1064</v>
      </c>
      <c r="C1357" s="37" t="s">
        <v>1030</v>
      </c>
      <c r="D1357" s="98" t="s">
        <v>349</v>
      </c>
      <c r="E1357" s="43"/>
      <c r="F1357" s="98" t="s">
        <v>349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8" t="s">
        <v>1065</v>
      </c>
      <c r="C1358" s="37" t="s">
        <v>1030</v>
      </c>
      <c r="D1358" s="98" t="s">
        <v>349</v>
      </c>
      <c r="E1358" s="43"/>
      <c r="F1358" s="98" t="s">
        <v>349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8" t="s">
        <v>1066</v>
      </c>
      <c r="C1359" s="37" t="s">
        <v>1030</v>
      </c>
      <c r="D1359" s="97" t="s">
        <v>228</v>
      </c>
      <c r="E1359" s="43">
        <v>0</v>
      </c>
      <c r="F1359" s="188" t="s">
        <v>228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1067</v>
      </c>
      <c r="C1360" s="37" t="s">
        <v>1030</v>
      </c>
      <c r="D1360" s="48" t="s">
        <v>98</v>
      </c>
      <c r="E1360" s="43">
        <v>4000</v>
      </c>
      <c r="F1360" s="188" t="s">
        <v>98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1068</v>
      </c>
      <c r="C1361" s="37" t="s">
        <v>1030</v>
      </c>
      <c r="D1361" s="48" t="s">
        <v>98</v>
      </c>
      <c r="E1361" s="43">
        <v>51000</v>
      </c>
      <c r="F1361" s="188" t="s">
        <v>98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1069</v>
      </c>
      <c r="C1362" s="37" t="s">
        <v>1030</v>
      </c>
      <c r="D1362" s="48" t="s">
        <v>98</v>
      </c>
      <c r="E1362" s="43">
        <v>1600</v>
      </c>
      <c r="F1362" s="188" t="s">
        <v>98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1070</v>
      </c>
      <c r="C1363" s="37" t="s">
        <v>1030</v>
      </c>
      <c r="D1363" s="48" t="s">
        <v>98</v>
      </c>
      <c r="E1363" s="43">
        <v>1233.6600000000001</v>
      </c>
      <c r="F1363" s="188" t="s">
        <v>98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1071</v>
      </c>
      <c r="C1364" s="37" t="s">
        <v>1030</v>
      </c>
      <c r="D1364" s="48" t="s">
        <v>98</v>
      </c>
      <c r="E1364" s="43">
        <v>500</v>
      </c>
      <c r="F1364" s="188" t="s">
        <v>98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1072</v>
      </c>
      <c r="C1365" s="37" t="s">
        <v>1030</v>
      </c>
      <c r="D1365" s="48" t="s">
        <v>98</v>
      </c>
      <c r="E1365" s="43">
        <v>5900</v>
      </c>
      <c r="F1365" s="188" t="s">
        <v>98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1073</v>
      </c>
      <c r="C1366" s="37" t="s">
        <v>1030</v>
      </c>
      <c r="D1366" s="48" t="s">
        <v>98</v>
      </c>
      <c r="E1366" s="43">
        <v>5900</v>
      </c>
      <c r="F1366" s="188" t="s">
        <v>98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1074</v>
      </c>
      <c r="C1367" s="37" t="s">
        <v>1030</v>
      </c>
      <c r="D1367" s="48" t="s">
        <v>98</v>
      </c>
      <c r="E1367" s="43">
        <v>288766.66666666669</v>
      </c>
      <c r="F1367" s="188" t="s">
        <v>98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1075</v>
      </c>
      <c r="C1368" s="37" t="s">
        <v>1030</v>
      </c>
      <c r="D1368" s="48" t="s">
        <v>1076</v>
      </c>
      <c r="E1368" s="43">
        <v>23233.4</v>
      </c>
      <c r="F1368" s="188" t="s">
        <v>1023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1077</v>
      </c>
      <c r="C1369" s="37" t="s">
        <v>1030</v>
      </c>
      <c r="D1369" s="48" t="s">
        <v>98</v>
      </c>
      <c r="E1369" s="43">
        <v>219.5</v>
      </c>
      <c r="F1369" s="188" t="s">
        <v>98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1078</v>
      </c>
      <c r="C1370" s="37" t="s">
        <v>1030</v>
      </c>
      <c r="D1370" s="48" t="s">
        <v>98</v>
      </c>
      <c r="E1370" s="43">
        <v>907</v>
      </c>
      <c r="F1370" s="188" t="s">
        <v>98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1079</v>
      </c>
      <c r="C1371" s="37" t="s">
        <v>1030</v>
      </c>
      <c r="D1371" s="48" t="s">
        <v>98</v>
      </c>
      <c r="E1371" s="43">
        <v>5333.34</v>
      </c>
      <c r="F1371" s="188" t="s">
        <v>98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1080</v>
      </c>
      <c r="C1372" s="37" t="s">
        <v>1030</v>
      </c>
      <c r="D1372" s="58" t="s">
        <v>225</v>
      </c>
      <c r="E1372" s="62">
        <v>867804</v>
      </c>
      <c r="F1372" s="191" t="s">
        <v>225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1081</v>
      </c>
      <c r="C1373" s="161" t="s">
        <v>1030</v>
      </c>
      <c r="D1373" s="298" t="s">
        <v>225</v>
      </c>
      <c r="E1373" s="62">
        <v>1097662</v>
      </c>
      <c r="F1373" s="191" t="s">
        <v>225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8" t="s">
        <v>1082</v>
      </c>
      <c r="C1374" s="161" t="s">
        <v>1030</v>
      </c>
      <c r="D1374" s="291" t="s">
        <v>98</v>
      </c>
      <c r="E1374" s="62"/>
      <c r="F1374" s="191" t="s">
        <v>98</v>
      </c>
      <c r="G1374" s="97"/>
      <c r="H1374" s="295">
        <v>1</v>
      </c>
      <c r="I1374" s="295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8" t="s">
        <v>1083</v>
      </c>
      <c r="C1375" s="161" t="s">
        <v>1030</v>
      </c>
      <c r="D1375" s="291" t="s">
        <v>98</v>
      </c>
      <c r="E1375" s="62"/>
      <c r="F1375" s="191" t="s">
        <v>98</v>
      </c>
      <c r="G1375" s="97"/>
      <c r="H1375" s="295">
        <v>1</v>
      </c>
      <c r="I1375" s="295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8" t="s">
        <v>1084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8" t="s">
        <v>1085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8" t="s">
        <v>1086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7" t="s">
        <v>1087</v>
      </c>
      <c r="C1379" s="37" t="s">
        <v>1030</v>
      </c>
      <c r="D1379" s="292" t="s">
        <v>98</v>
      </c>
      <c r="E1379" s="43"/>
      <c r="F1379" s="188" t="s">
        <v>98</v>
      </c>
      <c r="G1379" s="97"/>
      <c r="H1379" s="282">
        <v>1</v>
      </c>
      <c r="I1379" s="282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9" t="s">
        <v>1088</v>
      </c>
      <c r="C1380" s="220" t="s">
        <v>1030</v>
      </c>
      <c r="D1380" s="293" t="s">
        <v>98</v>
      </c>
      <c r="E1380" s="166"/>
      <c r="F1380" s="192" t="s">
        <v>98</v>
      </c>
      <c r="G1380" s="97"/>
      <c r="H1380" s="283">
        <v>1</v>
      </c>
      <c r="I1380" s="283">
        <v>1</v>
      </c>
      <c r="J1380" s="221" t="str">
        <f t="shared" si="49"/>
        <v>ICO053</v>
      </c>
    </row>
    <row r="1381" spans="1:10">
      <c r="A1381" s="90">
        <f t="shared" si="50"/>
        <v>54</v>
      </c>
      <c r="B1381" s="289" t="s">
        <v>1089</v>
      </c>
      <c r="C1381" s="220" t="s">
        <v>1030</v>
      </c>
      <c r="D1381" s="293" t="s">
        <v>98</v>
      </c>
      <c r="E1381" s="166"/>
      <c r="F1381" s="192" t="s">
        <v>98</v>
      </c>
      <c r="G1381" s="97"/>
      <c r="H1381" s="283">
        <v>1</v>
      </c>
      <c r="I1381" s="283">
        <v>1</v>
      </c>
      <c r="J1381" s="221" t="str">
        <f t="shared" si="49"/>
        <v>ICO054</v>
      </c>
    </row>
    <row r="1382" spans="1:10">
      <c r="A1382" s="90">
        <f t="shared" si="50"/>
        <v>55</v>
      </c>
      <c r="B1382" s="290" t="s">
        <v>1090</v>
      </c>
      <c r="C1382" s="222" t="s">
        <v>1030</v>
      </c>
      <c r="D1382" s="294" t="s">
        <v>98</v>
      </c>
      <c r="E1382" s="223"/>
      <c r="F1382" s="193" t="s">
        <v>98</v>
      </c>
      <c r="G1382" s="97"/>
      <c r="H1382" s="296">
        <v>1</v>
      </c>
      <c r="I1382" s="296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1091</v>
      </c>
      <c r="C1383" s="222" t="s">
        <v>1030</v>
      </c>
      <c r="D1383" s="10" t="s">
        <v>98</v>
      </c>
      <c r="E1383" s="223"/>
      <c r="F1383" s="193" t="s">
        <v>98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5">
        <f t="shared" si="50"/>
        <v>57</v>
      </c>
      <c r="B1384" s="111" t="s">
        <v>1092</v>
      </c>
      <c r="C1384" s="220" t="s">
        <v>1030</v>
      </c>
      <c r="D1384" s="10" t="s">
        <v>98</v>
      </c>
      <c r="E1384" s="166"/>
      <c r="F1384" s="193" t="s">
        <v>98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5">
        <f t="shared" si="50"/>
        <v>58</v>
      </c>
      <c r="B1385" s="111" t="s">
        <v>1093</v>
      </c>
      <c r="C1385" s="220" t="s">
        <v>1030</v>
      </c>
      <c r="D1385" s="10" t="s">
        <v>98</v>
      </c>
      <c r="E1385" s="166"/>
      <c r="F1385" s="193" t="s">
        <v>98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5">
        <f t="shared" si="50"/>
        <v>59</v>
      </c>
      <c r="B1386" s="111" t="s">
        <v>1094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5">
        <f t="shared" si="50"/>
        <v>60</v>
      </c>
      <c r="B1387" s="111" t="s">
        <v>1095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5">
        <f t="shared" si="50"/>
        <v>61</v>
      </c>
      <c r="B1388" s="111" t="s">
        <v>1096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5">
        <f t="shared" si="50"/>
        <v>62</v>
      </c>
      <c r="B1389" s="111" t="s">
        <v>1097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5">
        <f t="shared" si="50"/>
        <v>63</v>
      </c>
      <c r="B1390" s="111" t="s">
        <v>1098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5">
        <f t="shared" si="50"/>
        <v>64</v>
      </c>
      <c r="B1391" s="111" t="s">
        <v>1099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5">
        <f t="shared" si="50"/>
        <v>65</v>
      </c>
      <c r="B1392" s="111" t="s">
        <v>1100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5">
        <f t="shared" ref="A1393:A1415" si="52">A1392+1</f>
        <v>66</v>
      </c>
      <c r="B1393" s="111" t="s">
        <v>1101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5">
        <f t="shared" si="52"/>
        <v>67</v>
      </c>
      <c r="B1394" s="111" t="s">
        <v>1102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5">
        <f t="shared" si="52"/>
        <v>68</v>
      </c>
      <c r="B1395" s="111" t="s">
        <v>1103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5">
        <f t="shared" si="52"/>
        <v>69</v>
      </c>
      <c r="B1396" s="111" t="s">
        <v>1104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4">
        <f t="shared" si="52"/>
        <v>70</v>
      </c>
      <c r="B1397" s="286" t="s">
        <v>1105</v>
      </c>
      <c r="C1397" s="220" t="s">
        <v>1030</v>
      </c>
      <c r="D1397" s="249" t="s">
        <v>1052</v>
      </c>
      <c r="E1397" s="166">
        <v>74866.666666666672</v>
      </c>
      <c r="F1397" s="193" t="s">
        <v>1052</v>
      </c>
      <c r="G1397" s="275">
        <f>IF(BD!$E1369="","",(E1397/(H1397*I1397)))</f>
        <v>74866.666666666672</v>
      </c>
      <c r="H1397" s="250">
        <v>1</v>
      </c>
      <c r="I1397" s="250">
        <v>1</v>
      </c>
      <c r="J1397" s="88" t="str">
        <f t="shared" si="51"/>
        <v>ICO070</v>
      </c>
    </row>
    <row r="1398" spans="1:10">
      <c r="A1398" s="284">
        <f t="shared" si="52"/>
        <v>71</v>
      </c>
      <c r="B1398" s="286" t="s">
        <v>1106</v>
      </c>
      <c r="C1398" s="220" t="s">
        <v>1030</v>
      </c>
      <c r="D1398" s="249" t="s">
        <v>1107</v>
      </c>
      <c r="E1398" s="166">
        <v>74866.666666666672</v>
      </c>
      <c r="F1398" s="193" t="s">
        <v>1107</v>
      </c>
      <c r="G1398" s="275">
        <f>IF(BD!$E1370="","",(E1398/(H1398*I1398)))</f>
        <v>74866.666666666672</v>
      </c>
      <c r="H1398" s="250">
        <v>1</v>
      </c>
      <c r="I1398" s="250">
        <v>1</v>
      </c>
      <c r="J1398" s="88" t="str">
        <f t="shared" si="51"/>
        <v>ICO071</v>
      </c>
    </row>
    <row r="1399" spans="1:10">
      <c r="A1399" s="284">
        <f t="shared" si="52"/>
        <v>72</v>
      </c>
      <c r="B1399" s="233" t="s">
        <v>1108</v>
      </c>
      <c r="C1399" s="220" t="s">
        <v>1030</v>
      </c>
      <c r="D1399" s="249" t="s">
        <v>98</v>
      </c>
      <c r="E1399" s="166">
        <v>19073</v>
      </c>
      <c r="F1399" s="193" t="s">
        <v>98</v>
      </c>
      <c r="G1399" s="275">
        <f>IF(BD!$E1371="","",(E1399/(H1399*I1399)))</f>
        <v>19073</v>
      </c>
      <c r="H1399" s="250">
        <v>1</v>
      </c>
      <c r="I1399" s="250">
        <v>1</v>
      </c>
      <c r="J1399" s="88" t="str">
        <f t="shared" si="51"/>
        <v>ICO072</v>
      </c>
    </row>
    <row r="1400" spans="1:10" ht="30">
      <c r="A1400" s="284">
        <f t="shared" si="52"/>
        <v>73</v>
      </c>
      <c r="B1400" s="286" t="s">
        <v>1109</v>
      </c>
      <c r="C1400" s="220" t="s">
        <v>1030</v>
      </c>
      <c r="D1400" s="249" t="s">
        <v>98</v>
      </c>
      <c r="E1400" s="166">
        <v>866.66499999999996</v>
      </c>
      <c r="F1400" s="193" t="s">
        <v>98</v>
      </c>
      <c r="G1400" s="275">
        <f>IF(BD!$E1372="","",(E1400/(H1400*I1400)))</f>
        <v>866.66499999999996</v>
      </c>
      <c r="H1400" s="281">
        <v>1</v>
      </c>
      <c r="I1400" s="281">
        <v>1</v>
      </c>
      <c r="J1400" s="88" t="str">
        <f t="shared" si="51"/>
        <v>ICO073</v>
      </c>
    </row>
    <row r="1401" spans="1:10">
      <c r="A1401" s="284">
        <f t="shared" si="52"/>
        <v>74</v>
      </c>
      <c r="B1401" s="286" t="s">
        <v>1110</v>
      </c>
      <c r="C1401" s="220" t="s">
        <v>1030</v>
      </c>
      <c r="D1401" s="249" t="s">
        <v>1061</v>
      </c>
      <c r="E1401" s="166">
        <v>513.33285714285716</v>
      </c>
      <c r="F1401" s="193" t="s">
        <v>1061</v>
      </c>
      <c r="G1401" s="275">
        <f>IF(BD!$E1373="","",(E1401/(H1401*I1401)))</f>
        <v>513.33285714285716</v>
      </c>
      <c r="H1401" s="250">
        <v>1</v>
      </c>
      <c r="I1401" s="250">
        <v>1</v>
      </c>
      <c r="J1401" s="88" t="str">
        <f t="shared" si="51"/>
        <v>ICO074</v>
      </c>
    </row>
    <row r="1402" spans="1:10">
      <c r="A1402" s="284">
        <f t="shared" si="52"/>
        <v>75</v>
      </c>
      <c r="B1402" s="233" t="s">
        <v>1111</v>
      </c>
      <c r="C1402" s="220" t="s">
        <v>1030</v>
      </c>
      <c r="D1402" s="249" t="s">
        <v>98</v>
      </c>
      <c r="E1402" s="166">
        <v>19000</v>
      </c>
      <c r="F1402" s="193" t="s">
        <v>98</v>
      </c>
      <c r="G1402" s="275" t="str">
        <f>IF(BD!$E1374="","",(E1402/(H1402*I1402)))</f>
        <v/>
      </c>
      <c r="H1402" s="250">
        <v>1</v>
      </c>
      <c r="I1402" s="250">
        <v>1</v>
      </c>
      <c r="J1402" s="88" t="str">
        <f t="shared" si="51"/>
        <v>ICO075</v>
      </c>
    </row>
    <row r="1403" spans="1:10">
      <c r="A1403" s="284">
        <f t="shared" si="52"/>
        <v>76</v>
      </c>
      <c r="B1403" s="286" t="s">
        <v>1112</v>
      </c>
      <c r="C1403" s="220" t="s">
        <v>1030</v>
      </c>
      <c r="D1403" s="249" t="s">
        <v>98</v>
      </c>
      <c r="E1403" s="166">
        <v>3800</v>
      </c>
      <c r="F1403" s="193" t="s">
        <v>98</v>
      </c>
      <c r="G1403" s="275" t="str">
        <f>IF(BD!$E1375="","",(E1403/(H1403*I1403)))</f>
        <v/>
      </c>
      <c r="H1403" s="281">
        <v>1</v>
      </c>
      <c r="I1403" s="281">
        <v>1</v>
      </c>
      <c r="J1403" s="88" t="str">
        <f t="shared" si="51"/>
        <v>ICO076</v>
      </c>
    </row>
    <row r="1404" spans="1:10" ht="30">
      <c r="A1404" s="284">
        <f t="shared" si="52"/>
        <v>77</v>
      </c>
      <c r="B1404" s="286" t="s">
        <v>1113</v>
      </c>
      <c r="C1404" s="220" t="s">
        <v>1030</v>
      </c>
      <c r="D1404" s="249" t="s">
        <v>160</v>
      </c>
      <c r="E1404" s="166">
        <v>3200</v>
      </c>
      <c r="F1404" s="193" t="s">
        <v>160</v>
      </c>
      <c r="G1404" s="275" t="str">
        <f>IF(BD!$E1376="","",(E1404/(H1404*I1404)))</f>
        <v/>
      </c>
      <c r="H1404" s="281">
        <v>1</v>
      </c>
      <c r="I1404" s="281">
        <v>1</v>
      </c>
      <c r="J1404" s="88" t="str">
        <f t="shared" si="51"/>
        <v>ICO077</v>
      </c>
    </row>
    <row r="1405" spans="1:10">
      <c r="A1405" s="284">
        <f t="shared" si="52"/>
        <v>78</v>
      </c>
      <c r="B1405" s="288" t="s">
        <v>1114</v>
      </c>
      <c r="C1405" s="220" t="s">
        <v>1030</v>
      </c>
      <c r="D1405" s="249" t="s">
        <v>202</v>
      </c>
      <c r="E1405" s="166">
        <v>7200</v>
      </c>
      <c r="F1405" s="193" t="s">
        <v>1052</v>
      </c>
      <c r="G1405" s="275" t="str">
        <f>IF(BD!$E1377="","",(E1405/(H1405*I1405)))</f>
        <v/>
      </c>
      <c r="H1405" s="250">
        <v>1</v>
      </c>
      <c r="I1405" s="250">
        <v>1</v>
      </c>
      <c r="J1405" s="88" t="str">
        <f t="shared" si="51"/>
        <v>ICO078</v>
      </c>
    </row>
    <row r="1406" spans="1:10">
      <c r="A1406" s="297">
        <f t="shared" si="52"/>
        <v>79</v>
      </c>
      <c r="B1406" s="111" t="s">
        <v>1115</v>
      </c>
      <c r="C1406" s="222" t="s">
        <v>1030</v>
      </c>
      <c r="D1406" s="10" t="s">
        <v>349</v>
      </c>
      <c r="E1406" s="223"/>
      <c r="F1406" s="294" t="s">
        <v>349</v>
      </c>
      <c r="H1406" s="250">
        <v>1</v>
      </c>
      <c r="I1406" s="250">
        <v>1</v>
      </c>
      <c r="J1406" s="88" t="str">
        <f t="shared" si="51"/>
        <v>ICO079</v>
      </c>
    </row>
    <row r="1407" spans="1:10">
      <c r="A1407" s="285">
        <f t="shared" si="52"/>
        <v>80</v>
      </c>
      <c r="B1407" t="s">
        <v>1116</v>
      </c>
      <c r="C1407" s="220" t="s">
        <v>1030</v>
      </c>
      <c r="D1407" s="10" t="s">
        <v>349</v>
      </c>
      <c r="E1407" s="166"/>
      <c r="F1407" s="10" t="s">
        <v>349</v>
      </c>
      <c r="H1407" s="250">
        <v>1</v>
      </c>
      <c r="I1407" s="250">
        <v>1</v>
      </c>
      <c r="J1407" s="88" t="str">
        <f t="shared" si="51"/>
        <v>ICO080</v>
      </c>
    </row>
    <row r="1408" spans="1:10">
      <c r="A1408" s="285">
        <f t="shared" si="52"/>
        <v>81</v>
      </c>
      <c r="B1408" s="111" t="s">
        <v>1117</v>
      </c>
      <c r="C1408" s="220" t="s">
        <v>1030</v>
      </c>
      <c r="D1408" s="10" t="s">
        <v>349</v>
      </c>
      <c r="E1408" s="166"/>
      <c r="F1408" s="10" t="s">
        <v>349</v>
      </c>
      <c r="H1408" s="250">
        <v>1</v>
      </c>
      <c r="I1408" s="250">
        <v>1</v>
      </c>
      <c r="J1408" s="88" t="str">
        <f t="shared" si="51"/>
        <v>ICO081</v>
      </c>
    </row>
    <row r="1409" spans="1:10">
      <c r="A1409" s="285">
        <f t="shared" si="52"/>
        <v>82</v>
      </c>
      <c r="B1409" s="111" t="s">
        <v>1118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1"/>
        <v>ICO082</v>
      </c>
    </row>
    <row r="1410" spans="1:10">
      <c r="A1410" s="284">
        <f t="shared" si="52"/>
        <v>83</v>
      </c>
      <c r="B1410" s="154" t="s">
        <v>1119</v>
      </c>
      <c r="C1410" s="220" t="s">
        <v>1030</v>
      </c>
      <c r="D1410" s="249" t="s">
        <v>98</v>
      </c>
      <c r="E1410" s="166">
        <v>6013.33</v>
      </c>
      <c r="F1410" s="274" t="s">
        <v>98</v>
      </c>
      <c r="G1410" s="275" t="str">
        <f>IF(BD!$E1378="","",(E1410/(H1410*I1410)))</f>
        <v/>
      </c>
      <c r="H1410" s="250">
        <v>1</v>
      </c>
      <c r="I1410" s="250">
        <v>1</v>
      </c>
      <c r="J1410" s="88" t="str">
        <f t="shared" si="51"/>
        <v>ICO083</v>
      </c>
    </row>
    <row r="1411" spans="1:10">
      <c r="A1411" s="284">
        <f t="shared" si="52"/>
        <v>84</v>
      </c>
      <c r="B1411" s="233" t="s">
        <v>1120</v>
      </c>
      <c r="C1411" s="220" t="s">
        <v>1030</v>
      </c>
      <c r="D1411" s="249" t="s">
        <v>98</v>
      </c>
      <c r="E1411" s="166">
        <v>1101.5</v>
      </c>
      <c r="F1411" s="274" t="s">
        <v>98</v>
      </c>
      <c r="G1411" s="275" t="str">
        <f>IF(BD!$E1379="","",(E1411/(H1411*I1411)))</f>
        <v/>
      </c>
      <c r="H1411" s="250">
        <v>1</v>
      </c>
      <c r="I1411" s="250">
        <v>1</v>
      </c>
      <c r="J1411" s="88" t="str">
        <f t="shared" si="51"/>
        <v>ICO084</v>
      </c>
    </row>
    <row r="1412" spans="1:10">
      <c r="A1412" s="284">
        <f t="shared" si="52"/>
        <v>85</v>
      </c>
      <c r="B1412" s="233" t="s">
        <v>1121</v>
      </c>
      <c r="C1412" s="220" t="s">
        <v>1030</v>
      </c>
      <c r="D1412" s="249" t="s">
        <v>98</v>
      </c>
      <c r="E1412" s="166">
        <v>11100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1"/>
        <v>ICO085</v>
      </c>
    </row>
    <row r="1413" spans="1:10">
      <c r="A1413" s="285">
        <f t="shared" si="52"/>
        <v>86</v>
      </c>
      <c r="B1413" t="s">
        <v>1122</v>
      </c>
      <c r="C1413" s="220" t="s">
        <v>1030</v>
      </c>
      <c r="D1413" s="10" t="s">
        <v>349</v>
      </c>
      <c r="E1413" s="166"/>
      <c r="F1413" s="10" t="s">
        <v>349</v>
      </c>
      <c r="H1413" s="250">
        <v>1</v>
      </c>
      <c r="I1413" s="250">
        <v>1</v>
      </c>
      <c r="J1413" s="88" t="str">
        <f t="shared" si="51"/>
        <v>ICO086</v>
      </c>
    </row>
    <row r="1414" spans="1:10">
      <c r="A1414" s="285">
        <f t="shared" si="52"/>
        <v>87</v>
      </c>
      <c r="B1414" t="s">
        <v>1123</v>
      </c>
      <c r="C1414" s="220" t="s">
        <v>1030</v>
      </c>
      <c r="D1414" s="10" t="s">
        <v>349</v>
      </c>
      <c r="E1414" s="166"/>
      <c r="F1414" s="10" t="s">
        <v>349</v>
      </c>
      <c r="H1414" s="250">
        <v>1</v>
      </c>
      <c r="I1414" s="250">
        <v>1</v>
      </c>
      <c r="J1414" s="88" t="str">
        <f t="shared" si="51"/>
        <v>ICO087</v>
      </c>
    </row>
    <row r="1415" spans="1:10">
      <c r="A1415" s="297">
        <f t="shared" si="52"/>
        <v>88</v>
      </c>
      <c r="B1415" t="s">
        <v>1124</v>
      </c>
      <c r="C1415" s="222" t="s">
        <v>1030</v>
      </c>
      <c r="D1415" s="10" t="s">
        <v>349</v>
      </c>
      <c r="E1415" s="223"/>
      <c r="F1415" s="10" t="s">
        <v>349</v>
      </c>
      <c r="H1415" s="250">
        <v>1</v>
      </c>
      <c r="I1415" s="250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80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65</v>
      </c>
      <c r="B1427" s="68" t="s">
        <v>82</v>
      </c>
      <c r="C1427" s="119" t="s">
        <v>83</v>
      </c>
      <c r="D1427" s="135" t="s">
        <v>84</v>
      </c>
      <c r="E1427" s="59" t="s">
        <v>85</v>
      </c>
      <c r="F1427" s="195" t="s">
        <v>86</v>
      </c>
      <c r="G1427" s="60" t="s">
        <v>87</v>
      </c>
      <c r="H1427" s="61" t="s">
        <v>88</v>
      </c>
      <c r="I1427" s="61" t="s">
        <v>89</v>
      </c>
      <c r="J1427" s="64" t="s">
        <v>90</v>
      </c>
    </row>
    <row r="1428" spans="1:10">
      <c r="A1428" s="41">
        <v>1</v>
      </c>
      <c r="B1428" s="42" t="s">
        <v>1125</v>
      </c>
      <c r="C1428" s="220" t="s">
        <v>44</v>
      </c>
      <c r="D1428" s="236" t="s">
        <v>1126</v>
      </c>
      <c r="E1428" s="43">
        <v>35093.533333333333</v>
      </c>
      <c r="F1428" s="188" t="s">
        <v>1126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1127</v>
      </c>
      <c r="C1429" s="220" t="s">
        <v>44</v>
      </c>
      <c r="D1429" s="57" t="s">
        <v>98</v>
      </c>
      <c r="E1429" s="43">
        <v>3146.625</v>
      </c>
      <c r="F1429" s="188" t="s">
        <v>98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1128</v>
      </c>
      <c r="C1430" s="220" t="s">
        <v>44</v>
      </c>
      <c r="D1430" s="48" t="s">
        <v>98</v>
      </c>
      <c r="E1430" s="43">
        <v>8731.5333333333328</v>
      </c>
      <c r="F1430" s="188" t="s">
        <v>98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1129</v>
      </c>
      <c r="C1431" s="220" t="s">
        <v>44</v>
      </c>
      <c r="D1431" s="48" t="s">
        <v>98</v>
      </c>
      <c r="E1431" s="43">
        <v>5376.625</v>
      </c>
      <c r="F1431" s="188" t="s">
        <v>98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1130</v>
      </c>
      <c r="C1432" s="220" t="s">
        <v>44</v>
      </c>
      <c r="D1432" s="48" t="s">
        <v>98</v>
      </c>
      <c r="E1432" s="43">
        <v>7039.5</v>
      </c>
      <c r="F1432" s="188" t="s">
        <v>98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1131</v>
      </c>
      <c r="C1433" s="220" t="s">
        <v>44</v>
      </c>
      <c r="D1433" s="48" t="s">
        <v>98</v>
      </c>
      <c r="E1433" s="43">
        <v>13260</v>
      </c>
      <c r="F1433" s="188" t="s">
        <v>98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1132</v>
      </c>
      <c r="C1434" s="220" t="s">
        <v>44</v>
      </c>
      <c r="D1434" s="48" t="s">
        <v>98</v>
      </c>
      <c r="E1434" s="43">
        <v>5136.2</v>
      </c>
      <c r="F1434" s="188" t="s">
        <v>98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1133</v>
      </c>
      <c r="C1435" s="220" t="s">
        <v>44</v>
      </c>
      <c r="D1435" s="48" t="s">
        <v>98</v>
      </c>
      <c r="E1435" s="43">
        <v>5628.6</v>
      </c>
      <c r="F1435" s="188" t="s">
        <v>98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1134</v>
      </c>
      <c r="C1436" s="220" t="s">
        <v>44</v>
      </c>
      <c r="D1436" s="48" t="s">
        <v>98</v>
      </c>
      <c r="E1436" s="46">
        <v>7204.6</v>
      </c>
      <c r="F1436" s="188" t="s">
        <v>98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1135</v>
      </c>
      <c r="C1437" s="220" t="s">
        <v>44</v>
      </c>
      <c r="D1437" s="48" t="s">
        <v>98</v>
      </c>
      <c r="E1437" s="46">
        <v>12510</v>
      </c>
      <c r="F1437" s="188" t="s">
        <v>98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1136</v>
      </c>
      <c r="C1438" s="220" t="s">
        <v>44</v>
      </c>
      <c r="D1438" s="48" t="s">
        <v>98</v>
      </c>
      <c r="E1438" s="46">
        <v>8789</v>
      </c>
      <c r="F1438" s="188" t="s">
        <v>98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1137</v>
      </c>
      <c r="C1439" s="220" t="s">
        <v>44</v>
      </c>
      <c r="D1439" s="48" t="s">
        <v>98</v>
      </c>
      <c r="E1439" s="46">
        <v>20643.5</v>
      </c>
      <c r="F1439" s="188" t="s">
        <v>98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1138</v>
      </c>
      <c r="C1440" s="220" t="s">
        <v>44</v>
      </c>
      <c r="D1440" s="48" t="s">
        <v>98</v>
      </c>
      <c r="E1440" s="46">
        <v>2006</v>
      </c>
      <c r="F1440" s="188" t="s">
        <v>98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1139</v>
      </c>
      <c r="C1441" s="220" t="s">
        <v>44</v>
      </c>
      <c r="D1441" s="48" t="s">
        <v>98</v>
      </c>
      <c r="E1441" s="46">
        <v>36293.5</v>
      </c>
      <c r="F1441" s="188" t="s">
        <v>98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1140</v>
      </c>
      <c r="C1442" s="220" t="s">
        <v>44</v>
      </c>
      <c r="D1442" s="48" t="s">
        <v>98</v>
      </c>
      <c r="E1442" s="46">
        <v>9613.3333333333339</v>
      </c>
      <c r="F1442" s="188" t="s">
        <v>98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1141</v>
      </c>
      <c r="C1443" s="220" t="s">
        <v>44</v>
      </c>
      <c r="D1443" s="48" t="s">
        <v>98</v>
      </c>
      <c r="E1443" s="46">
        <v>76295</v>
      </c>
      <c r="F1443" s="188" t="s">
        <v>98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1142</v>
      </c>
      <c r="C1444" s="220" t="s">
        <v>44</v>
      </c>
      <c r="D1444" s="48" t="s">
        <v>98</v>
      </c>
      <c r="E1444" s="46">
        <v>3326.46</v>
      </c>
      <c r="F1444" s="188" t="s">
        <v>98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1143</v>
      </c>
      <c r="C1445" s="220" t="s">
        <v>44</v>
      </c>
      <c r="D1445" s="48" t="s">
        <v>98</v>
      </c>
      <c r="E1445" s="46">
        <v>61667.5</v>
      </c>
      <c r="F1445" s="188" t="s">
        <v>98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1144</v>
      </c>
      <c r="C1446" s="220" t="s">
        <v>44</v>
      </c>
      <c r="D1446" s="48" t="s">
        <v>98</v>
      </c>
      <c r="E1446" s="43">
        <v>720750</v>
      </c>
      <c r="F1446" s="188" t="s">
        <v>98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1145</v>
      </c>
      <c r="C1447" s="220" t="s">
        <v>44</v>
      </c>
      <c r="D1447" s="48" t="s">
        <v>1061</v>
      </c>
      <c r="E1447" s="43">
        <v>3215</v>
      </c>
      <c r="F1447" s="188" t="s">
        <v>1061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1146</v>
      </c>
      <c r="C1448" s="220" t="s">
        <v>44</v>
      </c>
      <c r="D1448" s="48" t="s">
        <v>1061</v>
      </c>
      <c r="E1448" s="43">
        <v>8300</v>
      </c>
      <c r="F1448" s="188" t="s">
        <v>1061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1147</v>
      </c>
      <c r="C1449" s="220" t="s">
        <v>44</v>
      </c>
      <c r="D1449" s="48" t="s">
        <v>1061</v>
      </c>
      <c r="E1449" s="43">
        <v>3276</v>
      </c>
      <c r="F1449" s="188" t="s">
        <v>1061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1148</v>
      </c>
      <c r="C1450" s="220" t="s">
        <v>44</v>
      </c>
      <c r="D1450" s="48" t="s">
        <v>98</v>
      </c>
      <c r="E1450" s="43">
        <v>34700</v>
      </c>
      <c r="F1450" s="188" t="s">
        <v>98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1149</v>
      </c>
      <c r="C1451" s="220" t="s">
        <v>44</v>
      </c>
      <c r="D1451" s="48" t="s">
        <v>98</v>
      </c>
      <c r="E1451" s="43">
        <v>16695</v>
      </c>
      <c r="F1451" s="188" t="s">
        <v>98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1150</v>
      </c>
      <c r="C1452" s="220" t="s">
        <v>44</v>
      </c>
      <c r="D1452" s="48" t="s">
        <v>98</v>
      </c>
      <c r="E1452" s="43">
        <v>20585</v>
      </c>
      <c r="F1452" s="188" t="s">
        <v>98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1151</v>
      </c>
      <c r="C1453" s="220" t="s">
        <v>44</v>
      </c>
      <c r="D1453" s="48" t="s">
        <v>98</v>
      </c>
      <c r="E1453" s="43">
        <v>2912.52</v>
      </c>
      <c r="F1453" s="188" t="s">
        <v>98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1152</v>
      </c>
      <c r="C1454" s="220" t="s">
        <v>44</v>
      </c>
      <c r="D1454" s="48" t="s">
        <v>98</v>
      </c>
      <c r="E1454" s="43">
        <v>18486</v>
      </c>
      <c r="F1454" s="188" t="s">
        <v>98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1153</v>
      </c>
      <c r="C1455" s="220" t="s">
        <v>44</v>
      </c>
      <c r="D1455" s="48" t="s">
        <v>98</v>
      </c>
      <c r="E1455" s="43">
        <v>18895</v>
      </c>
      <c r="F1455" s="188" t="s">
        <v>98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1154</v>
      </c>
      <c r="C1456" s="220" t="s">
        <v>44</v>
      </c>
      <c r="D1456" s="48" t="s">
        <v>98</v>
      </c>
      <c r="E1456" s="43">
        <v>35150</v>
      </c>
      <c r="F1456" s="188" t="s">
        <v>98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1155</v>
      </c>
      <c r="C1457" s="220" t="s">
        <v>44</v>
      </c>
      <c r="D1457" s="48" t="s">
        <v>1061</v>
      </c>
      <c r="E1457" s="43">
        <v>3145</v>
      </c>
      <c r="F1457" s="188" t="s">
        <v>231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1156</v>
      </c>
      <c r="C1458" s="220" t="s">
        <v>44</v>
      </c>
      <c r="D1458" s="48" t="s">
        <v>98</v>
      </c>
      <c r="E1458" s="43">
        <v>8470</v>
      </c>
      <c r="F1458" s="188" t="s">
        <v>98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1157</v>
      </c>
      <c r="C1459" s="220" t="s">
        <v>44</v>
      </c>
      <c r="D1459" s="48" t="s">
        <v>98</v>
      </c>
      <c r="E1459" s="43">
        <v>2480</v>
      </c>
      <c r="F1459" s="188" t="s">
        <v>98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1158</v>
      </c>
      <c r="C1460" s="220" t="s">
        <v>44</v>
      </c>
      <c r="D1460" s="48" t="s">
        <v>98</v>
      </c>
      <c r="E1460" s="43">
        <v>100620</v>
      </c>
      <c r="F1460" s="188" t="s">
        <v>98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1159</v>
      </c>
      <c r="C1461" s="220" t="s">
        <v>44</v>
      </c>
      <c r="D1461" s="48" t="s">
        <v>98</v>
      </c>
      <c r="E1461" s="43">
        <v>50245</v>
      </c>
      <c r="F1461" s="188" t="s">
        <v>98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1160</v>
      </c>
      <c r="C1462" s="220" t="s">
        <v>44</v>
      </c>
      <c r="D1462" s="48" t="s">
        <v>202</v>
      </c>
      <c r="E1462" s="43">
        <v>98275.666666666672</v>
      </c>
      <c r="F1462" s="188" t="s">
        <v>202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1161</v>
      </c>
      <c r="C1463" s="220" t="s">
        <v>44</v>
      </c>
      <c r="D1463" s="48" t="s">
        <v>98</v>
      </c>
      <c r="E1463" s="43">
        <v>33709</v>
      </c>
      <c r="F1463" s="188" t="s">
        <v>98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1162</v>
      </c>
      <c r="C1464" s="220" t="s">
        <v>44</v>
      </c>
      <c r="D1464" s="48" t="s">
        <v>98</v>
      </c>
      <c r="E1464" s="43">
        <v>103948</v>
      </c>
      <c r="F1464" s="188" t="s">
        <v>98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1163</v>
      </c>
      <c r="C1465" s="220" t="s">
        <v>44</v>
      </c>
      <c r="D1465" s="48" t="s">
        <v>98</v>
      </c>
      <c r="E1465" s="43">
        <v>32370</v>
      </c>
      <c r="F1465" s="188" t="s">
        <v>98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1164</v>
      </c>
      <c r="C1466" s="220" t="s">
        <v>44</v>
      </c>
      <c r="D1466" s="48" t="s">
        <v>98</v>
      </c>
      <c r="E1466" s="43">
        <v>110153</v>
      </c>
      <c r="F1466" s="188" t="s">
        <v>98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1165</v>
      </c>
      <c r="C1467" s="220" t="s">
        <v>44</v>
      </c>
      <c r="D1467" s="48" t="s">
        <v>98</v>
      </c>
      <c r="E1467" s="43">
        <v>49830</v>
      </c>
      <c r="F1467" s="188" t="s">
        <v>98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1166</v>
      </c>
      <c r="C1468" s="220" t="s">
        <v>44</v>
      </c>
      <c r="D1468" s="48" t="s">
        <v>98</v>
      </c>
      <c r="E1468" s="43">
        <v>45846.5</v>
      </c>
      <c r="F1468" s="188" t="s">
        <v>98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1167</v>
      </c>
      <c r="C1469" s="220" t="s">
        <v>44</v>
      </c>
      <c r="D1469" s="48" t="s">
        <v>98</v>
      </c>
      <c r="E1469" s="43">
        <v>12830</v>
      </c>
      <c r="F1469" s="188" t="s">
        <v>98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1168</v>
      </c>
      <c r="C1470" s="220" t="s">
        <v>44</v>
      </c>
      <c r="D1470" s="48" t="s">
        <v>98</v>
      </c>
      <c r="E1470" s="43">
        <v>38888.571428571428</v>
      </c>
      <c r="F1470" s="188" t="s">
        <v>98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1169</v>
      </c>
      <c r="C1471" s="220" t="s">
        <v>44</v>
      </c>
      <c r="D1471" s="48" t="s">
        <v>225</v>
      </c>
      <c r="E1471" s="43">
        <v>90973.666666666672</v>
      </c>
      <c r="F1471" s="188" t="s">
        <v>231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1170</v>
      </c>
      <c r="C1472" s="220" t="s">
        <v>44</v>
      </c>
      <c r="D1472" s="48" t="s">
        <v>98</v>
      </c>
      <c r="E1472" s="43">
        <v>22475</v>
      </c>
      <c r="F1472" s="188" t="s">
        <v>98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1171</v>
      </c>
      <c r="C1473" s="220" t="s">
        <v>44</v>
      </c>
      <c r="D1473" s="48" t="s">
        <v>98</v>
      </c>
      <c r="E1473" s="43">
        <v>95966.7</v>
      </c>
      <c r="F1473" s="188" t="s">
        <v>98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1172</v>
      </c>
      <c r="C1474" s="220" t="s">
        <v>44</v>
      </c>
      <c r="D1474" s="48" t="s">
        <v>98</v>
      </c>
      <c r="E1474" s="43">
        <v>22654</v>
      </c>
      <c r="F1474" s="188" t="s">
        <v>98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1173</v>
      </c>
      <c r="C1475" s="220" t="s">
        <v>44</v>
      </c>
      <c r="D1475" s="48" t="s">
        <v>98</v>
      </c>
      <c r="E1475" s="43">
        <v>73154</v>
      </c>
      <c r="F1475" s="188" t="s">
        <v>98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1174</v>
      </c>
      <c r="C1476" s="220" t="s">
        <v>44</v>
      </c>
      <c r="D1476" s="48" t="s">
        <v>98</v>
      </c>
      <c r="E1476" s="43">
        <v>22053.571428571428</v>
      </c>
      <c r="F1476" s="188" t="s">
        <v>98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1175</v>
      </c>
      <c r="C1477" s="220" t="s">
        <v>44</v>
      </c>
      <c r="D1477" s="48" t="s">
        <v>98</v>
      </c>
      <c r="E1477" s="43">
        <v>132350</v>
      </c>
      <c r="F1477" s="188" t="s">
        <v>98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1176</v>
      </c>
      <c r="C1478" s="220" t="s">
        <v>44</v>
      </c>
      <c r="D1478" s="48" t="s">
        <v>98</v>
      </c>
      <c r="E1478" s="43">
        <v>22518.5</v>
      </c>
      <c r="F1478" s="188" t="s">
        <v>98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1177</v>
      </c>
      <c r="C1479" s="220" t="s">
        <v>44</v>
      </c>
      <c r="D1479" s="48" t="s">
        <v>98</v>
      </c>
      <c r="E1479" s="43">
        <v>2242.6</v>
      </c>
      <c r="F1479" s="188" t="s">
        <v>98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1178</v>
      </c>
      <c r="C1480" s="220" t="s">
        <v>44</v>
      </c>
      <c r="D1480" s="48" t="s">
        <v>98</v>
      </c>
      <c r="E1480" s="43">
        <v>1875.65</v>
      </c>
      <c r="F1480" s="188" t="s">
        <v>98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1179</v>
      </c>
      <c r="C1481" s="220" t="s">
        <v>44</v>
      </c>
      <c r="D1481" s="48" t="s">
        <v>194</v>
      </c>
      <c r="E1481" s="43">
        <v>3130</v>
      </c>
      <c r="F1481" s="188" t="s">
        <v>194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1180</v>
      </c>
      <c r="C1482" s="220" t="s">
        <v>44</v>
      </c>
      <c r="D1482" s="48" t="s">
        <v>194</v>
      </c>
      <c r="E1482" s="43">
        <v>5010</v>
      </c>
      <c r="F1482" s="188" t="s">
        <v>194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1181</v>
      </c>
      <c r="C1483" s="220" t="s">
        <v>44</v>
      </c>
      <c r="D1483" s="48" t="s">
        <v>98</v>
      </c>
      <c r="E1483" s="43">
        <v>37950</v>
      </c>
      <c r="F1483" s="188" t="s">
        <v>98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1182</v>
      </c>
      <c r="C1484" s="220" t="s">
        <v>44</v>
      </c>
      <c r="D1484" s="48" t="s">
        <v>1183</v>
      </c>
      <c r="E1484" s="43">
        <v>17375</v>
      </c>
      <c r="F1484" s="188" t="s">
        <v>1183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1184</v>
      </c>
      <c r="C1485" s="220" t="s">
        <v>44</v>
      </c>
      <c r="D1485" s="48" t="s">
        <v>227</v>
      </c>
      <c r="E1485" s="43">
        <v>107770</v>
      </c>
      <c r="F1485" s="188" t="s">
        <v>227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1185</v>
      </c>
      <c r="C1486" s="220" t="s">
        <v>44</v>
      </c>
      <c r="D1486" s="48" t="s">
        <v>98</v>
      </c>
      <c r="E1486" s="43">
        <v>2670.7666666666669</v>
      </c>
      <c r="F1486" s="188" t="s">
        <v>98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1186</v>
      </c>
      <c r="C1487" s="220" t="s">
        <v>44</v>
      </c>
      <c r="D1487" s="48" t="s">
        <v>194</v>
      </c>
      <c r="E1487" s="43">
        <v>21800</v>
      </c>
      <c r="F1487" s="188" t="s">
        <v>194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1187</v>
      </c>
      <c r="C1488" s="220" t="s">
        <v>44</v>
      </c>
      <c r="D1488" s="48" t="s">
        <v>1061</v>
      </c>
      <c r="E1488" s="43">
        <v>9196.3666666666668</v>
      </c>
      <c r="F1488" s="188" t="s">
        <v>231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1188</v>
      </c>
      <c r="C1489" s="220" t="s">
        <v>44</v>
      </c>
      <c r="D1489" s="48" t="s">
        <v>1061</v>
      </c>
      <c r="E1489" s="43">
        <v>9275</v>
      </c>
      <c r="F1489" s="188" t="s">
        <v>1061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1189</v>
      </c>
      <c r="C1490" s="220" t="s">
        <v>44</v>
      </c>
      <c r="D1490" s="48" t="s">
        <v>98</v>
      </c>
      <c r="E1490" s="43">
        <v>46106.7</v>
      </c>
      <c r="F1490" s="188" t="s">
        <v>98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1190</v>
      </c>
      <c r="C1491" s="220" t="s">
        <v>44</v>
      </c>
      <c r="D1491" s="48" t="s">
        <v>227</v>
      </c>
      <c r="E1491" s="43">
        <v>38155</v>
      </c>
      <c r="F1491" s="188" t="s">
        <v>227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1191</v>
      </c>
      <c r="C1492" s="220" t="s">
        <v>44</v>
      </c>
      <c r="D1492" s="48" t="s">
        <v>1061</v>
      </c>
      <c r="E1492" s="43">
        <v>189.5</v>
      </c>
      <c r="F1492" s="188" t="s">
        <v>1061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1192</v>
      </c>
      <c r="C1493" s="220" t="s">
        <v>44</v>
      </c>
      <c r="D1493" s="48" t="s">
        <v>98</v>
      </c>
      <c r="E1493" s="43">
        <v>13585</v>
      </c>
      <c r="F1493" s="188" t="s">
        <v>98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1193</v>
      </c>
      <c r="C1494" s="220" t="s">
        <v>44</v>
      </c>
      <c r="D1494" s="48" t="s">
        <v>1194</v>
      </c>
      <c r="E1494" s="43">
        <v>5850</v>
      </c>
      <c r="F1494" s="188" t="s">
        <v>1194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1195</v>
      </c>
      <c r="C1495" s="220" t="s">
        <v>44</v>
      </c>
      <c r="D1495" s="48" t="s">
        <v>98</v>
      </c>
      <c r="E1495" s="43">
        <v>25650</v>
      </c>
      <c r="F1495" s="188" t="s">
        <v>98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1196</v>
      </c>
      <c r="C1496" s="220" t="s">
        <v>44</v>
      </c>
      <c r="D1496" s="48" t="s">
        <v>98</v>
      </c>
      <c r="E1496" s="43">
        <v>2760</v>
      </c>
      <c r="F1496" s="188" t="s">
        <v>98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1197</v>
      </c>
      <c r="C1497" s="220" t="s">
        <v>44</v>
      </c>
      <c r="D1497" s="48" t="s">
        <v>98</v>
      </c>
      <c r="E1497" s="43">
        <v>109000</v>
      </c>
      <c r="F1497" s="188" t="s">
        <v>98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1198</v>
      </c>
      <c r="C1498" s="220" t="s">
        <v>44</v>
      </c>
      <c r="D1498" s="48" t="s">
        <v>98</v>
      </c>
      <c r="E1498" s="43">
        <v>758.33233532934105</v>
      </c>
      <c r="F1498" s="188" t="s">
        <v>98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1199</v>
      </c>
      <c r="C1499" s="220" t="s">
        <v>44</v>
      </c>
      <c r="D1499" s="48" t="s">
        <v>98</v>
      </c>
      <c r="E1499" s="43">
        <v>2233.3000000000002</v>
      </c>
      <c r="F1499" s="188" t="s">
        <v>98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1200</v>
      </c>
      <c r="C1500" s="220" t="s">
        <v>44</v>
      </c>
      <c r="D1500" s="48" t="s">
        <v>98</v>
      </c>
      <c r="E1500" s="43">
        <v>17680</v>
      </c>
      <c r="F1500" s="188" t="s">
        <v>98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1201</v>
      </c>
      <c r="C1501" s="220" t="s">
        <v>44</v>
      </c>
      <c r="D1501" s="48" t="s">
        <v>98</v>
      </c>
      <c r="E1501" s="43">
        <v>16710</v>
      </c>
      <c r="F1501" s="188" t="s">
        <v>98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1202</v>
      </c>
      <c r="C1502" s="220" t="s">
        <v>44</v>
      </c>
      <c r="D1502" s="48" t="s">
        <v>98</v>
      </c>
      <c r="E1502" s="43">
        <v>4120</v>
      </c>
      <c r="F1502" s="188" t="s">
        <v>98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1203</v>
      </c>
      <c r="C1503" s="220" t="s">
        <v>44</v>
      </c>
      <c r="D1503" s="48" t="s">
        <v>202</v>
      </c>
      <c r="E1503" s="43">
        <v>45500</v>
      </c>
      <c r="F1503" s="188" t="s">
        <v>202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1204</v>
      </c>
      <c r="C1504" s="220" t="s">
        <v>44</v>
      </c>
      <c r="D1504" s="48" t="s">
        <v>202</v>
      </c>
      <c r="E1504" s="43">
        <v>44156.666666666664</v>
      </c>
      <c r="F1504" s="188" t="s">
        <v>202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1205</v>
      </c>
      <c r="C1505" s="220" t="s">
        <v>44</v>
      </c>
      <c r="D1505" s="48" t="s">
        <v>202</v>
      </c>
      <c r="E1505" s="43">
        <v>43333.333333333336</v>
      </c>
      <c r="F1505" s="188" t="s">
        <v>202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1206</v>
      </c>
      <c r="C1506" s="220" t="s">
        <v>44</v>
      </c>
      <c r="D1506" s="48" t="s">
        <v>98</v>
      </c>
      <c r="E1506" s="43">
        <v>2860</v>
      </c>
      <c r="F1506" s="188" t="s">
        <v>98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1207</v>
      </c>
      <c r="C1507" s="220" t="s">
        <v>44</v>
      </c>
      <c r="D1507" s="48" t="s">
        <v>98</v>
      </c>
      <c r="E1507" s="43">
        <v>212420</v>
      </c>
      <c r="F1507" s="188" t="s">
        <v>98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1208</v>
      </c>
      <c r="C1508" s="220" t="s">
        <v>44</v>
      </c>
      <c r="D1508" s="86" t="s">
        <v>98</v>
      </c>
      <c r="E1508" s="166">
        <v>245960</v>
      </c>
      <c r="F1508" s="192" t="s">
        <v>98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1209</v>
      </c>
      <c r="C1509" s="220" t="s">
        <v>44</v>
      </c>
      <c r="D1509" s="48" t="s">
        <v>98</v>
      </c>
      <c r="E1509" s="43">
        <v>1270000</v>
      </c>
      <c r="F1509" s="188" t="s">
        <v>98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1210</v>
      </c>
      <c r="C1510" s="37" t="s">
        <v>1030</v>
      </c>
      <c r="D1510" s="48" t="s">
        <v>1061</v>
      </c>
      <c r="E1510" s="43">
        <v>1583.1533333333334</v>
      </c>
      <c r="F1510" s="188" t="s">
        <v>1061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80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65</v>
      </c>
      <c r="B1521" s="139" t="s">
        <v>82</v>
      </c>
      <c r="C1521" s="102" t="s">
        <v>83</v>
      </c>
      <c r="D1521" s="103" t="s">
        <v>84</v>
      </c>
      <c r="E1521" s="91" t="s">
        <v>85</v>
      </c>
      <c r="F1521" s="196" t="s">
        <v>86</v>
      </c>
      <c r="G1521" s="104" t="s">
        <v>87</v>
      </c>
      <c r="H1521" s="105" t="s">
        <v>88</v>
      </c>
      <c r="I1521" s="105" t="s">
        <v>89</v>
      </c>
      <c r="J1521" s="106" t="s">
        <v>90</v>
      </c>
    </row>
    <row r="1522" spans="1:10">
      <c r="A1522" s="83">
        <v>1</v>
      </c>
      <c r="B1522" s="101" t="s">
        <v>1211</v>
      </c>
      <c r="C1522" s="100" t="s">
        <v>1212</v>
      </c>
      <c r="D1522" s="96" t="s">
        <v>92</v>
      </c>
      <c r="E1522" s="94"/>
      <c r="F1522" s="197" t="s">
        <v>92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1213</v>
      </c>
      <c r="C1523" s="100" t="s">
        <v>1212</v>
      </c>
      <c r="D1523" s="93" t="s">
        <v>92</v>
      </c>
      <c r="E1523" s="94"/>
      <c r="F1523" s="198" t="s">
        <v>92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1214</v>
      </c>
      <c r="C1524" s="100" t="s">
        <v>1212</v>
      </c>
      <c r="D1524" s="93" t="s">
        <v>1215</v>
      </c>
      <c r="E1524" s="94"/>
      <c r="F1524" s="198" t="s">
        <v>1215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1216</v>
      </c>
      <c r="C1525" s="100" t="s">
        <v>1212</v>
      </c>
      <c r="D1525" s="96" t="s">
        <v>92</v>
      </c>
      <c r="E1525" s="94"/>
      <c r="F1525" s="197" t="s">
        <v>92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1217</v>
      </c>
      <c r="C1526" s="100" t="s">
        <v>1212</v>
      </c>
      <c r="D1526" s="93" t="s">
        <v>92</v>
      </c>
      <c r="E1526" s="94"/>
      <c r="F1526" s="198" t="s">
        <v>92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1218</v>
      </c>
      <c r="C1527" s="100" t="s">
        <v>1212</v>
      </c>
      <c r="D1527" s="93" t="s">
        <v>92</v>
      </c>
      <c r="E1527" s="94"/>
      <c r="F1527" s="198" t="s">
        <v>92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1219</v>
      </c>
      <c r="C1528" s="100" t="s">
        <v>1212</v>
      </c>
      <c r="D1528" s="96" t="s">
        <v>92</v>
      </c>
      <c r="E1528" s="94"/>
      <c r="F1528" s="197" t="s">
        <v>92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1220</v>
      </c>
      <c r="C1529" s="100" t="s">
        <v>1212</v>
      </c>
      <c r="D1529" s="96" t="s">
        <v>93</v>
      </c>
      <c r="E1529" s="94"/>
      <c r="F1529" s="197" t="s">
        <v>93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1221</v>
      </c>
      <c r="C1530" s="100" t="s">
        <v>1212</v>
      </c>
      <c r="D1530" s="93" t="s">
        <v>1222</v>
      </c>
      <c r="E1530" s="94"/>
      <c r="F1530" s="198" t="s">
        <v>1222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1223</v>
      </c>
      <c r="C1531" s="100" t="s">
        <v>1212</v>
      </c>
      <c r="D1531" s="96" t="s">
        <v>1215</v>
      </c>
      <c r="E1531" s="94"/>
      <c r="F1531" s="197" t="s">
        <v>1215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1224</v>
      </c>
      <c r="C1532" s="100" t="s">
        <v>1212</v>
      </c>
      <c r="D1532" s="96" t="s">
        <v>92</v>
      </c>
      <c r="E1532" s="94"/>
      <c r="F1532" s="197" t="s">
        <v>92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1225</v>
      </c>
      <c r="C1533" s="100" t="s">
        <v>1212</v>
      </c>
      <c r="D1533" s="93" t="s">
        <v>1215</v>
      </c>
      <c r="E1533" s="94"/>
      <c r="F1533" s="198" t="s">
        <v>1215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1226</v>
      </c>
      <c r="C1534" s="100" t="s">
        <v>1212</v>
      </c>
      <c r="D1534" s="96" t="s">
        <v>93</v>
      </c>
      <c r="E1534" s="94"/>
      <c r="F1534" s="197" t="s">
        <v>93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1227</v>
      </c>
      <c r="C1535" s="100" t="s">
        <v>1212</v>
      </c>
      <c r="D1535" s="96" t="s">
        <v>92</v>
      </c>
      <c r="E1535" s="94"/>
      <c r="F1535" s="197" t="s">
        <v>92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1228</v>
      </c>
      <c r="C1536" s="100" t="s">
        <v>1212</v>
      </c>
      <c r="D1536" s="93" t="s">
        <v>92</v>
      </c>
      <c r="E1536" s="94"/>
      <c r="F1536" s="198" t="s">
        <v>92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1229</v>
      </c>
      <c r="C1537" s="100" t="s">
        <v>1212</v>
      </c>
      <c r="D1537" s="93" t="s">
        <v>92</v>
      </c>
      <c r="E1537" s="94"/>
      <c r="F1537" s="198" t="s">
        <v>92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1230</v>
      </c>
      <c r="C1538" s="100" t="s">
        <v>1212</v>
      </c>
      <c r="D1538" s="93" t="s">
        <v>1222</v>
      </c>
      <c r="E1538" s="94"/>
      <c r="F1538" s="198" t="s">
        <v>1222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1231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1232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1233</v>
      </c>
      <c r="C1541" s="100" t="s">
        <v>1212</v>
      </c>
      <c r="D1541" s="93" t="s">
        <v>1023</v>
      </c>
      <c r="E1541" s="94"/>
      <c r="F1541" s="198" t="s">
        <v>1023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1234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1235</v>
      </c>
      <c r="C1543" s="100" t="s">
        <v>1212</v>
      </c>
      <c r="D1543" s="93" t="s">
        <v>93</v>
      </c>
      <c r="E1543" s="94"/>
      <c r="F1543" s="198" t="s">
        <v>93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1236</v>
      </c>
      <c r="C1544" s="100" t="s">
        <v>1212</v>
      </c>
      <c r="D1544" s="93" t="s">
        <v>1023</v>
      </c>
      <c r="E1544" s="94"/>
      <c r="F1544" s="198" t="s">
        <v>1023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1237</v>
      </c>
      <c r="C1545" s="100" t="s">
        <v>1212</v>
      </c>
      <c r="D1545" s="96" t="s">
        <v>1222</v>
      </c>
      <c r="E1545" s="94"/>
      <c r="F1545" s="197" t="s">
        <v>1222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1238</v>
      </c>
      <c r="C1546" s="100" t="s">
        <v>1212</v>
      </c>
      <c r="D1546" s="96" t="s">
        <v>1222</v>
      </c>
      <c r="E1546" s="94"/>
      <c r="F1546" s="197" t="s">
        <v>1222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1239</v>
      </c>
      <c r="C1547" s="100" t="s">
        <v>1212</v>
      </c>
      <c r="D1547" s="93" t="s">
        <v>1222</v>
      </c>
      <c r="E1547" s="94"/>
      <c r="F1547" s="198" t="s">
        <v>1222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1240</v>
      </c>
      <c r="C1548" s="100" t="s">
        <v>1212</v>
      </c>
      <c r="D1548" s="93" t="s">
        <v>1222</v>
      </c>
      <c r="E1548" s="94"/>
      <c r="F1548" s="198" t="s">
        <v>1222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1241</v>
      </c>
      <c r="C1549" s="100" t="s">
        <v>1212</v>
      </c>
      <c r="D1549" s="96" t="s">
        <v>1222</v>
      </c>
      <c r="E1549" s="94"/>
      <c r="F1549" s="197" t="s">
        <v>1222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1242</v>
      </c>
      <c r="C1550" s="100" t="s">
        <v>1212</v>
      </c>
      <c r="D1550" s="93" t="s">
        <v>1023</v>
      </c>
      <c r="E1550" s="94"/>
      <c r="F1550" s="198" t="s">
        <v>1023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1243</v>
      </c>
      <c r="C1551" s="100" t="s">
        <v>1212</v>
      </c>
      <c r="D1551" s="93" t="s">
        <v>92</v>
      </c>
      <c r="E1551" s="94"/>
      <c r="F1551" s="198" t="s">
        <v>92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1244</v>
      </c>
      <c r="C1552" s="100" t="s">
        <v>1212</v>
      </c>
      <c r="D1552" s="93" t="s">
        <v>92</v>
      </c>
      <c r="E1552" s="94"/>
      <c r="F1552" s="198" t="s">
        <v>92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1245</v>
      </c>
      <c r="C1553" s="100" t="s">
        <v>1212</v>
      </c>
      <c r="D1553" s="93" t="s">
        <v>1215</v>
      </c>
      <c r="E1553" s="94"/>
      <c r="F1553" s="198" t="s">
        <v>1215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1246</v>
      </c>
      <c r="C1554" s="100" t="s">
        <v>1212</v>
      </c>
      <c r="D1554" s="96" t="s">
        <v>92</v>
      </c>
      <c r="E1554" s="94"/>
      <c r="F1554" s="197" t="s">
        <v>92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1247</v>
      </c>
      <c r="C1555" s="100" t="s">
        <v>1212</v>
      </c>
      <c r="D1555" s="93" t="s">
        <v>93</v>
      </c>
      <c r="E1555" s="94"/>
      <c r="F1555" s="198" t="s">
        <v>93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1248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1249</v>
      </c>
      <c r="C1557" s="100" t="s">
        <v>1212</v>
      </c>
      <c r="D1557" s="96" t="s">
        <v>1222</v>
      </c>
      <c r="E1557" s="94"/>
      <c r="F1557" s="197" t="s">
        <v>1222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1250</v>
      </c>
      <c r="C1558" s="100" t="s">
        <v>1212</v>
      </c>
      <c r="D1558" s="93" t="s">
        <v>92</v>
      </c>
      <c r="E1558" s="94"/>
      <c r="F1558" s="198" t="s">
        <v>92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1251</v>
      </c>
      <c r="C1559" s="100" t="s">
        <v>1212</v>
      </c>
      <c r="D1559" s="93" t="s">
        <v>92</v>
      </c>
      <c r="E1559" s="94"/>
      <c r="F1559" s="198" t="s">
        <v>92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1252</v>
      </c>
      <c r="C1560" s="100" t="s">
        <v>1212</v>
      </c>
      <c r="D1560" s="93" t="s">
        <v>93</v>
      </c>
      <c r="E1560" s="94"/>
      <c r="F1560" s="198" t="s">
        <v>93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1253</v>
      </c>
      <c r="C1561" s="100" t="s">
        <v>1212</v>
      </c>
      <c r="D1561" s="96" t="s">
        <v>1222</v>
      </c>
      <c r="E1561" s="94"/>
      <c r="F1561" s="197" t="s">
        <v>1222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1254</v>
      </c>
      <c r="C1562" s="100" t="s">
        <v>1212</v>
      </c>
      <c r="D1562" s="96" t="s">
        <v>1023</v>
      </c>
      <c r="E1562" s="94"/>
      <c r="F1562" s="197" t="s">
        <v>1023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1255</v>
      </c>
      <c r="C1563" s="100" t="s">
        <v>1212</v>
      </c>
      <c r="D1563" s="96" t="s">
        <v>1256</v>
      </c>
      <c r="E1563" s="94"/>
      <c r="F1563" s="197" t="s">
        <v>1256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1257</v>
      </c>
      <c r="C1564" s="100" t="s">
        <v>1212</v>
      </c>
      <c r="D1564" s="93" t="s">
        <v>92</v>
      </c>
      <c r="E1564" s="94"/>
      <c r="F1564" s="198" t="s">
        <v>92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1258</v>
      </c>
      <c r="C1565" s="100" t="s">
        <v>1212</v>
      </c>
      <c r="D1565" s="96" t="s">
        <v>1023</v>
      </c>
      <c r="E1565" s="94"/>
      <c r="F1565" s="197" t="s">
        <v>1023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1259</v>
      </c>
      <c r="C1566" s="100" t="s">
        <v>1212</v>
      </c>
      <c r="D1566" s="93" t="s">
        <v>1023</v>
      </c>
      <c r="E1566" s="94"/>
      <c r="F1566" s="198" t="s">
        <v>1023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1260</v>
      </c>
      <c r="C1567" s="100" t="s">
        <v>1212</v>
      </c>
      <c r="D1567" s="96" t="s">
        <v>93</v>
      </c>
      <c r="E1567" s="94"/>
      <c r="F1567" s="197" t="s">
        <v>93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1261</v>
      </c>
      <c r="C1568" s="100" t="s">
        <v>1212</v>
      </c>
      <c r="D1568" s="93" t="s">
        <v>92</v>
      </c>
      <c r="E1568" s="94"/>
      <c r="F1568" s="198" t="s">
        <v>92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1262</v>
      </c>
      <c r="C1569" s="100" t="s">
        <v>1212</v>
      </c>
      <c r="D1569" s="93" t="s">
        <v>1013</v>
      </c>
      <c r="E1569" s="162">
        <v>205766.7</v>
      </c>
      <c r="F1569" s="198" t="s">
        <v>1013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1263</v>
      </c>
      <c r="C1570" s="100" t="s">
        <v>1212</v>
      </c>
      <c r="D1570" s="93" t="s">
        <v>1023</v>
      </c>
      <c r="E1570" s="94"/>
      <c r="F1570" s="198" t="s">
        <v>1023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1264</v>
      </c>
      <c r="C1571" s="100" t="s">
        <v>1212</v>
      </c>
      <c r="D1571" s="96" t="s">
        <v>92</v>
      </c>
      <c r="E1571" s="94"/>
      <c r="F1571" s="197" t="s">
        <v>92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1265</v>
      </c>
      <c r="C1572" s="100" t="s">
        <v>1212</v>
      </c>
      <c r="D1572" s="93" t="s">
        <v>1222</v>
      </c>
      <c r="E1572" s="94"/>
      <c r="F1572" s="198" t="s">
        <v>1222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1266</v>
      </c>
      <c r="C1573" s="100" t="s">
        <v>1212</v>
      </c>
      <c r="D1573" s="96" t="s">
        <v>1222</v>
      </c>
      <c r="E1573" s="94"/>
      <c r="F1573" s="197" t="s">
        <v>1222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1267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1268</v>
      </c>
      <c r="C1575" s="100" t="s">
        <v>1212</v>
      </c>
      <c r="D1575" s="93" t="s">
        <v>92</v>
      </c>
      <c r="E1575" s="94"/>
      <c r="F1575" s="198" t="s">
        <v>92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1269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1270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1271</v>
      </c>
      <c r="C1578" s="100" t="s">
        <v>1212</v>
      </c>
      <c r="D1578" s="96" t="s">
        <v>1222</v>
      </c>
      <c r="E1578" s="94"/>
      <c r="F1578" s="197" t="s">
        <v>1222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1272</v>
      </c>
      <c r="C1579" s="100" t="s">
        <v>1212</v>
      </c>
      <c r="D1579" s="96" t="s">
        <v>93</v>
      </c>
      <c r="E1579" s="94"/>
      <c r="F1579" s="197" t="s">
        <v>93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1273</v>
      </c>
      <c r="C1580" s="100" t="s">
        <v>1212</v>
      </c>
      <c r="D1580" s="96" t="s">
        <v>92</v>
      </c>
      <c r="E1580" s="94"/>
      <c r="F1580" s="197" t="s">
        <v>92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1274</v>
      </c>
      <c r="C1581" s="100" t="s">
        <v>1212</v>
      </c>
      <c r="D1581" s="96" t="s">
        <v>92</v>
      </c>
      <c r="E1581" s="94"/>
      <c r="F1581" s="197" t="s">
        <v>92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1275</v>
      </c>
      <c r="C1582" s="100" t="s">
        <v>1212</v>
      </c>
      <c r="D1582" s="96" t="s">
        <v>93</v>
      </c>
      <c r="E1582" s="94"/>
      <c r="F1582" s="197" t="s">
        <v>93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1276</v>
      </c>
      <c r="C1583" s="100" t="s">
        <v>1212</v>
      </c>
      <c r="D1583" s="93" t="s">
        <v>92</v>
      </c>
      <c r="E1583" s="94"/>
      <c r="F1583" s="198" t="s">
        <v>92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1277</v>
      </c>
      <c r="C1584" s="100" t="s">
        <v>1212</v>
      </c>
      <c r="D1584" s="93" t="s">
        <v>1215</v>
      </c>
      <c r="E1584" s="94"/>
      <c r="F1584" s="198" t="s">
        <v>1215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1278</v>
      </c>
      <c r="C1585" s="100" t="s">
        <v>1212</v>
      </c>
      <c r="D1585" s="93" t="s">
        <v>1215</v>
      </c>
      <c r="E1585" s="94"/>
      <c r="F1585" s="198" t="s">
        <v>1215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1279</v>
      </c>
      <c r="C1586" s="100" t="s">
        <v>1212</v>
      </c>
      <c r="D1586" s="96" t="s">
        <v>1222</v>
      </c>
      <c r="E1586" s="94"/>
      <c r="F1586" s="197" t="s">
        <v>1222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1280</v>
      </c>
      <c r="C1587" s="100" t="s">
        <v>1212</v>
      </c>
      <c r="D1587" s="96" t="s">
        <v>92</v>
      </c>
      <c r="E1587" s="94"/>
      <c r="F1587" s="197" t="s">
        <v>92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1281</v>
      </c>
      <c r="C1588" s="100" t="s">
        <v>1212</v>
      </c>
      <c r="D1588" s="96" t="s">
        <v>93</v>
      </c>
      <c r="E1588" s="94"/>
      <c r="F1588" s="197" t="s">
        <v>93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1282</v>
      </c>
      <c r="C1589" s="100" t="s">
        <v>1212</v>
      </c>
      <c r="D1589" s="96" t="s">
        <v>93</v>
      </c>
      <c r="E1589" s="94"/>
      <c r="F1589" s="197" t="s">
        <v>93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1283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1284</v>
      </c>
      <c r="C1591" s="100" t="s">
        <v>1212</v>
      </c>
      <c r="D1591" s="93" t="s">
        <v>93</v>
      </c>
      <c r="E1591" s="94"/>
      <c r="F1591" s="198" t="s">
        <v>93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1285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1286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1287</v>
      </c>
      <c r="C1594" s="100" t="s">
        <v>1212</v>
      </c>
      <c r="D1594" s="93" t="s">
        <v>93</v>
      </c>
      <c r="E1594" s="94"/>
      <c r="F1594" s="198" t="s">
        <v>93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1288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1289</v>
      </c>
      <c r="C1596" s="100" t="s">
        <v>1212</v>
      </c>
      <c r="D1596" s="96" t="s">
        <v>93</v>
      </c>
      <c r="E1596" s="94"/>
      <c r="F1596" s="197" t="s">
        <v>93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1290</v>
      </c>
      <c r="C1597" s="100" t="s">
        <v>1212</v>
      </c>
      <c r="D1597" s="96" t="s">
        <v>93</v>
      </c>
      <c r="E1597" s="94"/>
      <c r="F1597" s="197" t="s">
        <v>93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1291</v>
      </c>
      <c r="C1598" s="100" t="s">
        <v>1212</v>
      </c>
      <c r="D1598" s="96" t="s">
        <v>92</v>
      </c>
      <c r="E1598" s="94"/>
      <c r="F1598" s="197" t="s">
        <v>92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1292</v>
      </c>
      <c r="C1599" s="100" t="s">
        <v>1212</v>
      </c>
      <c r="D1599" s="96" t="s">
        <v>93</v>
      </c>
      <c r="E1599" s="94"/>
      <c r="F1599" s="197" t="s">
        <v>93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1293</v>
      </c>
      <c r="C1600" s="100" t="s">
        <v>1212</v>
      </c>
      <c r="D1600" s="96" t="s">
        <v>93</v>
      </c>
      <c r="E1600" s="94"/>
      <c r="F1600" s="197" t="s">
        <v>93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1294</v>
      </c>
      <c r="C1601" s="100" t="s">
        <v>1212</v>
      </c>
      <c r="D1601" s="93" t="s">
        <v>93</v>
      </c>
      <c r="E1601" s="94"/>
      <c r="F1601" s="198" t="s">
        <v>93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1295</v>
      </c>
      <c r="C1602" s="100" t="s">
        <v>1212</v>
      </c>
      <c r="D1602" s="96" t="s">
        <v>1222</v>
      </c>
      <c r="E1602" s="94"/>
      <c r="F1602" s="197" t="s">
        <v>1222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1296</v>
      </c>
      <c r="C1603" s="100" t="s">
        <v>1212</v>
      </c>
      <c r="D1603" s="96" t="s">
        <v>93</v>
      </c>
      <c r="E1603" s="94"/>
      <c r="F1603" s="197" t="s">
        <v>93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1297</v>
      </c>
      <c r="C1604" s="100" t="s">
        <v>1212</v>
      </c>
      <c r="D1604" s="93" t="s">
        <v>1222</v>
      </c>
      <c r="E1604" s="94"/>
      <c r="F1604" s="198" t="s">
        <v>1222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1298</v>
      </c>
      <c r="C1605" s="100" t="s">
        <v>1212</v>
      </c>
      <c r="D1605" s="96" t="s">
        <v>1222</v>
      </c>
      <c r="E1605" s="94"/>
      <c r="F1605" s="197" t="s">
        <v>1222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1299</v>
      </c>
      <c r="C1606" s="100" t="s">
        <v>1212</v>
      </c>
      <c r="D1606" s="96" t="s">
        <v>1222</v>
      </c>
      <c r="E1606" s="94"/>
      <c r="F1606" s="197" t="s">
        <v>1222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1300</v>
      </c>
      <c r="C1607" s="100" t="s">
        <v>1212</v>
      </c>
      <c r="D1607" s="93" t="s">
        <v>93</v>
      </c>
      <c r="E1607" s="94"/>
      <c r="F1607" s="198" t="s">
        <v>93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19 J1351:J1380 H1273:J1274 G1328:G1415 A1435:A1510 H1453:I1509 D1014:F1041 H1014:J1041 D220:F220 I220:I221 H220 C220:C245 E563:F822 F823:F982 G1107:G1290 J1125:J1272 H1111:I1272 D1111:F1274 J163:J240 C163:F219 H163:I219 G162:G289 F241:F249 A162:A28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19 C516:C538 C562:C982 C1107:C1274 C1510 C1044:C1065 C162:C289" xr:uid="{00000000-0002-0000-0200-000000000000}">
      <formula1>CATEGORIAS</formula1>
    </dataValidation>
    <dataValidation type="list" allowBlank="1" showInputMessage="1" sqref="F514 D8:D19 F8:F19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F15" sqref="F15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313</v>
      </c>
      <c r="B6" s="5" t="s">
        <v>313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2024-06-04T14:00:28Z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