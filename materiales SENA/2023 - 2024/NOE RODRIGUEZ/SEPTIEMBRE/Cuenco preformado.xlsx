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prendiz\Downloads\"/>
    </mc:Choice>
  </mc:AlternateContent>
  <xr:revisionPtr revIDLastSave="10" documentId="8_{BE214943-15A2-47F9-A3A3-7BC44BA3CB55}" xr6:coauthVersionLast="47" xr6:coauthVersionMax="47" xr10:uidLastSave="{0502A448-2B46-4D9F-B7FC-07981A7352FF}"/>
  <bookViews>
    <workbookView xWindow="0" yWindow="0" windowWidth="20490" windowHeight="7425" tabRatio="682" firstSheet="1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07" i="38" l="1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 l="1"/>
  <c r="C13" i="61" l="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 l="1"/>
  <c r="N3" i="61" l="1"/>
  <c r="R3" i="61" l="1" a="1"/>
  <c r="R3" i="61" s="1"/>
  <c r="R7" i="61" s="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 s="1"/>
  <c r="P25" i="61" a="1"/>
  <c r="P25" i="61" s="1"/>
  <c r="P26" i="61" a="1"/>
  <c r="P26" i="61" s="1"/>
  <c r="P27" i="61" a="1"/>
  <c r="P27" i="61" s="1"/>
  <c r="P28" i="61" a="1"/>
  <c r="P28" i="61" s="1"/>
  <c r="P29" i="61" a="1"/>
  <c r="P29" i="61" s="1"/>
  <c r="P30" i="61" a="1"/>
  <c r="P30" i="61" s="1"/>
  <c r="P31" i="61" a="1"/>
  <c r="P31" i="61" s="1"/>
  <c r="P32" i="61" a="1"/>
  <c r="P32" i="61" s="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 l="1"/>
  <c r="O2" i="43"/>
  <c r="G1151" i="38"/>
  <c r="G1365" i="38"/>
  <c r="S10" i="43" l="1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 s="1"/>
  <c r="A1280" i="38" s="1"/>
  <c r="J1277" i="38"/>
  <c r="A661" i="38"/>
  <c r="A662" i="38" s="1"/>
  <c r="A663" i="38" s="1"/>
  <c r="A664" i="38" s="1"/>
  <c r="A665" i="38" s="1"/>
  <c r="A666" i="38" s="1"/>
  <c r="A667" i="38" s="1"/>
  <c r="A668" i="38" s="1"/>
  <c r="A669" i="38" s="1"/>
  <c r="A670" i="38" s="1"/>
  <c r="A671" i="38" s="1"/>
  <c r="A672" i="38" s="1"/>
  <c r="A673" i="38" s="1"/>
  <c r="A674" i="38" s="1"/>
  <c r="A675" i="38" s="1"/>
  <c r="A676" i="38" s="1"/>
  <c r="A677" i="38" s="1"/>
  <c r="A678" i="38" s="1"/>
  <c r="A679" i="38" s="1"/>
  <c r="A680" i="38" s="1"/>
  <c r="A681" i="38" s="1"/>
  <c r="A682" i="38" s="1"/>
  <c r="A683" i="38" s="1"/>
  <c r="A684" i="38" s="1"/>
  <c r="A685" i="38" s="1"/>
  <c r="A686" i="38" s="1"/>
  <c r="A687" i="38" s="1"/>
  <c r="A688" i="38" s="1"/>
  <c r="A689" i="38" s="1"/>
  <c r="A690" i="38" s="1"/>
  <c r="A691" i="38" s="1"/>
  <c r="A692" i="38" s="1"/>
  <c r="A693" i="38" s="1"/>
  <c r="A694" i="38" s="1"/>
  <c r="A695" i="38" s="1"/>
  <c r="A696" i="38" s="1"/>
  <c r="A697" i="38" s="1"/>
  <c r="A698" i="38" s="1"/>
  <c r="A699" i="38" s="1"/>
  <c r="A700" i="38" s="1"/>
  <c r="A701" i="38" s="1"/>
  <c r="A702" i="38" s="1"/>
  <c r="A703" i="38" s="1"/>
  <c r="A704" i="38" s="1"/>
  <c r="A705" i="38" s="1"/>
  <c r="A706" i="38" s="1"/>
  <c r="A707" i="38" s="1"/>
  <c r="A708" i="38" s="1"/>
  <c r="A709" i="38" s="1"/>
  <c r="A710" i="38" s="1"/>
  <c r="A711" i="38" s="1"/>
  <c r="A712" i="38" s="1"/>
  <c r="A713" i="38" s="1"/>
  <c r="A714" i="38" s="1"/>
  <c r="A715" i="38" s="1"/>
  <c r="A716" i="38" s="1"/>
  <c r="A717" i="38" s="1"/>
  <c r="A718" i="38" s="1"/>
  <c r="A719" i="38" s="1"/>
  <c r="A720" i="38" s="1"/>
  <c r="A721" i="38" s="1"/>
  <c r="A722" i="38" s="1"/>
  <c r="A723" i="38" s="1"/>
  <c r="A724" i="38" s="1"/>
  <c r="A725" i="38" s="1"/>
  <c r="A726" i="38" s="1"/>
  <c r="A727" i="38" s="1"/>
  <c r="A728" i="38" s="1"/>
  <c r="A729" i="38" s="1"/>
  <c r="A730" i="38" s="1"/>
  <c r="A731" i="38" s="1"/>
  <c r="A732" i="38" s="1"/>
  <c r="A733" i="38" s="1"/>
  <c r="A734" i="38" s="1"/>
  <c r="A735" i="38" s="1"/>
  <c r="A736" i="38" s="1"/>
  <c r="A737" i="38" s="1"/>
  <c r="A738" i="38" s="1"/>
  <c r="A739" i="38" s="1"/>
  <c r="A740" i="38" s="1"/>
  <c r="A741" i="38" s="1"/>
  <c r="A742" i="38" s="1"/>
  <c r="A743" i="38" s="1"/>
  <c r="A744" i="38" s="1"/>
  <c r="A745" i="38" s="1"/>
  <c r="A746" i="38" s="1"/>
  <c r="A747" i="38" s="1"/>
  <c r="A748" i="38" s="1"/>
  <c r="A749" i="38" s="1"/>
  <c r="A750" i="38" s="1"/>
  <c r="A751" i="38" s="1"/>
  <c r="A752" i="38" s="1"/>
  <c r="A753" i="38" s="1"/>
  <c r="A754" i="38" s="1"/>
  <c r="A755" i="38" s="1"/>
  <c r="A756" i="38" s="1"/>
  <c r="A757" i="38" s="1"/>
  <c r="A758" i="38" s="1"/>
  <c r="A759" i="38" s="1"/>
  <c r="A760" i="38" s="1"/>
  <c r="A761" i="38" s="1"/>
  <c r="A762" i="38" s="1"/>
  <c r="A763" i="38" s="1"/>
  <c r="A764" i="38" s="1"/>
  <c r="A765" i="38" s="1"/>
  <c r="A766" i="38" s="1"/>
  <c r="A767" i="38" s="1"/>
  <c r="A768" i="38" s="1"/>
  <c r="A769" i="38" s="1"/>
  <c r="A770" i="38" s="1"/>
  <c r="A771" i="38" s="1"/>
  <c r="A772" i="38" s="1"/>
  <c r="A773" i="38" s="1"/>
  <c r="A774" i="38" s="1"/>
  <c r="A775" i="38" s="1"/>
  <c r="A776" i="38" s="1"/>
  <c r="A777" i="38" s="1"/>
  <c r="A778" i="38" s="1"/>
  <c r="A779" i="38" s="1"/>
  <c r="A780" i="38" s="1"/>
  <c r="A781" i="38" s="1"/>
  <c r="A782" i="38" s="1"/>
  <c r="A783" i="38" s="1"/>
  <c r="A784" i="38" s="1"/>
  <c r="A785" i="38" s="1"/>
  <c r="A786" i="38" s="1"/>
  <c r="A787" i="38" s="1"/>
  <c r="A788" i="38" s="1"/>
  <c r="A789" i="38" s="1"/>
  <c r="A790" i="38" s="1"/>
  <c r="A791" i="38" s="1"/>
  <c r="A792" i="38" s="1"/>
  <c r="A793" i="38" s="1"/>
  <c r="A794" i="38" s="1"/>
  <c r="A795" i="38" s="1"/>
  <c r="A796" i="38" s="1"/>
  <c r="A797" i="38" s="1"/>
  <c r="A798" i="38" s="1"/>
  <c r="A799" i="38" s="1"/>
  <c r="A800" i="38" s="1"/>
  <c r="A801" i="38" s="1"/>
  <c r="A802" i="38" s="1"/>
  <c r="A803" i="38" s="1"/>
  <c r="A804" i="38" s="1"/>
  <c r="A805" i="38" s="1"/>
  <c r="A806" i="38" s="1"/>
  <c r="A807" i="38" s="1"/>
  <c r="A808" i="38" s="1"/>
  <c r="A809" i="38" s="1"/>
  <c r="A810" i="38" s="1"/>
  <c r="A811" i="38" s="1"/>
  <c r="A812" i="38" s="1"/>
  <c r="A813" i="38" s="1"/>
  <c r="A814" i="38" s="1"/>
  <c r="A815" i="38" s="1"/>
  <c r="A816" i="38" s="1"/>
  <c r="A817" i="38" s="1"/>
  <c r="A818" i="38" s="1"/>
  <c r="A819" i="38" s="1"/>
  <c r="A820" i="38" s="1"/>
  <c r="A821" i="38" s="1"/>
  <c r="A822" i="38" s="1"/>
  <c r="A823" i="38" s="1"/>
  <c r="A824" i="38" s="1"/>
  <c r="A825" i="38" s="1"/>
  <c r="A826" i="38" s="1"/>
  <c r="A827" i="38" s="1"/>
  <c r="A828" i="38" s="1"/>
  <c r="A829" i="38" s="1"/>
  <c r="A830" i="38" s="1"/>
  <c r="A831" i="38" s="1"/>
  <c r="A832" i="38" s="1"/>
  <c r="A833" i="38" s="1"/>
  <c r="A834" i="38" s="1"/>
  <c r="A835" i="38" s="1"/>
  <c r="A836" i="38" s="1"/>
  <c r="A837" i="38" s="1"/>
  <c r="A838" i="38" s="1"/>
  <c r="A839" i="38" s="1"/>
  <c r="A840" i="38" s="1"/>
  <c r="A841" i="38" s="1"/>
  <c r="A842" i="38" s="1"/>
  <c r="A843" i="38" s="1"/>
  <c r="A844" i="38" s="1"/>
  <c r="A845" i="38" s="1"/>
  <c r="A846" i="38" s="1"/>
  <c r="A847" i="38" s="1"/>
  <c r="A848" i="38" s="1"/>
  <c r="A849" i="38" s="1"/>
  <c r="A850" i="38" s="1"/>
  <c r="A851" i="38" s="1"/>
  <c r="A852" i="38" s="1"/>
  <c r="A853" i="38" s="1"/>
  <c r="A854" i="38" s="1"/>
  <c r="A855" i="38" s="1"/>
  <c r="A856" i="38" s="1"/>
  <c r="A857" i="38" s="1"/>
  <c r="A858" i="38" s="1"/>
  <c r="A859" i="38" s="1"/>
  <c r="A860" i="38" s="1"/>
  <c r="A861" i="38" s="1"/>
  <c r="A862" i="38" s="1"/>
  <c r="A863" i="38" s="1"/>
  <c r="A864" i="38" s="1"/>
  <c r="A865" i="38" s="1"/>
  <c r="A866" i="38" s="1"/>
  <c r="A867" i="38" s="1"/>
  <c r="A868" i="38" s="1"/>
  <c r="A869" i="38" s="1"/>
  <c r="A870" i="38" s="1"/>
  <c r="A871" i="38" s="1"/>
  <c r="A872" i="38" s="1"/>
  <c r="A873" i="38" s="1"/>
  <c r="A874" i="38" s="1"/>
  <c r="A875" i="38" s="1"/>
  <c r="A876" i="38" s="1"/>
  <c r="A877" i="38" s="1"/>
  <c r="A878" i="38" s="1"/>
  <c r="A879" i="38" s="1"/>
  <c r="A880" i="38" s="1"/>
  <c r="A881" i="38" s="1"/>
  <c r="A882" i="38" s="1"/>
  <c r="A883" i="38" s="1"/>
  <c r="A884" i="38" s="1"/>
  <c r="A885" i="38" s="1"/>
  <c r="A886" i="38" s="1"/>
  <c r="A887" i="38" s="1"/>
  <c r="A888" i="38" s="1"/>
  <c r="A889" i="38" s="1"/>
  <c r="A890" i="38" s="1"/>
  <c r="A891" i="38" s="1"/>
  <c r="A892" i="38" s="1"/>
  <c r="A893" i="38" s="1"/>
  <c r="A894" i="38" s="1"/>
  <c r="A895" i="38" s="1"/>
  <c r="A896" i="38" s="1"/>
  <c r="A897" i="38" s="1"/>
  <c r="A898" i="38" s="1"/>
  <c r="A899" i="38" s="1"/>
  <c r="A900" i="38" s="1"/>
  <c r="A901" i="38" s="1"/>
  <c r="A902" i="38" s="1"/>
  <c r="A903" i="38" s="1"/>
  <c r="A904" i="38" s="1"/>
  <c r="A905" i="38" s="1"/>
  <c r="A906" i="38" s="1"/>
  <c r="A907" i="38" s="1"/>
  <c r="A908" i="38" s="1"/>
  <c r="A909" i="38" s="1"/>
  <c r="A910" i="38" s="1"/>
  <c r="A911" i="38" s="1"/>
  <c r="A912" i="38" s="1"/>
  <c r="A913" i="38" s="1"/>
  <c r="A914" i="38" s="1"/>
  <c r="A915" i="38" s="1"/>
  <c r="A916" i="38" s="1"/>
  <c r="A917" i="38" s="1"/>
  <c r="A918" i="38" s="1"/>
  <c r="A919" i="38" s="1"/>
  <c r="A920" i="38" s="1"/>
  <c r="A921" i="38" s="1"/>
  <c r="A922" i="38" s="1"/>
  <c r="A923" i="38" s="1"/>
  <c r="A924" i="38" s="1"/>
  <c r="A925" i="38" s="1"/>
  <c r="A926" i="38" s="1"/>
  <c r="A927" i="38" s="1"/>
  <c r="A928" i="38" s="1"/>
  <c r="A929" i="38" s="1"/>
  <c r="A930" i="38" s="1"/>
  <c r="A931" i="38" s="1"/>
  <c r="A932" i="38" s="1"/>
  <c r="A933" i="38" s="1"/>
  <c r="A934" i="38" s="1"/>
  <c r="A935" i="38" s="1"/>
  <c r="A936" i="38" s="1"/>
  <c r="A937" i="38" s="1"/>
  <c r="A938" i="38" s="1"/>
  <c r="A939" i="38" s="1"/>
  <c r="A940" i="38" s="1"/>
  <c r="A941" i="38" s="1"/>
  <c r="A942" i="38" s="1"/>
  <c r="A943" i="38" s="1"/>
  <c r="A944" i="38" s="1"/>
  <c r="A945" i="38" s="1"/>
  <c r="A946" i="38" s="1"/>
  <c r="A947" i="38" s="1"/>
  <c r="A948" i="38" s="1"/>
  <c r="A949" i="38" s="1"/>
  <c r="A950" i="38" s="1"/>
  <c r="A951" i="38" s="1"/>
  <c r="A952" i="38" s="1"/>
  <c r="A953" i="38" s="1"/>
  <c r="A954" i="38" s="1"/>
  <c r="A955" i="38" s="1"/>
  <c r="A956" i="38" s="1"/>
  <c r="A957" i="38" s="1"/>
  <c r="A958" i="38" s="1"/>
  <c r="A959" i="38" s="1"/>
  <c r="A960" i="38" s="1"/>
  <c r="A961" i="38" s="1"/>
  <c r="A962" i="38" s="1"/>
  <c r="A963" i="38" s="1"/>
  <c r="A964" i="38" s="1"/>
  <c r="A965" i="38" s="1"/>
  <c r="A966" i="38" s="1"/>
  <c r="A967" i="38" s="1"/>
  <c r="A968" i="38" s="1"/>
  <c r="A969" i="38" s="1"/>
  <c r="A970" i="38" s="1"/>
  <c r="A971" i="38" s="1"/>
  <c r="A972" i="38" s="1"/>
  <c r="A973" i="38" s="1"/>
  <c r="A974" i="38" s="1"/>
  <c r="A975" i="38" s="1"/>
  <c r="A976" i="38" s="1"/>
  <c r="A977" i="38" s="1"/>
  <c r="A978" i="38" s="1"/>
  <c r="A979" i="38" s="1"/>
  <c r="A980" i="38" s="1"/>
  <c r="A981" i="38" s="1"/>
  <c r="A982" i="38" s="1"/>
  <c r="A983" i="38" s="1"/>
  <c r="A984" i="38" s="1"/>
  <c r="A985" i="38" s="1"/>
  <c r="A986" i="38" s="1"/>
  <c r="A987" i="38" s="1"/>
  <c r="A988" i="38" s="1"/>
  <c r="A989" i="38" s="1"/>
  <c r="A990" i="38" s="1"/>
  <c r="A991" i="38" s="1"/>
  <c r="A992" i="38" s="1"/>
  <c r="A993" i="38" s="1"/>
  <c r="A994" i="38" s="1"/>
  <c r="A995" i="38" s="1"/>
  <c r="A996" i="38" s="1"/>
  <c r="A997" i="38" s="1"/>
  <c r="A998" i="38" s="1"/>
  <c r="A999" i="38" s="1"/>
  <c r="A1000" i="38" s="1"/>
  <c r="A1001" i="38" s="1"/>
  <c r="A1002" i="38" s="1"/>
  <c r="A1003" i="38" s="1"/>
  <c r="A1004" i="38" s="1"/>
  <c r="A1005" i="38" s="1"/>
  <c r="A1006" i="38" s="1"/>
  <c r="A1007" i="38" s="1"/>
  <c r="A1008" i="38" s="1"/>
  <c r="A1009" i="38" s="1"/>
  <c r="A1010" i="38" s="1"/>
  <c r="A1011" i="38" s="1"/>
  <c r="A1012" i="38" s="1"/>
  <c r="A1013" i="38" s="1"/>
  <c r="A1014" i="38" s="1"/>
  <c r="A1015" i="38" s="1"/>
  <c r="A1016" i="38" s="1"/>
  <c r="A1017" i="38" s="1"/>
  <c r="A1018" i="38" s="1"/>
  <c r="A1019" i="38" s="1"/>
  <c r="A1020" i="38" s="1"/>
  <c r="A1021" i="38" s="1"/>
  <c r="A1022" i="38" s="1"/>
  <c r="A1023" i="38" s="1"/>
  <c r="A1024" i="38" s="1"/>
  <c r="A1025" i="38" s="1"/>
  <c r="A1026" i="38" s="1"/>
  <c r="A1027" i="38" s="1"/>
  <c r="A1028" i="38" s="1"/>
  <c r="A1029" i="38" s="1"/>
  <c r="A1030" i="38" s="1"/>
  <c r="A1031" i="38" s="1"/>
  <c r="A1032" i="38" s="1"/>
  <c r="A1033" i="38" s="1"/>
  <c r="A1034" i="38" s="1"/>
  <c r="A1035" i="38" s="1"/>
  <c r="A1036" i="38" s="1"/>
  <c r="A1037" i="38" s="1"/>
  <c r="A1038" i="38" s="1"/>
  <c r="A1039" i="38" s="1"/>
  <c r="A1040" i="38" s="1"/>
  <c r="A1041" i="38" s="1"/>
  <c r="A1042" i="38" s="1"/>
  <c r="A1043" i="38" s="1"/>
  <c r="A1044" i="38" s="1"/>
  <c r="A1045" i="38" s="1"/>
  <c r="A1046" i="38" s="1"/>
  <c r="A1047" i="38" s="1"/>
  <c r="A1048" i="38" s="1"/>
  <c r="A1049" i="38" s="1"/>
  <c r="A1050" i="38" s="1"/>
  <c r="A1051" i="38" s="1"/>
  <c r="A1052" i="38" s="1"/>
  <c r="A1053" i="38" s="1"/>
  <c r="A1054" i="38" s="1"/>
  <c r="A1055" i="38" s="1"/>
  <c r="A1056" i="38" s="1"/>
  <c r="A1057" i="38" s="1"/>
  <c r="A1058" i="38" s="1"/>
  <c r="A1059" i="38" s="1"/>
  <c r="A1060" i="38" s="1"/>
  <c r="A1061" i="38" s="1"/>
  <c r="A1062" i="38" s="1"/>
  <c r="A1063" i="38" s="1"/>
  <c r="A1064" i="38" s="1"/>
  <c r="A1065" i="38" s="1"/>
  <c r="A1066" i="38" s="1"/>
  <c r="A1067" i="38" s="1"/>
  <c r="A1068" i="38" s="1"/>
  <c r="A1069" i="38" s="1"/>
  <c r="A1070" i="38" s="1"/>
  <c r="A1071" i="38" s="1"/>
  <c r="A1072" i="38" s="1"/>
  <c r="A1073" i="38" s="1"/>
  <c r="A1074" i="38" s="1"/>
  <c r="A1075" i="38" s="1"/>
  <c r="A1076" i="38" s="1"/>
  <c r="A1077" i="38" s="1"/>
  <c r="A1078" i="38" s="1"/>
  <c r="A1079" i="38" s="1"/>
  <c r="A1080" i="38" s="1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 s="1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 s="1"/>
  <c r="A1532" i="38" s="1"/>
  <c r="A1533" i="38" s="1"/>
  <c r="A1534" i="38" s="1"/>
  <c r="A1535" i="38" s="1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 s="1"/>
  <c r="J1420" i="38" s="1"/>
  <c r="A1111" i="38"/>
  <c r="J1111" i="38" s="1"/>
  <c r="A615" i="38"/>
  <c r="A63" i="38"/>
  <c r="A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 s="1"/>
  <c r="B658" i="38"/>
  <c r="W29" i="43"/>
  <c r="W30" i="43"/>
  <c r="B1510" i="38"/>
  <c r="A9" i="38"/>
  <c r="A10" i="38" s="1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 l="1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K31" i="61" a="1"/>
  <c r="K31" i="61" s="1"/>
  <c r="B31" i="61"/>
  <c r="O31" i="61"/>
  <c r="K26" i="61" a="1"/>
  <c r="K26" i="61" s="1"/>
  <c r="B26" i="61"/>
  <c r="O26" i="61"/>
  <c r="K18" i="61" a="1"/>
  <c r="K18" i="61" s="1"/>
  <c r="B18" i="61"/>
  <c r="O18" i="61"/>
  <c r="K25" i="61" a="1"/>
  <c r="K25" i="61" s="1"/>
  <c r="O25" i="61"/>
  <c r="B25" i="61"/>
  <c r="K17" i="61" a="1"/>
  <c r="K17" i="61" s="1"/>
  <c r="O17" i="61"/>
  <c r="B17" i="61"/>
  <c r="K16" i="61" a="1"/>
  <c r="K16" i="61" s="1"/>
  <c r="B16" i="61"/>
  <c r="O16" i="61"/>
  <c r="K24" i="61" a="1"/>
  <c r="K24" i="61" s="1"/>
  <c r="B24" i="61"/>
  <c r="O24" i="61"/>
  <c r="K23" i="61" a="1"/>
  <c r="K23" i="61" s="1"/>
  <c r="B23" i="61"/>
  <c r="O23" i="61"/>
  <c r="K15" i="61" a="1"/>
  <c r="K15" i="61" s="1"/>
  <c r="B15" i="61"/>
  <c r="O15" i="61"/>
  <c r="K27" i="61" a="1"/>
  <c r="K27" i="61" s="1"/>
  <c r="B27" i="61"/>
  <c r="O27" i="61"/>
  <c r="K30" i="61" a="1"/>
  <c r="K30" i="61" s="1"/>
  <c r="O30" i="61"/>
  <c r="B30" i="61"/>
  <c r="K22" i="61" a="1"/>
  <c r="K22" i="61" s="1"/>
  <c r="B22" i="61"/>
  <c r="O22" i="61"/>
  <c r="K14" i="61" a="1"/>
  <c r="K14" i="61" s="1"/>
  <c r="B14" i="61"/>
  <c r="O14" i="61"/>
  <c r="K32" i="61" a="1"/>
  <c r="K32" i="61" s="1"/>
  <c r="B32" i="61"/>
  <c r="O32" i="61"/>
  <c r="K29" i="61" a="1"/>
  <c r="K29" i="61" s="1"/>
  <c r="O29" i="61"/>
  <c r="B29" i="61"/>
  <c r="K21" i="61" a="1"/>
  <c r="K21" i="61" s="1"/>
  <c r="O21" i="61"/>
  <c r="B21" i="61"/>
  <c r="K13" i="61" a="1"/>
  <c r="K13" i="61" s="1"/>
  <c r="O13" i="61"/>
  <c r="B13" i="61"/>
  <c r="K28" i="61" a="1"/>
  <c r="K28" i="61" s="1"/>
  <c r="B28" i="61"/>
  <c r="O28" i="61"/>
  <c r="K20" i="61" a="1"/>
  <c r="K20" i="61" s="1"/>
  <c r="B20" i="61"/>
  <c r="O20" i="61"/>
  <c r="K12" i="61" a="1"/>
  <c r="K12" i="61" s="1"/>
  <c r="B12" i="61"/>
  <c r="O12" i="61"/>
  <c r="J63" i="38"/>
  <c r="J984" i="38"/>
  <c r="K19" i="61" a="1"/>
  <c r="K19" i="61" s="1"/>
  <c r="B19" i="61"/>
  <c r="O19" i="61"/>
  <c r="J1419" i="38"/>
  <c r="J615" i="38"/>
  <c r="A1172" i="38"/>
  <c r="A1173" i="38" s="1"/>
  <c r="A1174" i="38" s="1"/>
  <c r="A1175" i="38" s="1"/>
  <c r="J1110" i="38"/>
  <c r="J9" i="38"/>
  <c r="J661" i="38"/>
  <c r="E3" i="38"/>
  <c r="O10" i="43"/>
  <c r="G12" i="61" s="1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 l="1"/>
  <c r="J1176" i="38" s="1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D5" i="43"/>
  <c r="A1177" i="38" l="1"/>
  <c r="O5" i="43"/>
  <c r="B8" i="61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 l="1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 l="1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 l="1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 l="1"/>
  <c r="A1336" i="38"/>
  <c r="J1335" i="38"/>
  <c r="J671" i="38"/>
  <c r="J995" i="38"/>
  <c r="A17" i="38"/>
  <c r="J16" i="38"/>
  <c r="A1118" i="38"/>
  <c r="J1117" i="38"/>
  <c r="A71" i="38"/>
  <c r="J70" i="38"/>
  <c r="A1287" i="38"/>
  <c r="A1288" i="38" s="1"/>
  <c r="A1289" i="38" s="1"/>
  <c r="A1290" i="38" s="1"/>
  <c r="A1291" i="38" s="1"/>
  <c r="A1292" i="38" s="1"/>
  <c r="A1293" i="38" s="1"/>
  <c r="A1294" i="38" s="1"/>
  <c r="A1295" i="38" s="1"/>
  <c r="A1296" i="38" s="1"/>
  <c r="A1297" i="38" s="1"/>
  <c r="A1298" i="38" s="1"/>
  <c r="A1299" i="38" s="1"/>
  <c r="A1300" i="38" s="1"/>
  <c r="A1301" i="38" s="1"/>
  <c r="A1302" i="38" s="1"/>
  <c r="A1303" i="38" s="1"/>
  <c r="A1304" i="38" s="1"/>
  <c r="A1305" i="38" s="1"/>
  <c r="A1306" i="38" s="1"/>
  <c r="A1307" i="38" s="1"/>
  <c r="A1308" i="38" s="1"/>
  <c r="A1309" i="38" s="1"/>
  <c r="A1310" i="38" s="1"/>
  <c r="A1311" i="38" s="1"/>
  <c r="A1312" i="38" s="1"/>
  <c r="A1313" i="38" s="1"/>
  <c r="A1314" i="38" s="1"/>
  <c r="A1315" i="38" s="1"/>
  <c r="A1316" i="38" s="1"/>
  <c r="A1427" i="38"/>
  <c r="J1426" i="38"/>
  <c r="A1182" i="38" l="1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 l="1"/>
  <c r="A1183" i="38"/>
  <c r="A1184" i="38" s="1"/>
  <c r="A1185" i="38" s="1"/>
  <c r="A1186" i="38" s="1"/>
  <c r="A1187" i="38" s="1"/>
  <c r="A1188" i="38" s="1"/>
  <c r="A1189" i="38" s="1"/>
  <c r="A1190" i="38" s="1"/>
  <c r="A1191" i="38" s="1"/>
  <c r="A1192" i="38" s="1"/>
  <c r="A1193" i="38" s="1"/>
  <c r="A1194" i="38" s="1"/>
  <c r="A1195" i="38" s="1"/>
  <c r="A1196" i="38" s="1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 l="1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 l="1"/>
  <c r="J1197" i="38"/>
  <c r="A1340" i="38"/>
  <c r="J1339" i="38"/>
  <c r="J675" i="38"/>
  <c r="J999" i="38"/>
  <c r="J246" i="38"/>
  <c r="J74" i="38"/>
  <c r="A75" i="38"/>
  <c r="A1431" i="38"/>
  <c r="J1430" i="38"/>
  <c r="A1199" i="38" l="1"/>
  <c r="A1200" i="38" s="1"/>
  <c r="A1201" i="38" s="1"/>
  <c r="A1202" i="38" s="1"/>
  <c r="J1198" i="38"/>
  <c r="A1341" i="38"/>
  <c r="J1340" i="38"/>
  <c r="J676" i="38"/>
  <c r="J1000" i="38"/>
  <c r="J247" i="38"/>
  <c r="J75" i="38"/>
  <c r="A76" i="38"/>
  <c r="A1432" i="38"/>
  <c r="J1431" i="38"/>
  <c r="J1297" i="38" l="1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 l="1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 l="1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 l="1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 l="1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 l="1"/>
  <c r="A1208" i="38"/>
  <c r="A1209" i="38" s="1"/>
  <c r="J1207" i="38"/>
  <c r="A1347" i="38"/>
  <c r="J1346" i="38"/>
  <c r="J682" i="38"/>
  <c r="J1006" i="38"/>
  <c r="J262" i="38"/>
  <c r="A82" i="38"/>
  <c r="J81" i="38"/>
  <c r="A1438" i="38"/>
  <c r="J1437" i="38"/>
  <c r="J1307" i="38" l="1"/>
  <c r="A1210" i="38"/>
  <c r="A1211" i="38" s="1"/>
  <c r="A1212" i="38" s="1"/>
  <c r="A1213" i="38" s="1"/>
  <c r="J1209" i="38"/>
  <c r="A1348" i="38"/>
  <c r="J1347" i="38"/>
  <c r="J683" i="38"/>
  <c r="J1007" i="38"/>
  <c r="J263" i="38"/>
  <c r="A1439" i="38"/>
  <c r="J1438" i="38"/>
  <c r="J82" i="38"/>
  <c r="A83" i="38"/>
  <c r="A1214" i="38" l="1"/>
  <c r="A1215" i="38" s="1"/>
  <c r="A1216" i="38" s="1"/>
  <c r="A1217" i="38" s="1"/>
  <c r="A1218" i="38" s="1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 l="1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 l="1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 l="1"/>
  <c r="A1222" i="38" s="1"/>
  <c r="A1223" i="38" s="1"/>
  <c r="A1224" i="38" s="1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 l="1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 l="1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 l="1"/>
  <c r="A1228" i="38" s="1"/>
  <c r="A1229" i="38" s="1"/>
  <c r="A1230" i="38" s="1"/>
  <c r="J1230" i="38" s="1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 l="1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 l="1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 l="1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 l="1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 l="1"/>
  <c r="J624" i="38"/>
  <c r="J1229" i="38"/>
  <c r="J695" i="38"/>
  <c r="J1019" i="38"/>
  <c r="J274" i="38"/>
  <c r="A95" i="38"/>
  <c r="J94" i="38"/>
  <c r="A1451" i="38"/>
  <c r="J1450" i="38"/>
  <c r="A626" i="38" l="1"/>
  <c r="J625" i="38"/>
  <c r="J1296" i="38"/>
  <c r="J1228" i="38"/>
  <c r="J696" i="38"/>
  <c r="J1020" i="38"/>
  <c r="J275" i="38"/>
  <c r="A96" i="38"/>
  <c r="J95" i="38"/>
  <c r="A1452" i="38"/>
  <c r="J1451" i="38"/>
  <c r="A627" i="38" l="1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 l="1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 l="1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 l="1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 l="1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 l="1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 l="1"/>
  <c r="J632" i="38"/>
  <c r="A1125" i="38"/>
  <c r="A1126" i="38" s="1"/>
  <c r="J1124" i="38"/>
  <c r="J1190" i="38"/>
  <c r="J703" i="38"/>
  <c r="J1027" i="38"/>
  <c r="J233" i="38"/>
  <c r="A103" i="38"/>
  <c r="J102" i="38"/>
  <c r="A1459" i="38"/>
  <c r="J1458" i="38"/>
  <c r="A1127" i="38" l="1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 l="1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 l="1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 l="1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 l="1"/>
  <c r="A1131" i="38"/>
  <c r="A638" i="38"/>
  <c r="J638" i="38" s="1"/>
  <c r="J637" i="38"/>
  <c r="J1192" i="38"/>
  <c r="J708" i="38"/>
  <c r="J1032" i="38"/>
  <c r="J238" i="38"/>
  <c r="J107" i="38"/>
  <c r="A108" i="38"/>
  <c r="A1464" i="38"/>
  <c r="J1463" i="38"/>
  <c r="A1132" i="38" l="1"/>
  <c r="J1131" i="38"/>
  <c r="J1223" i="38"/>
  <c r="J709" i="38"/>
  <c r="J1033" i="38"/>
  <c r="J239" i="38"/>
  <c r="A1465" i="38"/>
  <c r="J1464" i="38"/>
  <c r="A109" i="38"/>
  <c r="J108" i="38"/>
  <c r="J1132" i="38" l="1"/>
  <c r="A1133" i="38"/>
  <c r="J1191" i="38"/>
  <c r="J710" i="38"/>
  <c r="J1034" i="38"/>
  <c r="J249" i="38"/>
  <c r="A110" i="38"/>
  <c r="J109" i="38"/>
  <c r="A1466" i="38"/>
  <c r="J1465" i="38"/>
  <c r="A1134" i="38" l="1"/>
  <c r="J1133" i="38"/>
  <c r="J1193" i="38"/>
  <c r="J711" i="38"/>
  <c r="J1035" i="38"/>
  <c r="J250" i="38"/>
  <c r="A1467" i="38"/>
  <c r="J1466" i="38"/>
  <c r="J110" i="38"/>
  <c r="A111" i="38"/>
  <c r="J1134" i="38" l="1"/>
  <c r="A1135" i="38"/>
  <c r="J1221" i="38"/>
  <c r="J712" i="38"/>
  <c r="J1036" i="38"/>
  <c r="J251" i="38"/>
  <c r="A112" i="38"/>
  <c r="J111" i="38"/>
  <c r="A1468" i="38"/>
  <c r="J1467" i="38"/>
  <c r="A1136" i="38" l="1"/>
  <c r="J1135" i="38"/>
  <c r="J1222" i="38"/>
  <c r="J713" i="38"/>
  <c r="J1037" i="38"/>
  <c r="J252" i="38"/>
  <c r="A113" i="38"/>
  <c r="J112" i="38"/>
  <c r="J1468" i="38"/>
  <c r="A1469" i="38"/>
  <c r="A1137" i="38" l="1"/>
  <c r="J1136" i="38"/>
  <c r="J1169" i="38"/>
  <c r="J714" i="38"/>
  <c r="J1038" i="38"/>
  <c r="J253" i="38"/>
  <c r="A1470" i="38"/>
  <c r="J1469" i="38"/>
  <c r="A114" i="38"/>
  <c r="J113" i="38"/>
  <c r="J1137" i="38" l="1"/>
  <c r="A1138" i="38"/>
  <c r="J1170" i="38"/>
  <c r="J715" i="38"/>
  <c r="J1039" i="38"/>
  <c r="J254" i="38"/>
  <c r="A1471" i="38"/>
  <c r="J1470" i="38"/>
  <c r="J114" i="38"/>
  <c r="A115" i="38"/>
  <c r="A1139" i="38" l="1"/>
  <c r="J1138" i="38"/>
  <c r="J1171" i="38"/>
  <c r="J716" i="38"/>
  <c r="J1040" i="38"/>
  <c r="J255" i="38"/>
  <c r="A1472" i="38"/>
  <c r="J1471" i="38"/>
  <c r="J115" i="38"/>
  <c r="A116" i="38"/>
  <c r="J1139" i="38" l="1"/>
  <c r="A1140" i="38"/>
  <c r="J1172" i="38"/>
  <c r="J717" i="38"/>
  <c r="J1041" i="38"/>
  <c r="J256" i="38"/>
  <c r="A117" i="38"/>
  <c r="J116" i="38"/>
  <c r="A1473" i="38"/>
  <c r="J1472" i="38"/>
  <c r="J1140" i="38" l="1"/>
  <c r="A1141" i="38"/>
  <c r="J1173" i="38"/>
  <c r="J718" i="38"/>
  <c r="J1042" i="38"/>
  <c r="J281" i="38"/>
  <c r="A1474" i="38"/>
  <c r="J1473" i="38"/>
  <c r="A118" i="38"/>
  <c r="J117" i="38"/>
  <c r="J1141" i="38" l="1"/>
  <c r="A1142" i="38"/>
  <c r="J1174" i="38"/>
  <c r="J719" i="38"/>
  <c r="J1043" i="38"/>
  <c r="J282" i="38"/>
  <c r="A119" i="38"/>
  <c r="J118" i="38"/>
  <c r="J1474" i="38"/>
  <c r="A1475" i="38"/>
  <c r="J1142" i="38" l="1"/>
  <c r="A1143" i="38"/>
  <c r="J1175" i="38"/>
  <c r="J720" i="38"/>
  <c r="J1044" i="38"/>
  <c r="J283" i="38"/>
  <c r="J119" i="38"/>
  <c r="A120" i="38"/>
  <c r="A1476" i="38"/>
  <c r="J1475" i="38"/>
  <c r="A1144" i="38" l="1"/>
  <c r="J1143" i="38"/>
  <c r="J1177" i="38"/>
  <c r="J1178" i="38"/>
  <c r="J721" i="38"/>
  <c r="J1045" i="38"/>
  <c r="J284" i="38"/>
  <c r="A1477" i="38"/>
  <c r="J1476" i="38"/>
  <c r="A121" i="38"/>
  <c r="J120" i="38"/>
  <c r="A1145" i="38" l="1"/>
  <c r="J1144" i="38"/>
  <c r="J722" i="38"/>
  <c r="J1046" i="38"/>
  <c r="J285" i="38"/>
  <c r="A122" i="38"/>
  <c r="J121" i="38"/>
  <c r="A1478" i="38"/>
  <c r="J1477" i="38"/>
  <c r="A1146" i="38" l="1"/>
  <c r="J1145" i="38"/>
  <c r="J723" i="38"/>
  <c r="J1047" i="38"/>
  <c r="J286" i="38"/>
  <c r="A1479" i="38"/>
  <c r="J1478" i="38"/>
  <c r="J122" i="38"/>
  <c r="A123" i="38"/>
  <c r="A1147" i="38" l="1"/>
  <c r="J1146" i="38"/>
  <c r="J724" i="38"/>
  <c r="J1048" i="38"/>
  <c r="J287" i="38"/>
  <c r="A1480" i="38"/>
  <c r="J1479" i="38"/>
  <c r="A124" i="38"/>
  <c r="J123" i="38"/>
  <c r="J1147" i="38" l="1"/>
  <c r="A1148" i="38"/>
  <c r="J725" i="38"/>
  <c r="J1049" i="38"/>
  <c r="J288" i="38"/>
  <c r="A1481" i="38"/>
  <c r="J1480" i="38"/>
  <c r="A125" i="38"/>
  <c r="J124" i="38"/>
  <c r="A1149" i="38" l="1"/>
  <c r="J1148" i="38"/>
  <c r="J726" i="38"/>
  <c r="J1050" i="38"/>
  <c r="J294" i="38"/>
  <c r="A126" i="38"/>
  <c r="J125" i="38"/>
  <c r="A1482" i="38"/>
  <c r="J1481" i="38"/>
  <c r="A1150" i="38" l="1"/>
  <c r="J1149" i="38"/>
  <c r="J727" i="38"/>
  <c r="J1051" i="38"/>
  <c r="J295" i="38"/>
  <c r="A1483" i="38"/>
  <c r="J1482" i="38"/>
  <c r="A127" i="38"/>
  <c r="J126" i="38"/>
  <c r="J1150" i="38" l="1"/>
  <c r="A1151" i="38"/>
  <c r="J1151" i="38" s="1"/>
  <c r="J728" i="38"/>
  <c r="J1052" i="38"/>
  <c r="J296" i="38"/>
  <c r="A128" i="38"/>
  <c r="J127" i="38"/>
  <c r="A1484" i="38"/>
  <c r="J1483" i="38"/>
  <c r="J729" i="38" l="1"/>
  <c r="J1053" i="38"/>
  <c r="J297" i="38"/>
  <c r="A129" i="38"/>
  <c r="J128" i="38"/>
  <c r="J1484" i="38"/>
  <c r="A1485" i="38"/>
  <c r="J730" i="38" l="1"/>
  <c r="J1054" i="38"/>
  <c r="J298" i="38"/>
  <c r="A1486" i="38"/>
  <c r="J1485" i="38"/>
  <c r="A130" i="38"/>
  <c r="J129" i="38"/>
  <c r="J731" i="38" l="1"/>
  <c r="J1055" i="38"/>
  <c r="J299" i="38"/>
  <c r="A1487" i="38"/>
  <c r="J1486" i="38"/>
  <c r="J130" i="38"/>
  <c r="A131" i="38"/>
  <c r="J732" i="38" l="1"/>
  <c r="J1056" i="38"/>
  <c r="J300" i="38"/>
  <c r="J131" i="38"/>
  <c r="A132" i="38"/>
  <c r="A1488" i="38"/>
  <c r="J1487" i="38"/>
  <c r="J733" i="38" l="1"/>
  <c r="J1057" i="38"/>
  <c r="J301" i="38"/>
  <c r="A1489" i="38"/>
  <c r="J1488" i="38"/>
  <c r="A133" i="38"/>
  <c r="J132" i="38"/>
  <c r="J734" i="38" l="1"/>
  <c r="J1058" i="38"/>
  <c r="J302" i="38"/>
  <c r="A134" i="38"/>
  <c r="J133" i="38"/>
  <c r="A1490" i="38"/>
  <c r="J1489" i="38"/>
  <c r="J735" i="38" l="1"/>
  <c r="J1059" i="38"/>
  <c r="J303" i="38"/>
  <c r="A135" i="38"/>
  <c r="J134" i="38"/>
  <c r="A1491" i="38"/>
  <c r="J1490" i="38"/>
  <c r="J736" i="38" l="1"/>
  <c r="J1060" i="38"/>
  <c r="J304" i="38"/>
  <c r="J1491" i="38"/>
  <c r="A136" i="38"/>
  <c r="J135" i="38"/>
  <c r="J737" i="38" l="1"/>
  <c r="J1061" i="38"/>
  <c r="J305" i="38"/>
  <c r="A137" i="38"/>
  <c r="J136" i="38"/>
  <c r="J738" i="38" l="1"/>
  <c r="J1062" i="38"/>
  <c r="J306" i="38"/>
  <c r="A138" i="38"/>
  <c r="J137" i="38"/>
  <c r="J739" i="38" l="1"/>
  <c r="J1063" i="38"/>
  <c r="J307" i="38"/>
  <c r="J138" i="38"/>
  <c r="A139" i="38"/>
  <c r="J740" i="38" l="1"/>
  <c r="J1064" i="38"/>
  <c r="J308" i="38"/>
  <c r="J139" i="38"/>
  <c r="A140" i="38"/>
  <c r="J741" i="38" l="1"/>
  <c r="J1065" i="38"/>
  <c r="J309" i="38"/>
  <c r="J140" i="38"/>
  <c r="A141" i="38"/>
  <c r="J742" i="38" l="1"/>
  <c r="J1066" i="38"/>
  <c r="J310" i="38"/>
  <c r="A142" i="38"/>
  <c r="J141" i="38"/>
  <c r="J743" i="38" l="1"/>
  <c r="J1067" i="38"/>
  <c r="J312" i="38"/>
  <c r="J311" i="38"/>
  <c r="A1492" i="38"/>
  <c r="J142" i="38"/>
  <c r="A143" i="38"/>
  <c r="J1492" i="38" l="1"/>
  <c r="A1493" i="38"/>
  <c r="J744" i="38"/>
  <c r="J1068" i="38"/>
  <c r="A144" i="38"/>
  <c r="J143" i="38"/>
  <c r="A1494" i="38" l="1"/>
  <c r="J1493" i="38"/>
  <c r="J745" i="38"/>
  <c r="J1069" i="38"/>
  <c r="A145" i="38"/>
  <c r="J144" i="38"/>
  <c r="J1494" i="38" l="1"/>
  <c r="A1495" i="38"/>
  <c r="J746" i="38"/>
  <c r="J1070" i="38"/>
  <c r="A146" i="38"/>
  <c r="J145" i="38"/>
  <c r="A1496" i="38" l="1"/>
  <c r="J1495" i="38"/>
  <c r="J747" i="38"/>
  <c r="J1071" i="38"/>
  <c r="J146" i="38"/>
  <c r="A147" i="38"/>
  <c r="J1496" i="38" l="1"/>
  <c r="A1497" i="38"/>
  <c r="J748" i="38"/>
  <c r="J1072" i="38"/>
  <c r="J147" i="38"/>
  <c r="A148" i="38"/>
  <c r="A1498" i="38" l="1"/>
  <c r="J1497" i="38"/>
  <c r="J749" i="38"/>
  <c r="J1073" i="38"/>
  <c r="A149" i="38"/>
  <c r="J148" i="38"/>
  <c r="A1499" i="38" l="1"/>
  <c r="J1499" i="38" s="1"/>
  <c r="J1498" i="38"/>
  <c r="J750" i="38"/>
  <c r="J1074" i="38"/>
  <c r="A150" i="38"/>
  <c r="J149" i="38"/>
  <c r="J751" i="38" l="1"/>
  <c r="J1075" i="38"/>
  <c r="A151" i="38"/>
  <c r="J150" i="38"/>
  <c r="J752" i="38" l="1"/>
  <c r="J1076" i="38"/>
  <c r="J151" i="38"/>
  <c r="A152" i="38"/>
  <c r="J753" i="38" l="1"/>
  <c r="J1077" i="38"/>
  <c r="A153" i="38"/>
  <c r="J152" i="38"/>
  <c r="J754" i="38" l="1"/>
  <c r="J1078" i="38"/>
  <c r="A154" i="38"/>
  <c r="J153" i="38"/>
  <c r="J755" i="38" l="1"/>
  <c r="J1079" i="38"/>
  <c r="J1080" i="38"/>
  <c r="J154" i="38"/>
  <c r="A155" i="38"/>
  <c r="J756" i="38" l="1"/>
  <c r="A156" i="38"/>
  <c r="J155" i="38"/>
  <c r="J757" i="38" l="1"/>
  <c r="A157" i="38"/>
  <c r="J156" i="38"/>
  <c r="J758" i="38" l="1"/>
  <c r="A158" i="38"/>
  <c r="J157" i="38"/>
  <c r="J759" i="38" l="1"/>
  <c r="A159" i="38"/>
  <c r="J158" i="38"/>
  <c r="J760" i="38" l="1"/>
  <c r="A160" i="38"/>
  <c r="J159" i="38"/>
  <c r="J761" i="38" l="1"/>
  <c r="A161" i="38"/>
  <c r="J160" i="38"/>
  <c r="J762" i="38" l="1"/>
  <c r="A162" i="38"/>
  <c r="J161" i="38"/>
  <c r="J763" i="38" l="1"/>
  <c r="J162" i="38"/>
  <c r="A163" i="38"/>
  <c r="J764" i="38" l="1"/>
  <c r="J163" i="38"/>
  <c r="A164" i="38"/>
  <c r="J765" i="38" l="1"/>
  <c r="A165" i="38"/>
  <c r="J164" i="38"/>
  <c r="J766" i="38" l="1"/>
  <c r="A166" i="38"/>
  <c r="J165" i="38"/>
  <c r="J767" i="38" l="1"/>
  <c r="A167" i="38"/>
  <c r="J166" i="38"/>
  <c r="J768" i="38" l="1"/>
  <c r="A168" i="38"/>
  <c r="J167" i="38"/>
  <c r="J769" i="38" l="1"/>
  <c r="A169" i="38"/>
  <c r="J169" i="38" s="1"/>
  <c r="J168" i="38"/>
  <c r="J770" i="38" l="1"/>
  <c r="J771" i="38" l="1"/>
  <c r="J772" i="38" l="1"/>
  <c r="J773" i="38" l="1"/>
  <c r="J774" i="38" l="1"/>
  <c r="J775" i="38" l="1"/>
  <c r="J776" i="38" l="1"/>
  <c r="J777" i="38" l="1"/>
  <c r="J778" i="38" l="1"/>
  <c r="J779" i="38" l="1"/>
  <c r="J780" i="38" l="1"/>
  <c r="J781" i="38" l="1"/>
  <c r="J782" i="38" l="1"/>
  <c r="J783" i="38" l="1"/>
  <c r="J784" i="38" l="1"/>
  <c r="J785" i="38" l="1"/>
  <c r="J786" i="38" l="1"/>
  <c r="J787" i="38" l="1"/>
  <c r="J788" i="38" l="1"/>
  <c r="J789" i="38" l="1"/>
  <c r="J790" i="38" l="1"/>
  <c r="J791" i="38" l="1"/>
  <c r="J792" i="38" l="1"/>
  <c r="J793" i="38" l="1"/>
  <c r="J794" i="38" l="1"/>
  <c r="J795" i="38" l="1"/>
  <c r="J796" i="38" l="1"/>
  <c r="J797" i="38" l="1"/>
  <c r="J798" i="38" l="1"/>
  <c r="J799" i="38" l="1"/>
  <c r="J800" i="38" l="1"/>
  <c r="J801" i="38" l="1"/>
  <c r="J802" i="38" l="1"/>
  <c r="J803" i="38" l="1"/>
  <c r="J804" i="38" l="1"/>
  <c r="J805" i="38" l="1"/>
  <c r="J806" i="38" l="1"/>
  <c r="J807" i="38" l="1"/>
  <c r="J808" i="38" l="1"/>
  <c r="J809" i="38" l="1"/>
  <c r="J810" i="38" l="1"/>
  <c r="J811" i="38" l="1"/>
  <c r="J812" i="38" l="1"/>
  <c r="J813" i="38" l="1"/>
  <c r="J814" i="38" l="1"/>
  <c r="J815" i="38" l="1"/>
  <c r="J816" i="38" l="1"/>
  <c r="J817" i="38" l="1"/>
  <c r="J818" i="38" l="1"/>
  <c r="J819" i="38" l="1"/>
  <c r="J820" i="38" l="1"/>
  <c r="J821" i="38" l="1"/>
  <c r="J822" i="38" l="1"/>
  <c r="J823" i="38" l="1"/>
  <c r="J824" i="38" l="1"/>
  <c r="J825" i="38" l="1"/>
  <c r="J826" i="38" l="1"/>
  <c r="J827" i="38" l="1"/>
  <c r="J828" i="38" l="1"/>
  <c r="J829" i="38" l="1"/>
  <c r="J830" i="38" l="1"/>
  <c r="J831" i="38" l="1"/>
  <c r="J832" i="38" l="1"/>
  <c r="J833" i="38" l="1"/>
  <c r="J834" i="38" l="1"/>
  <c r="J835" i="38" l="1"/>
  <c r="J836" i="38" l="1"/>
  <c r="J837" i="38" l="1"/>
  <c r="J838" i="38" l="1"/>
  <c r="J839" i="38" l="1"/>
  <c r="J840" i="38" l="1"/>
  <c r="J841" i="38" l="1"/>
  <c r="J842" i="38" l="1"/>
  <c r="J843" i="38" l="1"/>
  <c r="J844" i="38" l="1"/>
  <c r="J845" i="38" l="1"/>
  <c r="J846" i="38" l="1"/>
  <c r="J847" i="38" l="1"/>
  <c r="J848" i="38" l="1"/>
  <c r="J849" i="38" l="1"/>
  <c r="J850" i="38" l="1"/>
  <c r="J851" i="38" l="1"/>
  <c r="J852" i="38" l="1"/>
  <c r="J853" i="38" l="1"/>
  <c r="J854" i="38" l="1"/>
  <c r="J855" i="38" l="1"/>
  <c r="J856" i="38" l="1"/>
  <c r="J857" i="38" l="1"/>
  <c r="J858" i="38" l="1"/>
  <c r="J859" i="38" l="1"/>
  <c r="J860" i="38" l="1"/>
  <c r="J861" i="38" l="1"/>
  <c r="J862" i="38" l="1"/>
  <c r="J863" i="38" l="1"/>
  <c r="J864" i="38" l="1"/>
  <c r="J865" i="38" l="1"/>
  <c r="J866" i="38" l="1"/>
  <c r="J867" i="38" l="1"/>
  <c r="J868" i="38" l="1"/>
  <c r="J869" i="38" l="1"/>
  <c r="J870" i="38" l="1"/>
  <c r="J871" i="38" l="1"/>
  <c r="J872" i="38" l="1"/>
  <c r="J873" i="38" l="1"/>
  <c r="J874" i="38" l="1"/>
  <c r="J875" i="38" l="1"/>
  <c r="J876" i="38" l="1"/>
  <c r="J877" i="38" l="1"/>
  <c r="J878" i="38" l="1"/>
  <c r="J879" i="38" l="1"/>
  <c r="J880" i="38" l="1"/>
  <c r="J881" i="38" l="1"/>
  <c r="J882" i="38" l="1"/>
  <c r="J883" i="38" l="1"/>
  <c r="J884" i="38" l="1"/>
  <c r="J885" i="38" l="1"/>
  <c r="J886" i="38" l="1"/>
  <c r="J887" i="38" l="1"/>
  <c r="J888" i="38" l="1"/>
  <c r="J889" i="38" l="1"/>
  <c r="J890" i="38" l="1"/>
  <c r="J891" i="38" l="1"/>
  <c r="J892" i="38" l="1"/>
  <c r="J893" i="38" l="1"/>
  <c r="J894" i="38" l="1"/>
  <c r="J895" i="38" l="1"/>
  <c r="J896" i="38" l="1"/>
  <c r="J897" i="38" l="1"/>
  <c r="J898" i="38" l="1"/>
  <c r="J899" i="38" l="1"/>
  <c r="J900" i="38" l="1"/>
  <c r="J901" i="38" l="1"/>
  <c r="J902" i="38" l="1"/>
  <c r="J903" i="38" l="1"/>
  <c r="J904" i="38" l="1"/>
  <c r="J905" i="38" l="1"/>
  <c r="J906" i="38" l="1"/>
  <c r="J907" i="38" l="1"/>
  <c r="J908" i="38" l="1"/>
  <c r="J909" i="38" l="1"/>
  <c r="J910" i="38" l="1"/>
  <c r="J911" i="38" l="1"/>
  <c r="J912" i="38" l="1"/>
  <c r="J913" i="38" l="1"/>
  <c r="J914" i="38" l="1"/>
  <c r="J915" i="38" l="1"/>
  <c r="J916" i="38" l="1"/>
  <c r="J917" i="38" l="1"/>
  <c r="J918" i="38" l="1"/>
  <c r="J919" i="38" l="1"/>
  <c r="J920" i="38" l="1"/>
  <c r="J921" i="38" l="1"/>
  <c r="J922" i="38" l="1"/>
  <c r="J923" i="38" l="1"/>
  <c r="J924" i="38" l="1"/>
  <c r="J925" i="38" l="1"/>
  <c r="J926" i="38" l="1"/>
  <c r="J927" i="38" l="1"/>
  <c r="J928" i="38" l="1"/>
  <c r="J929" i="38" l="1"/>
  <c r="J930" i="38" l="1"/>
  <c r="J931" i="38" l="1"/>
  <c r="J932" i="38" l="1"/>
  <c r="J933" i="38" l="1"/>
  <c r="J934" i="38" l="1"/>
  <c r="J935" i="38" l="1"/>
  <c r="J936" i="38" l="1"/>
  <c r="J937" i="38" l="1"/>
  <c r="J938" i="38" l="1"/>
  <c r="J939" i="38" l="1"/>
  <c r="J940" i="38" l="1"/>
  <c r="J941" i="38" l="1"/>
  <c r="J942" i="38" l="1"/>
  <c r="J943" i="38" l="1"/>
  <c r="J944" i="38" l="1"/>
  <c r="J945" i="38" l="1"/>
  <c r="J946" i="38" l="1"/>
  <c r="J947" i="38" l="1"/>
  <c r="J948" i="38" l="1"/>
  <c r="J949" i="38" l="1"/>
  <c r="J950" i="38" l="1"/>
  <c r="J951" i="38" l="1"/>
  <c r="J952" i="38" l="1"/>
  <c r="J953" i="38" l="1"/>
  <c r="J954" i="38" l="1"/>
  <c r="J955" i="38" l="1"/>
  <c r="J956" i="38" l="1"/>
  <c r="J957" i="38" l="1"/>
  <c r="J958" i="38" l="1"/>
  <c r="J959" i="38" l="1"/>
  <c r="J960" i="38" l="1"/>
  <c r="J961" i="38" l="1"/>
  <c r="J962" i="38" l="1"/>
  <c r="J963" i="38" l="1"/>
  <c r="J964" i="38" l="1"/>
  <c r="J965" i="38" l="1"/>
  <c r="J966" i="38" l="1"/>
  <c r="J967" i="38" l="1"/>
  <c r="J968" i="38" l="1"/>
  <c r="J969" i="38" l="1"/>
  <c r="J970" i="38" l="1"/>
  <c r="J971" i="38" l="1"/>
  <c r="J972" i="38" l="1"/>
  <c r="J973" i="38" l="1"/>
  <c r="J974" i="38" l="1"/>
  <c r="J975" i="38" l="1"/>
  <c r="J976" i="38" l="1"/>
  <c r="J977" i="38" l="1"/>
  <c r="J978" i="38" l="1"/>
  <c r="J979" i="38" l="1"/>
  <c r="J980" i="38" l="1"/>
  <c r="J981" i="38" l="1"/>
  <c r="J983" i="38" l="1"/>
  <c r="J982" i="38"/>
  <c r="A1359" i="38" l="1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<sst xmlns="http://schemas.openxmlformats.org/spreadsheetml/2006/main" count="5006" uniqueCount="1389">
  <si>
    <t xml:space="preserve">CÓDIGO ÚNICO  DE   PEDIDO
</t>
  </si>
  <si>
    <t xml:space="preserve"> Pedido #</t>
  </si>
  <si>
    <t>FECHA DE 
ELABORACION</t>
  </si>
  <si>
    <t xml:space="preserve">Imagen del Producto </t>
  </si>
  <si>
    <t>Imagen de tabla para calculo de áreas</t>
  </si>
  <si>
    <t>INSTRUCTOR ENCARGADO</t>
  </si>
  <si>
    <t>Noe Rodriguez Páez</t>
  </si>
  <si>
    <t>CÉDULA</t>
  </si>
  <si>
    <t>PROGRAMA</t>
  </si>
  <si>
    <t>PRODUCCION MARROQUINERIA</t>
  </si>
  <si>
    <t>FICHA(#)</t>
  </si>
  <si>
    <t>NOMBRE DEL PRODUCTO</t>
  </si>
  <si>
    <t>Cuenco</t>
  </si>
  <si>
    <t>Destinación específica</t>
  </si>
  <si>
    <t>Marroquinería Formación</t>
  </si>
  <si>
    <t>VALOR DE UNA
 UNIDAD  ($)</t>
  </si>
  <si>
    <t>CANTIDAD A PRODUCIR</t>
  </si>
  <si>
    <t>VALOR  
PRODUCCION($)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</si>
  <si>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</si>
  <si>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</si>
  <si>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</si>
  <si>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</si>
  <si>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</si>
  <si>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</si>
  <si>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</si>
  <si>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</si>
  <si>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CUERO</t>
  </si>
  <si>
    <t>TALA</t>
  </si>
  <si>
    <t>HERRAMIENTAS_</t>
  </si>
  <si>
    <t xml:space="preserve">BASE O SUPERFICIE PARA CORTE SILICONADA
</t>
  </si>
  <si>
    <t>Restar_Pedido</t>
  </si>
  <si>
    <t xml:space="preserve">PINZAS PARA MONTAJE MONTAJE ROJO _ 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</si>
  <si>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</si>
  <si>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</si>
  <si>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</si>
  <si>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</si>
  <si>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</si>
  <si>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</si>
  <si>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</si>
  <si>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</si>
  <si>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</si>
  <si>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</si>
  <si>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</si>
  <si>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</si>
  <si>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</si>
  <si>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</si>
  <si>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</si>
  <si>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</si>
  <si>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</si>
  <si>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</si>
  <si>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</si>
  <si>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</si>
  <si>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</si>
  <si>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</si>
  <si>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</si>
  <si>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</si>
  <si>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</si>
  <si>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</si>
  <si>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</si>
  <si>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</si>
  <si>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</si>
  <si>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</si>
  <si>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</si>
  <si>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</si>
  <si>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</si>
  <si>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</si>
  <si>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</si>
  <si>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</si>
  <si>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</si>
  <si>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</si>
  <si>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</si>
  <si>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</si>
  <si>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</si>
  <si>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</si>
  <si>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</si>
  <si>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</si>
  <si>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</si>
  <si>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</si>
  <si>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</si>
  <si>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</si>
  <si>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</si>
  <si>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</si>
  <si>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</si>
  <si>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</si>
  <si>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</si>
  <si>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</si>
  <si>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Usa las de calzado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</si>
  <si>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</si>
  <si>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</si>
  <si>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</si>
  <si>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</si>
  <si>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</si>
  <si>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</si>
  <si>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</si>
  <si>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</si>
  <si>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</si>
  <si>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</si>
  <si>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</si>
  <si>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</si>
  <si>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</si>
  <si>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</si>
  <si>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</si>
  <si>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</si>
  <si>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</si>
  <si>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</si>
  <si>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</si>
  <si>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</si>
  <si>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</si>
  <si>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</si>
  <si>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</si>
  <si>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</si>
  <si>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</si>
  <si>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</si>
  <si>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</si>
  <si>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</si>
  <si>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</si>
  <si>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</si>
  <si>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</si>
  <si>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</si>
  <si>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</si>
  <si>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</si>
  <si>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</si>
  <si>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</si>
  <si>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</si>
  <si>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</si>
  <si>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</si>
  <si>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</si>
  <si>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</si>
  <si>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</si>
  <si>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</si>
  <si>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</si>
  <si>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</si>
  <si>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</si>
  <si>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</si>
  <si>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</si>
  <si>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</si>
  <si>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</si>
  <si>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</si>
  <si>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</si>
  <si>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</si>
  <si>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</si>
  <si>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</si>
  <si>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</si>
  <si>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</si>
  <si>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</si>
  <si>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</si>
  <si>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</si>
  <si>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</si>
  <si>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</si>
  <si>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</si>
  <si>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</si>
  <si>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</si>
  <si>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</si>
  <si>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</si>
  <si>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</si>
  <si>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</si>
  <si>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</si>
  <si>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</si>
  <si>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</si>
  <si>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</si>
  <si>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</si>
  <si>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</si>
  <si>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</si>
  <si>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</si>
  <si>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</si>
  <si>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</si>
  <si>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</si>
  <si>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</si>
  <si>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</si>
  <si>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</si>
  <si>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</si>
  <si>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</si>
  <si>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</si>
  <si>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</si>
  <si>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</si>
  <si>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</si>
  <si>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</si>
  <si>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</si>
  <si>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</si>
  <si>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</si>
  <si>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</si>
  <si>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</si>
  <si>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</si>
  <si>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</si>
  <si>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</si>
  <si>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</si>
  <si>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</si>
  <si>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</si>
  <si>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</si>
  <si>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</si>
  <si>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</si>
  <si>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</si>
  <si>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</si>
  <si>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</si>
  <si>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</si>
  <si>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</si>
  <si>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</si>
  <si>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</si>
  <si>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</si>
  <si>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</si>
  <si>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</si>
  <si>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</si>
  <si>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</si>
  <si>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</si>
  <si>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</si>
  <si>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</si>
  <si>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</si>
  <si>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</si>
  <si>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</si>
  <si>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</si>
  <si>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</si>
  <si>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</si>
  <si>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</si>
  <si>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</si>
  <si>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</si>
  <si>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</si>
  <si>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</si>
  <si>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</si>
  <si>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</si>
  <si>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</si>
  <si>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</si>
  <si>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</si>
  <si>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</si>
  <si>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</si>
  <si>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</si>
  <si>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</si>
  <si>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</si>
  <si>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</si>
  <si>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</si>
  <si>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</si>
  <si>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</si>
  <si>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</si>
  <si>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</si>
  <si>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</si>
  <si>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</si>
  <si>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</si>
  <si>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</si>
  <si>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</si>
  <si>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</si>
  <si>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</si>
  <si>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</si>
  <si>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</si>
  <si>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</si>
  <si>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</si>
  <si>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</si>
  <si>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</si>
  <si>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</si>
  <si>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</si>
  <si>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</si>
  <si>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</si>
  <si>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</si>
  <si>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</si>
  <si>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</si>
  <si>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</si>
  <si>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</si>
  <si>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</si>
  <si>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</si>
  <si>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</si>
  <si>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</si>
  <si>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</si>
  <si>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</si>
  <si>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</si>
  <si>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</si>
  <si>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</si>
  <si>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</si>
  <si>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</si>
  <si>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</si>
  <si>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</si>
  <si>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</si>
  <si>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</si>
  <si>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</si>
  <si>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</si>
  <si>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</si>
  <si>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</si>
  <si>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</si>
  <si>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</si>
  <si>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</si>
  <si>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</si>
  <si>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</si>
  <si>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</si>
  <si>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</si>
  <si>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</si>
  <si>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</si>
  <si>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</si>
  <si>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</si>
  <si>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</si>
  <si>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</si>
  <si>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</si>
  <si>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</si>
  <si>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</si>
  <si>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</si>
  <si>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</si>
  <si>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</si>
  <si>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</si>
  <si>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</si>
  <si>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</si>
  <si>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</si>
  <si>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</si>
  <si>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</si>
  <si>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</si>
  <si>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</si>
  <si>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</si>
  <si>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</si>
  <si>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</si>
  <si>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</si>
  <si>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</si>
  <si>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</si>
  <si>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</si>
  <si>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</si>
  <si>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</si>
  <si>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</si>
  <si>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</si>
  <si>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</si>
  <si>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</si>
  <si>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</si>
  <si>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</si>
  <si>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</si>
  <si>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</si>
  <si>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</si>
  <si>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</si>
  <si>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</si>
  <si>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</si>
  <si>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</si>
  <si>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</si>
  <si>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</si>
  <si>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</si>
  <si>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</si>
  <si>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</si>
  <si>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</si>
  <si>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</si>
  <si>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</si>
  <si>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</si>
  <si>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</si>
  <si>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</si>
  <si>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</si>
  <si>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</si>
  <si>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</si>
  <si>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</si>
  <si>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</si>
  <si>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</si>
  <si>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</si>
  <si>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</si>
  <si>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</si>
  <si>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</si>
  <si>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</si>
  <si>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</si>
  <si>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</si>
  <si>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</si>
  <si>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</si>
  <si>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</si>
  <si>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</si>
  <si>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</si>
  <si>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</si>
  <si>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</si>
  <si>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</si>
  <si>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</si>
  <si>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</si>
  <si>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</si>
  <si>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</si>
  <si>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</si>
  <si>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</si>
  <si>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</si>
  <si>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</si>
  <si>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</si>
  <si>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</si>
  <si>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</si>
  <si>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</si>
  <si>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</si>
  <si>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</si>
  <si>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</si>
  <si>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</si>
  <si>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</si>
  <si>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</si>
  <si>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</si>
  <si>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</si>
  <si>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</si>
  <si>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</si>
  <si>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</si>
  <si>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</si>
  <si>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</si>
  <si>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</si>
  <si>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</si>
  <si>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</si>
  <si>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</si>
  <si>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</si>
  <si>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</si>
  <si>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</si>
  <si>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</si>
  <si>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</si>
  <si>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</si>
  <si>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</si>
  <si>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</si>
  <si>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</si>
  <si>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</si>
  <si>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</si>
  <si>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</si>
  <si>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</si>
  <si>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</si>
  <si>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</si>
  <si>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</si>
  <si>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</si>
  <si>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</si>
  <si>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</si>
  <si>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</si>
  <si>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</si>
  <si>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</si>
  <si>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</si>
  <si>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</si>
  <si>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</si>
  <si>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</si>
  <si>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</si>
  <si>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</si>
  <si>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</si>
  <si>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</si>
  <si>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</si>
  <si>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</si>
  <si>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</si>
  <si>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</si>
  <si>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</si>
  <si>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</si>
  <si>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</si>
  <si>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</si>
  <si>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</si>
  <si>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</si>
  <si>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</si>
  <si>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</si>
  <si>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</si>
  <si>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</si>
  <si>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</si>
  <si>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</si>
  <si>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</si>
  <si>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</si>
  <si>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</si>
  <si>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</si>
  <si>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</si>
  <si>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</si>
  <si>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</si>
  <si>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</si>
  <si>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</si>
  <si>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</si>
  <si>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</si>
  <si>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</si>
  <si>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</si>
  <si>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</si>
  <si>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</si>
  <si>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</si>
  <si>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</si>
  <si>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</si>
  <si>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</si>
  <si>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</si>
  <si>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</si>
  <si>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</si>
  <si>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</si>
  <si>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</si>
  <si>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</si>
  <si>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</si>
  <si>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</si>
  <si>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</si>
  <si>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</si>
  <si>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</si>
  <si>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</si>
  <si>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</si>
  <si>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</si>
  <si>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</si>
  <si>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</si>
  <si>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</si>
  <si>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</si>
  <si>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</si>
  <si>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</si>
  <si>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</si>
  <si>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</si>
  <si>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</si>
  <si>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</si>
  <si>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</si>
  <si>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</si>
  <si>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</si>
  <si>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</si>
  <si>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</si>
  <si>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</si>
  <si>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</si>
  <si>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</si>
  <si>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</si>
  <si>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</si>
  <si>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</si>
  <si>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</si>
  <si>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</si>
  <si>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</si>
  <si>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</si>
  <si>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</si>
  <si>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</si>
  <si>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</si>
  <si>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</si>
  <si>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</si>
  <si>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</si>
  <si>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</si>
  <si>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</si>
  <si>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</si>
  <si>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</si>
  <si>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</si>
  <si>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</si>
  <si>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</si>
  <si>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</si>
  <si>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</si>
  <si>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</si>
  <si>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</si>
  <si>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</si>
  <si>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</si>
  <si>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</si>
  <si>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</si>
  <si>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</si>
  <si>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</si>
  <si>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</si>
  <si>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</si>
  <si>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</si>
  <si>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</si>
  <si>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</si>
  <si>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</si>
  <si>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</si>
  <si>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</si>
  <si>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</si>
  <si>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</si>
  <si>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</si>
  <si>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</si>
  <si>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</si>
  <si>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</si>
  <si>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</si>
  <si>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</si>
  <si>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</si>
  <si>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</si>
  <si>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</si>
  <si>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</si>
  <si>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</si>
  <si>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</si>
  <si>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</si>
  <si>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</si>
  <si>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</si>
  <si>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</si>
  <si>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</si>
  <si>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</si>
  <si>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</si>
  <si>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</si>
  <si>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</si>
  <si>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</si>
  <si>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</si>
  <si>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</si>
  <si>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</si>
  <si>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</si>
  <si>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</si>
  <si>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</si>
  <si>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</si>
  <si>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</si>
  <si>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</si>
  <si>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</si>
  <si>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</si>
  <si>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</si>
  <si>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</si>
  <si>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</si>
  <si>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</si>
  <si>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</si>
  <si>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</si>
  <si>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</si>
  <si>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</si>
  <si>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</si>
  <si>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</si>
  <si>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</si>
  <si>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</si>
  <si>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</si>
  <si>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</si>
  <si>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</si>
  <si>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</si>
  <si>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</si>
  <si>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</si>
  <si>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</si>
  <si>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</si>
  <si>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</si>
  <si>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</si>
  <si>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</si>
  <si>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</si>
  <si>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</si>
  <si>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</si>
  <si>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</si>
  <si>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</si>
  <si>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</si>
  <si>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</si>
  <si>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</si>
  <si>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</si>
  <si>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</si>
  <si>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</si>
  <si>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</si>
  <si>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</si>
  <si>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</si>
  <si>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</si>
  <si>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</si>
  <si>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</si>
  <si>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</si>
  <si>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</si>
  <si>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</si>
  <si>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</si>
  <si>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</si>
  <si>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</si>
  <si>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</si>
  <si>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</si>
  <si>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</si>
  <si>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</si>
  <si>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</si>
  <si>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</si>
  <si>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</si>
  <si>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</si>
  <si>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</si>
  <si>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</si>
  <si>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</si>
  <si>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</si>
  <si>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</si>
  <si>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</si>
  <si>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</si>
  <si>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</si>
  <si>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</si>
  <si>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</si>
  <si>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</si>
  <si>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</si>
  <si>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</si>
  <si>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</si>
  <si>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</si>
  <si>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</si>
  <si>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</si>
  <si>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</si>
  <si>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</si>
  <si>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</si>
  <si>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</si>
  <si>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</si>
  <si>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</si>
  <si>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</si>
  <si>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</si>
  <si>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</si>
  <si>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</si>
  <si>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</si>
  <si>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</si>
  <si>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</si>
  <si>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</si>
  <si>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</si>
  <si>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</si>
  <si>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</si>
  <si>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</si>
  <si>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</si>
  <si>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</si>
  <si>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</si>
  <si>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</si>
  <si>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</si>
  <si>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</si>
  <si>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</si>
  <si>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</si>
  <si>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</si>
  <si>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</si>
  <si>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</si>
  <si>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</si>
  <si>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</si>
  <si>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</si>
  <si>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</si>
  <si>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</si>
  <si>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</si>
  <si>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</si>
  <si>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</si>
  <si>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</si>
  <si>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</si>
  <si>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</si>
  <si>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</si>
  <si>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</si>
  <si>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</si>
  <si>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</si>
  <si>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</si>
  <si>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</si>
  <si>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</si>
  <si>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</si>
  <si>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</si>
  <si>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</si>
  <si>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</si>
  <si>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</si>
  <si>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</si>
  <si>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</si>
  <si>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</si>
  <si>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</si>
  <si>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</si>
  <si>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</si>
  <si>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</si>
  <si>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</si>
  <si>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</si>
  <si>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</si>
  <si>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</si>
  <si>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</si>
  <si>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</si>
  <si>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</si>
  <si>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</si>
  <si>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</si>
  <si>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</si>
  <si>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</si>
  <si>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</si>
  <si>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</si>
  <si>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</si>
  <si>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</si>
  <si>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</si>
  <si>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</si>
  <si>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</si>
  <si>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</si>
  <si>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</si>
  <si>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</si>
  <si>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</si>
  <si>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</si>
  <si>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</si>
  <si>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</si>
  <si>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</si>
  <si>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</si>
  <si>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</si>
  <si>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</si>
  <si>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</si>
  <si>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</si>
  <si>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</si>
  <si>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</si>
  <si>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</si>
  <si>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</si>
  <si>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</si>
  <si>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</si>
  <si>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</si>
  <si>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</si>
  <si>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</si>
  <si>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</si>
  <si>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</si>
  <si>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</si>
  <si>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</si>
  <si>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</si>
  <si>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</si>
  <si>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</si>
  <si>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</si>
  <si>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</si>
  <si>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</si>
  <si>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</si>
  <si>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</si>
  <si>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</si>
  <si>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</si>
  <si>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</si>
  <si>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</si>
  <si>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</si>
  <si>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</si>
  <si>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</si>
  <si>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</si>
  <si>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</si>
  <si>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</si>
  <si>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</si>
  <si>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</si>
  <si>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</si>
  <si>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</si>
  <si>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</si>
  <si>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</si>
  <si>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</si>
  <si>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</si>
  <si>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</si>
  <si>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</si>
  <si>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</si>
  <si>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</si>
  <si>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</si>
  <si>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</si>
  <si>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</si>
  <si>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</si>
  <si>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</si>
  <si>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</si>
  <si>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</si>
  <si>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</si>
  <si>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</si>
  <si>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</si>
  <si>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</si>
  <si>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</si>
  <si>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</si>
  <si>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</si>
  <si>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</si>
  <si>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</si>
  <si>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</si>
  <si>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</si>
  <si>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</si>
  <si>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</si>
  <si>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</si>
  <si>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</si>
  <si>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</si>
  <si>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</si>
  <si>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</si>
  <si>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</si>
  <si>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</si>
  <si>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</si>
  <si>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</si>
  <si>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</si>
  <si>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</si>
  <si>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</si>
  <si>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</si>
  <si>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</si>
  <si>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</si>
  <si>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</si>
  <si>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</si>
  <si>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</si>
  <si>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</si>
  <si>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</si>
  <si>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</si>
  <si>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</si>
  <si>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</si>
  <si>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</si>
  <si>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</si>
  <si>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</si>
  <si>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</si>
  <si>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</si>
  <si>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</si>
  <si>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</si>
  <si>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</si>
  <si>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</si>
  <si>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</si>
  <si>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</si>
  <si>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</si>
  <si>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</si>
  <si>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</si>
  <si>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</si>
  <si>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</si>
  <si>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</si>
  <si>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</si>
  <si>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</si>
  <si>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</si>
  <si>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</si>
  <si>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</si>
  <si>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</si>
  <si>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</si>
  <si>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</si>
  <si>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</si>
  <si>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</si>
  <si>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</si>
  <si>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</si>
  <si>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</si>
  <si>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</si>
  <si>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</si>
  <si>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</si>
  <si>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</si>
  <si>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</si>
  <si>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</si>
  <si>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</si>
  <si>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</si>
  <si>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</si>
  <si>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</si>
  <si>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</si>
  <si>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</si>
  <si>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</si>
  <si>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</si>
  <si>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</si>
  <si>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</si>
  <si>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</si>
  <si>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</si>
  <si>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</si>
  <si>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</si>
  <si>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</si>
  <si>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</si>
  <si>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</si>
  <si>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</si>
  <si>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</si>
  <si>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</si>
  <si>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</si>
  <si>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</si>
  <si>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</si>
  <si>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</si>
  <si>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</si>
  <si>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</si>
  <si>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</si>
  <si>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</si>
  <si>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</si>
  <si>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</si>
  <si>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</si>
  <si>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</si>
  <si>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</si>
  <si>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</si>
  <si>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</si>
  <si>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</si>
  <si>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</si>
  <si>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</si>
  <si>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</si>
  <si>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</si>
  <si>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</si>
  <si>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</si>
  <si>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</si>
  <si>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</si>
  <si>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</si>
  <si>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</si>
  <si>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</si>
  <si>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</si>
  <si>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</si>
  <si>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</si>
  <si>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</si>
  <si>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</si>
  <si>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</si>
  <si>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</si>
  <si>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</si>
  <si>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</si>
  <si>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</si>
  <si>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</si>
  <si>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</si>
  <si>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</si>
  <si>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</si>
  <si>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</si>
  <si>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</si>
  <si>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</si>
  <si>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</si>
  <si>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</si>
  <si>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</si>
  <si>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</si>
  <si>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</si>
  <si>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</si>
  <si>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</si>
  <si>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</si>
  <si>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</si>
  <si>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</si>
  <si>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</si>
  <si>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</si>
  <si>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</si>
  <si>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</si>
  <si>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</si>
  <si>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</si>
  <si>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</si>
  <si>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</si>
  <si>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</si>
  <si>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</si>
  <si>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</si>
  <si>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</si>
  <si>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</si>
  <si>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</si>
  <si>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</si>
  <si>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</si>
  <si>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</si>
  <si>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</si>
  <si>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</si>
  <si>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</si>
  <si>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</si>
  <si>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</si>
  <si>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</si>
  <si>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</si>
  <si>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</si>
  <si>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</si>
  <si>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</si>
  <si>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</si>
  <si>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</si>
  <si>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</si>
  <si>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</si>
  <si>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</si>
  <si>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</si>
  <si>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</si>
  <si>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</si>
  <si>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</si>
  <si>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</si>
  <si>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</si>
  <si>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</si>
  <si>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</si>
  <si>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</si>
  <si>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</si>
  <si>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</si>
  <si>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</si>
  <si>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</si>
  <si>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</si>
  <si>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</si>
  <si>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</si>
  <si>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</si>
  <si>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</si>
  <si>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</si>
  <si>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</si>
  <si>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</si>
  <si>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</si>
  <si>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</si>
  <si>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</si>
  <si>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</si>
  <si>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</si>
  <si>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</si>
  <si>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</si>
  <si>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</si>
  <si>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</si>
  <si>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</si>
  <si>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</si>
  <si>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</si>
  <si>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</si>
  <si>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</si>
  <si>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</si>
  <si>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</si>
  <si>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</si>
  <si>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</si>
  <si>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</si>
  <si>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</si>
  <si>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</si>
  <si>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</si>
  <si>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</si>
  <si>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</si>
  <si>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</si>
  <si>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</si>
  <si>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</si>
  <si>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</si>
  <si>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</si>
  <si>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</si>
  <si>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</si>
  <si>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</si>
  <si>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</si>
  <si>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</si>
  <si>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</si>
  <si>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</si>
  <si>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</si>
  <si>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</si>
  <si>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</si>
  <si>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</si>
  <si>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</si>
  <si>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</si>
  <si>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</si>
  <si>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</si>
  <si>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</si>
  <si>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</si>
  <si>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</si>
  <si>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</si>
  <si>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</si>
  <si>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</si>
  <si>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</si>
  <si>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</si>
  <si>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</si>
  <si>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</si>
  <si>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</si>
  <si>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</si>
  <si>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</si>
  <si>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</si>
  <si>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</si>
  <si>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</si>
  <si>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</si>
  <si>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</si>
  <si>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</si>
  <si>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</si>
  <si>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</si>
  <si>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</si>
  <si>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</si>
  <si>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</si>
  <si>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</si>
  <si>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</si>
  <si>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</si>
  <si>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</si>
  <si>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</si>
  <si>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</si>
  <si>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</si>
  <si>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</si>
  <si>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</si>
  <si>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</si>
  <si>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</si>
  <si>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</si>
  <si>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</si>
  <si>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</si>
  <si>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</si>
  <si>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</si>
  <si>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</si>
  <si>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</si>
  <si>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</si>
  <si>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</si>
  <si>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</si>
  <si>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</si>
  <si>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</si>
  <si>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</si>
  <si>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</si>
  <si>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</si>
  <si>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</si>
  <si>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</si>
  <si>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</si>
  <si>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</si>
  <si>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</si>
  <si>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</si>
  <si>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</si>
  <si>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</si>
  <si>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</si>
  <si>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</si>
  <si>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</si>
  <si>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</si>
  <si>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</si>
  <si>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</si>
  <si>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</si>
  <si>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</si>
  <si>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</si>
  <si>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</si>
  <si>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</si>
  <si>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</si>
  <si>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</si>
  <si>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</si>
  <si>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</si>
  <si>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</si>
  <si>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</si>
  <si>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</si>
  <si>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</si>
  <si>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</si>
  <si>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</si>
  <si>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</si>
  <si>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</si>
  <si>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</si>
  <si>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</si>
  <si>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</si>
  <si>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</si>
  <si>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</si>
  <si>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</si>
  <si>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</si>
  <si>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</si>
  <si>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</si>
  <si>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</si>
  <si>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</si>
  <si>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</si>
  <si>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</si>
  <si>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</si>
  <si>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</si>
  <si>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</si>
  <si>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</si>
  <si>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</si>
  <si>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</si>
  <si>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</si>
  <si>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</si>
  <si>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</si>
  <si>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</si>
  <si>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</si>
  <si>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</si>
  <si>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</si>
  <si>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</si>
  <si>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</si>
  <si>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</si>
  <si>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</si>
  <si>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</si>
  <si>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</si>
  <si>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</si>
  <si>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</si>
  <si>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</si>
  <si>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</si>
  <si>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</si>
  <si>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</si>
  <si>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</si>
  <si>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</si>
  <si>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</si>
  <si>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</si>
  <si>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</si>
  <si>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</si>
  <si>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</si>
  <si>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</si>
  <si>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</si>
  <si>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</si>
  <si>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</si>
  <si>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</si>
  <si>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</si>
  <si>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</si>
  <si>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</si>
  <si>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</si>
  <si>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</si>
  <si>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</si>
  <si>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</si>
  <si>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</si>
  <si>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</si>
  <si>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</si>
  <si>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</si>
  <si>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</si>
  <si>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</si>
  <si>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</si>
  <si>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</si>
  <si>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</si>
  <si>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</si>
  <si>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</si>
  <si>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</si>
  <si>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</si>
  <si>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</si>
  <si>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</si>
  <si>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</si>
  <si>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</si>
  <si>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</si>
  <si>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</si>
  <si>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</si>
  <si>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</si>
  <si>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</si>
  <si>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</si>
  <si>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</si>
  <si>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</si>
  <si>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</si>
  <si>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</si>
  <si>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</si>
  <si>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</si>
  <si>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</si>
  <si>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</si>
  <si>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</si>
  <si>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</si>
  <si>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</si>
  <si>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</si>
  <si>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</si>
  <si>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</si>
  <si>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</si>
  <si>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</si>
  <si>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</si>
  <si>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</si>
  <si>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</si>
  <si>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</si>
  <si>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</si>
  <si>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</si>
  <si>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</si>
  <si>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</si>
  <si>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</si>
  <si>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</si>
  <si>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</si>
  <si>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</si>
  <si>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</si>
  <si>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</si>
  <si>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</si>
  <si>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</si>
  <si>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</si>
  <si>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</si>
  <si>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</si>
  <si>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</si>
  <si>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</si>
  <si>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</si>
  <si>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</si>
  <si>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</si>
  <si>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</si>
  <si>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</si>
  <si>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</si>
  <si>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</si>
  <si>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</si>
  <si>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</si>
  <si>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</si>
  <si>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</si>
  <si>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</si>
  <si>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</si>
  <si>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</si>
  <si>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</si>
  <si>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</si>
  <si>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</si>
  <si>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</si>
  <si>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</si>
  <si>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</si>
  <si>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</si>
  <si>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</si>
  <si>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</si>
  <si>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</si>
  <si>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</si>
  <si>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</si>
  <si>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</si>
  <si>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</si>
  <si>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</si>
  <si>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</si>
  <si>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</si>
  <si>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</si>
  <si>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</si>
  <si>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</si>
  <si>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</si>
  <si>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</si>
  <si>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</si>
  <si>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</si>
  <si>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</si>
  <si>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</si>
  <si>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</si>
  <si>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</si>
  <si>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</si>
  <si>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</si>
  <si>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</si>
  <si>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</si>
  <si>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</si>
  <si>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</si>
  <si>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</si>
  <si>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</si>
  <si>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</si>
  <si>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</si>
  <si>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</si>
  <si>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</si>
  <si>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</si>
  <si>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</si>
  <si>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</si>
  <si>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</si>
  <si>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</si>
  <si>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</si>
  <si>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</si>
  <si>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</si>
  <si>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</si>
  <si>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</si>
  <si>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</si>
  <si>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</si>
  <si>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</si>
  <si>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</si>
  <si>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</si>
  <si>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</si>
  <si>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</si>
  <si>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</si>
  <si>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</si>
  <si>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</si>
  <si>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</si>
  <si>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</si>
  <si>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</si>
  <si>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</si>
  <si>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</si>
  <si>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</si>
  <si>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</si>
  <si>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</si>
  <si>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</si>
  <si>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</si>
  <si>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</si>
  <si>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</si>
  <si>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</si>
  <si>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</si>
  <si>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</si>
  <si>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</si>
  <si>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</si>
  <si>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</si>
  <si>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</si>
  <si>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</si>
  <si>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</si>
  <si>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</si>
  <si>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</si>
  <si>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</si>
  <si>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</si>
  <si>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</si>
  <si>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</si>
  <si>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</si>
  <si>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</si>
  <si>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</si>
  <si>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</si>
  <si>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</si>
  <si>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</si>
  <si>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</si>
  <si>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</si>
  <si>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</si>
  <si>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</si>
  <si>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</si>
  <si>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</si>
  <si>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</si>
  <si>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</si>
  <si>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</si>
  <si>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</si>
  <si>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</si>
  <si>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</si>
  <si>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</si>
  <si>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</si>
  <si>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</si>
  <si>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</si>
  <si>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</si>
  <si>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</si>
  <si>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</si>
  <si>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</si>
  <si>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</si>
  <si>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</si>
  <si>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</si>
  <si>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</si>
  <si>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</si>
  <si>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</si>
  <si>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</si>
  <si>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</si>
  <si>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</si>
  <si>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</si>
  <si>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</si>
  <si>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</si>
  <si>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</si>
  <si>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</si>
  <si>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Elizaveth Mancera Escobar</t>
  </si>
  <si>
    <t>Negro</t>
  </si>
  <si>
    <t>Galon</t>
  </si>
  <si>
    <t>Elkin Zuelta Montoya</t>
  </si>
  <si>
    <t xml:space="preserve">Rojo </t>
  </si>
  <si>
    <t>Garrafa</t>
  </si>
  <si>
    <t>gf</t>
  </si>
  <si>
    <t>MANTAJE Y ENSUELADO</t>
  </si>
  <si>
    <t>Emely Rivera Delgado</t>
  </si>
  <si>
    <t>Verde</t>
  </si>
  <si>
    <t>gramos</t>
  </si>
  <si>
    <t>Fredy Calderón Lozano</t>
  </si>
  <si>
    <t>Gloria Pabon Yepes</t>
  </si>
  <si>
    <t>kilogramo</t>
  </si>
  <si>
    <t>Jorge Hernandez Cano</t>
  </si>
  <si>
    <t>Jorge Mario Correa  Castañeda</t>
  </si>
  <si>
    <t>Lamina</t>
  </si>
  <si>
    <t>Juan Hoyos Maya</t>
  </si>
  <si>
    <t>Libra</t>
  </si>
  <si>
    <t>Juan Velásquez Rivas</t>
  </si>
  <si>
    <t xml:space="preserve">	3396236</t>
  </si>
  <si>
    <t>Litro</t>
  </si>
  <si>
    <t>Juan Villa Salazar</t>
  </si>
  <si>
    <t>metros</t>
  </si>
  <si>
    <t>Juan Vivas Alarcon</t>
  </si>
  <si>
    <t>miligramos</t>
  </si>
  <si>
    <t>mg</t>
  </si>
  <si>
    <t>María Bolivar Agudelo</t>
  </si>
  <si>
    <t>mililitro</t>
  </si>
  <si>
    <t>Maribel Gil Zapata</t>
  </si>
  <si>
    <t>Maybelline Aristizabal</t>
  </si>
  <si>
    <t>Paquetre</t>
  </si>
  <si>
    <t>pares</t>
  </si>
  <si>
    <t xml:space="preserve">Orlando </t>
  </si>
  <si>
    <t>Paul  Tamayo Caviedes</t>
  </si>
  <si>
    <t>Ronald Quintero Aguilera</t>
  </si>
  <si>
    <t>Rubén  Patiño Ospina</t>
  </si>
  <si>
    <t>Unidad</t>
  </si>
  <si>
    <t>Samuel  Hernandez Alvarez</t>
  </si>
  <si>
    <t>Sebastian Tabares Osuna</t>
  </si>
  <si>
    <t>Sofia Delgado Monsalve</t>
  </si>
  <si>
    <t>Susana  Castaño Tirado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</si>
</sst>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\ d\ &quot;de&quot;\ mmmm\ &quot;de&quot;\ yyyy"/>
    <numFmt numFmtId="167" formatCode="_-* #,##0_-;\-* #,##0_-;_-* &quot;-&quot;??_-;_-@_-"/>
    <numFmt numFmtId="168" formatCode="0.000"/>
    <numFmt numFmtId="169" formatCode="_-&quot;$&quot;\ * #,##0.00_-;\-&quot;$&quot;\ * #,##0.00_-;_-&quot;$&quot;\ * &quot;-&quot;??_-;_-@"/>
    <numFmt numFmtId="170" formatCode="_-* #,##0.0_-;\-* #,##0.0_-;_-* &quot;-&quot;??_-;_-@_-"/>
    <numFmt numFmtId="171" formatCode="0;[Red]0"/>
    <numFmt numFmtId="172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164" fontId="27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499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7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7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8" xfId="0" applyFont="1" applyFill="1" applyBorder="1" applyAlignment="1">
      <alignment horizontal="center" wrapText="1"/>
    </xf>
    <xf numFmtId="0" fontId="0" fillId="24" borderId="39" xfId="0" applyFill="1" applyBorder="1"/>
    <xf numFmtId="0" fontId="0" fillId="24" borderId="40" xfId="0" applyFill="1" applyBorder="1" applyAlignment="1">
      <alignment horizontal="right"/>
    </xf>
    <xf numFmtId="0" fontId="34" fillId="0" borderId="39" xfId="35" applyFont="1" applyBorder="1" applyAlignment="1">
      <alignment vertical="center"/>
    </xf>
    <xf numFmtId="0" fontId="34" fillId="0" borderId="40" xfId="35" applyFont="1" applyBorder="1" applyAlignment="1">
      <alignment vertical="center"/>
    </xf>
    <xf numFmtId="0" fontId="0" fillId="24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24" borderId="40" xfId="0" applyFill="1" applyBorder="1"/>
    <xf numFmtId="0" fontId="0" fillId="24" borderId="39" xfId="0" applyFill="1" applyBorder="1" applyAlignment="1">
      <alignment vertical="center"/>
    </xf>
    <xf numFmtId="0" fontId="0" fillId="0" borderId="39" xfId="0" applyBorder="1"/>
    <xf numFmtId="0" fontId="0" fillId="0" borderId="40" xfId="0" applyBorder="1"/>
    <xf numFmtId="0" fontId="0" fillId="24" borderId="39" xfId="0" applyFill="1" applyBorder="1" applyAlignment="1">
      <alignment horizontal="left" vertical="center" wrapText="1"/>
    </xf>
    <xf numFmtId="0" fontId="0" fillId="24" borderId="40" xfId="0" applyFill="1" applyBorder="1" applyAlignment="1">
      <alignment horizontal="right" vertical="center" wrapText="1"/>
    </xf>
    <xf numFmtId="0" fontId="0" fillId="0" borderId="40" xfId="0" applyBorder="1" applyAlignment="1">
      <alignment horizontal="right"/>
    </xf>
    <xf numFmtId="0" fontId="0" fillId="24" borderId="37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2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70" fontId="28" fillId="28" borderId="11" xfId="0" applyNumberFormat="1" applyFont="1" applyFill="1" applyBorder="1" applyAlignment="1">
      <alignment horizontal="center" vertical="center"/>
    </xf>
    <xf numFmtId="0" fontId="0" fillId="25" borderId="37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3" xfId="0" applyFill="1" applyBorder="1" applyAlignment="1">
      <alignment vertical="top" wrapText="1"/>
    </xf>
    <xf numFmtId="170" fontId="30" fillId="32" borderId="11" xfId="32" applyNumberFormat="1" applyFont="1" applyFill="1" applyBorder="1" applyAlignment="1">
      <alignment horizontal="right" vertical="center" wrapText="1"/>
    </xf>
    <xf numFmtId="170" fontId="27" fillId="25" borderId="0" xfId="32" applyNumberFormat="1" applyFont="1" applyFill="1" applyAlignment="1">
      <alignment horizontal="right"/>
    </xf>
    <xf numFmtId="170" fontId="36" fillId="27" borderId="11" xfId="41" applyNumberFormat="1" applyFont="1" applyFill="1" applyBorder="1" applyAlignment="1">
      <alignment horizontal="right"/>
    </xf>
    <xf numFmtId="170" fontId="30" fillId="32" borderId="44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70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70" fontId="45" fillId="28" borderId="11" xfId="32" applyNumberFormat="1" applyFont="1" applyFill="1" applyBorder="1" applyAlignment="1">
      <alignment horizontal="right" vertical="center" wrapText="1"/>
    </xf>
    <xf numFmtId="170" fontId="46" fillId="24" borderId="11" xfId="32" applyNumberFormat="1" applyFont="1" applyFill="1" applyBorder="1" applyAlignment="1">
      <alignment horizontal="right" vertical="top"/>
    </xf>
    <xf numFmtId="0" fontId="0" fillId="25" borderId="44" xfId="0" applyFill="1" applyBorder="1" applyAlignment="1">
      <alignment horizontal="center" vertical="top" wrapText="1"/>
    </xf>
    <xf numFmtId="0" fontId="0" fillId="25" borderId="37" xfId="0" applyFill="1" applyBorder="1" applyAlignment="1">
      <alignment horizontal="center" vertical="top" wrapText="1"/>
    </xf>
    <xf numFmtId="170" fontId="49" fillId="25" borderId="45" xfId="32" applyNumberFormat="1" applyFont="1" applyFill="1" applyBorder="1" applyAlignment="1">
      <alignment horizontal="center" vertical="center" wrapText="1"/>
    </xf>
    <xf numFmtId="0" fontId="49" fillId="30" borderId="45" xfId="0" applyFont="1" applyFill="1" applyBorder="1" applyAlignment="1">
      <alignment horizontal="center" vertical="center" wrapText="1"/>
    </xf>
    <xf numFmtId="1" fontId="32" fillId="34" borderId="45" xfId="0" applyNumberFormat="1" applyFont="1" applyFill="1" applyBorder="1" applyAlignment="1">
      <alignment horizontal="center" vertical="center" wrapText="1"/>
    </xf>
    <xf numFmtId="170" fontId="30" fillId="32" borderId="37" xfId="32" applyNumberFormat="1" applyFont="1" applyFill="1" applyBorder="1" applyAlignment="1">
      <alignment horizontal="right" vertical="center" wrapText="1"/>
    </xf>
    <xf numFmtId="0" fontId="30" fillId="27" borderId="37" xfId="36" applyFont="1" applyFill="1" applyBorder="1" applyAlignment="1">
      <alignment horizontal="center" vertical="center" wrapText="1"/>
    </xf>
    <xf numFmtId="0" fontId="47" fillId="33" borderId="43" xfId="0" applyFont="1" applyFill="1" applyBorder="1" applyAlignment="1">
      <alignment horizontal="center" vertical="center"/>
    </xf>
    <xf numFmtId="0" fontId="48" fillId="30" borderId="43" xfId="0" applyFont="1" applyFill="1" applyBorder="1" applyAlignment="1">
      <alignment horizontal="center" vertical="top" wrapText="1"/>
    </xf>
    <xf numFmtId="0" fontId="50" fillId="36" borderId="46" xfId="0" applyFont="1" applyFill="1" applyBorder="1" applyAlignment="1">
      <alignment horizontal="center" vertical="center"/>
    </xf>
    <xf numFmtId="170" fontId="49" fillId="25" borderId="43" xfId="32" applyNumberFormat="1" applyFont="1" applyFill="1" applyBorder="1" applyAlignment="1">
      <alignment horizontal="center" vertical="center" wrapText="1"/>
    </xf>
    <xf numFmtId="0" fontId="48" fillId="30" borderId="43" xfId="0" applyFont="1" applyFill="1" applyBorder="1" applyAlignment="1">
      <alignment horizontal="center" vertical="center" wrapText="1"/>
    </xf>
    <xf numFmtId="0" fontId="49" fillId="30" borderId="43" xfId="0" applyFont="1" applyFill="1" applyBorder="1" applyAlignment="1">
      <alignment horizontal="center" vertical="center" wrapText="1"/>
    </xf>
    <xf numFmtId="1" fontId="32" fillId="34" borderId="43" xfId="0" applyNumberFormat="1" applyFont="1" applyFill="1" applyBorder="1" applyAlignment="1">
      <alignment horizontal="center" vertical="center" wrapText="1"/>
    </xf>
    <xf numFmtId="167" fontId="49" fillId="25" borderId="10" xfId="32" applyNumberFormat="1" applyFont="1" applyFill="1" applyBorder="1" applyAlignment="1">
      <alignment horizontal="center" vertical="center" wrapText="1"/>
    </xf>
    <xf numFmtId="1" fontId="49" fillId="35" borderId="43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7" fontId="49" fillId="25" borderId="11" xfId="32" applyNumberFormat="1" applyFont="1" applyFill="1" applyBorder="1" applyAlignment="1">
      <alignment horizontal="center" vertical="center" wrapText="1"/>
    </xf>
    <xf numFmtId="1" fontId="49" fillId="35" borderId="47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8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167" fontId="0" fillId="25" borderId="10" xfId="0" applyNumberFormat="1" applyFill="1" applyBorder="1" applyAlignment="1">
      <alignment vertical="top"/>
    </xf>
    <xf numFmtId="170" fontId="49" fillId="25" borderId="19" xfId="32" applyNumberFormat="1" applyFont="1" applyFill="1" applyBorder="1" applyAlignment="1">
      <alignment horizontal="center" vertical="center" wrapText="1"/>
    </xf>
    <xf numFmtId="167" fontId="49" fillId="25" borderId="49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70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50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8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7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2" xfId="0" applyFont="1" applyFill="1" applyBorder="1" applyAlignment="1">
      <alignment horizontal="center" vertical="center"/>
    </xf>
    <xf numFmtId="167" fontId="49" fillId="25" borderId="51" xfId="32" applyNumberFormat="1" applyFont="1" applyFill="1" applyBorder="1" applyAlignment="1">
      <alignment horizontal="center" vertical="center" wrapText="1"/>
    </xf>
    <xf numFmtId="0" fontId="48" fillId="30" borderId="46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7" xfId="0" applyFont="1" applyFill="1" applyBorder="1" applyAlignment="1">
      <alignment horizontal="center"/>
    </xf>
    <xf numFmtId="170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70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70" fontId="30" fillId="32" borderId="20" xfId="32" applyNumberFormat="1" applyFont="1" applyFill="1" applyBorder="1" applyAlignment="1">
      <alignment horizontal="right" vertical="center" wrapText="1"/>
    </xf>
    <xf numFmtId="167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70" fontId="30" fillId="0" borderId="0" xfId="32" applyNumberFormat="1" applyFont="1" applyFill="1" applyBorder="1" applyAlignment="1">
      <alignment horizontal="right" vertical="center" wrapText="1"/>
    </xf>
    <xf numFmtId="167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2" xfId="0" applyFont="1" applyFill="1" applyBorder="1" applyAlignment="1">
      <alignment horizontal="center"/>
    </xf>
    <xf numFmtId="170" fontId="0" fillId="25" borderId="11" xfId="32" applyNumberFormat="1" applyFont="1" applyFill="1" applyBorder="1" applyAlignment="1">
      <alignment horizontal="right"/>
    </xf>
    <xf numFmtId="167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70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9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70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2" xfId="0" applyFont="1" applyFill="1" applyBorder="1" applyAlignment="1">
      <alignment horizontal="center" vertical="center"/>
    </xf>
    <xf numFmtId="1" fontId="32" fillId="34" borderId="56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9" fontId="0" fillId="25" borderId="11" xfId="40" applyNumberFormat="1" applyFont="1" applyFill="1" applyBorder="1" applyAlignment="1">
      <alignment vertical="top" wrapText="1"/>
    </xf>
    <xf numFmtId="0" fontId="0" fillId="30" borderId="37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3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7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5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7" xfId="0" applyFill="1" applyBorder="1" applyAlignment="1">
      <alignment vertical="top" wrapText="1"/>
    </xf>
    <xf numFmtId="0" fontId="0" fillId="0" borderId="37" xfId="0" applyBorder="1" applyAlignment="1">
      <alignment vertical="top" wrapText="1"/>
    </xf>
    <xf numFmtId="0" fontId="0" fillId="0" borderId="37" xfId="0" applyBorder="1"/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30" fillId="27" borderId="42" xfId="37" applyFont="1" applyFill="1" applyBorder="1" applyAlignment="1">
      <alignment horizontal="center" vertical="center" wrapText="1"/>
    </xf>
    <xf numFmtId="0" fontId="0" fillId="25" borderId="43" xfId="0" applyFill="1" applyBorder="1" applyAlignment="1">
      <alignment horizontal="center" vertical="top" wrapText="1"/>
    </xf>
    <xf numFmtId="0" fontId="50" fillId="59" borderId="57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1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7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70" fontId="30" fillId="69" borderId="11" xfId="32" applyNumberFormat="1" applyFont="1" applyFill="1" applyBorder="1" applyAlignment="1">
      <alignment horizontal="right" vertical="center" wrapText="1"/>
    </xf>
    <xf numFmtId="170" fontId="30" fillId="0" borderId="11" xfId="32" applyNumberFormat="1" applyFont="1" applyFill="1" applyBorder="1" applyAlignment="1">
      <alignment horizontal="right" vertical="center" wrapText="1"/>
    </xf>
    <xf numFmtId="170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70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8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70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7" fontId="28" fillId="28" borderId="19" xfId="0" applyNumberFormat="1" applyFont="1" applyFill="1" applyBorder="1" applyAlignment="1">
      <alignment horizontal="center" vertical="center"/>
    </xf>
    <xf numFmtId="170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3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2" xfId="0" applyFont="1" applyFill="1" applyBorder="1" applyAlignment="1">
      <alignment horizontal="center" vertical="center"/>
    </xf>
    <xf numFmtId="0" fontId="77" fillId="36" borderId="52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0" borderId="37" xfId="0" applyBorder="1" applyAlignment="1">
      <alignment vertical="center"/>
    </xf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1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7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7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5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7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2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7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33" borderId="12" xfId="0" applyFont="1" applyFill="1" applyBorder="1" applyAlignment="1">
      <alignment horizontal="center" vertical="center"/>
    </xf>
    <xf numFmtId="0" fontId="0" fillId="24" borderId="11" xfId="0" applyFill="1" applyBorder="1" applyAlignment="1">
      <alignment vertical="center"/>
    </xf>
    <xf numFmtId="0" fontId="0" fillId="24" borderId="14" xfId="0" applyFill="1" applyBorder="1" applyAlignment="1">
      <alignment vertical="center"/>
    </xf>
    <xf numFmtId="0" fontId="0" fillId="24" borderId="41" xfId="0" applyFill="1" applyBorder="1" applyAlignment="1">
      <alignment vertical="center"/>
    </xf>
    <xf numFmtId="0" fontId="35" fillId="0" borderId="31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7" fontId="27" fillId="33" borderId="20" xfId="32" applyNumberFormat="1" applyFont="1" applyFill="1" applyBorder="1" applyAlignment="1" applyProtection="1">
      <alignment horizontal="right"/>
    </xf>
    <xf numFmtId="167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7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9" xfId="0" applyNumberFormat="1" applyFont="1" applyBorder="1" applyAlignment="1">
      <alignment horizontal="center" vertical="center"/>
    </xf>
    <xf numFmtId="2" fontId="35" fillId="0" borderId="30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7" fontId="37" fillId="28" borderId="20" xfId="32" applyNumberFormat="1" applyFont="1" applyFill="1" applyBorder="1" applyAlignment="1">
      <alignment horizontal="left" vertical="center"/>
    </xf>
    <xf numFmtId="167" fontId="37" fillId="28" borderId="27" xfId="32" applyNumberFormat="1" applyFont="1" applyFill="1" applyBorder="1" applyAlignment="1">
      <alignment horizontal="left" vertical="center"/>
    </xf>
    <xf numFmtId="167" fontId="37" fillId="28" borderId="28" xfId="32" applyNumberFormat="1" applyFont="1" applyFill="1" applyBorder="1" applyAlignment="1">
      <alignment horizontal="left" vertical="center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2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0" xfId="0" applyFont="1" applyBorder="1" applyAlignment="1" applyProtection="1">
      <alignment horizontal="center" vertical="center"/>
      <protection locked="0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8" fillId="28" borderId="36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5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6" fontId="33" fillId="0" borderId="12" xfId="0" applyNumberFormat="1" applyFont="1" applyBorder="1" applyAlignment="1" applyProtection="1">
      <alignment horizontal="center" vertical="center" wrapText="1"/>
      <protection locked="0"/>
    </xf>
    <xf numFmtId="166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2" fillId="34" borderId="28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4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3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74" fillId="70" borderId="66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7" fontId="37" fillId="41" borderId="20" xfId="32" applyNumberFormat="1" applyFont="1" applyFill="1" applyBorder="1" applyAlignment="1">
      <alignment horizontal="center" vertical="center"/>
    </xf>
    <xf numFmtId="167" fontId="37" fillId="41" borderId="27" xfId="32" applyNumberFormat="1" applyFont="1" applyFill="1" applyBorder="1" applyAlignment="1">
      <alignment horizontal="center" vertical="center"/>
    </xf>
    <xf numFmtId="167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4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7" fontId="55" fillId="28" borderId="23" xfId="32" applyNumberFormat="1" applyFont="1" applyFill="1" applyBorder="1" applyAlignment="1">
      <alignment horizontal="center" vertical="center"/>
    </xf>
    <xf numFmtId="167" fontId="55" fillId="28" borderId="12" xfId="32" applyNumberFormat="1" applyFont="1" applyFill="1" applyBorder="1" applyAlignment="1">
      <alignment horizontal="center" vertical="center"/>
    </xf>
    <xf numFmtId="167" fontId="66" fillId="28" borderId="20" xfId="32" applyNumberFormat="1" applyFont="1" applyFill="1" applyBorder="1" applyAlignment="1">
      <alignment horizontal="center" vertical="center"/>
    </xf>
    <xf numFmtId="167" fontId="66" fillId="28" borderId="27" xfId="32" applyNumberFormat="1" applyFont="1" applyFill="1" applyBorder="1" applyAlignment="1">
      <alignment horizontal="center" vertical="center"/>
    </xf>
    <xf numFmtId="167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32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72" fillId="0" borderId="60" xfId="0" applyFont="1" applyBorder="1" applyAlignment="1" applyProtection="1">
      <alignment horizontal="center" vertical="center"/>
      <protection locked="0"/>
    </xf>
    <xf numFmtId="0" fontId="0" fillId="76" borderId="29" xfId="0" applyFill="1" applyBorder="1" applyAlignment="1">
      <alignment horizontal="center" vertical="center" wrapText="1"/>
    </xf>
    <xf numFmtId="0" fontId="0" fillId="76" borderId="30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0" fillId="76" borderId="60" xfId="0" applyFill="1" applyBorder="1" applyAlignment="1">
      <alignment horizontal="center" vertical="center" wrapText="1"/>
    </xf>
    <xf numFmtId="0" fontId="39" fillId="28" borderId="33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4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4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4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4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7" fontId="64" fillId="66" borderId="11" xfId="32" applyNumberFormat="1" applyFont="1" applyFill="1" applyBorder="1" applyAlignment="1">
      <alignment vertical="center"/>
    </xf>
    <xf numFmtId="167" fontId="64" fillId="66" borderId="10" xfId="32" applyNumberFormat="1" applyFont="1" applyFill="1" applyBorder="1" applyAlignment="1">
      <alignment vertical="center"/>
    </xf>
    <xf numFmtId="167" fontId="64" fillId="66" borderId="18" xfId="32" applyNumberFormat="1" applyFont="1" applyFill="1" applyBorder="1" applyAlignment="1">
      <alignment vertical="center"/>
    </xf>
    <xf numFmtId="167" fontId="64" fillId="66" borderId="34" xfId="32" applyNumberFormat="1" applyFont="1" applyFill="1" applyBorder="1" applyAlignment="1">
      <alignment vertical="center"/>
    </xf>
    <xf numFmtId="167" fontId="64" fillId="66" borderId="13" xfId="32" applyNumberFormat="1" applyFont="1" applyFill="1" applyBorder="1" applyAlignment="1">
      <alignment vertical="center"/>
    </xf>
    <xf numFmtId="167" fontId="64" fillId="66" borderId="33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3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4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2" fontId="51" fillId="33" borderId="12" xfId="0" applyNumberFormat="1" applyFont="1" applyFill="1" applyBorder="1" applyAlignment="1">
      <alignment horizontal="center" vertical="center"/>
    </xf>
    <xf numFmtId="172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5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3" xfId="0" applyBorder="1" applyAlignment="1">
      <alignment horizontal="center" vertical="top"/>
    </xf>
    <xf numFmtId="0" fontId="0" fillId="0" borderId="54" xfId="0" applyBorder="1" applyAlignment="1">
      <alignment horizontal="center" vertical="top"/>
    </xf>
    <xf numFmtId="170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0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bottom style="thin">
          <color theme="4" tint="0.39997558519241921"/>
        </bottom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288481</xdr:colOff>
      <xdr:row>0</xdr:row>
      <xdr:rowOff>57150</xdr:rowOff>
    </xdr:from>
    <xdr:to>
      <xdr:col>24</xdr:col>
      <xdr:colOff>257175</xdr:colOff>
      <xdr:row>6</xdr:row>
      <xdr:rowOff>239433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7D1DD3E-0750-4342-9AF4-34C993CE90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89"/>
        <a:stretch/>
      </xdr:blipFill>
      <xdr:spPr>
        <a:xfrm>
          <a:off x="7403656" y="57150"/>
          <a:ext cx="2473769" cy="19539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6" tableBorderDxfId="107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58" totalsRowDxfId="59"/>
    <tableColumn id="2" xr3:uid="{0B5F05EF-8DE5-43F8-BCDB-C58EB922C38B}" name="Categoría" dataDxfId="56" totalsRowDxfId="57"/>
    <tableColumn id="3" xr3:uid="{38B15AD8-488F-4D82-8F77-8CACE55EAE76}" name="Unidad de Compra Almacen" dataDxfId="54" totalsRowDxfId="55"/>
    <tableColumn id="4" xr3:uid="{68BCE66F-8464-4FE7-AFCB-316BFC906D44}" name="Precio_x000a_Unidad de Compra ( $)" dataDxfId="52" totalsRowDxfId="53" dataCellStyle="Millares" totalsRowCellStyle="Millares"/>
    <tableColumn id="5" xr3:uid="{CC562903-3DA4-4ED7-9AC8-B90AF4ED0946}" name="Unidad Despacho Almacen" dataDxfId="50" totalsRowDxfId="51"/>
    <tableColumn id="6" xr3:uid="{72FB2BF8-D2B2-4A5A-8311-A64CABA79780}" name="Valor /U Despacho en Almacen" dataDxfId="48" totalsRowDxfId="49">
      <calculatedColumnFormula>IF(BD!$E1277="","",(E1277/(H1277*I1277)))</calculatedColumnFormula>
    </tableColumn>
    <tableColumn id="7" xr3:uid="{62D60037-B9DA-4D52-87A3-A7F22979F35D}" name="Magnitud_x000a_1 en U" dataDxfId="46" totalsRowDxfId="47" dataCellStyle="Normal 3 2" totalsRowCellStyle="Normal 3 2"/>
    <tableColumn id="8" xr3:uid="{7BC099BB-67EB-443A-8DBA-A3E1B1E6538E}" name="Magnitud_x000a_2 en U" dataDxfId="44" totalsRowDxfId="45" dataCellStyle="Normal 3 2" totalsRowCellStyle="Normal 3 2"/>
    <tableColumn id="9" xr3:uid="{D23BEB26-5F61-4AB5-81E4-3400821882E0}" name="Codigo en el  Almacén" dataDxfId="42" totalsRowDxfId="43">
      <calculatedColumnFormula>CONCATENATE(LEFT(C1277,1),"_",TEXT(A1277,"000"))</calculatedColumnFormula>
    </tableColumn>
    <tableColumn id="10" xr3:uid="{59247AA9-694D-4EA2-ABCD-2202BAF5679E}" name="Descripción" dataDxfId="40" totalsRowDxfId="4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0" tableBorderDxfId="21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2" tableBorderDxfId="13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9" tableBorderDxfId="10">
  <autoFilter ref="M1:M12" xr:uid="{00000000-0009-0000-0100-000007000000}"/>
  <sortState xmlns:xlrd2="http://schemas.microsoft.com/office/spreadsheetml/2017/richdata2"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5" tableBorderDxfId="6" totalsRowBorderDxfId="4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1" tableBorderDxfId="2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opLeftCell="C1" zoomScaleNormal="100" workbookViewId="0">
      <pane ySplit="8" topLeftCell="D9" activePane="bottomLeft" state="frozen"/>
      <selection pane="bottomLeft" activeCell="D4" sqref="D4:K4"/>
    </sheetView>
  </sheetViews>
  <sheetFormatPr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3"/>
      <c r="B1" s="364"/>
      <c r="C1" s="334" t="s">
        <v>0</v>
      </c>
      <c r="D1" s="335"/>
      <c r="E1" s="335"/>
      <c r="F1" s="348" t="str">
        <f>IF(E2="","",CONCATENATE(LEFT(E2,1),MID(E2,SEARCH(" ",E2)+1,1),TEXT(O1,"DD"),TEXT(O1,"MM"),"-",IF(K1="",1,K1)))</f>
        <v>NR0909-1</v>
      </c>
      <c r="G1" s="349"/>
      <c r="H1" s="350"/>
      <c r="I1" s="351" t="s">
        <v>1</v>
      </c>
      <c r="J1" s="352"/>
      <c r="K1" s="231"/>
      <c r="L1" s="320" t="s">
        <v>2</v>
      </c>
      <c r="M1" s="353"/>
      <c r="N1" s="353"/>
      <c r="O1" s="354">
        <v>45544</v>
      </c>
      <c r="P1" s="354"/>
      <c r="Q1" s="354"/>
      <c r="R1" s="355"/>
      <c r="S1" s="327" t="s">
        <v>3</v>
      </c>
      <c r="T1" s="327"/>
      <c r="U1" s="327"/>
      <c r="V1" s="327"/>
      <c r="W1" s="327"/>
      <c r="X1" s="327"/>
      <c r="Y1" s="328"/>
      <c r="Z1" s="296" t="s">
        <v>4</v>
      </c>
      <c r="AA1" s="297"/>
      <c r="AB1" s="297"/>
      <c r="AC1" s="297"/>
      <c r="AD1" s="297"/>
      <c r="AE1" s="297"/>
    </row>
    <row r="2" spans="1:31" ht="23.25" customHeight="1">
      <c r="A2" s="365"/>
      <c r="B2" s="366"/>
      <c r="C2" s="369" t="s">
        <v>5</v>
      </c>
      <c r="D2" s="370"/>
      <c r="E2" s="371" t="s">
        <v>6</v>
      </c>
      <c r="F2" s="372"/>
      <c r="G2" s="372"/>
      <c r="H2" s="372"/>
      <c r="I2" s="372"/>
      <c r="J2" s="372"/>
      <c r="K2" s="373"/>
      <c r="L2" s="318" t="s">
        <v>7</v>
      </c>
      <c r="M2" s="319"/>
      <c r="N2" s="320"/>
      <c r="O2" s="321">
        <f>IF(E2="","",INDEX(Listas!H2:I30,MATCH('Soli_citud '!E2,Intructores,0),2))</f>
        <v>19083108</v>
      </c>
      <c r="P2" s="321"/>
      <c r="Q2" s="321"/>
      <c r="R2" s="322"/>
      <c r="S2" s="327"/>
      <c r="T2" s="327"/>
      <c r="U2" s="327"/>
      <c r="V2" s="327"/>
      <c r="W2" s="327"/>
      <c r="X2" s="327"/>
      <c r="Y2" s="328"/>
      <c r="Z2" s="296"/>
      <c r="AA2" s="297"/>
      <c r="AB2" s="297"/>
      <c r="AC2" s="297"/>
      <c r="AD2" s="297"/>
      <c r="AE2" s="297"/>
    </row>
    <row r="3" spans="1:31" ht="24.75" customHeight="1">
      <c r="A3" s="367"/>
      <c r="B3" s="368"/>
      <c r="C3" s="384" t="s">
        <v>8</v>
      </c>
      <c r="D3" s="385"/>
      <c r="E3" s="386" t="s">
        <v>9</v>
      </c>
      <c r="F3" s="387"/>
      <c r="G3" s="387"/>
      <c r="H3" s="387"/>
      <c r="I3" s="387"/>
      <c r="J3" s="387"/>
      <c r="K3" s="388"/>
      <c r="L3" s="318" t="s">
        <v>10</v>
      </c>
      <c r="M3" s="319"/>
      <c r="N3" s="320"/>
      <c r="O3" s="306">
        <v>3075101</v>
      </c>
      <c r="P3" s="323"/>
      <c r="Q3" s="323"/>
      <c r="R3" s="323"/>
      <c r="S3" s="327"/>
      <c r="T3" s="327"/>
      <c r="U3" s="327"/>
      <c r="V3" s="327"/>
      <c r="W3" s="327"/>
      <c r="X3" s="327"/>
      <c r="Y3" s="328"/>
      <c r="Z3" s="296"/>
      <c r="AA3" s="297"/>
      <c r="AB3" s="297"/>
      <c r="AC3" s="297"/>
      <c r="AD3" s="297"/>
      <c r="AE3" s="297"/>
    </row>
    <row r="4" spans="1:31" ht="30.75" customHeight="1">
      <c r="A4" s="362" t="s">
        <v>11</v>
      </c>
      <c r="B4" s="362"/>
      <c r="C4" s="362"/>
      <c r="D4" s="356" t="s">
        <v>12</v>
      </c>
      <c r="E4" s="357"/>
      <c r="F4" s="357"/>
      <c r="G4" s="357"/>
      <c r="H4" s="357"/>
      <c r="I4" s="357"/>
      <c r="J4" s="357"/>
      <c r="K4" s="357"/>
      <c r="L4" s="358" t="s">
        <v>13</v>
      </c>
      <c r="M4" s="358"/>
      <c r="N4" s="358"/>
      <c r="O4" s="359" t="s">
        <v>14</v>
      </c>
      <c r="P4" s="360"/>
      <c r="Q4" s="360"/>
      <c r="R4" s="361"/>
      <c r="S4" s="327"/>
      <c r="T4" s="327"/>
      <c r="U4" s="327"/>
      <c r="V4" s="327"/>
      <c r="W4" s="327"/>
      <c r="X4" s="327"/>
      <c r="Y4" s="328"/>
      <c r="Z4" s="296"/>
      <c r="AA4" s="297"/>
      <c r="AB4" s="297"/>
      <c r="AC4" s="297"/>
      <c r="AD4" s="297"/>
      <c r="AE4" s="297"/>
    </row>
    <row r="5" spans="1:31" ht="29.25" customHeight="1">
      <c r="A5" s="389" t="s">
        <v>15</v>
      </c>
      <c r="B5" s="389"/>
      <c r="C5" s="389"/>
      <c r="D5" s="390">
        <f ca="1">IF(K5="","",(SUM(W10:Y28)-(SUMIF(U10:V28,"Restar_Pedido",W10:Y28)))/$K$5)</f>
        <v>25054.260000000002</v>
      </c>
      <c r="E5" s="391"/>
      <c r="F5" s="392"/>
      <c r="G5" s="369" t="s">
        <v>16</v>
      </c>
      <c r="H5" s="393"/>
      <c r="I5" s="393"/>
      <c r="J5" s="370"/>
      <c r="K5" s="332">
        <v>27</v>
      </c>
      <c r="L5" s="332"/>
      <c r="M5" s="333" t="s">
        <v>17</v>
      </c>
      <c r="N5" s="333"/>
      <c r="O5" s="324">
        <f ca="1">IFERROR(IF(K5=0,"",D5*K5),"")</f>
        <v>676465.02</v>
      </c>
      <c r="P5" s="325"/>
      <c r="Q5" s="325"/>
      <c r="R5" s="326"/>
      <c r="S5" s="327"/>
      <c r="T5" s="327"/>
      <c r="U5" s="327"/>
      <c r="V5" s="327"/>
      <c r="W5" s="327"/>
      <c r="X5" s="327"/>
      <c r="Y5" s="328"/>
      <c r="Z5" s="296"/>
      <c r="AA5" s="297"/>
      <c r="AB5" s="297"/>
      <c r="AC5" s="297"/>
      <c r="AD5" s="297"/>
      <c r="AE5" s="297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327"/>
      <c r="T6" s="327"/>
      <c r="U6" s="327"/>
      <c r="V6" s="327"/>
      <c r="W6" s="327"/>
      <c r="X6" s="327"/>
      <c r="Y6" s="328"/>
      <c r="Z6" s="296"/>
      <c r="AA6" s="297"/>
      <c r="AB6" s="297"/>
      <c r="AC6" s="297"/>
      <c r="AD6" s="297"/>
      <c r="AE6" s="297"/>
    </row>
    <row r="7" spans="1:31" ht="24" customHeight="1" thickBot="1">
      <c r="A7" s="374" t="s">
        <v>18</v>
      </c>
      <c r="B7" s="374"/>
      <c r="C7" s="375"/>
      <c r="D7" s="376" t="s">
        <v>19</v>
      </c>
      <c r="E7" s="377"/>
      <c r="F7" s="377"/>
      <c r="G7" s="377"/>
      <c r="H7" s="377"/>
      <c r="I7" s="377"/>
      <c r="J7" s="377"/>
      <c r="K7" s="377"/>
      <c r="L7" s="377"/>
      <c r="M7" s="377"/>
      <c r="N7" s="378"/>
      <c r="O7" s="382" t="s">
        <v>20</v>
      </c>
      <c r="P7" s="313"/>
      <c r="Q7" s="383" t="s">
        <v>21</v>
      </c>
      <c r="R7" s="383"/>
      <c r="S7" s="329"/>
      <c r="T7" s="329"/>
      <c r="U7" s="329"/>
      <c r="V7" s="329"/>
      <c r="W7" s="329"/>
      <c r="X7" s="329"/>
      <c r="Y7" s="330"/>
      <c r="Z7" s="296"/>
      <c r="AA7" s="297"/>
      <c r="AB7" s="297"/>
      <c r="AC7" s="297"/>
      <c r="AD7" s="297"/>
      <c r="AE7" s="297"/>
    </row>
    <row r="8" spans="1:31" ht="18.75" customHeight="1" thickBot="1">
      <c r="A8" s="374"/>
      <c r="B8" s="374"/>
      <c r="C8" s="375"/>
      <c r="D8" s="379"/>
      <c r="E8" s="380"/>
      <c r="F8" s="380"/>
      <c r="G8" s="380"/>
      <c r="H8" s="380"/>
      <c r="I8" s="380"/>
      <c r="J8" s="380"/>
      <c r="K8" s="380"/>
      <c r="L8" s="380"/>
      <c r="M8" s="380"/>
      <c r="N8" s="381"/>
      <c r="O8" s="382"/>
      <c r="P8" s="313"/>
      <c r="Q8" s="383"/>
      <c r="R8" s="383"/>
      <c r="S8" s="315" t="s">
        <v>22</v>
      </c>
      <c r="T8" s="315"/>
      <c r="U8" s="315"/>
      <c r="V8" s="316">
        <f>IF(K5="","",1/K5)</f>
        <v>3.7037037037037035E-2</v>
      </c>
      <c r="W8" s="317"/>
      <c r="X8" s="102">
        <v>25</v>
      </c>
      <c r="Y8" s="103">
        <f>IFERROR((V8*X8)," ")</f>
        <v>0.92592592592592582</v>
      </c>
      <c r="Z8" s="296"/>
      <c r="AA8" s="297"/>
      <c r="AB8" s="297"/>
      <c r="AC8" s="297"/>
      <c r="AD8" s="297"/>
      <c r="AE8" s="297"/>
    </row>
    <row r="9" spans="1:31" ht="12" customHeight="1">
      <c r="A9" s="331"/>
      <c r="B9" s="331"/>
      <c r="C9" s="331"/>
      <c r="D9" s="211"/>
      <c r="E9" s="211"/>
      <c r="F9" s="211"/>
      <c r="G9" s="211"/>
      <c r="H9" s="211"/>
      <c r="I9" s="211"/>
      <c r="J9" s="211"/>
      <c r="K9" s="211"/>
      <c r="L9" s="211"/>
      <c r="M9" s="211"/>
      <c r="N9" s="211"/>
      <c r="O9" s="211"/>
      <c r="P9" s="211"/>
      <c r="Q9" s="211"/>
      <c r="R9" s="211"/>
      <c r="S9" s="314" t="s">
        <v>23</v>
      </c>
      <c r="T9" s="314"/>
      <c r="U9" s="313" t="s">
        <v>24</v>
      </c>
      <c r="V9" s="313"/>
      <c r="W9" s="313" t="s">
        <v>25</v>
      </c>
      <c r="X9" s="313"/>
      <c r="Y9" s="313"/>
    </row>
    <row r="10" spans="1:31" ht="17.25" customHeight="1">
      <c r="A10" s="299" t="s">
        <v>26</v>
      </c>
      <c r="B10" s="299"/>
      <c r="C10" s="300"/>
      <c r="D10" s="394" t="s">
        <v>27</v>
      </c>
      <c r="E10" s="395"/>
      <c r="F10" s="395"/>
      <c r="G10" s="395"/>
      <c r="H10" s="395"/>
      <c r="I10" s="395"/>
      <c r="J10" s="395"/>
      <c r="K10" s="395"/>
      <c r="L10" s="395"/>
      <c r="M10" s="395"/>
      <c r="N10" s="396"/>
      <c r="O10" s="304" t="str">
        <f t="shared" ref="O10:O31" ca="1" si="0">IFERROR(IF(D10="","",INDEX(Tabla_Completa,MATCH(D10,Materiales,0),6)),"")</f>
        <v>dm2</v>
      </c>
      <c r="P10" s="305"/>
      <c r="Q10" s="306">
        <v>33</v>
      </c>
      <c r="R10" s="307"/>
      <c r="S10" s="308">
        <f>IFERROR(IF(Q10="Unidad","1",(Q10*$K$5)),"")</f>
        <v>891</v>
      </c>
      <c r="T10" s="309"/>
      <c r="U10" s="310"/>
      <c r="V10" s="397"/>
      <c r="W10" s="311">
        <f ca="1">IFERROR(IF(D10="","",INDEX(Tabla_Completa,MATCH('Soli_citud '!D10,Materiales,0),7)*S10),"")</f>
        <v>676465.02</v>
      </c>
      <c r="X10" s="311"/>
      <c r="Y10" s="311"/>
      <c r="Z10" s="34"/>
      <c r="AA10" s="34"/>
      <c r="AB10" s="34"/>
      <c r="AC10" s="34"/>
      <c r="AD10" s="34"/>
      <c r="AE10" s="34"/>
    </row>
    <row r="11" spans="1:31" ht="17.25" customHeight="1">
      <c r="A11" s="298" t="s">
        <v>28</v>
      </c>
      <c r="B11" s="299"/>
      <c r="C11" s="300"/>
      <c r="D11" s="394" t="s">
        <v>29</v>
      </c>
      <c r="E11" s="395"/>
      <c r="F11" s="395"/>
      <c r="G11" s="395"/>
      <c r="H11" s="395"/>
      <c r="I11" s="395"/>
      <c r="J11" s="395"/>
      <c r="K11" s="395"/>
      <c r="L11" s="395"/>
      <c r="M11" s="395"/>
      <c r="N11" s="396"/>
      <c r="O11" s="304" t="str">
        <f t="shared" ca="1" si="0"/>
        <v>U</v>
      </c>
      <c r="P11" s="305"/>
      <c r="Q11" s="306">
        <v>0.92500000000000004</v>
      </c>
      <c r="R11" s="307"/>
      <c r="S11" s="308">
        <f t="shared" ref="S11:S31" si="1">IFERROR(IF(Q11="Unidad","1",(Q11*$K$5)),"")</f>
        <v>24.975000000000001</v>
      </c>
      <c r="T11" s="309"/>
      <c r="U11" s="310" t="s">
        <v>30</v>
      </c>
      <c r="V11" s="310"/>
      <c r="W11" s="311">
        <f ca="1">IFERROR(IF(D11="","",INDEX(Tabla_Completa,MATCH('Soli_citud '!D11,Materiales,0),7)*S11),"")</f>
        <v>2216531.25</v>
      </c>
      <c r="X11" s="311"/>
      <c r="Y11" s="311"/>
    </row>
    <row r="12" spans="1:31" ht="15.75" customHeight="1">
      <c r="A12" s="298" t="s">
        <v>28</v>
      </c>
      <c r="B12" s="299"/>
      <c r="C12" s="300"/>
      <c r="D12" s="398" t="s">
        <v>31</v>
      </c>
      <c r="E12" s="395"/>
      <c r="F12" s="395"/>
      <c r="G12" s="395"/>
      <c r="H12" s="395"/>
      <c r="I12" s="395"/>
      <c r="J12" s="395"/>
      <c r="K12" s="395"/>
      <c r="L12" s="395"/>
      <c r="M12" s="395"/>
      <c r="N12" s="396"/>
      <c r="O12" s="304" t="str">
        <f t="shared" ref="O12" ca="1" si="2">IFERROR(IF(D12="","",INDEX(Tabla_Completa,MATCH(D12,Materiales,0),6)),"")</f>
        <v>U</v>
      </c>
      <c r="P12" s="305"/>
      <c r="Q12" s="306">
        <v>0.92500000000000004</v>
      </c>
      <c r="R12" s="307"/>
      <c r="S12" s="308">
        <f t="shared" si="1"/>
        <v>24.975000000000001</v>
      </c>
      <c r="T12" s="309"/>
      <c r="U12" s="310"/>
      <c r="V12" s="310"/>
      <c r="W12" s="311">
        <f ca="1">IFERROR(IF(D12="","",INDEX(Tabla_Completa,MATCH('Soli_citud '!D12,Materiales,0),7)*S12),"")</f>
        <v>0</v>
      </c>
      <c r="X12" s="311"/>
      <c r="Y12" s="311"/>
    </row>
    <row r="13" spans="1:31" ht="15.75" customHeight="1">
      <c r="A13" s="298"/>
      <c r="B13" s="299"/>
      <c r="C13" s="300"/>
      <c r="D13" s="394"/>
      <c r="E13" s="395"/>
      <c r="F13" s="395"/>
      <c r="G13" s="395"/>
      <c r="H13" s="395"/>
      <c r="I13" s="395"/>
      <c r="J13" s="395"/>
      <c r="K13" s="395"/>
      <c r="L13" s="395"/>
      <c r="M13" s="395"/>
      <c r="N13" s="396"/>
      <c r="O13" s="304" t="str">
        <f t="shared" ca="1" si="0"/>
        <v/>
      </c>
      <c r="P13" s="305"/>
      <c r="Q13" s="306"/>
      <c r="R13" s="307"/>
      <c r="S13" s="308">
        <f t="shared" si="1"/>
        <v>0</v>
      </c>
      <c r="T13" s="309"/>
      <c r="U13" s="310"/>
      <c r="V13" s="310"/>
      <c r="W13" s="311" t="str">
        <f ca="1">IFERROR(IF(D13="","",INDEX(Tabla_Completa,MATCH('Soli_citud '!D13,Materiales,0),7)*S13),"")</f>
        <v/>
      </c>
      <c r="X13" s="311"/>
      <c r="Y13" s="311"/>
    </row>
    <row r="14" spans="1:31" ht="17.25" customHeight="1">
      <c r="A14" s="298"/>
      <c r="B14" s="299"/>
      <c r="C14" s="300"/>
      <c r="D14" s="394"/>
      <c r="E14" s="395"/>
      <c r="F14" s="395"/>
      <c r="G14" s="395"/>
      <c r="H14" s="395"/>
      <c r="I14" s="395"/>
      <c r="J14" s="395"/>
      <c r="K14" s="395"/>
      <c r="L14" s="395"/>
      <c r="M14" s="395"/>
      <c r="N14" s="396"/>
      <c r="O14" s="304" t="str">
        <f t="shared" ca="1" si="0"/>
        <v/>
      </c>
      <c r="P14" s="305"/>
      <c r="Q14" s="306"/>
      <c r="R14" s="307"/>
      <c r="S14" s="308">
        <f t="shared" si="1"/>
        <v>0</v>
      </c>
      <c r="T14" s="309"/>
      <c r="U14" s="310"/>
      <c r="V14" s="310"/>
      <c r="W14" s="311" t="str">
        <f ca="1">IFERROR(IF(D14="","",INDEX(Tabla_Completa,MATCH('Soli_citud '!D14,Materiales,0),7)*S14),"")</f>
        <v/>
      </c>
      <c r="X14" s="311"/>
      <c r="Y14" s="311"/>
    </row>
    <row r="15" spans="1:31" ht="15.75" customHeight="1">
      <c r="A15" s="298"/>
      <c r="B15" s="299"/>
      <c r="C15" s="300"/>
      <c r="D15" s="394"/>
      <c r="E15" s="395"/>
      <c r="F15" s="395"/>
      <c r="G15" s="395"/>
      <c r="H15" s="395"/>
      <c r="I15" s="395"/>
      <c r="J15" s="395"/>
      <c r="K15" s="395"/>
      <c r="L15" s="395"/>
      <c r="M15" s="395"/>
      <c r="N15" s="396"/>
      <c r="O15" s="304" t="str">
        <f t="shared" ca="1" si="0"/>
        <v/>
      </c>
      <c r="P15" s="305"/>
      <c r="Q15" s="306"/>
      <c r="R15" s="307"/>
      <c r="S15" s="308">
        <f t="shared" si="1"/>
        <v>0</v>
      </c>
      <c r="T15" s="309"/>
      <c r="U15" s="310"/>
      <c r="V15" s="310"/>
      <c r="W15" s="311" t="str">
        <f ca="1">IFERROR(IF(D15="","",INDEX(Tabla_Completa,MATCH('Soli_citud '!D15,Materiales,0),7)*S15),"")</f>
        <v/>
      </c>
      <c r="X15" s="311"/>
      <c r="Y15" s="311"/>
    </row>
    <row r="16" spans="1:31" ht="15.75" customHeight="1">
      <c r="A16" s="298"/>
      <c r="B16" s="299"/>
      <c r="C16" s="300"/>
      <c r="D16" s="394"/>
      <c r="E16" s="395"/>
      <c r="F16" s="395"/>
      <c r="G16" s="395"/>
      <c r="H16" s="395"/>
      <c r="I16" s="395"/>
      <c r="J16" s="395"/>
      <c r="K16" s="395"/>
      <c r="L16" s="395"/>
      <c r="M16" s="395"/>
      <c r="N16" s="396"/>
      <c r="O16" s="304" t="str">
        <f t="shared" ca="1" si="0"/>
        <v/>
      </c>
      <c r="P16" s="305"/>
      <c r="Q16" s="306"/>
      <c r="R16" s="307"/>
      <c r="S16" s="308">
        <f t="shared" si="1"/>
        <v>0</v>
      </c>
      <c r="T16" s="309"/>
      <c r="U16" s="310"/>
      <c r="V16" s="310"/>
      <c r="W16" s="311" t="str">
        <f ca="1">IFERROR(IF(D16="","",INDEX(Tabla_Completa,MATCH('Soli_citud '!D16,Materiales,0),7)*S16),"")</f>
        <v/>
      </c>
      <c r="X16" s="311"/>
      <c r="Y16" s="311"/>
    </row>
    <row r="17" spans="1:25" ht="15.75" customHeight="1">
      <c r="A17" s="298"/>
      <c r="B17" s="299"/>
      <c r="C17" s="300"/>
      <c r="D17" s="394"/>
      <c r="E17" s="395"/>
      <c r="F17" s="395"/>
      <c r="G17" s="395"/>
      <c r="H17" s="395"/>
      <c r="I17" s="395"/>
      <c r="J17" s="395"/>
      <c r="K17" s="395"/>
      <c r="L17" s="395"/>
      <c r="M17" s="395"/>
      <c r="N17" s="396"/>
      <c r="O17" s="304" t="str">
        <f t="shared" ca="1" si="0"/>
        <v/>
      </c>
      <c r="P17" s="305"/>
      <c r="Q17" s="306"/>
      <c r="R17" s="307"/>
      <c r="S17" s="308">
        <f t="shared" si="1"/>
        <v>0</v>
      </c>
      <c r="T17" s="309"/>
      <c r="U17" s="310"/>
      <c r="V17" s="310"/>
      <c r="W17" s="311" t="str">
        <f ca="1">IFERROR(IF(D17="","",INDEX(Tabla_Completa,MATCH('Soli_citud '!D17,Materiales,0),7)*S17),"")</f>
        <v/>
      </c>
      <c r="X17" s="311"/>
      <c r="Y17" s="311"/>
    </row>
    <row r="18" spans="1:25" ht="15.75" customHeight="1">
      <c r="A18" s="298"/>
      <c r="B18" s="299"/>
      <c r="C18" s="300"/>
      <c r="D18" s="394"/>
      <c r="E18" s="395"/>
      <c r="F18" s="395"/>
      <c r="G18" s="395"/>
      <c r="H18" s="395"/>
      <c r="I18" s="395"/>
      <c r="J18" s="395"/>
      <c r="K18" s="395"/>
      <c r="L18" s="395"/>
      <c r="M18" s="395"/>
      <c r="N18" s="396"/>
      <c r="O18" s="304" t="str">
        <f t="shared" ca="1" si="0"/>
        <v/>
      </c>
      <c r="P18" s="305"/>
      <c r="Q18" s="306"/>
      <c r="R18" s="307"/>
      <c r="S18" s="308">
        <f t="shared" si="1"/>
        <v>0</v>
      </c>
      <c r="T18" s="309"/>
      <c r="U18" s="310"/>
      <c r="V18" s="310"/>
      <c r="W18" s="311" t="str">
        <f ca="1">IFERROR(IF(D18="","",INDEX(Tabla_Completa,MATCH('Soli_citud '!D18,Materiales,0),7)*S18),"")</f>
        <v/>
      </c>
      <c r="X18" s="311"/>
      <c r="Y18" s="311"/>
    </row>
    <row r="19" spans="1:25" ht="15.75">
      <c r="A19" s="298"/>
      <c r="B19" s="299"/>
      <c r="C19" s="300"/>
      <c r="D19" s="301"/>
      <c r="E19" s="302"/>
      <c r="F19" s="302"/>
      <c r="G19" s="302"/>
      <c r="H19" s="302"/>
      <c r="I19" s="302"/>
      <c r="J19" s="302"/>
      <c r="K19" s="302"/>
      <c r="L19" s="302"/>
      <c r="M19" s="302"/>
      <c r="N19" s="303"/>
      <c r="O19" s="304" t="str">
        <f t="shared" ca="1" si="0"/>
        <v/>
      </c>
      <c r="P19" s="305"/>
      <c r="Q19" s="306"/>
      <c r="R19" s="307"/>
      <c r="S19" s="308">
        <f t="shared" si="1"/>
        <v>0</v>
      </c>
      <c r="T19" s="309"/>
      <c r="U19" s="310"/>
      <c r="V19" s="310"/>
      <c r="W19" s="311" t="str">
        <f ca="1">IFERROR(IF(D19="","",INDEX(Tabla_Completa,MATCH('Soli_citud '!D19,Materiales,0),7)*S19),"")</f>
        <v/>
      </c>
      <c r="X19" s="311"/>
      <c r="Y19" s="311"/>
    </row>
    <row r="20" spans="1:25" ht="15.75">
      <c r="A20" s="298"/>
      <c r="B20" s="299"/>
      <c r="C20" s="300"/>
      <c r="D20" s="301"/>
      <c r="E20" s="302"/>
      <c r="F20" s="302"/>
      <c r="G20" s="302"/>
      <c r="H20" s="302"/>
      <c r="I20" s="302"/>
      <c r="J20" s="302"/>
      <c r="K20" s="302"/>
      <c r="L20" s="302"/>
      <c r="M20" s="302"/>
      <c r="N20" s="303"/>
      <c r="O20" s="304" t="str">
        <f ca="1">IFERROR(IF(D20="","",INDEX(Tabla_Completa,MATCH(D20,Materiales,0),6)),"")</f>
        <v/>
      </c>
      <c r="P20" s="305"/>
      <c r="Q20" s="306"/>
      <c r="R20" s="307"/>
      <c r="S20" s="308">
        <f t="shared" si="1"/>
        <v>0</v>
      </c>
      <c r="T20" s="309"/>
      <c r="U20" s="310"/>
      <c r="V20" s="310"/>
      <c r="W20" s="311" t="str">
        <f ca="1">IFERROR(IF(D20="","",INDEX(Tabla_Completa,MATCH('Soli_citud '!D20,Materiales,0),7)*S20),"")</f>
        <v/>
      </c>
      <c r="X20" s="311"/>
      <c r="Y20" s="311"/>
    </row>
    <row r="21" spans="1:25" ht="15.75">
      <c r="A21" s="298"/>
      <c r="B21" s="299"/>
      <c r="C21" s="300"/>
      <c r="D21" s="301"/>
      <c r="E21" s="302"/>
      <c r="F21" s="302"/>
      <c r="G21" s="302"/>
      <c r="H21" s="302"/>
      <c r="I21" s="302"/>
      <c r="J21" s="302"/>
      <c r="K21" s="302"/>
      <c r="L21" s="302"/>
      <c r="M21" s="302"/>
      <c r="N21" s="303"/>
      <c r="O21" s="304" t="str">
        <f ca="1">IFERROR(IF(D21="","",INDEX(Tabla_Completa,MATCH(D21,Materiales,0),6)),"")</f>
        <v/>
      </c>
      <c r="P21" s="305"/>
      <c r="Q21" s="306"/>
      <c r="R21" s="307"/>
      <c r="S21" s="308">
        <f t="shared" si="1"/>
        <v>0</v>
      </c>
      <c r="T21" s="309"/>
      <c r="U21" s="310"/>
      <c r="V21" s="310"/>
      <c r="W21" s="311" t="str">
        <f ca="1">IFERROR(IF(D21="","",INDEX(Tabla_Completa,MATCH('Soli_citud '!D21,Materiales,0),7)*S21),"")</f>
        <v/>
      </c>
      <c r="X21" s="311"/>
      <c r="Y21" s="311"/>
    </row>
    <row r="22" spans="1:25" ht="15.75">
      <c r="A22" s="298"/>
      <c r="B22" s="299"/>
      <c r="C22" s="300"/>
      <c r="D22" s="301"/>
      <c r="E22" s="302"/>
      <c r="F22" s="302"/>
      <c r="G22" s="302"/>
      <c r="H22" s="302"/>
      <c r="I22" s="302"/>
      <c r="J22" s="302"/>
      <c r="K22" s="302"/>
      <c r="L22" s="302"/>
      <c r="M22" s="302"/>
      <c r="N22" s="303"/>
      <c r="O22" s="304" t="str">
        <f t="shared" ca="1" si="0"/>
        <v/>
      </c>
      <c r="P22" s="305"/>
      <c r="Q22" s="306"/>
      <c r="R22" s="307"/>
      <c r="S22" s="308">
        <f t="shared" si="1"/>
        <v>0</v>
      </c>
      <c r="T22" s="309"/>
      <c r="U22" s="310"/>
      <c r="V22" s="310"/>
      <c r="W22" s="311" t="str">
        <f ca="1">IFERROR(IF(D22="","",INDEX(Tabla_Completa,MATCH('Soli_citud '!D22,Materiales,0),7)*S22),"")</f>
        <v/>
      </c>
      <c r="X22" s="311"/>
      <c r="Y22" s="311"/>
    </row>
    <row r="23" spans="1:25" ht="15.75">
      <c r="A23" s="298"/>
      <c r="B23" s="299"/>
      <c r="C23" s="300"/>
      <c r="D23" s="301"/>
      <c r="E23" s="302"/>
      <c r="F23" s="302"/>
      <c r="G23" s="302"/>
      <c r="H23" s="302"/>
      <c r="I23" s="302"/>
      <c r="J23" s="302"/>
      <c r="K23" s="302"/>
      <c r="L23" s="302"/>
      <c r="M23" s="302"/>
      <c r="N23" s="303"/>
      <c r="O23" s="304" t="str">
        <f t="shared" ca="1" si="0"/>
        <v/>
      </c>
      <c r="P23" s="305"/>
      <c r="Q23" s="306"/>
      <c r="R23" s="307"/>
      <c r="S23" s="308">
        <f t="shared" si="1"/>
        <v>0</v>
      </c>
      <c r="T23" s="309"/>
      <c r="U23" s="310"/>
      <c r="V23" s="310"/>
      <c r="W23" s="311" t="str">
        <f ca="1">IFERROR(IF(D23="","",INDEX(Tabla_Completa,MATCH('Soli_citud '!D23,Materiales,0),7)*S23),"")</f>
        <v/>
      </c>
      <c r="X23" s="311"/>
      <c r="Y23" s="311"/>
    </row>
    <row r="24" spans="1:25" ht="15.75">
      <c r="A24" s="298"/>
      <c r="B24" s="299"/>
      <c r="C24" s="300"/>
      <c r="D24" s="301"/>
      <c r="E24" s="302"/>
      <c r="F24" s="302"/>
      <c r="G24" s="302"/>
      <c r="H24" s="302"/>
      <c r="I24" s="302"/>
      <c r="J24" s="302"/>
      <c r="K24" s="302"/>
      <c r="L24" s="302"/>
      <c r="M24" s="302"/>
      <c r="N24" s="303"/>
      <c r="O24" s="304" t="str">
        <f t="shared" ca="1" si="0"/>
        <v/>
      </c>
      <c r="P24" s="305"/>
      <c r="Q24" s="306"/>
      <c r="R24" s="307"/>
      <c r="S24" s="308">
        <f t="shared" si="1"/>
        <v>0</v>
      </c>
      <c r="T24" s="309"/>
      <c r="U24" s="310"/>
      <c r="V24" s="310"/>
      <c r="W24" s="311" t="str">
        <f ca="1">IFERROR(IF(D24="","",INDEX(Tabla_Completa,MATCH('Soli_citud '!D24,Materiales,0),7)*S24),"")</f>
        <v/>
      </c>
      <c r="X24" s="311"/>
      <c r="Y24" s="311"/>
    </row>
    <row r="25" spans="1:25" ht="15.75">
      <c r="A25" s="298"/>
      <c r="B25" s="299"/>
      <c r="C25" s="300"/>
      <c r="D25" s="301"/>
      <c r="E25" s="302"/>
      <c r="F25" s="302"/>
      <c r="G25" s="302"/>
      <c r="H25" s="302"/>
      <c r="I25" s="302"/>
      <c r="J25" s="302"/>
      <c r="K25" s="302"/>
      <c r="L25" s="302"/>
      <c r="M25" s="302"/>
      <c r="N25" s="303"/>
      <c r="O25" s="304" t="str">
        <f t="shared" ca="1" si="0"/>
        <v/>
      </c>
      <c r="P25" s="305"/>
      <c r="Q25" s="306"/>
      <c r="R25" s="307"/>
      <c r="S25" s="308">
        <f t="shared" si="1"/>
        <v>0</v>
      </c>
      <c r="T25" s="309"/>
      <c r="U25" s="310"/>
      <c r="V25" s="310"/>
      <c r="W25" s="311" t="str">
        <f ca="1">IFERROR(IF(D25="","",INDEX(Tabla_Completa,MATCH('Soli_citud '!D25,Materiales,0),7)*S25),"")</f>
        <v/>
      </c>
      <c r="X25" s="311"/>
      <c r="Y25" s="311"/>
    </row>
    <row r="26" spans="1:25" ht="15.75">
      <c r="A26" s="298"/>
      <c r="B26" s="299"/>
      <c r="C26" s="300"/>
      <c r="D26" s="301"/>
      <c r="E26" s="302"/>
      <c r="F26" s="302"/>
      <c r="G26" s="302"/>
      <c r="H26" s="302"/>
      <c r="I26" s="302"/>
      <c r="J26" s="302"/>
      <c r="K26" s="302"/>
      <c r="L26" s="302"/>
      <c r="M26" s="302"/>
      <c r="N26" s="303"/>
      <c r="O26" s="304" t="str">
        <f t="shared" ca="1" si="0"/>
        <v/>
      </c>
      <c r="P26" s="305"/>
      <c r="Q26" s="306"/>
      <c r="R26" s="307"/>
      <c r="S26" s="308">
        <f t="shared" si="1"/>
        <v>0</v>
      </c>
      <c r="T26" s="309"/>
      <c r="U26" s="310"/>
      <c r="V26" s="310"/>
      <c r="W26" s="311" t="str">
        <f ca="1">IFERROR(IF(D26="","",INDEX(Tabla_Completa,MATCH('Soli_citud '!D26,Materiales,0),7)*S26),"")</f>
        <v/>
      </c>
      <c r="X26" s="311"/>
      <c r="Y26" s="311"/>
    </row>
    <row r="27" spans="1:25" ht="15.75">
      <c r="A27" s="298"/>
      <c r="B27" s="299"/>
      <c r="C27" s="300"/>
      <c r="D27" s="301"/>
      <c r="E27" s="302"/>
      <c r="F27" s="302"/>
      <c r="G27" s="302"/>
      <c r="H27" s="302"/>
      <c r="I27" s="302"/>
      <c r="J27" s="302"/>
      <c r="K27" s="302"/>
      <c r="L27" s="302"/>
      <c r="M27" s="302"/>
      <c r="N27" s="303"/>
      <c r="O27" s="304" t="str">
        <f t="shared" ca="1" si="0"/>
        <v/>
      </c>
      <c r="P27" s="305"/>
      <c r="Q27" s="306"/>
      <c r="R27" s="307"/>
      <c r="S27" s="308">
        <f t="shared" si="1"/>
        <v>0</v>
      </c>
      <c r="T27" s="309"/>
      <c r="U27" s="310"/>
      <c r="V27" s="310"/>
      <c r="W27" s="311" t="str">
        <f ca="1">IFERROR(IF(D27="","",INDEX(Tabla_Completa,MATCH('Soli_citud '!D27,Materiales,0),7)*S27),"")</f>
        <v/>
      </c>
      <c r="X27" s="311"/>
      <c r="Y27" s="311"/>
    </row>
    <row r="28" spans="1:25" ht="15.75">
      <c r="A28" s="298"/>
      <c r="B28" s="299"/>
      <c r="C28" s="300"/>
      <c r="D28" s="301"/>
      <c r="E28" s="302"/>
      <c r="F28" s="302"/>
      <c r="G28" s="302"/>
      <c r="H28" s="302"/>
      <c r="I28" s="302"/>
      <c r="J28" s="302"/>
      <c r="K28" s="302"/>
      <c r="L28" s="302"/>
      <c r="M28" s="302"/>
      <c r="N28" s="303"/>
      <c r="O28" s="304" t="str">
        <f t="shared" ca="1" si="0"/>
        <v/>
      </c>
      <c r="P28" s="305"/>
      <c r="Q28" s="306"/>
      <c r="R28" s="307"/>
      <c r="S28" s="308">
        <f t="shared" si="1"/>
        <v>0</v>
      </c>
      <c r="T28" s="309"/>
      <c r="U28" s="310"/>
      <c r="V28" s="310"/>
      <c r="W28" s="311" t="str">
        <f ca="1">IFERROR(IF(D28="","",INDEX(Tabla_Completa,MATCH('Soli_citud '!D28,Materiales,0),7)*S28),"")</f>
        <v/>
      </c>
      <c r="X28" s="311"/>
      <c r="Y28" s="311"/>
    </row>
    <row r="29" spans="1:25" ht="15.75">
      <c r="A29" s="298"/>
      <c r="B29" s="299"/>
      <c r="C29" s="300"/>
      <c r="D29" s="301"/>
      <c r="E29" s="302"/>
      <c r="F29" s="302"/>
      <c r="G29" s="302"/>
      <c r="H29" s="302"/>
      <c r="I29" s="302"/>
      <c r="J29" s="302"/>
      <c r="K29" s="302"/>
      <c r="L29" s="302"/>
      <c r="M29" s="302"/>
      <c r="N29" s="303"/>
      <c r="O29" s="304" t="str">
        <f t="shared" ca="1" si="0"/>
        <v/>
      </c>
      <c r="P29" s="305"/>
      <c r="Q29" s="306"/>
      <c r="R29" s="307"/>
      <c r="S29" s="308">
        <f t="shared" si="1"/>
        <v>0</v>
      </c>
      <c r="T29" s="309"/>
      <c r="U29" s="310"/>
      <c r="V29" s="310"/>
      <c r="W29" s="311" t="str">
        <f ca="1">IFERROR(IF(D29="","",INDEX(Tabla_Completa,MATCH('Soli_citud '!D29,Materiales,0),7)*S29),"")</f>
        <v/>
      </c>
      <c r="X29" s="311"/>
      <c r="Y29" s="311"/>
    </row>
    <row r="30" spans="1:25" ht="15.75">
      <c r="A30" s="298"/>
      <c r="B30" s="299"/>
      <c r="C30" s="300"/>
      <c r="D30" s="301"/>
      <c r="E30" s="302"/>
      <c r="F30" s="302"/>
      <c r="G30" s="302"/>
      <c r="H30" s="302"/>
      <c r="I30" s="302"/>
      <c r="J30" s="302"/>
      <c r="K30" s="302"/>
      <c r="L30" s="302"/>
      <c r="M30" s="302"/>
      <c r="N30" s="303"/>
      <c r="O30" s="304" t="str">
        <f t="shared" ca="1" si="0"/>
        <v/>
      </c>
      <c r="P30" s="305"/>
      <c r="Q30" s="306"/>
      <c r="R30" s="307"/>
      <c r="S30" s="308">
        <f t="shared" si="1"/>
        <v>0</v>
      </c>
      <c r="T30" s="309"/>
      <c r="U30" s="310"/>
      <c r="V30" s="310"/>
      <c r="W30" s="311" t="str">
        <f ca="1">IFERROR(IF(D30="","",INDEX(Tabla_Completa,MATCH('Soli_citud '!D30,Materiales,0),7)*S30),"")</f>
        <v/>
      </c>
      <c r="X30" s="311"/>
      <c r="Y30" s="311"/>
    </row>
    <row r="31" spans="1:25" ht="15.75">
      <c r="A31" s="298"/>
      <c r="B31" s="299"/>
      <c r="C31" s="300"/>
      <c r="D31" s="301"/>
      <c r="E31" s="302"/>
      <c r="F31" s="302"/>
      <c r="G31" s="302"/>
      <c r="H31" s="302"/>
      <c r="I31" s="302"/>
      <c r="J31" s="302"/>
      <c r="K31" s="302"/>
      <c r="L31" s="302"/>
      <c r="M31" s="302"/>
      <c r="N31" s="303"/>
      <c r="O31" s="304" t="str">
        <f t="shared" ca="1" si="0"/>
        <v/>
      </c>
      <c r="P31" s="305"/>
      <c r="Q31" s="306"/>
      <c r="R31" s="307"/>
      <c r="S31" s="308">
        <f t="shared" si="1"/>
        <v>0</v>
      </c>
      <c r="T31" s="309"/>
      <c r="U31" s="310"/>
      <c r="V31" s="310"/>
      <c r="W31" s="311" t="str">
        <f ca="1">IFERROR(IF(D31="","",INDEX(Tabla_Completa,MATCH('Soli_citud '!D31,Materiales,0),7)*S31),"")</f>
        <v/>
      </c>
      <c r="X31" s="311"/>
      <c r="Y31" s="31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7" t="s">
        <v>32</v>
      </c>
      <c r="B39" s="337"/>
      <c r="C39" s="337"/>
      <c r="D39" s="338" t="s">
        <v>33</v>
      </c>
      <c r="E39" s="338"/>
      <c r="F39" s="338"/>
      <c r="G39" s="338"/>
      <c r="H39" s="338"/>
      <c r="I39" s="338"/>
      <c r="J39" s="338"/>
      <c r="K39" s="338"/>
      <c r="L39" s="338"/>
      <c r="M39" s="338"/>
      <c r="N39" s="338"/>
      <c r="O39" s="338"/>
      <c r="P39" s="338"/>
      <c r="Q39" s="338"/>
    </row>
    <row r="40" spans="1:24" ht="15">
      <c r="A40" s="224" t="s">
        <v>34</v>
      </c>
      <c r="B40" s="225"/>
      <c r="C40" s="225"/>
      <c r="D40" s="225"/>
      <c r="E40" s="225"/>
      <c r="F40" s="225"/>
      <c r="G40" s="225"/>
      <c r="H40" s="225"/>
      <c r="I40" s="225"/>
      <c r="J40" s="225"/>
      <c r="K40" s="225"/>
      <c r="L40" s="225"/>
      <c r="M40" s="225"/>
      <c r="N40" s="225"/>
      <c r="O40" s="225"/>
      <c r="P40" s="225"/>
      <c r="Q40" s="225"/>
    </row>
    <row r="41" spans="1:24" ht="15"/>
    <row r="42" spans="1:24" ht="15"/>
    <row r="43" spans="1:24" ht="15"/>
    <row r="44" spans="1:24" ht="19.5">
      <c r="A44" s="312" t="s">
        <v>35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N44" s="346" t="s">
        <v>36</v>
      </c>
      <c r="O44" s="346"/>
      <c r="P44" s="346"/>
      <c r="Q44" s="346"/>
      <c r="R44" s="343" t="s">
        <v>37</v>
      </c>
      <c r="S44" s="343"/>
      <c r="T44" s="343"/>
      <c r="U44" s="343"/>
      <c r="V44" s="343"/>
      <c r="W44" s="343"/>
      <c r="X44" s="343"/>
    </row>
    <row r="45" spans="1:24" ht="29.25" customHeight="1">
      <c r="A45" s="336" t="s">
        <v>38</v>
      </c>
      <c r="B45" s="336"/>
      <c r="C45" s="336"/>
      <c r="D45" s="336"/>
      <c r="E45" s="336"/>
      <c r="F45" s="336"/>
      <c r="G45" s="336"/>
      <c r="H45" s="336"/>
      <c r="I45" s="336"/>
      <c r="J45" s="336"/>
      <c r="K45" s="336"/>
      <c r="L45" s="336"/>
      <c r="N45" s="346" t="s">
        <v>39</v>
      </c>
      <c r="O45" s="346"/>
      <c r="P45" s="346"/>
      <c r="Q45" s="346"/>
      <c r="R45" s="344" t="s">
        <v>40</v>
      </c>
      <c r="S45" s="344"/>
      <c r="T45" s="344"/>
      <c r="U45" s="344"/>
      <c r="V45" s="344"/>
      <c r="W45" s="344"/>
      <c r="X45" s="344"/>
    </row>
    <row r="46" spans="1:24" ht="31.5" customHeight="1">
      <c r="A46" s="339" t="s">
        <v>41</v>
      </c>
      <c r="B46" s="339"/>
      <c r="C46" s="339"/>
      <c r="D46" s="339"/>
      <c r="E46" s="339"/>
      <c r="F46" s="339"/>
      <c r="G46" s="339"/>
      <c r="H46" s="339"/>
      <c r="I46" s="339"/>
      <c r="J46" s="339"/>
      <c r="K46" s="339"/>
      <c r="L46" s="339"/>
      <c r="N46" s="346" t="s">
        <v>26</v>
      </c>
      <c r="O46" s="346"/>
      <c r="P46" s="346"/>
      <c r="Q46" s="346"/>
      <c r="R46" s="345" t="s">
        <v>42</v>
      </c>
      <c r="S46" s="345"/>
      <c r="T46" s="345"/>
      <c r="U46" s="345"/>
      <c r="V46" s="345"/>
      <c r="W46" s="345"/>
      <c r="X46" s="345"/>
    </row>
    <row r="47" spans="1:24" ht="28.5" customHeight="1">
      <c r="A47" s="340" t="s">
        <v>43</v>
      </c>
      <c r="B47" s="340"/>
      <c r="C47" s="340"/>
      <c r="D47" s="340"/>
      <c r="E47" s="340"/>
      <c r="F47" s="340"/>
      <c r="G47" s="340"/>
      <c r="H47" s="340"/>
      <c r="I47" s="340"/>
      <c r="J47" s="340"/>
      <c r="K47" s="340"/>
      <c r="L47" s="340"/>
      <c r="N47" s="346" t="s">
        <v>44</v>
      </c>
      <c r="O47" s="346"/>
      <c r="P47" s="346"/>
      <c r="Q47" s="346"/>
      <c r="R47" s="345" t="s">
        <v>45</v>
      </c>
      <c r="S47" s="345"/>
      <c r="T47" s="345"/>
      <c r="U47" s="345"/>
      <c r="V47" s="345"/>
      <c r="W47" s="345"/>
      <c r="X47" s="345"/>
    </row>
    <row r="48" spans="1:24" ht="42.75" customHeight="1">
      <c r="A48" s="341" t="s">
        <v>46</v>
      </c>
      <c r="B48" s="341"/>
      <c r="C48" s="341"/>
      <c r="D48" s="341"/>
      <c r="E48" s="341"/>
      <c r="F48" s="341"/>
      <c r="G48" s="341"/>
      <c r="H48" s="341"/>
      <c r="I48" s="341"/>
      <c r="J48" s="341"/>
      <c r="K48" s="341"/>
      <c r="L48" s="341"/>
      <c r="N48" s="346" t="s">
        <v>47</v>
      </c>
      <c r="O48" s="346"/>
      <c r="P48" s="346"/>
      <c r="Q48" s="346"/>
      <c r="R48" s="345" t="s">
        <v>48</v>
      </c>
      <c r="S48" s="345"/>
      <c r="T48" s="345"/>
      <c r="U48" s="345"/>
      <c r="V48" s="345"/>
      <c r="W48" s="345"/>
      <c r="X48" s="345"/>
    </row>
    <row r="49" spans="1:24" ht="36" customHeight="1">
      <c r="A49" s="341" t="s">
        <v>49</v>
      </c>
      <c r="B49" s="341"/>
      <c r="C49" s="341"/>
      <c r="D49" s="341"/>
      <c r="E49" s="341"/>
      <c r="F49" s="341"/>
      <c r="G49" s="341"/>
      <c r="H49" s="341"/>
      <c r="I49" s="341"/>
      <c r="J49" s="341"/>
      <c r="K49" s="341"/>
      <c r="L49" s="341"/>
      <c r="N49" s="347" t="s">
        <v>50</v>
      </c>
      <c r="O49" s="347"/>
      <c r="P49" s="347"/>
      <c r="Q49" s="347"/>
      <c r="R49" s="344" t="s">
        <v>51</v>
      </c>
      <c r="S49" s="344"/>
      <c r="T49" s="344"/>
      <c r="U49" s="344"/>
      <c r="V49" s="344"/>
      <c r="W49" s="344"/>
      <c r="X49" s="344"/>
    </row>
    <row r="50" spans="1:24" ht="15.75">
      <c r="A50" s="342"/>
      <c r="B50" s="342"/>
      <c r="C50" s="342"/>
      <c r="D50" s="342"/>
      <c r="N50" s="346" t="s">
        <v>52</v>
      </c>
      <c r="O50" s="346"/>
      <c r="P50" s="346"/>
      <c r="Q50" s="346"/>
      <c r="R50" s="345" t="s">
        <v>53</v>
      </c>
      <c r="S50" s="345"/>
      <c r="T50" s="345"/>
      <c r="U50" s="345"/>
      <c r="V50" s="345"/>
      <c r="W50" s="345"/>
      <c r="X50" s="345"/>
    </row>
    <row r="51" spans="1:24" ht="15.75">
      <c r="N51" s="346" t="s">
        <v>54</v>
      </c>
      <c r="O51" s="346"/>
      <c r="P51" s="346"/>
      <c r="Q51" s="346"/>
      <c r="R51" s="345" t="s">
        <v>55</v>
      </c>
      <c r="S51" s="345"/>
      <c r="T51" s="345"/>
      <c r="U51" s="345"/>
      <c r="V51" s="345"/>
      <c r="W51" s="345"/>
      <c r="X51" s="345"/>
    </row>
    <row r="52" spans="1:24" ht="15.75">
      <c r="N52" s="346" t="s">
        <v>56</v>
      </c>
      <c r="O52" s="346"/>
      <c r="P52" s="346"/>
      <c r="Q52" s="346"/>
      <c r="R52" s="345" t="s">
        <v>45</v>
      </c>
      <c r="S52" s="345"/>
      <c r="T52" s="345"/>
      <c r="U52" s="345"/>
      <c r="V52" s="345"/>
      <c r="W52" s="345"/>
      <c r="X52" s="345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mrQl05h3Z1+YCjlh6tjaEYe7hIhsj5k+AbJHCLQ3uQ/u6CsrPQ4b8xotd67bWermIEEfE/0PMRkWD601HEqXig==" saltValue="1X8+wbevsBbnHpEXIFnjQg==" spinCount="100000" sheet="1" selectLockedCells="1" autoFilter="0" pivotTables="0"/>
  <mergeCells count="217">
    <mergeCell ref="A29:C29"/>
    <mergeCell ref="D29:N29"/>
    <mergeCell ref="O29:P29"/>
    <mergeCell ref="Q29:R29"/>
    <mergeCell ref="S29:T29"/>
    <mergeCell ref="U29:V29"/>
    <mergeCell ref="W29:Y29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6:Y26"/>
    <mergeCell ref="W24:Y24"/>
    <mergeCell ref="W25:Y25"/>
    <mergeCell ref="W28:Y28"/>
    <mergeCell ref="A26:C26"/>
    <mergeCell ref="D26:N26"/>
    <mergeCell ref="O26:P26"/>
    <mergeCell ref="Q26:R26"/>
    <mergeCell ref="S26:T26"/>
    <mergeCell ref="U26:V26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A24:C24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F1:H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S1:Y7"/>
    <mergeCell ref="A9:C9"/>
    <mergeCell ref="K5:L5"/>
    <mergeCell ref="M5:N5"/>
    <mergeCell ref="C1:E1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2" activePane="bottomLeft" state="frozen"/>
      <selection pane="bottomLeft" activeCell="L14" sqref="L14:M14"/>
      <selection activeCell="C1" sqref="C1"/>
    </sheetView>
  </sheetViews>
  <sheetFormatPr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39"/>
      <c r="B1" s="471"/>
      <c r="C1" s="472"/>
      <c r="D1" s="448" t="s">
        <v>57</v>
      </c>
      <c r="E1" s="449"/>
      <c r="F1" s="449"/>
      <c r="G1" s="449"/>
      <c r="H1" s="449"/>
      <c r="I1" s="450"/>
      <c r="J1" s="477" t="s">
        <v>58</v>
      </c>
      <c r="K1" s="478"/>
      <c r="L1" s="478"/>
      <c r="M1" s="479"/>
      <c r="N1" s="480">
        <f>IF('Soli_citud '!O1="","",'Soli_citud '!O1)</f>
        <v>45544</v>
      </c>
      <c r="O1" s="481"/>
      <c r="P1" s="419" t="s">
        <v>59</v>
      </c>
      <c r="Q1" s="420"/>
      <c r="R1" s="425" t="str">
        <f>IF('Soli_citud '!D4="","",'Soli_citud '!D4)</f>
        <v>Cuenco</v>
      </c>
      <c r="S1" s="426"/>
      <c r="Z1" t="s">
        <v>60</v>
      </c>
      <c r="AA1" s="240" t="s">
        <v>60</v>
      </c>
    </row>
    <row r="2" spans="1:27" ht="15.75" customHeight="1" thickBot="1">
      <c r="A2" s="239"/>
      <c r="B2" s="473"/>
      <c r="C2" s="474"/>
      <c r="D2" s="451"/>
      <c r="E2" s="452"/>
      <c r="F2" s="452"/>
      <c r="G2" s="452"/>
      <c r="H2" s="452"/>
      <c r="I2" s="453"/>
      <c r="J2" s="482" t="s">
        <v>61</v>
      </c>
      <c r="K2" s="483"/>
      <c r="L2" s="483"/>
      <c r="M2" s="484"/>
      <c r="N2" s="485" t="str">
        <f>'Soli_citud '!F1</f>
        <v>NR0909-1</v>
      </c>
      <c r="O2" s="405"/>
      <c r="P2" s="421"/>
      <c r="Q2" s="422"/>
      <c r="R2" s="427"/>
      <c r="S2" s="428"/>
    </row>
    <row r="3" spans="1:27" ht="15.75" customHeight="1">
      <c r="A3" s="239"/>
      <c r="B3" s="473"/>
      <c r="C3" s="474"/>
      <c r="D3" s="451"/>
      <c r="E3" s="452"/>
      <c r="F3" s="452"/>
      <c r="G3" s="452"/>
      <c r="H3" s="452"/>
      <c r="I3" s="453"/>
      <c r="J3" s="486" t="s">
        <v>62</v>
      </c>
      <c r="K3" s="486"/>
      <c r="L3" s="486"/>
      <c r="M3" s="486"/>
      <c r="N3" s="487">
        <f>IF('Soli_citud '!O3="","",'Soli_citud '!O3)</f>
        <v>3075101</v>
      </c>
      <c r="O3" s="488"/>
      <c r="P3" s="421"/>
      <c r="Q3" s="422"/>
      <c r="R3" s="429" t="str" cm="1">
        <f t="array" ref="R3">IFERROR(_xlfn.IFS(L4="Calzado Producción","Entrega de Producto",L4="Marroquinería  Producción","Entrega Producto"),"")</f>
        <v/>
      </c>
      <c r="S3" s="430"/>
    </row>
    <row r="4" spans="1:27" ht="15.75" customHeight="1">
      <c r="A4" s="239"/>
      <c r="B4" s="475"/>
      <c r="C4" s="476"/>
      <c r="D4" s="454"/>
      <c r="E4" s="455"/>
      <c r="F4" s="455"/>
      <c r="G4" s="455"/>
      <c r="H4" s="455"/>
      <c r="I4" s="456"/>
      <c r="J4" s="434" t="s">
        <v>63</v>
      </c>
      <c r="K4" s="434"/>
      <c r="L4" s="434"/>
      <c r="M4" s="435" t="str">
        <f>IF('Soli_citud '!O4="","",'Soli_citud '!O4)</f>
        <v>Marroquinería Formación</v>
      </c>
      <c r="N4" s="435"/>
      <c r="O4" s="436"/>
      <c r="P4" s="421"/>
      <c r="Q4" s="422"/>
      <c r="R4" s="305"/>
      <c r="S4" s="431"/>
    </row>
    <row r="5" spans="1:27" ht="2.25" customHeight="1">
      <c r="A5" s="239"/>
      <c r="P5" s="421"/>
      <c r="Q5" s="422"/>
    </row>
    <row r="6" spans="1:27" ht="27" customHeight="1">
      <c r="A6" s="239"/>
      <c r="B6" s="437" t="s">
        <v>64</v>
      </c>
      <c r="C6" s="438"/>
      <c r="D6" s="439"/>
      <c r="E6" s="443" t="s">
        <v>65</v>
      </c>
      <c r="F6" s="443"/>
      <c r="G6" s="443"/>
      <c r="H6" s="443"/>
      <c r="I6" s="444"/>
      <c r="J6" s="445"/>
      <c r="K6" s="446"/>
      <c r="L6" s="446"/>
      <c r="M6" s="446"/>
      <c r="N6" s="447"/>
      <c r="O6" s="447"/>
      <c r="P6" s="421"/>
      <c r="Q6" s="422"/>
      <c r="R6" s="407" t="str">
        <f>IF(R3="","","Valor de Producción ($)")</f>
        <v/>
      </c>
      <c r="S6" s="408"/>
    </row>
    <row r="7" spans="1:27" ht="3.75" customHeight="1">
      <c r="A7" s="239"/>
      <c r="B7" s="440"/>
      <c r="C7" s="441"/>
      <c r="D7" s="442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421"/>
      <c r="Q7" s="422"/>
      <c r="R7" s="409" t="str">
        <f ca="1">IFERROR(IF(R3="","",G9*M10),"")</f>
        <v/>
      </c>
      <c r="S7" s="410"/>
    </row>
    <row r="8" spans="1:27" ht="20.25" customHeight="1">
      <c r="A8" s="239"/>
      <c r="B8" s="411">
        <f ca="1">IF('Soli_citud '!D5&lt;= 0,"",'Soli_citud '!D5)</f>
        <v>25054.260000000002</v>
      </c>
      <c r="C8" s="412"/>
      <c r="D8" s="413"/>
      <c r="E8" s="414" t="s">
        <v>66</v>
      </c>
      <c r="F8" s="415"/>
      <c r="G8" s="415"/>
      <c r="H8" s="415"/>
      <c r="I8" s="416"/>
      <c r="J8" s="417" t="str">
        <f>IF('Soli_citud '!E2="","",'Soli_citud '!E2)</f>
        <v>Noe Rodriguez Páez</v>
      </c>
      <c r="K8" s="418"/>
      <c r="L8" s="418"/>
      <c r="M8" s="418"/>
      <c r="N8" s="418"/>
      <c r="O8" s="418"/>
      <c r="P8" s="421"/>
      <c r="Q8" s="422"/>
      <c r="R8" s="409"/>
      <c r="S8" s="410"/>
    </row>
    <row r="9" spans="1:27" ht="3.75" customHeight="1">
      <c r="A9" s="239"/>
      <c r="B9" s="457" t="s">
        <v>67</v>
      </c>
      <c r="C9" s="458"/>
      <c r="D9" s="461"/>
      <c r="E9" s="462" t="s">
        <v>68</v>
      </c>
      <c r="F9" s="462"/>
      <c r="G9" s="463" t="str">
        <f ca="1">IFERROR(IF(D9="","",ROUNDUP(B8*(1+D9),-2)),"")</f>
        <v/>
      </c>
      <c r="H9" s="464"/>
      <c r="I9" s="465"/>
      <c r="J9" s="104"/>
      <c r="K9" s="104"/>
      <c r="L9" s="104"/>
      <c r="M9" s="104"/>
      <c r="N9" s="104"/>
      <c r="O9" s="104"/>
      <c r="P9" s="421"/>
      <c r="Q9" s="422"/>
    </row>
    <row r="10" spans="1:27" ht="27.75" customHeight="1" thickBot="1">
      <c r="A10" s="239"/>
      <c r="B10" s="459"/>
      <c r="C10" s="460"/>
      <c r="D10" s="461"/>
      <c r="E10" s="462"/>
      <c r="F10" s="462"/>
      <c r="G10" s="466"/>
      <c r="H10" s="467"/>
      <c r="I10" s="468"/>
      <c r="J10" s="469" t="s">
        <v>69</v>
      </c>
      <c r="K10" s="469"/>
      <c r="L10" s="470"/>
      <c r="M10" s="249">
        <f>'[1]Soli_citud '!K5</f>
        <v>1</v>
      </c>
      <c r="N10" s="432" t="s">
        <v>70</v>
      </c>
      <c r="O10" s="433"/>
      <c r="P10" s="423"/>
      <c r="Q10" s="424"/>
      <c r="R10" s="228" t="s">
        <v>71</v>
      </c>
      <c r="S10" s="227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292" t="s">
        <v>72</v>
      </c>
      <c r="B11" s="241" t="s">
        <v>73</v>
      </c>
      <c r="C11" s="402" t="s">
        <v>74</v>
      </c>
      <c r="D11" s="403"/>
      <c r="E11" s="403"/>
      <c r="F11" s="404"/>
      <c r="G11" s="107" t="s">
        <v>75</v>
      </c>
      <c r="H11" s="107" t="s">
        <v>76</v>
      </c>
      <c r="I11" s="223" t="s">
        <v>77</v>
      </c>
      <c r="J11" s="105" t="s">
        <v>78</v>
      </c>
      <c r="K11" s="208" t="s">
        <v>79</v>
      </c>
      <c r="L11" s="405" t="s">
        <v>24</v>
      </c>
      <c r="M11" s="406"/>
      <c r="N11" s="226" t="s">
        <v>80</v>
      </c>
      <c r="O11" s="226" t="s">
        <v>81</v>
      </c>
      <c r="P11" s="229" t="s">
        <v>82</v>
      </c>
      <c r="Q11" s="230" t="s">
        <v>83</v>
      </c>
      <c r="R11" s="222" t="s">
        <v>84</v>
      </c>
      <c r="S11" s="209" t="s">
        <v>85</v>
      </c>
    </row>
    <row r="12" spans="1:27" ht="19.5" customHeight="1">
      <c r="A12" s="74">
        <v>1</v>
      </c>
      <c r="B12" s="242" t="str">
        <f>IF(H12="","",$N$2)</f>
        <v>NR0909-1</v>
      </c>
      <c r="C12" s="399" t="str">
        <f>IFERROR(IF('Soli_citud '!D10="","",'Soli_citud '!D10),"")</f>
        <v>TALA</v>
      </c>
      <c r="D12" s="399"/>
      <c r="E12" s="399"/>
      <c r="F12" s="399"/>
      <c r="G12" s="212" t="str">
        <f ca="1">IF('Soli_citud '!O10="","",'Soli_citud '!O10)</f>
        <v>dm2</v>
      </c>
      <c r="H12" s="212" cm="1">
        <f t="array" ref="H12">_xlfn.IFS('Soli_citud '!S10="","",'Soli_citud '!S10&lt;=0,"",'Soli_citud '!S10&gt;0,'Soli_citud '!S10)</f>
        <v>891</v>
      </c>
      <c r="I12" s="213">
        <v>317</v>
      </c>
      <c r="J12" s="214">
        <v>317</v>
      </c>
      <c r="K12" s="196" cm="1">
        <f t="array" ref="K12">IFERROR(_xlfn.IFS(H12="","",J12=H12,"Cumplido",J12&lt;H12,H12-J12,J12&gt;H12,"Revisar"),"")</f>
        <v>574</v>
      </c>
      <c r="L12" s="400"/>
      <c r="M12" s="401"/>
      <c r="N12" s="214"/>
      <c r="O12" s="197" t="str">
        <f t="shared" ref="O12" si="0">IFERROR(H12/N12,"")</f>
        <v/>
      </c>
      <c r="P12" s="292" t="str" cm="1">
        <f t="array" ref="P12">IFERROR(_xlfn.IFS(Q12&gt;0,"ENTREGADO",'Soli_citud '!A10="HERRAMIENTAS_","DEVOLUTIVO"),"")</f>
        <v/>
      </c>
      <c r="Q12" s="217"/>
      <c r="R12" s="217"/>
      <c r="S12" s="214"/>
    </row>
    <row r="13" spans="1:27" ht="21" customHeight="1">
      <c r="A13" s="73">
        <v>2</v>
      </c>
      <c r="B13" s="242" t="str">
        <f t="shared" ref="B13:B32" si="1">IF(H13="","",$N$2)</f>
        <v>NR0909-1</v>
      </c>
      <c r="C13" s="399" t="str">
        <f>IFERROR(IF('Soli_citud '!D11="","",'Soli_citud '!D11),"")</f>
        <v xml:space="preserve">BASE O SUPERFICIE PARA CORTE SILICONADA
</v>
      </c>
      <c r="D13" s="399"/>
      <c r="E13" s="399"/>
      <c r="F13" s="399"/>
      <c r="G13" s="212" t="str">
        <f ca="1">IF('Soli_citud '!O11="","",'Soli_citud '!O11)</f>
        <v>U</v>
      </c>
      <c r="H13" s="212" cm="1">
        <f t="array" ref="H13">_xlfn.IFS('Soli_citud '!S11="","",'Soli_citud '!S11&lt;=0,"",'Soli_citud '!S11&gt;0,'Soli_citud '!S11)</f>
        <v>24.975000000000001</v>
      </c>
      <c r="I13" s="213"/>
      <c r="J13" s="215"/>
      <c r="K13" s="196" cm="1">
        <f t="array" ref="K13">IFERROR(_xlfn.IFS(H13="","",J13=H13,"Cumplido",J13&lt;H13,H13-J13,J13&gt;H13,"Revisar"),"")</f>
        <v>24.975000000000001</v>
      </c>
      <c r="L13" s="400" t="s">
        <v>86</v>
      </c>
      <c r="M13" s="401"/>
      <c r="N13" s="214"/>
      <c r="O13" s="197" t="str">
        <f t="shared" ref="O13:O15" si="2">IFERROR(H13/N13,"")</f>
        <v/>
      </c>
      <c r="P13" s="292" t="str" cm="1">
        <f t="array" ref="P13">IFERROR(_xlfn.IFS(Q13&gt;0,"ENTREGADO",'Soli_citud '!A11="HERRAMIENTAS_","DEVOLUTIVO"),"")</f>
        <v>DEVOLUTIVO</v>
      </c>
      <c r="Q13" s="217"/>
      <c r="R13" s="214"/>
      <c r="S13" s="214"/>
    </row>
    <row r="14" spans="1:27" ht="21" customHeight="1">
      <c r="A14" s="74">
        <v>3</v>
      </c>
      <c r="B14" s="242" t="str">
        <f t="shared" si="1"/>
        <v>NR0909-1</v>
      </c>
      <c r="C14" s="399" t="str">
        <f>IFERROR(IF('Soli_citud '!D12="","",'Soli_citud '!D12),"")</f>
        <v xml:space="preserve">PINZAS PARA MONTAJE MONTAJE ROJO _ </v>
      </c>
      <c r="D14" s="399"/>
      <c r="E14" s="399"/>
      <c r="F14" s="399"/>
      <c r="G14" s="212" t="str">
        <f ca="1">IF('Soli_citud '!O12="","",'Soli_citud '!O12)</f>
        <v>U</v>
      </c>
      <c r="H14" s="212" cm="1">
        <f t="array" ref="H14">_xlfn.IFS('Soli_citud '!S12="","",'Soli_citud '!S12&lt;=0,"",'Soli_citud '!S12&gt;0,'Soli_citud '!S12)</f>
        <v>24.975000000000001</v>
      </c>
      <c r="I14" s="213">
        <v>45548</v>
      </c>
      <c r="J14" s="215">
        <v>20</v>
      </c>
      <c r="K14" s="196" cm="1">
        <f t="array" ref="K14">IFERROR(_xlfn.IFS(H14="","",J14=H14,"Cumplido",J14&lt;H14,H14-J14,J14&gt;H14,"Revisar"),"")</f>
        <v>4.9750000000000014</v>
      </c>
      <c r="L14" s="400"/>
      <c r="M14" s="401"/>
      <c r="N14" s="214"/>
      <c r="O14" s="197" t="str">
        <f t="shared" si="2"/>
        <v/>
      </c>
      <c r="P14" s="292" t="str" cm="1">
        <f t="array" ref="P14">IFERROR(_xlfn.IFS(Q14&gt;0,"ENTREGADO",'Soli_citud '!A12="HERRAMIENTAS_","DEVOLUTIVO"),"")</f>
        <v>DEVOLUTIVO</v>
      </c>
      <c r="Q14" s="217"/>
      <c r="R14" s="214"/>
      <c r="S14" s="214"/>
    </row>
    <row r="15" spans="1:27" ht="21" customHeight="1">
      <c r="A15" s="73">
        <v>4</v>
      </c>
      <c r="B15" s="242" t="str">
        <f t="shared" si="1"/>
        <v/>
      </c>
      <c r="C15" s="399" t="str">
        <f>IFERROR(IF('Soli_citud '!D13="","",'Soli_citud '!D13),"")</f>
        <v/>
      </c>
      <c r="D15" s="399"/>
      <c r="E15" s="399"/>
      <c r="F15" s="399"/>
      <c r="G15" s="212" t="str">
        <f ca="1">IF('Soli_citud '!O13="","",'Soli_citud '!O13)</f>
        <v/>
      </c>
      <c r="H15" s="212" t="str" cm="1">
        <f t="array" ref="H15">_xlfn.IFS('Soli_citud '!S13="","",'Soli_citud '!S13&lt;=0,"",'Soli_citud '!S13&gt;0,'Soli_citud '!S13)</f>
        <v/>
      </c>
      <c r="I15" s="213"/>
      <c r="J15" s="215"/>
      <c r="K15" s="196" t="str" cm="1">
        <f t="array" ref="K15">IFERROR(_xlfn.IFS(H15="","",J15=H15,"Cumplido",J15&lt;H15,H15-J15,J15&gt;H15,"Revisar"),"")</f>
        <v/>
      </c>
      <c r="L15" s="400"/>
      <c r="M15" s="401"/>
      <c r="N15" s="214"/>
      <c r="O15" s="197" t="str">
        <f t="shared" si="2"/>
        <v/>
      </c>
      <c r="P15" s="292" t="str" cm="1">
        <f t="array" ref="P15">IFERROR(_xlfn.IFS(Q15&gt;0,"ENTREGADO",'Soli_citud '!A13="HERRAMIENTAS_","DEVOLUTIVO"),"")</f>
        <v/>
      </c>
      <c r="Q15" s="217"/>
      <c r="R15" s="214"/>
      <c r="S15" s="214"/>
    </row>
    <row r="16" spans="1:27" ht="21" customHeight="1">
      <c r="A16" s="74">
        <v>5</v>
      </c>
      <c r="B16" s="242" t="str">
        <f t="shared" si="1"/>
        <v/>
      </c>
      <c r="C16" s="399" t="str">
        <f>IFERROR(IF('Soli_citud '!D14="","",'Soli_citud '!D14),"")</f>
        <v/>
      </c>
      <c r="D16" s="399"/>
      <c r="E16" s="399"/>
      <c r="F16" s="399"/>
      <c r="G16" s="212" t="str">
        <f ca="1">IF('Soli_citud '!O14="","",'Soli_citud '!O14)</f>
        <v/>
      </c>
      <c r="H16" s="212" t="str" cm="1">
        <f t="array" ref="H16">_xlfn.IFS('Soli_citud '!S14="","",'Soli_citud '!S14&lt;=0,"",'Soli_citud '!S14&gt;0,'Soli_citud '!S14)</f>
        <v/>
      </c>
      <c r="I16" s="213"/>
      <c r="J16" s="215"/>
      <c r="K16" s="196" t="str" cm="1">
        <f t="array" ref="K16">IFERROR(_xlfn.IFS(H16="","",J16=H16,"Cumplido",J16&lt;H16,H16-J16,J16&gt;H16,"Revisar"),"")</f>
        <v/>
      </c>
      <c r="L16" s="400"/>
      <c r="M16" s="401"/>
      <c r="N16" s="214"/>
      <c r="O16" s="197" t="str">
        <f>IFERROR(H16/N16,"")</f>
        <v/>
      </c>
      <c r="P16" s="292" t="str" cm="1">
        <f t="array" ref="P16">IFERROR(_xlfn.IFS(Q16&gt;0,"ENTREGADO",'Soli_citud '!A14="HERRAMIENTAS_","DEVOLUTIVO"),"")</f>
        <v/>
      </c>
      <c r="Q16" s="217"/>
      <c r="R16" s="214"/>
      <c r="S16" s="214"/>
    </row>
    <row r="17" spans="1:19" ht="34.5" customHeight="1">
      <c r="A17" s="73">
        <v>6</v>
      </c>
      <c r="B17" s="242" t="str">
        <f t="shared" si="1"/>
        <v/>
      </c>
      <c r="C17" s="399" t="str">
        <f>IFERROR(IF('Soli_citud '!D15="","",'Soli_citud '!D15),"")</f>
        <v/>
      </c>
      <c r="D17" s="399"/>
      <c r="E17" s="399"/>
      <c r="F17" s="399"/>
      <c r="G17" s="212" t="str">
        <f ca="1">IF('Soli_citud '!O15="","",'Soli_citud '!O15)</f>
        <v/>
      </c>
      <c r="H17" s="212" t="str" cm="1">
        <f t="array" ref="H17">_xlfn.IFS('Soli_citud '!S15="","",'Soli_citud '!S15&lt;=0,"",'Soli_citud '!S15&gt;0,'Soli_citud '!S15)</f>
        <v/>
      </c>
      <c r="I17" s="213"/>
      <c r="J17" s="215"/>
      <c r="K17" s="196" t="str" cm="1">
        <f t="array" ref="K17">IFERROR(_xlfn.IFS(H17="","",J17=H17,"Cumplido",J17&lt;H17,H17-J17,J17&gt;H17,"Revisar"),"")</f>
        <v/>
      </c>
      <c r="L17" s="400"/>
      <c r="M17" s="401"/>
      <c r="N17" s="214"/>
      <c r="O17" s="197" t="str">
        <f t="shared" ref="O17:O32" si="3">IFERROR(H17/N17,"")</f>
        <v/>
      </c>
      <c r="P17" s="292" t="str" cm="1">
        <f t="array" ref="P17">IFERROR(_xlfn.IFS(Q17&gt;0,"ENTREGADO",'Soli_citud '!A15="HERRAMIENTAS_","DEVOLUTIVO"),"")</f>
        <v/>
      </c>
      <c r="Q17" s="217"/>
      <c r="R17" s="214"/>
      <c r="S17" s="214"/>
    </row>
    <row r="18" spans="1:19" ht="21" customHeight="1">
      <c r="A18" s="74">
        <v>7</v>
      </c>
      <c r="B18" s="242" t="str">
        <f t="shared" si="1"/>
        <v/>
      </c>
      <c r="C18" s="399" t="str">
        <f>IFERROR(IF('Soli_citud '!D16="","",'Soli_citud '!D16),"")</f>
        <v/>
      </c>
      <c r="D18" s="399"/>
      <c r="E18" s="399"/>
      <c r="F18" s="399"/>
      <c r="G18" s="212" t="str">
        <f ca="1">IF('Soli_citud '!O16="","",'Soli_citud '!O16)</f>
        <v/>
      </c>
      <c r="H18" s="212" t="str" cm="1">
        <f t="array" ref="H18">_xlfn.IFS('Soli_citud '!S16="","",'Soli_citud '!S16&lt;=0,"",'Soli_citud '!S16&gt;0,'Soli_citud '!S16)</f>
        <v/>
      </c>
      <c r="I18" s="213"/>
      <c r="J18" s="215"/>
      <c r="K18" s="196" t="str" cm="1">
        <f t="array" ref="K18">IFERROR(_xlfn.IFS(H18="","",J18=H18,"Cumplido",J18&lt;H18,H18-J18,J18&gt;H18,"Revisar"),"")</f>
        <v/>
      </c>
      <c r="L18" s="400"/>
      <c r="M18" s="401"/>
      <c r="N18" s="214"/>
      <c r="O18" s="197" t="str">
        <f t="shared" si="3"/>
        <v/>
      </c>
      <c r="P18" s="292" t="str" cm="1">
        <f t="array" ref="P18">IFERROR(_xlfn.IFS(Q18&gt;0,"ENTREGADO",'Soli_citud '!A16="HERRAMIENTAS_","DEVOLUTIVO"),"")</f>
        <v/>
      </c>
      <c r="Q18" s="217"/>
      <c r="R18" s="214"/>
      <c r="S18" s="214"/>
    </row>
    <row r="19" spans="1:19" ht="21" customHeight="1">
      <c r="A19" s="73">
        <v>8</v>
      </c>
      <c r="B19" s="242" t="str">
        <f t="shared" si="1"/>
        <v/>
      </c>
      <c r="C19" s="399" t="str">
        <f>IFERROR(IF('Soli_citud '!D17="","",'Soli_citud '!D17),"")</f>
        <v/>
      </c>
      <c r="D19" s="399"/>
      <c r="E19" s="399"/>
      <c r="F19" s="399"/>
      <c r="G19" s="212" t="str">
        <f ca="1">IF('Soli_citud '!O17="","",'Soli_citud '!O17)</f>
        <v/>
      </c>
      <c r="H19" s="212" t="str" cm="1">
        <f t="array" ref="H19">_xlfn.IFS('Soli_citud '!S17="","",'Soli_citud '!S17&lt;=0,"",'Soli_citud '!S17&gt;0,'Soli_citud '!S17)</f>
        <v/>
      </c>
      <c r="I19" s="213"/>
      <c r="J19" s="215"/>
      <c r="K19" s="196" t="str" cm="1">
        <f t="array" ref="K19">IFERROR(_xlfn.IFS(H19="","",J19=H19,"Cumplido",J19&lt;H19,H19-J19,J19&gt;H19,"Revisar"),"")</f>
        <v/>
      </c>
      <c r="L19" s="400"/>
      <c r="M19" s="401"/>
      <c r="N19" s="214"/>
      <c r="O19" s="197" t="str">
        <f t="shared" si="3"/>
        <v/>
      </c>
      <c r="P19" s="292" t="str" cm="1">
        <f t="array" ref="P19">IFERROR(_xlfn.IFS(Q19&gt;0,"ENTREGADO",'Soli_citud '!A17="HERRAMIENTAS_","DEVOLUTIVO"),"")</f>
        <v/>
      </c>
      <c r="Q19" s="217"/>
      <c r="R19" s="214"/>
      <c r="S19" s="214"/>
    </row>
    <row r="20" spans="1:19" ht="21" customHeight="1">
      <c r="A20" s="74">
        <v>9</v>
      </c>
      <c r="B20" s="242" t="str">
        <f t="shared" si="1"/>
        <v/>
      </c>
      <c r="C20" s="399" t="str">
        <f>IFERROR(IF('Soli_citud '!D18="","",'Soli_citud '!D18),"")</f>
        <v/>
      </c>
      <c r="D20" s="399"/>
      <c r="E20" s="399"/>
      <c r="F20" s="399"/>
      <c r="G20" s="212" t="str">
        <f ca="1">IF('Soli_citud '!O18="","",'Soli_citud '!O18)</f>
        <v/>
      </c>
      <c r="H20" s="212" t="str" cm="1">
        <f t="array" ref="H20">_xlfn.IFS('Soli_citud '!S18="","",'Soli_citud '!S18&lt;=0,"",'Soli_citud '!S18&gt;0,'Soli_citud '!S18)</f>
        <v/>
      </c>
      <c r="I20" s="213"/>
      <c r="J20" s="215"/>
      <c r="K20" s="196" t="str" cm="1">
        <f t="array" ref="K20">IFERROR(_xlfn.IFS(H20="","",J20=H20,"Cumplido",J20&lt;H20,H20-J20,J20&gt;H20,"Revisar"),"")</f>
        <v/>
      </c>
      <c r="L20" s="400"/>
      <c r="M20" s="401"/>
      <c r="N20" s="214"/>
      <c r="O20" s="197" t="str">
        <f t="shared" si="3"/>
        <v/>
      </c>
      <c r="P20" s="292" t="str" cm="1">
        <f t="array" ref="P20">IFERROR(_xlfn.IFS(Q20&gt;0,"ENTREGADO",'Soli_citud '!A18="HERRAMIENTAS_","DEVOLUTIVO"),"")</f>
        <v/>
      </c>
      <c r="Q20" s="217"/>
      <c r="R20" s="214"/>
      <c r="S20" s="214"/>
    </row>
    <row r="21" spans="1:19" ht="21" customHeight="1">
      <c r="A21" s="74">
        <v>11</v>
      </c>
      <c r="B21" s="242" t="str">
        <f t="shared" si="1"/>
        <v/>
      </c>
      <c r="C21" s="399" t="str">
        <f>IFERROR(IF('Soli_citud '!D19="","",'Soli_citud '!D19),"")</f>
        <v/>
      </c>
      <c r="D21" s="399"/>
      <c r="E21" s="399"/>
      <c r="F21" s="399"/>
      <c r="G21" s="212" t="str">
        <f ca="1">IF('Soli_citud '!O19="","",'Soli_citud '!O19)</f>
        <v/>
      </c>
      <c r="H21" s="212" t="str" cm="1">
        <f t="array" ref="H21">_xlfn.IFS('Soli_citud '!S19="","",'Soli_citud '!S19&lt;=0,"",'Soli_citud '!S19&gt;0,'Soli_citud '!S19)</f>
        <v/>
      </c>
      <c r="I21" s="213"/>
      <c r="J21" s="215"/>
      <c r="K21" s="196" t="str" cm="1">
        <f t="array" ref="K21">IFERROR(_xlfn.IFS(H21="","",J21=H21,"Cumplido",J21&lt;H21,H21-J21,J21&gt;H21,"Revisar"),"")</f>
        <v/>
      </c>
      <c r="L21" s="400"/>
      <c r="M21" s="401"/>
      <c r="N21" s="214"/>
      <c r="O21" s="197" t="str">
        <f t="shared" si="3"/>
        <v/>
      </c>
      <c r="P21" s="292" t="str" cm="1">
        <f t="array" ref="P21">IFERROR(_xlfn.IFS(Q21&gt;0,"ENTREGADO",'Soli_citud '!A19="HERRAMIENTAS_","DEVOLUTIVO"),"")</f>
        <v/>
      </c>
      <c r="Q21" s="217"/>
      <c r="R21" s="214"/>
      <c r="S21" s="214"/>
    </row>
    <row r="22" spans="1:19" ht="21" customHeight="1">
      <c r="A22" s="73">
        <v>12</v>
      </c>
      <c r="B22" s="242" t="str">
        <f t="shared" si="1"/>
        <v/>
      </c>
      <c r="C22" s="399" t="str">
        <f>IFERROR(IF('Soli_citud '!D20="","",'Soli_citud '!D20),"")</f>
        <v/>
      </c>
      <c r="D22" s="399"/>
      <c r="E22" s="399"/>
      <c r="F22" s="399"/>
      <c r="G22" s="212" t="str">
        <f ca="1">IF('Soli_citud '!O20="","",'Soli_citud '!O20)</f>
        <v/>
      </c>
      <c r="H22" s="212" t="str" cm="1">
        <f t="array" ref="H22">_xlfn.IFS('Soli_citud '!S20="","",'Soli_citud '!S20&lt;=0,"",'Soli_citud '!S20&gt;0,'Soli_citud '!S20)</f>
        <v/>
      </c>
      <c r="I22" s="216"/>
      <c r="J22" s="215"/>
      <c r="K22" s="196" t="str" cm="1">
        <f t="array" ref="K22">IFERROR(_xlfn.IFS(H22="","",J22=H22,"Cumplido",J22&lt;H22,H22-J22,J22&gt;H22,"Revisar"),"")</f>
        <v/>
      </c>
      <c r="L22" s="400"/>
      <c r="M22" s="401"/>
      <c r="N22" s="214"/>
      <c r="O22" s="197" t="str">
        <f t="shared" si="3"/>
        <v/>
      </c>
      <c r="P22" s="292" t="str" cm="1">
        <f t="array" ref="P22">IFERROR(_xlfn.IFS(Q22&gt;0,"ENTREGADO",'Soli_citud '!A20="HERRAMIENTAS_","DEVOLUTIVO"),"")</f>
        <v/>
      </c>
      <c r="Q22" s="217"/>
      <c r="R22" s="214"/>
      <c r="S22" s="214"/>
    </row>
    <row r="23" spans="1:19" ht="21" customHeight="1">
      <c r="A23" s="74">
        <v>13</v>
      </c>
      <c r="B23" s="242" t="str">
        <f t="shared" si="1"/>
        <v/>
      </c>
      <c r="C23" s="399" t="str">
        <f>IFERROR(IF('Soli_citud '!D21="","",'Soli_citud '!D21),"")</f>
        <v/>
      </c>
      <c r="D23" s="399"/>
      <c r="E23" s="399"/>
      <c r="F23" s="399"/>
      <c r="G23" s="212" t="str">
        <f ca="1">IF('Soli_citud '!O21="","",'Soli_citud '!O21)</f>
        <v/>
      </c>
      <c r="H23" s="212" t="str" cm="1">
        <f t="array" ref="H23">_xlfn.IFS('Soli_citud '!S21="","",'Soli_citud '!S21&lt;=0,"",'Soli_citud '!S21&gt;0,'Soli_citud '!S21)</f>
        <v/>
      </c>
      <c r="I23" s="216"/>
      <c r="J23" s="215"/>
      <c r="K23" s="196" t="str" cm="1">
        <f t="array" ref="K23">IFERROR(_xlfn.IFS(H23="","",J23=H23,"Cumplido",J23&lt;H23,H23-J23,J23&gt;H23,"Revisar"),"")</f>
        <v/>
      </c>
      <c r="L23" s="400"/>
      <c r="M23" s="401"/>
      <c r="N23" s="214"/>
      <c r="O23" s="197" t="str">
        <f t="shared" si="3"/>
        <v/>
      </c>
      <c r="P23" s="292" t="str" cm="1">
        <f t="array" ref="P23">IFERROR(_xlfn.IFS(Q23&gt;0,"ENTREGADO",'Soli_citud '!A21="HERRAMIENTAS_","DEVOLUTIVO"),"")</f>
        <v/>
      </c>
      <c r="Q23" s="217"/>
      <c r="R23" s="214"/>
      <c r="S23" s="214"/>
    </row>
    <row r="24" spans="1:19" ht="21" customHeight="1">
      <c r="A24" s="73">
        <v>14</v>
      </c>
      <c r="B24" s="242" t="str">
        <f t="shared" si="1"/>
        <v/>
      </c>
      <c r="C24" s="399" t="str">
        <f>IFERROR(IF('Soli_citud '!D22="","",'Soli_citud '!D22),"")</f>
        <v/>
      </c>
      <c r="D24" s="399"/>
      <c r="E24" s="399"/>
      <c r="F24" s="399"/>
      <c r="G24" s="212" t="str">
        <f ca="1">IF('Soli_citud '!O22="","",'Soli_citud '!O22)</f>
        <v/>
      </c>
      <c r="H24" s="212" t="str" cm="1">
        <f t="array" ref="H24">_xlfn.IFS('Soli_citud '!S22="","",'Soli_citud '!S22&lt;=0,"",'Soli_citud '!S22&gt;0,'Soli_citud '!S22)</f>
        <v/>
      </c>
      <c r="I24" s="216"/>
      <c r="J24" s="215"/>
      <c r="K24" s="196" t="str" cm="1">
        <f t="array" ref="K24">IFERROR(_xlfn.IFS(H24="","",J24=H24,"Cumplido",J24&lt;H24,H24-J24,J24&gt;H24,"Revisar"),"")</f>
        <v/>
      </c>
      <c r="L24" s="400"/>
      <c r="M24" s="401"/>
      <c r="N24" s="214"/>
      <c r="O24" s="197" t="str">
        <f t="shared" si="3"/>
        <v/>
      </c>
      <c r="P24" s="292" t="str" cm="1">
        <f t="array" ref="P24">IFERROR(_xlfn.IFS(Q24&gt;0,"ENTREGADO",'Soli_citud '!A22="HERRAMIENTAS_","DEVOLUTIVO"),"")</f>
        <v/>
      </c>
      <c r="Q24" s="217"/>
      <c r="R24" s="214"/>
      <c r="S24" s="214"/>
    </row>
    <row r="25" spans="1:19" ht="21" customHeight="1">
      <c r="A25" s="74">
        <v>15</v>
      </c>
      <c r="B25" s="242" t="str">
        <f t="shared" si="1"/>
        <v/>
      </c>
      <c r="C25" s="399" t="str">
        <f>IFERROR(IF('Soli_citud '!D23="","",'Soli_citud '!D23),"")</f>
        <v/>
      </c>
      <c r="D25" s="399"/>
      <c r="E25" s="399"/>
      <c r="F25" s="399"/>
      <c r="G25" s="212" t="str">
        <f ca="1">IF('Soli_citud '!O23="","",'Soli_citud '!O23)</f>
        <v/>
      </c>
      <c r="H25" s="212" t="str" cm="1">
        <f t="array" ref="H25">_xlfn.IFS('Soli_citud '!S23="","",'Soli_citud '!S23&lt;=0,"",'Soli_citud '!S23&gt;0,'Soli_citud '!S23)</f>
        <v/>
      </c>
      <c r="I25" s="216"/>
      <c r="J25" s="215"/>
      <c r="K25" s="196" t="str" cm="1">
        <f t="array" ref="K25">IFERROR(_xlfn.IFS(H25="","",J25=H25,"Cumplido",J25&lt;H25,H25-J25,J25&gt;H25,"Revisar"),"")</f>
        <v/>
      </c>
      <c r="L25" s="400"/>
      <c r="M25" s="401"/>
      <c r="N25" s="214"/>
      <c r="O25" s="197" t="str">
        <f t="shared" si="3"/>
        <v/>
      </c>
      <c r="P25" s="292" t="str" cm="1">
        <f t="array" ref="P25">IFERROR(_xlfn.IFS(Q25&gt;0,"ENTREGADO",'Soli_citud '!A23="HERRAMIENTAS_","DEVOLUTIVO"),"")</f>
        <v/>
      </c>
      <c r="Q25" s="217"/>
      <c r="R25" s="214"/>
      <c r="S25" s="214"/>
    </row>
    <row r="26" spans="1:19" ht="21" customHeight="1">
      <c r="A26" s="73">
        <v>16</v>
      </c>
      <c r="B26" s="242" t="str">
        <f t="shared" si="1"/>
        <v/>
      </c>
      <c r="C26" s="399" t="str">
        <f>IFERROR(IF('Soli_citud '!D24="","",'Soli_citud '!D24),"")</f>
        <v/>
      </c>
      <c r="D26" s="399"/>
      <c r="E26" s="399"/>
      <c r="F26" s="399"/>
      <c r="G26" s="212" t="str">
        <f ca="1">IF('Soli_citud '!O24="","",'Soli_citud '!O24)</f>
        <v/>
      </c>
      <c r="H26" s="212" t="str" cm="1">
        <f t="array" ref="H26">_xlfn.IFS('Soli_citud '!S24="","",'Soli_citud '!S24&lt;=0,"",'Soli_citud '!S24&gt;0,'Soli_citud '!S24)</f>
        <v/>
      </c>
      <c r="I26" s="216"/>
      <c r="J26" s="215"/>
      <c r="K26" s="196" t="str" cm="1">
        <f t="array" ref="K26">IFERROR(_xlfn.IFS(H26="","",J26=H26,"Cumplido",J26&lt;H26,H26-J26,J26&gt;H26,"Revisar"),"")</f>
        <v/>
      </c>
      <c r="L26" s="400"/>
      <c r="M26" s="401"/>
      <c r="N26" s="214"/>
      <c r="O26" s="197" t="str">
        <f t="shared" si="3"/>
        <v/>
      </c>
      <c r="P26" s="292" t="str" cm="1">
        <f t="array" ref="P26">IFERROR(_xlfn.IFS(Q26&gt;0,"ENTREGADO",'Soli_citud '!A24="HERRAMIENTAS_","DEVOLUTIVO"),"")</f>
        <v/>
      </c>
      <c r="Q26" s="217"/>
      <c r="R26" s="214"/>
      <c r="S26" s="214"/>
    </row>
    <row r="27" spans="1:19" ht="21" customHeight="1">
      <c r="A27" s="74">
        <v>17</v>
      </c>
      <c r="B27" s="242" t="str">
        <f t="shared" si="1"/>
        <v/>
      </c>
      <c r="C27" s="399" t="str">
        <f>IFERROR(IF('Soli_citud '!D25="","",'Soli_citud '!D25),"")</f>
        <v/>
      </c>
      <c r="D27" s="399"/>
      <c r="E27" s="399"/>
      <c r="F27" s="399"/>
      <c r="G27" s="212" t="str">
        <f ca="1">IF('Soli_citud '!O25="","",'Soli_citud '!O25)</f>
        <v/>
      </c>
      <c r="H27" s="212" t="str" cm="1">
        <f t="array" ref="H27">_xlfn.IFS('Soli_citud '!S25="","",'Soli_citud '!S25&lt;=0,"",'Soli_citud '!S25&gt;0,'Soli_citud '!S25)</f>
        <v/>
      </c>
      <c r="I27" s="216"/>
      <c r="J27" s="215"/>
      <c r="K27" s="196" t="str" cm="1">
        <f t="array" ref="K27">IFERROR(_xlfn.IFS(H27="","",J27=H27,"Cumplido",J27&lt;H27,H27-J27,J27&gt;H27,"Revisar"),"")</f>
        <v/>
      </c>
      <c r="L27" s="400"/>
      <c r="M27" s="401"/>
      <c r="N27" s="214"/>
      <c r="O27" s="197" t="str">
        <f t="shared" si="3"/>
        <v/>
      </c>
      <c r="P27" s="292" t="str" cm="1">
        <f t="array" ref="P27">IFERROR(_xlfn.IFS(Q27&gt;0,"ENTREGADO",'Soli_citud '!A25="HERRAMIENTAS_","DEVOLUTIVO"),"")</f>
        <v/>
      </c>
      <c r="Q27" s="217"/>
      <c r="R27" s="214"/>
      <c r="S27" s="214"/>
    </row>
    <row r="28" spans="1:19" ht="21" customHeight="1">
      <c r="A28" s="73">
        <v>18</v>
      </c>
      <c r="B28" s="242" t="str">
        <f t="shared" si="1"/>
        <v/>
      </c>
      <c r="C28" s="399" t="str">
        <f>IFERROR(IF('Soli_citud '!D26="","",'Soli_citud '!D26),"")</f>
        <v/>
      </c>
      <c r="D28" s="399"/>
      <c r="E28" s="399"/>
      <c r="F28" s="399"/>
      <c r="G28" s="212" t="str">
        <f ca="1">IF('Soli_citud '!O26="","",'Soli_citud '!O26)</f>
        <v/>
      </c>
      <c r="H28" s="212" t="str" cm="1">
        <f t="array" ref="H28">_xlfn.IFS('Soli_citud '!S26="","",'Soli_citud '!S26&lt;=0,"",'Soli_citud '!S26&gt;0,'Soli_citud '!S26)</f>
        <v/>
      </c>
      <c r="I28" s="216"/>
      <c r="J28" s="215"/>
      <c r="K28" s="196" t="str" cm="1">
        <f t="array" ref="K28">IFERROR(_xlfn.IFS(H28="","",J28=H28,"Cumplido",J28&lt;H28,H28-J28,J28&gt;H28,"Revisar"),"")</f>
        <v/>
      </c>
      <c r="L28" s="400"/>
      <c r="M28" s="401"/>
      <c r="N28" s="214"/>
      <c r="O28" s="197" t="str">
        <f t="shared" si="3"/>
        <v/>
      </c>
      <c r="P28" s="292" t="str" cm="1">
        <f t="array" ref="P28">IFERROR(_xlfn.IFS(Q28&gt;0,"ENTREGADO",'Soli_citud '!A26="HERRAMIENTAS_","DEVOLUTIVO"),"")</f>
        <v/>
      </c>
      <c r="Q28" s="217"/>
      <c r="R28" s="214"/>
      <c r="S28" s="214"/>
    </row>
    <row r="29" spans="1:19" ht="21">
      <c r="A29" s="74">
        <v>19</v>
      </c>
      <c r="B29" s="242" t="str">
        <f t="shared" si="1"/>
        <v/>
      </c>
      <c r="C29" s="399" t="str">
        <f>IFERROR(IF('Soli_citud '!D27="","",'Soli_citud '!D27),"")</f>
        <v/>
      </c>
      <c r="D29" s="399"/>
      <c r="E29" s="399"/>
      <c r="F29" s="399"/>
      <c r="G29" s="212" t="str">
        <f ca="1">IF('Soli_citud '!O27="","",'Soli_citud '!O27)</f>
        <v/>
      </c>
      <c r="H29" s="212" t="str" cm="1">
        <f t="array" ref="H29">_xlfn.IFS('Soli_citud '!S27="","",'Soli_citud '!S27&lt;=0,"",'Soli_citud '!S27&gt;0,'Soli_citud '!S27)</f>
        <v/>
      </c>
      <c r="I29" s="216"/>
      <c r="J29" s="215"/>
      <c r="K29" s="196" t="str" cm="1">
        <f t="array" ref="K29">IFERROR(_xlfn.IFS(H29="","",J29=H29,"Cumplido",J29&lt;H29,H29-J29,J29&gt;H29,"Revisar"),"")</f>
        <v/>
      </c>
      <c r="L29" s="400"/>
      <c r="M29" s="401"/>
      <c r="N29" s="214"/>
      <c r="O29" s="197" t="str">
        <f t="shared" si="3"/>
        <v/>
      </c>
      <c r="P29" s="292" t="str" cm="1">
        <f t="array" ref="P29">IFERROR(_xlfn.IFS(Q29&gt;0,"ENTREGADO",'Soli_citud '!A27="HERRAMIENTAS_","DEVOLUTIVO"),"")</f>
        <v/>
      </c>
      <c r="Q29" s="217"/>
      <c r="R29" s="214"/>
      <c r="S29" s="214"/>
    </row>
    <row r="30" spans="1:19" ht="21">
      <c r="A30" s="73">
        <v>20</v>
      </c>
      <c r="B30" s="242" t="str">
        <f t="shared" si="1"/>
        <v/>
      </c>
      <c r="C30" s="399" t="str">
        <f>IFERROR(IF('Soli_citud '!D28="","",'Soli_citud '!D28),"")</f>
        <v/>
      </c>
      <c r="D30" s="399"/>
      <c r="E30" s="399"/>
      <c r="F30" s="399"/>
      <c r="G30" s="212" t="str">
        <f ca="1">IF('Soli_citud '!O28="","",'Soli_citud '!O28)</f>
        <v/>
      </c>
      <c r="H30" s="212" t="str" cm="1">
        <f t="array" ref="H30">_xlfn.IFS('Soli_citud '!S28="","",'Soli_citud '!S28&lt;=0,"",'Soli_citud '!S28&gt;0,'Soli_citud '!S28)</f>
        <v/>
      </c>
      <c r="I30" s="216"/>
      <c r="J30" s="215"/>
      <c r="K30" s="196" t="str" cm="1">
        <f t="array" ref="K30">IFERROR(_xlfn.IFS(H30="","",J30=H30,"Cumplido",J30&lt;H30,H30-J30,J30&gt;H30,"Revisar"),"")</f>
        <v/>
      </c>
      <c r="L30" s="400"/>
      <c r="M30" s="401"/>
      <c r="N30" s="214"/>
      <c r="O30" s="197" t="str">
        <f t="shared" si="3"/>
        <v/>
      </c>
      <c r="P30" s="292" t="str" cm="1">
        <f t="array" ref="P30">IFERROR(_xlfn.IFS(Q30&gt;0,"ENTREGADO",'Soli_citud '!A28="HERRAMIENTAS_","DEVOLUTIVO"),"")</f>
        <v/>
      </c>
      <c r="Q30" s="217"/>
      <c r="R30" s="214"/>
      <c r="S30" s="214"/>
    </row>
    <row r="31" spans="1:19" ht="22.5" customHeight="1">
      <c r="A31" s="73">
        <v>21</v>
      </c>
      <c r="B31" s="242" t="str">
        <f t="shared" si="1"/>
        <v/>
      </c>
      <c r="C31" s="399" t="str">
        <f>IFERROR(IF('Soli_citud '!D29="","",'Soli_citud '!D29),"")</f>
        <v/>
      </c>
      <c r="D31" s="399"/>
      <c r="E31" s="399"/>
      <c r="F31" s="399"/>
      <c r="G31" s="212" t="str">
        <f ca="1">IF('Soli_citud '!O29="","",'Soli_citud '!O29)</f>
        <v/>
      </c>
      <c r="H31" s="212" t="str" cm="1">
        <f t="array" ref="H31">_xlfn.IFS('Soli_citud '!S29="","",'Soli_citud '!S29&lt;=0,"",'Soli_citud '!S29&gt;0,'Soli_citud '!S29)</f>
        <v/>
      </c>
      <c r="I31" s="216"/>
      <c r="J31" s="215"/>
      <c r="K31" s="196" t="str" cm="1">
        <f t="array" ref="K31">IFERROR(_xlfn.IFS(H31="","",J31=H31,"Cumplido",J31&lt;H31,H31-J31,J31&gt;H31,"Revisar"),"")</f>
        <v/>
      </c>
      <c r="L31" s="400"/>
      <c r="M31" s="401"/>
      <c r="N31" s="214"/>
      <c r="O31" s="197" t="str">
        <f t="shared" si="3"/>
        <v/>
      </c>
      <c r="P31" s="292" t="str" cm="1">
        <f t="array" ref="P31">IFERROR(_xlfn.IFS(Q31&gt;0,"ENTREGADO",'Soli_citud '!A29="HERRAMIENTAS_","DEVOLUTIVO"),"")</f>
        <v/>
      </c>
      <c r="Q31" s="217"/>
      <c r="R31" s="214"/>
      <c r="S31" s="214"/>
    </row>
    <row r="32" spans="1:19" ht="21">
      <c r="A32" s="73">
        <v>22</v>
      </c>
      <c r="B32" s="242" t="str">
        <f t="shared" si="1"/>
        <v/>
      </c>
      <c r="C32" s="399" t="str">
        <f>IFERROR(IF('Soli_citud '!D30="","",'Soli_citud '!D30),"")</f>
        <v/>
      </c>
      <c r="D32" s="399"/>
      <c r="E32" s="399"/>
      <c r="F32" s="399"/>
      <c r="G32" s="212" t="str">
        <f ca="1">IF('Soli_citud '!O30="","",'Soli_citud '!O30)</f>
        <v/>
      </c>
      <c r="H32" s="212" t="str" cm="1">
        <f t="array" ref="H32">_xlfn.IFS('Soli_citud '!S30="","",'Soli_citud '!S30&lt;=0,"",'Soli_citud '!S30&gt;0,'Soli_citud '!S30)</f>
        <v/>
      </c>
      <c r="I32" s="216"/>
      <c r="J32" s="215"/>
      <c r="K32" s="196" t="str" cm="1">
        <f t="array" ref="K32">IFERROR(_xlfn.IFS(H32="","",J32=H32,"Cumplido",J32&lt;H32,H32-J32,J32&gt;H32,"Revisar"),"")</f>
        <v/>
      </c>
      <c r="L32" s="400"/>
      <c r="M32" s="401"/>
      <c r="N32" s="214"/>
      <c r="O32" s="197" t="str">
        <f t="shared" si="3"/>
        <v/>
      </c>
      <c r="P32" s="292" t="str" cm="1">
        <f t="array" ref="P32">IFERROR(_xlfn.IFS(Q32&gt;0,"ENTREGADO",'Soli_citud '!A30="HERRAMIENTAS_","DEVOLUTIVO"),"")</f>
        <v/>
      </c>
      <c r="Q32" s="217"/>
      <c r="R32" s="214"/>
      <c r="S32" s="214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bottomRight" activeCell="V5" sqref="V5"/>
      <selection pane="bottomLeft" activeCell="D13" sqref="D13:N13"/>
      <selection pane="topRight" activeCell="D13" sqref="D13:N13"/>
    </sheetView>
  </sheetViews>
  <sheetFormatPr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3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4"/>
      <c r="B1" s="494"/>
      <c r="C1" s="494"/>
      <c r="D1" s="494"/>
      <c r="E1" s="497" t="s">
        <v>87</v>
      </c>
      <c r="F1" s="497"/>
      <c r="H1" s="275" t="s">
        <v>88</v>
      </c>
      <c r="Z1" s="240" t="s">
        <v>89</v>
      </c>
    </row>
    <row r="2" spans="1:26" ht="18.75" customHeight="1">
      <c r="A2" s="494"/>
      <c r="B2" s="494"/>
      <c r="C2" s="494"/>
      <c r="D2" s="494"/>
      <c r="E2" s="497"/>
      <c r="F2" s="497"/>
    </row>
    <row r="3" spans="1:26" ht="24" customHeight="1">
      <c r="A3" s="494"/>
      <c r="B3" s="494"/>
      <c r="C3" s="494"/>
      <c r="D3" s="494"/>
      <c r="E3" s="498">
        <f>SUM(Total_AdhySol,Total_SECUNDARIO_MEDULAR,Total_Cuero,Total_Herrajes,Total_Sint_y_Tex,Total_Suelas,Total_Herramientas,Total_Ins_Compl)</f>
        <v>860</v>
      </c>
      <c r="F3" s="498"/>
      <c r="G3" s="10"/>
    </row>
    <row r="5" spans="1:26" ht="40.5" customHeight="1">
      <c r="B5"/>
      <c r="C5"/>
      <c r="D5"/>
    </row>
    <row r="6" spans="1:26" ht="34.5" customHeight="1">
      <c r="A6" s="110" t="s">
        <v>90</v>
      </c>
      <c r="B6" s="244">
        <f>SUBTOTAL(3,(BD!$B$8:$B$20))</f>
        <v>13</v>
      </c>
      <c r="C6" s="495"/>
      <c r="D6" s="496"/>
      <c r="H6" s="493" t="s">
        <v>91</v>
      </c>
      <c r="I6" s="493"/>
    </row>
    <row r="7" spans="1:26" ht="47.25">
      <c r="A7" s="71" t="s">
        <v>72</v>
      </c>
      <c r="B7" s="111" t="s">
        <v>92</v>
      </c>
      <c r="C7" s="68" t="s">
        <v>93</v>
      </c>
      <c r="D7" s="69" t="s">
        <v>94</v>
      </c>
      <c r="E7" s="86" t="s">
        <v>95</v>
      </c>
      <c r="F7" s="174" t="s">
        <v>96</v>
      </c>
      <c r="G7" s="69" t="s">
        <v>97</v>
      </c>
      <c r="H7" s="70" t="s">
        <v>98</v>
      </c>
      <c r="I7" s="70" t="s">
        <v>99</v>
      </c>
      <c r="J7" s="72" t="s">
        <v>100</v>
      </c>
      <c r="K7" s="254" t="s">
        <v>101</v>
      </c>
    </row>
    <row r="8" spans="1:26" ht="15" customHeight="1">
      <c r="A8" s="41">
        <v>1</v>
      </c>
      <c r="B8" s="36" t="s">
        <v>102</v>
      </c>
      <c r="C8" s="132" t="s">
        <v>36</v>
      </c>
      <c r="D8" s="48" t="s">
        <v>103</v>
      </c>
      <c r="E8" s="43">
        <v>74650</v>
      </c>
      <c r="F8" s="175" t="s">
        <v>104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105</v>
      </c>
      <c r="C9" s="132" t="s">
        <v>36</v>
      </c>
      <c r="D9" s="48" t="s">
        <v>103</v>
      </c>
      <c r="E9" s="43">
        <v>231671.5</v>
      </c>
      <c r="F9" s="175" t="s">
        <v>104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106</v>
      </c>
      <c r="C10" s="132" t="s">
        <v>36</v>
      </c>
      <c r="D10" s="48" t="s">
        <v>103</v>
      </c>
      <c r="E10" s="43">
        <v>231671.5</v>
      </c>
      <c r="F10" s="175" t="s">
        <v>104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107</v>
      </c>
      <c r="C11" s="132" t="s">
        <v>36</v>
      </c>
      <c r="D11" s="48" t="s">
        <v>103</v>
      </c>
      <c r="E11" s="43">
        <v>78666.625</v>
      </c>
      <c r="F11" s="175" t="s">
        <v>104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5">
        <f t="shared" si="1"/>
        <v>5</v>
      </c>
      <c r="B12" s="36" t="s">
        <v>108</v>
      </c>
      <c r="C12" s="132" t="s">
        <v>36</v>
      </c>
      <c r="D12" s="48" t="s">
        <v>109</v>
      </c>
      <c r="E12" s="43">
        <v>72665</v>
      </c>
      <c r="F12" s="175" t="s">
        <v>109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110</v>
      </c>
      <c r="C13" s="132" t="s">
        <v>36</v>
      </c>
      <c r="D13" s="48" t="s">
        <v>103</v>
      </c>
      <c r="E13" s="43">
        <v>59690.625</v>
      </c>
      <c r="F13" s="175" t="s">
        <v>104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111</v>
      </c>
      <c r="C14" s="132" t="s">
        <v>36</v>
      </c>
      <c r="D14" s="48" t="s">
        <v>103</v>
      </c>
      <c r="E14" s="43">
        <v>50200</v>
      </c>
      <c r="F14" s="175" t="s">
        <v>104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112</v>
      </c>
      <c r="C15" s="132" t="s">
        <v>36</v>
      </c>
      <c r="D15" s="58" t="s">
        <v>103</v>
      </c>
      <c r="E15" s="62">
        <v>66108</v>
      </c>
      <c r="F15" s="175" t="s">
        <v>104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5">
        <f t="shared" si="1"/>
        <v>9</v>
      </c>
      <c r="B16" s="38" t="s">
        <v>113</v>
      </c>
      <c r="C16" s="132" t="s">
        <v>36</v>
      </c>
      <c r="D16" s="58" t="s">
        <v>103</v>
      </c>
      <c r="E16" s="43"/>
      <c r="F16" s="175" t="s">
        <v>104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114</v>
      </c>
      <c r="C17" s="132" t="s">
        <v>36</v>
      </c>
      <c r="D17" s="58" t="s">
        <v>103</v>
      </c>
      <c r="E17" s="43">
        <v>61960</v>
      </c>
      <c r="F17" s="175" t="s">
        <v>104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5">
        <f t="shared" si="1"/>
        <v>11</v>
      </c>
      <c r="B18" s="36" t="s">
        <v>115</v>
      </c>
      <c r="C18" s="132" t="s">
        <v>36</v>
      </c>
      <c r="D18" s="48" t="s">
        <v>103</v>
      </c>
      <c r="E18" s="43">
        <v>28400</v>
      </c>
      <c r="F18" s="175" t="s">
        <v>104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5">
        <f t="shared" si="1"/>
        <v>12</v>
      </c>
      <c r="B19" s="36" t="s">
        <v>116</v>
      </c>
      <c r="C19" s="132" t="s">
        <v>36</v>
      </c>
      <c r="D19" s="48" t="s">
        <v>103</v>
      </c>
      <c r="E19" s="43">
        <v>36816</v>
      </c>
      <c r="F19" s="175" t="s">
        <v>103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5">
        <f t="shared" si="1"/>
        <v>13</v>
      </c>
      <c r="B20" s="36" t="s">
        <v>117</v>
      </c>
      <c r="C20" s="234" t="s">
        <v>36</v>
      </c>
      <c r="D20" s="48" t="s">
        <v>104</v>
      </c>
      <c r="E20" s="43"/>
      <c r="F20" s="175" t="s">
        <v>104</v>
      </c>
      <c r="G20" s="9" t="s">
        <v>118</v>
      </c>
      <c r="H20" s="8">
        <v>1</v>
      </c>
      <c r="I20" s="8">
        <v>1</v>
      </c>
      <c r="J20" s="11" t="s">
        <v>119</v>
      </c>
    </row>
    <row r="21" spans="1:10" ht="17.25" customHeight="1">
      <c r="B21"/>
      <c r="C21"/>
      <c r="D21"/>
      <c r="E21"/>
      <c r="F21" s="176"/>
      <c r="H21"/>
      <c r="I21"/>
    </row>
    <row r="22" spans="1:10" ht="17.25" customHeight="1">
      <c r="B22"/>
      <c r="C22"/>
      <c r="D22"/>
      <c r="E22"/>
      <c r="F22" s="176"/>
      <c r="H22"/>
      <c r="I22"/>
    </row>
    <row r="23" spans="1:10" ht="17.25" customHeight="1">
      <c r="B23"/>
      <c r="C23"/>
      <c r="D23"/>
      <c r="E23"/>
      <c r="F23" s="176"/>
      <c r="H23"/>
      <c r="I23"/>
    </row>
    <row r="24" spans="1:10" ht="17.25" customHeight="1">
      <c r="B24"/>
      <c r="C24"/>
      <c r="D24"/>
      <c r="E24"/>
      <c r="F24" s="176"/>
      <c r="H24"/>
      <c r="I24"/>
    </row>
    <row r="25" spans="1:10" ht="17.25" customHeight="1">
      <c r="B25"/>
      <c r="C25"/>
      <c r="D25"/>
      <c r="E25"/>
      <c r="F25" s="176"/>
      <c r="H25"/>
      <c r="I25"/>
    </row>
    <row r="26" spans="1:10" ht="17.25" customHeight="1">
      <c r="B26"/>
      <c r="C26"/>
      <c r="D26"/>
      <c r="E26"/>
      <c r="F26" s="176"/>
      <c r="H26"/>
      <c r="I26"/>
    </row>
    <row r="27" spans="1:10" ht="17.25" customHeight="1">
      <c r="B27"/>
      <c r="C27"/>
      <c r="D27"/>
      <c r="E27"/>
      <c r="F27" s="176"/>
      <c r="H27"/>
      <c r="I27"/>
    </row>
    <row r="28" spans="1:10" ht="17.25" customHeight="1">
      <c r="B28"/>
      <c r="C28"/>
      <c r="D28"/>
      <c r="E28"/>
      <c r="F28" s="176"/>
      <c r="H28"/>
      <c r="I28"/>
    </row>
    <row r="29" spans="1:10" ht="17.25" customHeight="1">
      <c r="B29"/>
      <c r="C29"/>
      <c r="D29"/>
      <c r="E29"/>
      <c r="F29" s="176"/>
      <c r="H29"/>
      <c r="I29"/>
    </row>
    <row r="30" spans="1:10" ht="17.25" customHeight="1">
      <c r="B30"/>
      <c r="C30"/>
      <c r="D30"/>
      <c r="E30"/>
      <c r="F30" s="176"/>
      <c r="H30"/>
      <c r="I30"/>
    </row>
    <row r="31" spans="1:10" ht="17.25" customHeight="1">
      <c r="B31"/>
      <c r="C31"/>
      <c r="D31"/>
      <c r="E31"/>
      <c r="F31" s="176"/>
      <c r="H31"/>
      <c r="I31"/>
    </row>
    <row r="32" spans="1:10" ht="17.25" customHeight="1">
      <c r="B32"/>
      <c r="C32"/>
      <c r="D32"/>
      <c r="E32"/>
      <c r="F32" s="176"/>
      <c r="H32"/>
      <c r="I32"/>
    </row>
    <row r="33" spans="6:6" customFormat="1" ht="17.25" customHeight="1">
      <c r="F33" s="176"/>
    </row>
    <row r="34" spans="6:6" customFormat="1" ht="17.25" customHeight="1">
      <c r="F34" s="176"/>
    </row>
    <row r="35" spans="6:6" customFormat="1" ht="17.25" customHeight="1">
      <c r="F35" s="176"/>
    </row>
    <row r="36" spans="6:6" customFormat="1" ht="17.25" customHeight="1">
      <c r="F36" s="176"/>
    </row>
    <row r="37" spans="6:6" customFormat="1" ht="17.25" customHeight="1">
      <c r="F37" s="176"/>
    </row>
    <row r="38" spans="6:6" customFormat="1" ht="17.25" customHeight="1">
      <c r="F38" s="176"/>
    </row>
    <row r="39" spans="6:6" customFormat="1" ht="17.25" customHeight="1">
      <c r="F39" s="176"/>
    </row>
    <row r="40" spans="6:6" customFormat="1" ht="17.25" customHeight="1">
      <c r="F40" s="176"/>
    </row>
    <row r="41" spans="6:6" customFormat="1" ht="17.25" customHeight="1">
      <c r="F41" s="176"/>
    </row>
    <row r="42" spans="6:6" customFormat="1" ht="17.25" customHeight="1">
      <c r="F42" s="176"/>
    </row>
    <row r="43" spans="6:6" customFormat="1" ht="17.25" customHeight="1">
      <c r="F43" s="176"/>
    </row>
    <row r="44" spans="6:6" customFormat="1" ht="17.25" customHeight="1">
      <c r="F44" s="176"/>
    </row>
    <row r="45" spans="6:6" customFormat="1" ht="17.25" customHeight="1">
      <c r="F45" s="176"/>
    </row>
    <row r="46" spans="6:6" customFormat="1" ht="17.25" customHeight="1">
      <c r="F46" s="176"/>
    </row>
    <row r="47" spans="6:6" customFormat="1" ht="17.25" customHeight="1">
      <c r="F47" s="176"/>
    </row>
    <row r="48" spans="6:6" customFormat="1" ht="17.25" customHeight="1">
      <c r="F48" s="176"/>
    </row>
    <row r="49" spans="1:11" ht="17.25" customHeight="1">
      <c r="B49"/>
      <c r="C49"/>
      <c r="D49"/>
      <c r="E49"/>
      <c r="F49" s="176"/>
      <c r="H49"/>
      <c r="I49"/>
    </row>
    <row r="50" spans="1:11" ht="17.25" customHeight="1">
      <c r="B50"/>
      <c r="C50"/>
      <c r="D50"/>
      <c r="E50"/>
      <c r="F50" s="176"/>
      <c r="H50"/>
      <c r="I50"/>
    </row>
    <row r="51" spans="1:11" ht="17.25" customHeight="1">
      <c r="B51"/>
      <c r="C51"/>
      <c r="D51"/>
      <c r="E51"/>
      <c r="F51" s="176"/>
      <c r="H51"/>
      <c r="I51"/>
    </row>
    <row r="52" spans="1:11" ht="17.25" customHeight="1">
      <c r="B52"/>
      <c r="C52"/>
      <c r="D52"/>
      <c r="E52"/>
      <c r="F52" s="176"/>
      <c r="H52"/>
      <c r="I52"/>
    </row>
    <row r="53" spans="1:11" ht="17.25" customHeight="1">
      <c r="B53"/>
      <c r="C53"/>
      <c r="D53"/>
      <c r="E53"/>
      <c r="F53" s="176"/>
      <c r="H53"/>
      <c r="I53"/>
    </row>
    <row r="54" spans="1:11" ht="17.25" customHeight="1">
      <c r="B54"/>
      <c r="C54"/>
      <c r="D54"/>
      <c r="E54"/>
      <c r="F54" s="176"/>
      <c r="H54"/>
      <c r="I54"/>
    </row>
    <row r="55" spans="1:11" ht="17.25" customHeight="1">
      <c r="B55"/>
      <c r="C55"/>
      <c r="D55"/>
      <c r="E55"/>
      <c r="F55" s="176"/>
      <c r="H55"/>
      <c r="I55"/>
    </row>
    <row r="56" spans="1:11" ht="17.25" customHeight="1">
      <c r="B56"/>
      <c r="C56"/>
      <c r="D56"/>
      <c r="E56"/>
      <c r="F56" s="176"/>
      <c r="H56"/>
      <c r="I56"/>
    </row>
    <row r="57" spans="1:11" ht="17.25" customHeight="1">
      <c r="A57" s="75"/>
      <c r="B57" s="76" t="s">
        <v>120</v>
      </c>
      <c r="C57" s="75"/>
      <c r="D57" s="75"/>
      <c r="E57" s="75"/>
      <c r="F57" s="177"/>
      <c r="G57" s="75"/>
      <c r="H57" s="75"/>
      <c r="I57" s="75"/>
      <c r="J57" s="75"/>
    </row>
    <row r="59" spans="1:11">
      <c r="B59"/>
      <c r="C59"/>
      <c r="D59"/>
      <c r="E59"/>
      <c r="F59" s="176"/>
      <c r="H59"/>
      <c r="I59"/>
    </row>
    <row r="60" spans="1:11" ht="34.5" customHeight="1">
      <c r="A60" s="117" t="s">
        <v>90</v>
      </c>
      <c r="B60" s="243">
        <f>SUBTOTAL(3,(B62:B169))</f>
        <v>108</v>
      </c>
      <c r="C60"/>
      <c r="D60"/>
      <c r="E60"/>
      <c r="F60" s="176"/>
      <c r="H60"/>
      <c r="I60"/>
    </row>
    <row r="61" spans="1:11" ht="47.25">
      <c r="A61" s="71" t="s">
        <v>72</v>
      </c>
      <c r="B61" s="116" t="s">
        <v>92</v>
      </c>
      <c r="C61" s="64" t="s">
        <v>93</v>
      </c>
      <c r="D61" s="65" t="s">
        <v>94</v>
      </c>
      <c r="E61" s="67" t="s">
        <v>95</v>
      </c>
      <c r="F61" s="174" t="s">
        <v>96</v>
      </c>
      <c r="G61" s="69" t="s">
        <v>97</v>
      </c>
      <c r="H61" s="70" t="s">
        <v>98</v>
      </c>
      <c r="I61" s="70" t="s">
        <v>99</v>
      </c>
      <c r="J61" s="276" t="s">
        <v>100</v>
      </c>
      <c r="K61" s="277" t="s">
        <v>101</v>
      </c>
    </row>
    <row r="62" spans="1:11" ht="15" customHeight="1">
      <c r="A62" s="41">
        <v>1</v>
      </c>
      <c r="B62" s="36" t="s">
        <v>121</v>
      </c>
      <c r="C62" s="204" t="s">
        <v>122</v>
      </c>
      <c r="D62" s="48" t="s">
        <v>109</v>
      </c>
      <c r="E62" s="43">
        <v>8995</v>
      </c>
      <c r="F62" s="175" t="s">
        <v>109</v>
      </c>
      <c r="G62" s="9">
        <f>IF(BD!$E62="","",(E62/(H62*I62)))</f>
        <v>8995</v>
      </c>
      <c r="H62" s="8">
        <v>1</v>
      </c>
      <c r="I62" s="8">
        <v>1</v>
      </c>
      <c r="J62" s="205" t="str">
        <f t="shared" ref="J62:J93" si="2">CONCATENATE(LEFT(C62,1),"_",TEXT(A62,"000"))</f>
        <v>F_001</v>
      </c>
      <c r="K62" s="115"/>
    </row>
    <row r="63" spans="1:11" ht="15" customHeight="1">
      <c r="A63" s="41">
        <f t="shared" ref="A63:A94" si="3">A62+1</f>
        <v>2</v>
      </c>
      <c r="B63" s="36" t="s">
        <v>123</v>
      </c>
      <c r="C63" s="204" t="s">
        <v>122</v>
      </c>
      <c r="D63" s="48" t="s">
        <v>109</v>
      </c>
      <c r="E63" s="43">
        <v>109707</v>
      </c>
      <c r="F63" s="175" t="s">
        <v>109</v>
      </c>
      <c r="G63" s="9">
        <f>IF(BD!$E63="","",(E63/(H63*I63)))</f>
        <v>109707</v>
      </c>
      <c r="H63" s="8">
        <v>1</v>
      </c>
      <c r="I63" s="8">
        <v>1</v>
      </c>
      <c r="J63" s="205" t="str">
        <f t="shared" si="2"/>
        <v>F_002</v>
      </c>
      <c r="K63" s="115"/>
    </row>
    <row r="64" spans="1:11" ht="15" customHeight="1">
      <c r="A64" s="41">
        <f t="shared" si="3"/>
        <v>3</v>
      </c>
      <c r="B64" s="36" t="s">
        <v>124</v>
      </c>
      <c r="C64" s="204" t="s">
        <v>122</v>
      </c>
      <c r="D64" s="48" t="s">
        <v>109</v>
      </c>
      <c r="E64" s="43">
        <v>65500</v>
      </c>
      <c r="F64" s="175" t="s">
        <v>109</v>
      </c>
      <c r="G64" s="9">
        <f>IF(BD!$E64="","",(E64/(H64*I64)))</f>
        <v>65500</v>
      </c>
      <c r="H64" s="8">
        <v>1</v>
      </c>
      <c r="I64" s="8">
        <v>1</v>
      </c>
      <c r="J64" s="205" t="str">
        <f t="shared" si="2"/>
        <v>F_003</v>
      </c>
      <c r="K64" s="115"/>
    </row>
    <row r="65" spans="1:11" ht="15" customHeight="1">
      <c r="A65" s="41">
        <f t="shared" si="3"/>
        <v>4</v>
      </c>
      <c r="B65" s="36" t="s">
        <v>125</v>
      </c>
      <c r="C65" s="204" t="s">
        <v>122</v>
      </c>
      <c r="D65" s="48" t="s">
        <v>109</v>
      </c>
      <c r="E65" s="43">
        <v>24994</v>
      </c>
      <c r="F65" s="175" t="s">
        <v>109</v>
      </c>
      <c r="G65" s="9">
        <f>IF(BD!$E65="","",(E65/(H65*I65)))</f>
        <v>24994</v>
      </c>
      <c r="H65" s="8">
        <v>1</v>
      </c>
      <c r="I65" s="8">
        <v>1</v>
      </c>
      <c r="J65" s="205" t="str">
        <f t="shared" si="2"/>
        <v>F_004</v>
      </c>
      <c r="K65" s="115"/>
    </row>
    <row r="66" spans="1:11" ht="15" customHeight="1">
      <c r="A66" s="41">
        <f t="shared" si="3"/>
        <v>5</v>
      </c>
      <c r="B66" s="36" t="s">
        <v>126</v>
      </c>
      <c r="C66" s="204" t="s">
        <v>122</v>
      </c>
      <c r="D66" s="48" t="s">
        <v>109</v>
      </c>
      <c r="E66" s="43">
        <v>20237</v>
      </c>
      <c r="F66" s="175" t="s">
        <v>109</v>
      </c>
      <c r="G66" s="9">
        <f>IF(BD!$E66="","",(E66/(H66*I66)))</f>
        <v>20237</v>
      </c>
      <c r="H66" s="8">
        <v>1</v>
      </c>
      <c r="I66" s="8">
        <v>1</v>
      </c>
      <c r="J66" s="205" t="str">
        <f t="shared" si="2"/>
        <v>F_005</v>
      </c>
      <c r="K66" s="115"/>
    </row>
    <row r="67" spans="1:11" ht="15" customHeight="1">
      <c r="A67" s="41">
        <f t="shared" si="3"/>
        <v>6</v>
      </c>
      <c r="B67" s="36" t="s">
        <v>127</v>
      </c>
      <c r="C67" s="204" t="s">
        <v>122</v>
      </c>
      <c r="D67" s="48" t="s">
        <v>109</v>
      </c>
      <c r="E67" s="43">
        <v>24994</v>
      </c>
      <c r="F67" s="175" t="s">
        <v>109</v>
      </c>
      <c r="G67" s="9">
        <f>IF(BD!$E67="","",(E67/(H67*I67)))</f>
        <v>24994</v>
      </c>
      <c r="H67" s="8">
        <v>1</v>
      </c>
      <c r="I67" s="8">
        <v>1</v>
      </c>
      <c r="J67" s="205" t="str">
        <f t="shared" si="2"/>
        <v>F_006</v>
      </c>
      <c r="K67" s="115"/>
    </row>
    <row r="68" spans="1:11" ht="15" customHeight="1">
      <c r="A68" s="41">
        <f t="shared" si="3"/>
        <v>7</v>
      </c>
      <c r="B68" s="36" t="s">
        <v>128</v>
      </c>
      <c r="C68" s="204" t="s">
        <v>122</v>
      </c>
      <c r="D68" s="48" t="s">
        <v>109</v>
      </c>
      <c r="E68" s="43">
        <v>24994</v>
      </c>
      <c r="F68" s="175" t="s">
        <v>109</v>
      </c>
      <c r="G68" s="9">
        <f>IF(BD!$E68="","",(E68/(H68*I68)))</f>
        <v>24994</v>
      </c>
      <c r="H68" s="8">
        <v>1</v>
      </c>
      <c r="I68" s="8">
        <v>1</v>
      </c>
      <c r="J68" s="205" t="str">
        <f t="shared" si="2"/>
        <v>F_007</v>
      </c>
      <c r="K68" s="115"/>
    </row>
    <row r="69" spans="1:11" ht="15" customHeight="1">
      <c r="A69" s="41">
        <f t="shared" si="3"/>
        <v>8</v>
      </c>
      <c r="B69" s="36" t="s">
        <v>129</v>
      </c>
      <c r="C69" s="204" t="s">
        <v>122</v>
      </c>
      <c r="D69" s="48" t="s">
        <v>109</v>
      </c>
      <c r="E69" s="43">
        <v>24994</v>
      </c>
      <c r="F69" s="175" t="s">
        <v>109</v>
      </c>
      <c r="G69" s="9">
        <f>IF(BD!$E69="","",(E69/(H69*I69)))</f>
        <v>24994</v>
      </c>
      <c r="H69" s="8">
        <v>1</v>
      </c>
      <c r="I69" s="8">
        <v>1</v>
      </c>
      <c r="J69" s="205" t="str">
        <f t="shared" si="2"/>
        <v>F_008</v>
      </c>
      <c r="K69" s="115"/>
    </row>
    <row r="70" spans="1:11" ht="15" customHeight="1">
      <c r="A70" s="41">
        <f t="shared" si="3"/>
        <v>9</v>
      </c>
      <c r="B70" s="36" t="s">
        <v>130</v>
      </c>
      <c r="C70" s="204" t="s">
        <v>122</v>
      </c>
      <c r="D70" s="48" t="s">
        <v>109</v>
      </c>
      <c r="E70" s="43">
        <v>24994</v>
      </c>
      <c r="F70" s="175" t="s">
        <v>109</v>
      </c>
      <c r="G70" s="9">
        <f>IF(BD!$E70="","",(E70/(H70*I70)))</f>
        <v>24994</v>
      </c>
      <c r="H70" s="8">
        <v>1</v>
      </c>
      <c r="I70" s="8">
        <v>1</v>
      </c>
      <c r="J70" s="205" t="str">
        <f t="shared" si="2"/>
        <v>F_009</v>
      </c>
      <c r="K70" s="115"/>
    </row>
    <row r="71" spans="1:11" ht="15" customHeight="1">
      <c r="A71" s="41">
        <f t="shared" si="3"/>
        <v>10</v>
      </c>
      <c r="B71" s="36" t="s">
        <v>131</v>
      </c>
      <c r="C71" s="204" t="s">
        <v>122</v>
      </c>
      <c r="D71" s="48" t="s">
        <v>109</v>
      </c>
      <c r="E71" s="43">
        <v>24994</v>
      </c>
      <c r="F71" s="175" t="s">
        <v>109</v>
      </c>
      <c r="G71" s="9">
        <f>IF(BD!$E71="","",(E71/(H71*I71)))</f>
        <v>24994</v>
      </c>
      <c r="H71" s="8">
        <v>1</v>
      </c>
      <c r="I71" s="8">
        <v>1</v>
      </c>
      <c r="J71" s="205" t="str">
        <f t="shared" si="2"/>
        <v>F_010</v>
      </c>
      <c r="K71" s="115"/>
    </row>
    <row r="72" spans="1:11" ht="15" customHeight="1">
      <c r="A72" s="41">
        <f t="shared" si="3"/>
        <v>11</v>
      </c>
      <c r="B72" s="36" t="s">
        <v>132</v>
      </c>
      <c r="C72" s="204" t="s">
        <v>122</v>
      </c>
      <c r="D72" s="48" t="s">
        <v>109</v>
      </c>
      <c r="E72" s="43">
        <v>24994</v>
      </c>
      <c r="F72" s="175" t="s">
        <v>109</v>
      </c>
      <c r="G72" s="9">
        <f>IF(BD!$E72="","",(E72/(H72*I72)))</f>
        <v>24994</v>
      </c>
      <c r="H72" s="8">
        <v>1</v>
      </c>
      <c r="I72" s="8">
        <v>1</v>
      </c>
      <c r="J72" s="205" t="str">
        <f t="shared" si="2"/>
        <v>F_011</v>
      </c>
      <c r="K72" s="115"/>
    </row>
    <row r="73" spans="1:11" ht="15" customHeight="1">
      <c r="A73" s="41">
        <f t="shared" si="3"/>
        <v>12</v>
      </c>
      <c r="B73" s="36" t="s">
        <v>133</v>
      </c>
      <c r="C73" s="204" t="s">
        <v>122</v>
      </c>
      <c r="D73" s="48" t="s">
        <v>109</v>
      </c>
      <c r="E73" s="43">
        <v>24994</v>
      </c>
      <c r="F73" s="175" t="s">
        <v>109</v>
      </c>
      <c r="G73" s="9">
        <f>IF(BD!$E73="","",(E73/(H73*I73)))</f>
        <v>24994</v>
      </c>
      <c r="H73" s="8">
        <v>1</v>
      </c>
      <c r="I73" s="8">
        <v>1</v>
      </c>
      <c r="J73" s="205" t="str">
        <f t="shared" si="2"/>
        <v>F_012</v>
      </c>
      <c r="K73" s="115"/>
    </row>
    <row r="74" spans="1:11" ht="15" customHeight="1">
      <c r="A74" s="41">
        <f t="shared" si="3"/>
        <v>13</v>
      </c>
      <c r="B74" s="36" t="s">
        <v>134</v>
      </c>
      <c r="C74" s="204" t="s">
        <v>122</v>
      </c>
      <c r="D74" s="48" t="s">
        <v>109</v>
      </c>
      <c r="E74" s="43">
        <v>24994</v>
      </c>
      <c r="F74" s="175" t="s">
        <v>109</v>
      </c>
      <c r="G74" s="9">
        <f>IF(BD!$E74="","",(E74/(H74*I74)))</f>
        <v>24994</v>
      </c>
      <c r="H74" s="8">
        <v>1</v>
      </c>
      <c r="I74" s="8">
        <v>1</v>
      </c>
      <c r="J74" s="205" t="str">
        <f t="shared" si="2"/>
        <v>F_013</v>
      </c>
      <c r="K74" s="115"/>
    </row>
    <row r="75" spans="1:11" ht="15" customHeight="1">
      <c r="A75" s="41">
        <f t="shared" si="3"/>
        <v>14</v>
      </c>
      <c r="B75" s="36" t="s">
        <v>135</v>
      </c>
      <c r="C75" s="204" t="s">
        <v>122</v>
      </c>
      <c r="D75" s="48" t="s">
        <v>109</v>
      </c>
      <c r="E75" s="43">
        <v>24994</v>
      </c>
      <c r="F75" s="175" t="s">
        <v>109</v>
      </c>
      <c r="G75" s="9">
        <f>IF(BD!$E75="","",(E75/(H75*I75)))</f>
        <v>24994</v>
      </c>
      <c r="H75" s="8">
        <v>1</v>
      </c>
      <c r="I75" s="8">
        <v>1</v>
      </c>
      <c r="J75" s="205" t="str">
        <f t="shared" si="2"/>
        <v>F_014</v>
      </c>
      <c r="K75" s="115"/>
    </row>
    <row r="76" spans="1:11" ht="15" customHeight="1">
      <c r="A76" s="41">
        <f t="shared" si="3"/>
        <v>15</v>
      </c>
      <c r="B76" s="36" t="s">
        <v>136</v>
      </c>
      <c r="C76" s="204" t="s">
        <v>122</v>
      </c>
      <c r="D76" s="48" t="s">
        <v>109</v>
      </c>
      <c r="E76" s="43">
        <v>24994</v>
      </c>
      <c r="F76" s="175" t="s">
        <v>109</v>
      </c>
      <c r="G76" s="9">
        <f>IF(BD!$E76="","",(E76/(H76*I76)))</f>
        <v>24994</v>
      </c>
      <c r="H76" s="8">
        <v>1</v>
      </c>
      <c r="I76" s="8">
        <v>1</v>
      </c>
      <c r="J76" s="205" t="str">
        <f t="shared" si="2"/>
        <v>F_015</v>
      </c>
      <c r="K76" s="115"/>
    </row>
    <row r="77" spans="1:11" ht="15" customHeight="1">
      <c r="A77" s="41">
        <f t="shared" si="3"/>
        <v>16</v>
      </c>
      <c r="B77" s="36" t="s">
        <v>137</v>
      </c>
      <c r="C77" s="204" t="s">
        <v>122</v>
      </c>
      <c r="D77" s="48" t="s">
        <v>109</v>
      </c>
      <c r="E77" s="43">
        <v>24994</v>
      </c>
      <c r="F77" s="175" t="s">
        <v>109</v>
      </c>
      <c r="G77" s="9">
        <f>IF(BD!$E77="","",(E77/(H77*I77)))</f>
        <v>24994</v>
      </c>
      <c r="H77" s="8">
        <v>1</v>
      </c>
      <c r="I77" s="8">
        <v>1</v>
      </c>
      <c r="J77" s="205" t="str">
        <f t="shared" si="2"/>
        <v>F_016</v>
      </c>
      <c r="K77" s="115"/>
    </row>
    <row r="78" spans="1:11" ht="15" customHeight="1">
      <c r="A78" s="41">
        <f t="shared" si="3"/>
        <v>17</v>
      </c>
      <c r="B78" s="36" t="s">
        <v>138</v>
      </c>
      <c r="C78" s="204" t="s">
        <v>122</v>
      </c>
      <c r="D78" s="48" t="s">
        <v>109</v>
      </c>
      <c r="E78" s="43">
        <v>24994</v>
      </c>
      <c r="F78" s="175" t="s">
        <v>109</v>
      </c>
      <c r="G78" s="9">
        <f>IF(BD!$E78="","",(E78/(H78*I78)))</f>
        <v>24994</v>
      </c>
      <c r="H78" s="8">
        <v>1</v>
      </c>
      <c r="I78" s="8">
        <v>1</v>
      </c>
      <c r="J78" s="205" t="str">
        <f t="shared" si="2"/>
        <v>F_017</v>
      </c>
      <c r="K78" s="115"/>
    </row>
    <row r="79" spans="1:11" ht="15" customHeight="1">
      <c r="A79" s="41">
        <f t="shared" si="3"/>
        <v>18</v>
      </c>
      <c r="B79" s="36" t="s">
        <v>139</v>
      </c>
      <c r="C79" s="204" t="s">
        <v>122</v>
      </c>
      <c r="D79" s="48" t="s">
        <v>109</v>
      </c>
      <c r="E79" s="43">
        <v>24994</v>
      </c>
      <c r="F79" s="175" t="s">
        <v>109</v>
      </c>
      <c r="G79" s="9">
        <f>IF(BD!$E79="","",(E79/(H79*I79)))</f>
        <v>24994</v>
      </c>
      <c r="H79" s="8">
        <v>1</v>
      </c>
      <c r="I79" s="8">
        <v>1</v>
      </c>
      <c r="J79" s="205" t="str">
        <f t="shared" si="2"/>
        <v>F_018</v>
      </c>
      <c r="K79" s="115"/>
    </row>
    <row r="80" spans="1:11" ht="15" customHeight="1">
      <c r="A80" s="41">
        <f t="shared" si="3"/>
        <v>19</v>
      </c>
      <c r="B80" s="36" t="s">
        <v>140</v>
      </c>
      <c r="C80" s="204" t="s">
        <v>122</v>
      </c>
      <c r="D80" s="48" t="s">
        <v>109</v>
      </c>
      <c r="E80" s="43">
        <v>24994</v>
      </c>
      <c r="F80" s="175" t="s">
        <v>109</v>
      </c>
      <c r="G80" s="9">
        <f>IF(BD!$E80="","",(E80/(H80*I80)))</f>
        <v>24994</v>
      </c>
      <c r="H80" s="8">
        <v>1</v>
      </c>
      <c r="I80" s="8">
        <v>1</v>
      </c>
      <c r="J80" s="205" t="str">
        <f t="shared" si="2"/>
        <v>F_019</v>
      </c>
      <c r="K80" s="115"/>
    </row>
    <row r="81" spans="1:11" ht="15" customHeight="1">
      <c r="A81" s="41">
        <f t="shared" si="3"/>
        <v>20</v>
      </c>
      <c r="B81" s="36" t="s">
        <v>141</v>
      </c>
      <c r="C81" s="204" t="s">
        <v>122</v>
      </c>
      <c r="D81" s="48" t="s">
        <v>109</v>
      </c>
      <c r="E81" s="43">
        <v>24994</v>
      </c>
      <c r="F81" s="175" t="s">
        <v>109</v>
      </c>
      <c r="G81" s="9">
        <f>IF(BD!$E81="","",(E81/(H81*I81)))</f>
        <v>24994</v>
      </c>
      <c r="H81" s="8">
        <v>1</v>
      </c>
      <c r="I81" s="8">
        <v>1</v>
      </c>
      <c r="J81" s="205" t="str">
        <f t="shared" si="2"/>
        <v>F_020</v>
      </c>
      <c r="K81" s="115"/>
    </row>
    <row r="82" spans="1:11" ht="15" customHeight="1">
      <c r="A82" s="41">
        <f t="shared" si="3"/>
        <v>21</v>
      </c>
      <c r="B82" s="36" t="s">
        <v>142</v>
      </c>
      <c r="C82" s="204" t="s">
        <v>122</v>
      </c>
      <c r="D82" s="48" t="s">
        <v>109</v>
      </c>
      <c r="E82" s="43">
        <v>24994</v>
      </c>
      <c r="F82" s="175" t="s">
        <v>109</v>
      </c>
      <c r="G82" s="9">
        <f>IF(BD!$E82="","",(E82/(H82*I82)))</f>
        <v>24994</v>
      </c>
      <c r="H82" s="8">
        <v>1</v>
      </c>
      <c r="I82" s="8">
        <v>1</v>
      </c>
      <c r="J82" s="205" t="str">
        <f t="shared" si="2"/>
        <v>F_021</v>
      </c>
      <c r="K82" s="115"/>
    </row>
    <row r="83" spans="1:11" ht="15" customHeight="1">
      <c r="A83" s="41">
        <f t="shared" si="3"/>
        <v>22</v>
      </c>
      <c r="B83" s="36" t="s">
        <v>143</v>
      </c>
      <c r="C83" s="204" t="s">
        <v>122</v>
      </c>
      <c r="D83" s="48" t="s">
        <v>109</v>
      </c>
      <c r="E83" s="43">
        <v>24994</v>
      </c>
      <c r="F83" s="175" t="s">
        <v>109</v>
      </c>
      <c r="G83" s="9">
        <f>IF(BD!$E83="","",(E83/(H83*I83)))</f>
        <v>24994</v>
      </c>
      <c r="H83" s="8">
        <v>1</v>
      </c>
      <c r="I83" s="8">
        <v>1</v>
      </c>
      <c r="J83" s="205" t="str">
        <f t="shared" si="2"/>
        <v>F_022</v>
      </c>
      <c r="K83" s="115"/>
    </row>
    <row r="84" spans="1:11" ht="15" customHeight="1">
      <c r="A84" s="41">
        <f t="shared" si="3"/>
        <v>23</v>
      </c>
      <c r="B84" s="36" t="s">
        <v>144</v>
      </c>
      <c r="C84" s="204" t="s">
        <v>122</v>
      </c>
      <c r="D84" s="48" t="s">
        <v>109</v>
      </c>
      <c r="E84" s="43">
        <v>24994</v>
      </c>
      <c r="F84" s="175" t="s">
        <v>109</v>
      </c>
      <c r="G84" s="9">
        <f>IF(BD!$E84="","",(E84/(H84*I84)))</f>
        <v>24994</v>
      </c>
      <c r="H84" s="8">
        <v>1</v>
      </c>
      <c r="I84" s="8">
        <v>1</v>
      </c>
      <c r="J84" s="205" t="str">
        <f t="shared" si="2"/>
        <v>F_023</v>
      </c>
      <c r="K84" s="115"/>
    </row>
    <row r="85" spans="1:11" ht="15" customHeight="1">
      <c r="A85" s="41">
        <f t="shared" si="3"/>
        <v>24</v>
      </c>
      <c r="B85" s="36" t="s">
        <v>145</v>
      </c>
      <c r="C85" s="204" t="s">
        <v>122</v>
      </c>
      <c r="D85" s="48" t="s">
        <v>109</v>
      </c>
      <c r="E85" s="43">
        <v>24994</v>
      </c>
      <c r="F85" s="175" t="s">
        <v>109</v>
      </c>
      <c r="G85" s="9">
        <f>IF(BD!$E85="","",(E85/(H85*I85)))</f>
        <v>24994</v>
      </c>
      <c r="H85" s="8">
        <v>1</v>
      </c>
      <c r="I85" s="8">
        <v>1</v>
      </c>
      <c r="J85" s="205" t="str">
        <f t="shared" si="2"/>
        <v>F_024</v>
      </c>
      <c r="K85" s="115"/>
    </row>
    <row r="86" spans="1:11" ht="15" customHeight="1">
      <c r="A86" s="41">
        <f t="shared" si="3"/>
        <v>25</v>
      </c>
      <c r="B86" s="36" t="s">
        <v>146</v>
      </c>
      <c r="C86" s="204" t="s">
        <v>122</v>
      </c>
      <c r="D86" s="48" t="s">
        <v>109</v>
      </c>
      <c r="E86" s="43">
        <v>24994</v>
      </c>
      <c r="F86" s="175" t="s">
        <v>109</v>
      </c>
      <c r="G86" s="9">
        <f>IF(BD!$E86="","",(E86/(H86*I86)))</f>
        <v>24994</v>
      </c>
      <c r="H86" s="8">
        <v>1</v>
      </c>
      <c r="I86" s="8">
        <v>1</v>
      </c>
      <c r="J86" s="205" t="str">
        <f t="shared" si="2"/>
        <v>F_025</v>
      </c>
      <c r="K86" s="115"/>
    </row>
    <row r="87" spans="1:11" ht="15" customHeight="1">
      <c r="A87" s="41">
        <f t="shared" si="3"/>
        <v>26</v>
      </c>
      <c r="B87" s="36" t="s">
        <v>147</v>
      </c>
      <c r="C87" s="204" t="s">
        <v>122</v>
      </c>
      <c r="D87" s="48" t="s">
        <v>109</v>
      </c>
      <c r="E87" s="43">
        <v>24994</v>
      </c>
      <c r="F87" s="175" t="s">
        <v>109</v>
      </c>
      <c r="G87" s="9">
        <f>IF(BD!$E87="","",(E87/(H87*I87)))</f>
        <v>24994</v>
      </c>
      <c r="H87" s="8">
        <v>1</v>
      </c>
      <c r="I87" s="8">
        <v>1</v>
      </c>
      <c r="J87" s="205" t="str">
        <f t="shared" si="2"/>
        <v>F_026</v>
      </c>
      <c r="K87" s="115"/>
    </row>
    <row r="88" spans="1:11" ht="15" customHeight="1">
      <c r="A88" s="41">
        <f t="shared" si="3"/>
        <v>27</v>
      </c>
      <c r="B88" s="36" t="s">
        <v>148</v>
      </c>
      <c r="C88" s="204" t="s">
        <v>122</v>
      </c>
      <c r="D88" s="48" t="s">
        <v>109</v>
      </c>
      <c r="E88" s="43">
        <v>24994</v>
      </c>
      <c r="F88" s="175" t="s">
        <v>109</v>
      </c>
      <c r="G88" s="9">
        <f>IF(BD!$E88="","",(E88/(H88*I88)))</f>
        <v>24994</v>
      </c>
      <c r="H88" s="8">
        <v>1</v>
      </c>
      <c r="I88" s="8">
        <v>1</v>
      </c>
      <c r="J88" s="205" t="str">
        <f t="shared" si="2"/>
        <v>F_027</v>
      </c>
      <c r="K88" s="115"/>
    </row>
    <row r="89" spans="1:11" ht="15" customHeight="1">
      <c r="A89" s="41">
        <f t="shared" si="3"/>
        <v>28</v>
      </c>
      <c r="B89" s="36" t="s">
        <v>149</v>
      </c>
      <c r="C89" s="204" t="s">
        <v>122</v>
      </c>
      <c r="D89" s="48" t="s">
        <v>109</v>
      </c>
      <c r="E89" s="43">
        <v>24994</v>
      </c>
      <c r="F89" s="175" t="s">
        <v>109</v>
      </c>
      <c r="G89" s="9">
        <f>IF(BD!$E89="","",(E89/(H89*I89)))</f>
        <v>24994</v>
      </c>
      <c r="H89" s="8">
        <v>1</v>
      </c>
      <c r="I89" s="8">
        <v>1</v>
      </c>
      <c r="J89" s="205" t="str">
        <f t="shared" si="2"/>
        <v>F_028</v>
      </c>
      <c r="K89" s="115"/>
    </row>
    <row r="90" spans="1:11" ht="15" customHeight="1">
      <c r="A90" s="41">
        <f t="shared" si="3"/>
        <v>29</v>
      </c>
      <c r="B90" s="36" t="s">
        <v>150</v>
      </c>
      <c r="C90" s="204" t="s">
        <v>122</v>
      </c>
      <c r="D90" s="48" t="s">
        <v>109</v>
      </c>
      <c r="E90" s="43">
        <v>24994</v>
      </c>
      <c r="F90" s="175" t="s">
        <v>109</v>
      </c>
      <c r="G90" s="9">
        <f>IF(BD!$E90="","",(E90/(H90*I90)))</f>
        <v>24994</v>
      </c>
      <c r="H90" s="8">
        <v>1</v>
      </c>
      <c r="I90" s="8">
        <v>1</v>
      </c>
      <c r="J90" s="205" t="str">
        <f t="shared" si="2"/>
        <v>F_029</v>
      </c>
      <c r="K90" s="115"/>
    </row>
    <row r="91" spans="1:11" ht="15" customHeight="1">
      <c r="A91" s="41">
        <f t="shared" si="3"/>
        <v>30</v>
      </c>
      <c r="B91" s="36" t="s">
        <v>151</v>
      </c>
      <c r="C91" s="204" t="s">
        <v>122</v>
      </c>
      <c r="D91" s="48" t="s">
        <v>109</v>
      </c>
      <c r="E91" s="43">
        <v>24994</v>
      </c>
      <c r="F91" s="175" t="s">
        <v>109</v>
      </c>
      <c r="G91" s="9">
        <f>IF(BD!$E91="","",(E91/(H91*I91)))</f>
        <v>24994</v>
      </c>
      <c r="H91" s="8">
        <v>1</v>
      </c>
      <c r="I91" s="8">
        <v>1</v>
      </c>
      <c r="J91" s="205" t="str">
        <f t="shared" si="2"/>
        <v>F_030</v>
      </c>
      <c r="K91" s="115"/>
    </row>
    <row r="92" spans="1:11" ht="15" customHeight="1">
      <c r="A92" s="41">
        <f t="shared" si="3"/>
        <v>31</v>
      </c>
      <c r="B92" s="36" t="s">
        <v>152</v>
      </c>
      <c r="C92" s="204" t="s">
        <v>122</v>
      </c>
      <c r="D92" s="48" t="s">
        <v>109</v>
      </c>
      <c r="E92" s="43">
        <v>20111</v>
      </c>
      <c r="F92" s="175" t="s">
        <v>109</v>
      </c>
      <c r="G92" s="9">
        <f>IF(BD!$E92="","",(E92/(H92*I92)))</f>
        <v>20111</v>
      </c>
      <c r="H92" s="8">
        <v>1</v>
      </c>
      <c r="I92" s="8">
        <v>1</v>
      </c>
      <c r="J92" s="205" t="str">
        <f t="shared" si="2"/>
        <v>F_031</v>
      </c>
      <c r="K92" s="115"/>
    </row>
    <row r="93" spans="1:11" ht="15" customHeight="1">
      <c r="A93" s="41">
        <f t="shared" si="3"/>
        <v>32</v>
      </c>
      <c r="B93" s="36" t="s">
        <v>153</v>
      </c>
      <c r="C93" s="204" t="s">
        <v>122</v>
      </c>
      <c r="D93" s="48" t="s">
        <v>109</v>
      </c>
      <c r="E93" s="43">
        <v>20111</v>
      </c>
      <c r="F93" s="175" t="s">
        <v>109</v>
      </c>
      <c r="G93" s="9">
        <f>IF(BD!$E93="","",(E93/(H93*I93)))</f>
        <v>20111</v>
      </c>
      <c r="H93" s="8">
        <v>1</v>
      </c>
      <c r="I93" s="8">
        <v>1</v>
      </c>
      <c r="J93" s="205" t="str">
        <f t="shared" si="2"/>
        <v>F_032</v>
      </c>
      <c r="K93" s="115"/>
    </row>
    <row r="94" spans="1:11" ht="15" customHeight="1">
      <c r="A94" s="41">
        <f t="shared" si="3"/>
        <v>33</v>
      </c>
      <c r="B94" s="36" t="s">
        <v>154</v>
      </c>
      <c r="C94" s="204" t="s">
        <v>122</v>
      </c>
      <c r="D94" s="48" t="s">
        <v>109</v>
      </c>
      <c r="E94" s="43">
        <v>20111</v>
      </c>
      <c r="F94" s="175" t="s">
        <v>109</v>
      </c>
      <c r="G94" s="9">
        <f>IF(BD!$E94="","",(E94/(H94*I94)))</f>
        <v>20111</v>
      </c>
      <c r="H94" s="8">
        <v>1</v>
      </c>
      <c r="I94" s="8">
        <v>1</v>
      </c>
      <c r="J94" s="205" t="str">
        <f t="shared" ref="J94:J125" si="4">CONCATENATE(LEFT(C94,1),"_",TEXT(A94,"000"))</f>
        <v>F_033</v>
      </c>
      <c r="K94" s="115"/>
    </row>
    <row r="95" spans="1:11" ht="15" customHeight="1">
      <c r="A95" s="41">
        <f t="shared" ref="A95:A126" si="5">A94+1</f>
        <v>34</v>
      </c>
      <c r="B95" s="36" t="s">
        <v>155</v>
      </c>
      <c r="C95" s="204" t="s">
        <v>122</v>
      </c>
      <c r="D95" s="48" t="s">
        <v>109</v>
      </c>
      <c r="E95" s="43">
        <v>5611</v>
      </c>
      <c r="F95" s="175" t="s">
        <v>109</v>
      </c>
      <c r="G95" s="9">
        <f>IF(BD!$E95="","",(E95/(H95*I95)))</f>
        <v>5611</v>
      </c>
      <c r="H95" s="8">
        <v>1</v>
      </c>
      <c r="I95" s="8">
        <v>1</v>
      </c>
      <c r="J95" s="205" t="str">
        <f t="shared" si="4"/>
        <v>F_034</v>
      </c>
      <c r="K95" s="115"/>
    </row>
    <row r="96" spans="1:11" ht="15" customHeight="1">
      <c r="A96" s="41">
        <f t="shared" si="5"/>
        <v>35</v>
      </c>
      <c r="B96" s="36" t="s">
        <v>156</v>
      </c>
      <c r="C96" s="204" t="s">
        <v>122</v>
      </c>
      <c r="D96" s="48" t="s">
        <v>109</v>
      </c>
      <c r="E96" s="43">
        <v>20111</v>
      </c>
      <c r="F96" s="175" t="s">
        <v>109</v>
      </c>
      <c r="G96" s="9">
        <f>IF(BD!$E96="","",(E96/(H96*I96)))</f>
        <v>20111</v>
      </c>
      <c r="H96" s="8">
        <v>1</v>
      </c>
      <c r="I96" s="8">
        <v>1</v>
      </c>
      <c r="J96" s="205" t="str">
        <f t="shared" si="4"/>
        <v>F_035</v>
      </c>
      <c r="K96" s="115"/>
    </row>
    <row r="97" spans="1:11" ht="15" customHeight="1">
      <c r="A97" s="41">
        <f t="shared" si="5"/>
        <v>36</v>
      </c>
      <c r="B97" s="36" t="s">
        <v>157</v>
      </c>
      <c r="C97" s="204" t="s">
        <v>122</v>
      </c>
      <c r="D97" s="48" t="s">
        <v>109</v>
      </c>
      <c r="E97" s="43">
        <v>5611</v>
      </c>
      <c r="F97" s="175" t="s">
        <v>109</v>
      </c>
      <c r="G97" s="9">
        <f>IF(BD!$E97="","",(E97/(H97*I97)))</f>
        <v>5611</v>
      </c>
      <c r="H97" s="8">
        <v>1</v>
      </c>
      <c r="I97" s="8">
        <v>1</v>
      </c>
      <c r="J97" s="205" t="str">
        <f t="shared" si="4"/>
        <v>F_036</v>
      </c>
      <c r="K97" s="115"/>
    </row>
    <row r="98" spans="1:11" ht="15" customHeight="1">
      <c r="A98" s="41">
        <f t="shared" si="5"/>
        <v>37</v>
      </c>
      <c r="B98" s="36" t="s">
        <v>158</v>
      </c>
      <c r="C98" s="204" t="s">
        <v>122</v>
      </c>
      <c r="D98" s="48" t="s">
        <v>109</v>
      </c>
      <c r="E98" s="43">
        <v>5611</v>
      </c>
      <c r="F98" s="175" t="s">
        <v>109</v>
      </c>
      <c r="G98" s="9">
        <f>IF(BD!$E98="","",(E98/(H98*I98)))</f>
        <v>5611</v>
      </c>
      <c r="H98" s="8">
        <v>1</v>
      </c>
      <c r="I98" s="8">
        <v>1</v>
      </c>
      <c r="J98" s="205" t="str">
        <f t="shared" si="4"/>
        <v>F_037</v>
      </c>
      <c r="K98" s="115"/>
    </row>
    <row r="99" spans="1:11" ht="15" customHeight="1">
      <c r="A99" s="41">
        <f t="shared" si="5"/>
        <v>38</v>
      </c>
      <c r="B99" s="36" t="s">
        <v>159</v>
      </c>
      <c r="C99" s="204" t="s">
        <v>122</v>
      </c>
      <c r="D99" s="48" t="s">
        <v>109</v>
      </c>
      <c r="E99" s="43">
        <v>5611</v>
      </c>
      <c r="F99" s="175" t="s">
        <v>109</v>
      </c>
      <c r="G99" s="9">
        <f>IF(BD!$E99="","",(E99/(H99*I99)))</f>
        <v>5611</v>
      </c>
      <c r="H99" s="8">
        <v>1</v>
      </c>
      <c r="I99" s="8">
        <v>1</v>
      </c>
      <c r="J99" s="205" t="str">
        <f t="shared" si="4"/>
        <v>F_038</v>
      </c>
      <c r="K99" s="115"/>
    </row>
    <row r="100" spans="1:11" ht="15" customHeight="1">
      <c r="A100" s="41">
        <f t="shared" si="5"/>
        <v>39</v>
      </c>
      <c r="B100" s="36" t="s">
        <v>160</v>
      </c>
      <c r="C100" s="204" t="s">
        <v>122</v>
      </c>
      <c r="D100" s="48" t="s">
        <v>109</v>
      </c>
      <c r="E100" s="43">
        <v>20111</v>
      </c>
      <c r="F100" s="175" t="s">
        <v>109</v>
      </c>
      <c r="G100" s="9">
        <f>IF(BD!$E100="","",(E100/(H100*I100)))</f>
        <v>20111</v>
      </c>
      <c r="H100" s="8">
        <v>1</v>
      </c>
      <c r="I100" s="8">
        <v>1</v>
      </c>
      <c r="J100" s="205" t="str">
        <f t="shared" si="4"/>
        <v>F_039</v>
      </c>
      <c r="K100" s="115"/>
    </row>
    <row r="101" spans="1:11" ht="15" customHeight="1">
      <c r="A101" s="41">
        <f t="shared" si="5"/>
        <v>40</v>
      </c>
      <c r="B101" s="36" t="s">
        <v>161</v>
      </c>
      <c r="C101" s="204" t="s">
        <v>122</v>
      </c>
      <c r="D101" s="48" t="s">
        <v>109</v>
      </c>
      <c r="E101" s="43">
        <v>20111</v>
      </c>
      <c r="F101" s="175" t="s">
        <v>109</v>
      </c>
      <c r="G101" s="9">
        <f>IF(BD!$E101="","",(E101/(H101*I101)))</f>
        <v>20111</v>
      </c>
      <c r="H101" s="8">
        <v>1</v>
      </c>
      <c r="I101" s="8">
        <v>1</v>
      </c>
      <c r="J101" s="205" t="str">
        <f t="shared" si="4"/>
        <v>F_040</v>
      </c>
      <c r="K101" s="115"/>
    </row>
    <row r="102" spans="1:11" ht="15" customHeight="1">
      <c r="A102" s="41">
        <f t="shared" si="5"/>
        <v>41</v>
      </c>
      <c r="B102" s="36" t="s">
        <v>162</v>
      </c>
      <c r="C102" s="204" t="s">
        <v>122</v>
      </c>
      <c r="D102" s="48" t="s">
        <v>109</v>
      </c>
      <c r="E102" s="43">
        <v>20111</v>
      </c>
      <c r="F102" s="175" t="s">
        <v>109</v>
      </c>
      <c r="G102" s="9">
        <f>IF(BD!$E102="","",(E102/(H102*I102)))</f>
        <v>20111</v>
      </c>
      <c r="H102" s="8">
        <v>1</v>
      </c>
      <c r="I102" s="8">
        <v>1</v>
      </c>
      <c r="J102" s="205" t="str">
        <f t="shared" si="4"/>
        <v>F_041</v>
      </c>
      <c r="K102" s="115"/>
    </row>
    <row r="103" spans="1:11" ht="15" customHeight="1">
      <c r="A103" s="41">
        <f t="shared" si="5"/>
        <v>42</v>
      </c>
      <c r="B103" s="36" t="s">
        <v>163</v>
      </c>
      <c r="C103" s="204" t="s">
        <v>122</v>
      </c>
      <c r="D103" s="48" t="s">
        <v>109</v>
      </c>
      <c r="E103" s="43">
        <v>20111</v>
      </c>
      <c r="F103" s="175" t="s">
        <v>109</v>
      </c>
      <c r="G103" s="9">
        <f>IF(BD!$E103="","",(E103/(H103*I103)))</f>
        <v>20111</v>
      </c>
      <c r="H103" s="8">
        <v>1</v>
      </c>
      <c r="I103" s="8">
        <v>1</v>
      </c>
      <c r="J103" s="205" t="str">
        <f t="shared" si="4"/>
        <v>F_042</v>
      </c>
      <c r="K103" s="115"/>
    </row>
    <row r="104" spans="1:11" ht="15" customHeight="1">
      <c r="A104" s="41">
        <f t="shared" si="5"/>
        <v>43</v>
      </c>
      <c r="B104" s="36" t="s">
        <v>164</v>
      </c>
      <c r="C104" s="204" t="s">
        <v>122</v>
      </c>
      <c r="D104" s="48" t="s">
        <v>109</v>
      </c>
      <c r="E104" s="43">
        <v>229095</v>
      </c>
      <c r="F104" s="175" t="s">
        <v>109</v>
      </c>
      <c r="G104" s="9">
        <f>IF(BD!$E104="","",(E104/(H104*I104)))</f>
        <v>229095</v>
      </c>
      <c r="H104" s="8">
        <v>1</v>
      </c>
      <c r="I104" s="8">
        <v>1</v>
      </c>
      <c r="J104" s="205" t="str">
        <f t="shared" si="4"/>
        <v>F_043</v>
      </c>
      <c r="K104" s="115"/>
    </row>
    <row r="105" spans="1:11" ht="15" customHeight="1">
      <c r="A105" s="41">
        <f t="shared" si="5"/>
        <v>44</v>
      </c>
      <c r="B105" s="36" t="s">
        <v>165</v>
      </c>
      <c r="C105" s="204" t="s">
        <v>122</v>
      </c>
      <c r="D105" s="48" t="s">
        <v>109</v>
      </c>
      <c r="E105" s="43">
        <v>279854.5</v>
      </c>
      <c r="F105" s="175" t="s">
        <v>109</v>
      </c>
      <c r="G105" s="9">
        <f>IF(BD!$E105="","",(E105/(H105*I105)))</f>
        <v>279854.5</v>
      </c>
      <c r="H105" s="8">
        <v>1</v>
      </c>
      <c r="I105" s="8">
        <v>1</v>
      </c>
      <c r="J105" s="205" t="str">
        <f t="shared" si="4"/>
        <v>F_044</v>
      </c>
      <c r="K105" s="115"/>
    </row>
    <row r="106" spans="1:11" ht="15" customHeight="1">
      <c r="A106" s="41">
        <f t="shared" si="5"/>
        <v>45</v>
      </c>
      <c r="B106" s="36" t="s">
        <v>166</v>
      </c>
      <c r="C106" s="204" t="s">
        <v>122</v>
      </c>
      <c r="D106" s="48" t="s">
        <v>109</v>
      </c>
      <c r="E106" s="43">
        <v>157271</v>
      </c>
      <c r="F106" s="175" t="s">
        <v>109</v>
      </c>
      <c r="G106" s="9">
        <f>IF(BD!$E106="","",(E106/(H106*I106)))</f>
        <v>157271</v>
      </c>
      <c r="H106" s="8">
        <v>1</v>
      </c>
      <c r="I106" s="8">
        <v>1</v>
      </c>
      <c r="J106" s="205" t="str">
        <f t="shared" si="4"/>
        <v>F_045</v>
      </c>
      <c r="K106" s="115"/>
    </row>
    <row r="107" spans="1:11" ht="15" customHeight="1">
      <c r="A107" s="41">
        <f t="shared" si="5"/>
        <v>46</v>
      </c>
      <c r="B107" s="36" t="s">
        <v>167</v>
      </c>
      <c r="C107" s="204" t="s">
        <v>122</v>
      </c>
      <c r="D107" s="48" t="s">
        <v>109</v>
      </c>
      <c r="E107" s="43">
        <v>284545</v>
      </c>
      <c r="F107" s="175" t="s">
        <v>109</v>
      </c>
      <c r="G107" s="9">
        <f>IF(BD!$E107="","",(E107/(H107*I107)))</f>
        <v>284545</v>
      </c>
      <c r="H107" s="8">
        <v>1</v>
      </c>
      <c r="I107" s="8">
        <v>1</v>
      </c>
      <c r="J107" s="205" t="str">
        <f t="shared" si="4"/>
        <v>F_046</v>
      </c>
      <c r="K107" s="115"/>
    </row>
    <row r="108" spans="1:11" ht="15" customHeight="1">
      <c r="A108" s="41">
        <f t="shared" si="5"/>
        <v>47</v>
      </c>
      <c r="B108" s="36" t="s">
        <v>168</v>
      </c>
      <c r="C108" s="204" t="s">
        <v>122</v>
      </c>
      <c r="D108" s="48" t="s">
        <v>109</v>
      </c>
      <c r="E108" s="43">
        <v>120557.6</v>
      </c>
      <c r="F108" s="175" t="s">
        <v>109</v>
      </c>
      <c r="G108" s="9">
        <f>IF(BD!$E108="","",(E108/(H108*I108)))</f>
        <v>120557.6</v>
      </c>
      <c r="H108" s="8">
        <v>1</v>
      </c>
      <c r="I108" s="8">
        <v>1</v>
      </c>
      <c r="J108" s="205" t="str">
        <f t="shared" si="4"/>
        <v>F_047</v>
      </c>
      <c r="K108" s="115"/>
    </row>
    <row r="109" spans="1:11" ht="15" customHeight="1">
      <c r="A109" s="41">
        <f t="shared" si="5"/>
        <v>48</v>
      </c>
      <c r="B109" s="36" t="s">
        <v>169</v>
      </c>
      <c r="C109" s="204" t="s">
        <v>122</v>
      </c>
      <c r="D109" s="48" t="s">
        <v>109</v>
      </c>
      <c r="E109" s="43">
        <v>31797.599999999999</v>
      </c>
      <c r="F109" s="175" t="s">
        <v>109</v>
      </c>
      <c r="G109" s="9">
        <f>IF(BD!$E109="","",(E109/(H109*I109)))</f>
        <v>31797.599999999999</v>
      </c>
      <c r="H109" s="8">
        <v>1</v>
      </c>
      <c r="I109" s="8">
        <v>1</v>
      </c>
      <c r="J109" s="205" t="str">
        <f t="shared" si="4"/>
        <v>F_048</v>
      </c>
      <c r="K109" s="115"/>
    </row>
    <row r="110" spans="1:11" ht="15" customHeight="1">
      <c r="A110" s="41">
        <f t="shared" si="5"/>
        <v>49</v>
      </c>
      <c r="B110" s="36" t="s">
        <v>170</v>
      </c>
      <c r="C110" s="204" t="s">
        <v>122</v>
      </c>
      <c r="D110" s="48" t="s">
        <v>109</v>
      </c>
      <c r="E110" s="43">
        <v>25200</v>
      </c>
      <c r="F110" s="175" t="s">
        <v>109</v>
      </c>
      <c r="G110" s="9">
        <f>IF(BD!$E110="","",(E110/(H110*I110)))</f>
        <v>25200</v>
      </c>
      <c r="H110" s="8">
        <v>1</v>
      </c>
      <c r="I110" s="8">
        <v>1</v>
      </c>
      <c r="J110" s="205" t="str">
        <f t="shared" si="4"/>
        <v>F_049</v>
      </c>
      <c r="K110" s="115"/>
    </row>
    <row r="111" spans="1:11" ht="15" customHeight="1">
      <c r="A111" s="41">
        <f t="shared" si="5"/>
        <v>50</v>
      </c>
      <c r="B111" s="36" t="s">
        <v>171</v>
      </c>
      <c r="C111" s="204" t="s">
        <v>122</v>
      </c>
      <c r="D111" s="48" t="s">
        <v>109</v>
      </c>
      <c r="E111" s="43">
        <v>131707</v>
      </c>
      <c r="F111" s="175" t="s">
        <v>109</v>
      </c>
      <c r="G111" s="9">
        <f>IF(BD!$E111="","",(E111/(H111*I111)))</f>
        <v>131707</v>
      </c>
      <c r="H111" s="8">
        <v>1</v>
      </c>
      <c r="I111" s="8">
        <v>1</v>
      </c>
      <c r="J111" s="205" t="str">
        <f t="shared" si="4"/>
        <v>F_050</v>
      </c>
      <c r="K111" s="115"/>
    </row>
    <row r="112" spans="1:11" ht="15" customHeight="1">
      <c r="A112" s="41">
        <f t="shared" si="5"/>
        <v>51</v>
      </c>
      <c r="B112" s="36" t="s">
        <v>172</v>
      </c>
      <c r="C112" s="204" t="s">
        <v>122</v>
      </c>
      <c r="D112" s="48" t="s">
        <v>109</v>
      </c>
      <c r="E112" s="43">
        <v>446666</v>
      </c>
      <c r="F112" s="175" t="s">
        <v>109</v>
      </c>
      <c r="G112" s="9">
        <f>IF(BD!$E112="","",(E112/(H112*I112)))</f>
        <v>446666</v>
      </c>
      <c r="H112" s="8">
        <v>1</v>
      </c>
      <c r="I112" s="8">
        <v>1</v>
      </c>
      <c r="J112" s="205" t="str">
        <f t="shared" si="4"/>
        <v>F_051</v>
      </c>
      <c r="K112" s="115"/>
    </row>
    <row r="113" spans="1:11" ht="15" customHeight="1">
      <c r="A113" s="41">
        <f t="shared" si="5"/>
        <v>52</v>
      </c>
      <c r="B113" s="36" t="s">
        <v>173</v>
      </c>
      <c r="C113" s="204" t="s">
        <v>122</v>
      </c>
      <c r="D113" s="48" t="s">
        <v>174</v>
      </c>
      <c r="E113" s="43">
        <v>97321</v>
      </c>
      <c r="F113" s="175" t="s">
        <v>174</v>
      </c>
      <c r="G113" s="9">
        <f>IF(BD!$E113="","",(E113/(H113*I113)))</f>
        <v>97321</v>
      </c>
      <c r="H113" s="8">
        <v>1</v>
      </c>
      <c r="I113" s="8">
        <v>1</v>
      </c>
      <c r="J113" s="205" t="str">
        <f t="shared" si="4"/>
        <v>F_052</v>
      </c>
      <c r="K113" s="115"/>
    </row>
    <row r="114" spans="1:11" ht="15" customHeight="1">
      <c r="A114" s="41">
        <f t="shared" si="5"/>
        <v>53</v>
      </c>
      <c r="B114" s="36" t="s">
        <v>175</v>
      </c>
      <c r="C114" s="204" t="s">
        <v>122</v>
      </c>
      <c r="D114" s="48" t="s">
        <v>174</v>
      </c>
      <c r="E114" s="43">
        <v>99191</v>
      </c>
      <c r="F114" s="175" t="s">
        <v>174</v>
      </c>
      <c r="G114" s="9">
        <f>IF(BD!$E114="","",(E114/(H114*I114)))</f>
        <v>99191</v>
      </c>
      <c r="H114" s="8">
        <v>1</v>
      </c>
      <c r="I114" s="8">
        <v>1</v>
      </c>
      <c r="J114" s="205" t="str">
        <f t="shared" si="4"/>
        <v>F_053</v>
      </c>
      <c r="K114" s="115"/>
    </row>
    <row r="115" spans="1:11" ht="15" customHeight="1">
      <c r="A115" s="41">
        <f t="shared" si="5"/>
        <v>54</v>
      </c>
      <c r="B115" s="36" t="s">
        <v>176</v>
      </c>
      <c r="C115" s="204" t="s">
        <v>122</v>
      </c>
      <c r="D115" s="48" t="s">
        <v>109</v>
      </c>
      <c r="E115" s="43">
        <v>30600</v>
      </c>
      <c r="F115" s="175" t="s">
        <v>109</v>
      </c>
      <c r="G115" s="9">
        <f>IF(BD!$E115="","",(E115/(H115*I115)))</f>
        <v>30600</v>
      </c>
      <c r="H115" s="8">
        <v>1</v>
      </c>
      <c r="I115" s="8">
        <v>1</v>
      </c>
      <c r="J115" s="205" t="str">
        <f t="shared" si="4"/>
        <v>F_054</v>
      </c>
      <c r="K115" s="115"/>
    </row>
    <row r="116" spans="1:11" ht="15" customHeight="1">
      <c r="A116" s="41">
        <f t="shared" si="5"/>
        <v>55</v>
      </c>
      <c r="B116" s="36" t="s">
        <v>177</v>
      </c>
      <c r="C116" s="204" t="s">
        <v>122</v>
      </c>
      <c r="D116" s="48" t="s">
        <v>109</v>
      </c>
      <c r="E116" s="43">
        <v>27800</v>
      </c>
      <c r="F116" s="175" t="s">
        <v>109</v>
      </c>
      <c r="G116" s="9">
        <f>IF(BD!$E116="","",(E116/(H116*I116)))</f>
        <v>27800</v>
      </c>
      <c r="H116" s="8">
        <v>1</v>
      </c>
      <c r="I116" s="8">
        <v>1</v>
      </c>
      <c r="J116" s="205" t="str">
        <f t="shared" si="4"/>
        <v>F_055</v>
      </c>
      <c r="K116" s="115"/>
    </row>
    <row r="117" spans="1:11" ht="15" customHeight="1">
      <c r="A117" s="41">
        <f t="shared" si="5"/>
        <v>56</v>
      </c>
      <c r="B117" s="36" t="s">
        <v>178</v>
      </c>
      <c r="C117" s="204" t="s">
        <v>122</v>
      </c>
      <c r="D117" s="48" t="s">
        <v>109</v>
      </c>
      <c r="E117" s="43">
        <v>25955</v>
      </c>
      <c r="F117" s="175" t="s">
        <v>109</v>
      </c>
      <c r="G117" s="9">
        <f>IF(BD!$E117="","",(E117/(H117*I117)))</f>
        <v>25955</v>
      </c>
      <c r="H117" s="8">
        <v>1</v>
      </c>
      <c r="I117" s="8">
        <v>1</v>
      </c>
      <c r="J117" s="205" t="str">
        <f t="shared" si="4"/>
        <v>F_056</v>
      </c>
      <c r="K117" s="115"/>
    </row>
    <row r="118" spans="1:11" ht="15" customHeight="1">
      <c r="A118" s="41">
        <f t="shared" si="5"/>
        <v>57</v>
      </c>
      <c r="B118" s="36" t="s">
        <v>179</v>
      </c>
      <c r="C118" s="204" t="s">
        <v>122</v>
      </c>
      <c r="D118" s="48" t="s">
        <v>109</v>
      </c>
      <c r="E118" s="43">
        <v>58187.6</v>
      </c>
      <c r="F118" s="175" t="s">
        <v>109</v>
      </c>
      <c r="G118" s="9">
        <f>IF(BD!$E118="","",(E118/(H118*I118)))</f>
        <v>58187.6</v>
      </c>
      <c r="H118" s="8">
        <v>1</v>
      </c>
      <c r="I118" s="8">
        <v>1</v>
      </c>
      <c r="J118" s="205" t="str">
        <f t="shared" si="4"/>
        <v>F_057</v>
      </c>
      <c r="K118" s="115"/>
    </row>
    <row r="119" spans="1:11" ht="15" customHeight="1">
      <c r="A119" s="41">
        <f t="shared" si="5"/>
        <v>58</v>
      </c>
      <c r="B119" s="36" t="s">
        <v>180</v>
      </c>
      <c r="C119" s="204" t="s">
        <v>122</v>
      </c>
      <c r="D119" s="48" t="s">
        <v>109</v>
      </c>
      <c r="E119" s="43">
        <v>40505.5</v>
      </c>
      <c r="F119" s="175" t="s">
        <v>109</v>
      </c>
      <c r="G119" s="9">
        <f>IF(BD!$E119="","",(E119/(H119*I119)))</f>
        <v>40505.5</v>
      </c>
      <c r="H119" s="8">
        <v>1</v>
      </c>
      <c r="I119" s="8">
        <v>1</v>
      </c>
      <c r="J119" s="205" t="str">
        <f t="shared" si="4"/>
        <v>F_058</v>
      </c>
      <c r="K119" s="115"/>
    </row>
    <row r="120" spans="1:11" ht="15" customHeight="1">
      <c r="A120" s="41">
        <f t="shared" si="5"/>
        <v>59</v>
      </c>
      <c r="B120" s="36" t="s">
        <v>181</v>
      </c>
      <c r="C120" s="204" t="s">
        <v>122</v>
      </c>
      <c r="D120" s="48" t="s">
        <v>109</v>
      </c>
      <c r="E120" s="43">
        <v>28585</v>
      </c>
      <c r="F120" s="175" t="s">
        <v>109</v>
      </c>
      <c r="G120" s="9">
        <f>IF(BD!$E120="","",(E120/(H120*I120)))</f>
        <v>28585</v>
      </c>
      <c r="H120" s="8">
        <v>1</v>
      </c>
      <c r="I120" s="8">
        <v>1</v>
      </c>
      <c r="J120" s="205" t="str">
        <f t="shared" si="4"/>
        <v>F_059</v>
      </c>
      <c r="K120" s="115"/>
    </row>
    <row r="121" spans="1:11" ht="15" customHeight="1">
      <c r="A121" s="41">
        <f t="shared" si="5"/>
        <v>60</v>
      </c>
      <c r="B121" s="36" t="s">
        <v>182</v>
      </c>
      <c r="C121" s="204" t="s">
        <v>122</v>
      </c>
      <c r="D121" s="48" t="s">
        <v>109</v>
      </c>
      <c r="E121" s="43">
        <v>204785</v>
      </c>
      <c r="F121" s="175" t="s">
        <v>109</v>
      </c>
      <c r="G121" s="9">
        <f>IF(BD!$E121="","",(E121/(H121*I121)))</f>
        <v>204785</v>
      </c>
      <c r="H121" s="8">
        <v>1</v>
      </c>
      <c r="I121" s="8">
        <v>1</v>
      </c>
      <c r="J121" s="205" t="str">
        <f t="shared" si="4"/>
        <v>F_060</v>
      </c>
      <c r="K121" s="115"/>
    </row>
    <row r="122" spans="1:11" ht="15" customHeight="1">
      <c r="A122" s="41">
        <f t="shared" si="5"/>
        <v>61</v>
      </c>
      <c r="B122" s="36" t="s">
        <v>183</v>
      </c>
      <c r="C122" s="204" t="s">
        <v>122</v>
      </c>
      <c r="D122" s="48" t="s">
        <v>109</v>
      </c>
      <c r="E122" s="43">
        <v>64500</v>
      </c>
      <c r="F122" s="175" t="s">
        <v>109</v>
      </c>
      <c r="G122" s="9">
        <f>IF(BD!$E122="","",(E122/(H122*I122)))</f>
        <v>64500</v>
      </c>
      <c r="H122" s="8">
        <v>1</v>
      </c>
      <c r="I122" s="8">
        <v>1</v>
      </c>
      <c r="J122" s="205" t="str">
        <f t="shared" si="4"/>
        <v>F_061</v>
      </c>
      <c r="K122" s="115"/>
    </row>
    <row r="123" spans="1:11" ht="15" customHeight="1">
      <c r="A123" s="41">
        <f t="shared" si="5"/>
        <v>62</v>
      </c>
      <c r="B123" s="36" t="s">
        <v>184</v>
      </c>
      <c r="C123" s="204" t="s">
        <v>122</v>
      </c>
      <c r="D123" s="48" t="s">
        <v>109</v>
      </c>
      <c r="E123" s="43">
        <v>111250</v>
      </c>
      <c r="F123" s="175" t="s">
        <v>109</v>
      </c>
      <c r="G123" s="9">
        <f>IF(BD!$E123="","",(E123/(H123*I123)))</f>
        <v>111250</v>
      </c>
      <c r="H123" s="8">
        <v>1</v>
      </c>
      <c r="I123" s="8">
        <v>1</v>
      </c>
      <c r="J123" s="205" t="str">
        <f t="shared" si="4"/>
        <v>F_062</v>
      </c>
      <c r="K123" s="115"/>
    </row>
    <row r="124" spans="1:11" ht="15" customHeight="1">
      <c r="A124" s="41">
        <f t="shared" si="5"/>
        <v>63</v>
      </c>
      <c r="B124" s="36" t="s">
        <v>185</v>
      </c>
      <c r="C124" s="204" t="s">
        <v>122</v>
      </c>
      <c r="D124" s="48" t="s">
        <v>109</v>
      </c>
      <c r="E124" s="43">
        <v>79000</v>
      </c>
      <c r="F124" s="175" t="s">
        <v>109</v>
      </c>
      <c r="G124" s="9">
        <f>IF(BD!$E124="","",(E124/(H124*I124)))</f>
        <v>79000</v>
      </c>
      <c r="H124" s="8">
        <v>1</v>
      </c>
      <c r="I124" s="8">
        <v>1</v>
      </c>
      <c r="J124" s="205" t="str">
        <f t="shared" si="4"/>
        <v>F_063</v>
      </c>
      <c r="K124" s="115"/>
    </row>
    <row r="125" spans="1:11" ht="15" customHeight="1">
      <c r="A125" s="41">
        <f t="shared" si="5"/>
        <v>64</v>
      </c>
      <c r="B125" s="36" t="s">
        <v>186</v>
      </c>
      <c r="C125" s="204" t="s">
        <v>122</v>
      </c>
      <c r="D125" s="48" t="s">
        <v>109</v>
      </c>
      <c r="E125" s="43">
        <v>108010</v>
      </c>
      <c r="F125" s="175" t="s">
        <v>109</v>
      </c>
      <c r="G125" s="9">
        <f>IF(BD!$E125="","",(E125/(H125*I125)))</f>
        <v>108010</v>
      </c>
      <c r="H125" s="8">
        <v>1</v>
      </c>
      <c r="I125" s="8">
        <v>1</v>
      </c>
      <c r="J125" s="205" t="str">
        <f t="shared" si="4"/>
        <v>F_064</v>
      </c>
      <c r="K125" s="115"/>
    </row>
    <row r="126" spans="1:11" ht="15" customHeight="1">
      <c r="A126" s="41">
        <f t="shared" si="5"/>
        <v>65</v>
      </c>
      <c r="B126" s="36" t="s">
        <v>187</v>
      </c>
      <c r="C126" s="204" t="s">
        <v>122</v>
      </c>
      <c r="D126" s="48" t="s">
        <v>109</v>
      </c>
      <c r="E126" s="43">
        <v>71816.5</v>
      </c>
      <c r="F126" s="175" t="s">
        <v>109</v>
      </c>
      <c r="G126" s="9">
        <f>IF(BD!$E126="","",(E126/(H126*I126)))</f>
        <v>71816.5</v>
      </c>
      <c r="H126" s="8">
        <v>1</v>
      </c>
      <c r="I126" s="8">
        <v>1</v>
      </c>
      <c r="J126" s="205" t="str">
        <f t="shared" ref="J126:J157" si="6">CONCATENATE(LEFT(C126,1),"_",TEXT(A126,"000"))</f>
        <v>F_065</v>
      </c>
      <c r="K126" s="115"/>
    </row>
    <row r="127" spans="1:11" ht="15" customHeight="1">
      <c r="A127" s="41">
        <f t="shared" ref="A127:A158" si="7">A126+1</f>
        <v>66</v>
      </c>
      <c r="B127" s="36" t="s">
        <v>188</v>
      </c>
      <c r="C127" s="204" t="s">
        <v>122</v>
      </c>
      <c r="D127" s="48" t="s">
        <v>109</v>
      </c>
      <c r="E127" s="43">
        <v>89211</v>
      </c>
      <c r="F127" s="175" t="s">
        <v>109</v>
      </c>
      <c r="G127" s="9">
        <f>IF(BD!$E127="","",(E127/(H127*I127)))</f>
        <v>89211</v>
      </c>
      <c r="H127" s="8">
        <v>1</v>
      </c>
      <c r="I127" s="8">
        <v>1</v>
      </c>
      <c r="J127" s="205" t="str">
        <f t="shared" si="6"/>
        <v>F_066</v>
      </c>
      <c r="K127" s="115"/>
    </row>
    <row r="128" spans="1:11" ht="15" customHeight="1">
      <c r="A128" s="41">
        <f t="shared" si="7"/>
        <v>67</v>
      </c>
      <c r="B128" s="36" t="s">
        <v>189</v>
      </c>
      <c r="C128" s="204" t="s">
        <v>122</v>
      </c>
      <c r="D128" s="48" t="s">
        <v>109</v>
      </c>
      <c r="E128" s="43">
        <v>603076</v>
      </c>
      <c r="F128" s="175" t="s">
        <v>109</v>
      </c>
      <c r="G128" s="9">
        <f>IF(BD!$E128="","",(E128/(H128*I128)))</f>
        <v>603076</v>
      </c>
      <c r="H128" s="8">
        <v>1</v>
      </c>
      <c r="I128" s="8">
        <v>1</v>
      </c>
      <c r="J128" s="205" t="str">
        <f t="shared" si="6"/>
        <v>F_067</v>
      </c>
      <c r="K128" s="115"/>
    </row>
    <row r="129" spans="1:11" ht="15" customHeight="1">
      <c r="A129" s="41">
        <f t="shared" si="7"/>
        <v>68</v>
      </c>
      <c r="B129" s="36" t="s">
        <v>190</v>
      </c>
      <c r="C129" s="204" t="s">
        <v>122</v>
      </c>
      <c r="D129" s="48" t="s">
        <v>109</v>
      </c>
      <c r="E129" s="43">
        <v>248532</v>
      </c>
      <c r="F129" s="175" t="s">
        <v>109</v>
      </c>
      <c r="G129" s="9">
        <f>IF(BD!$E129="","",(E129/(H129*I129)))</f>
        <v>248532</v>
      </c>
      <c r="H129" s="8">
        <v>1</v>
      </c>
      <c r="I129" s="8">
        <v>1</v>
      </c>
      <c r="J129" s="205" t="str">
        <f t="shared" si="6"/>
        <v>F_068</v>
      </c>
      <c r="K129" s="115"/>
    </row>
    <row r="130" spans="1:11" ht="15" customHeight="1">
      <c r="A130" s="41">
        <f t="shared" si="7"/>
        <v>69</v>
      </c>
      <c r="B130" s="36" t="s">
        <v>191</v>
      </c>
      <c r="C130" s="204" t="s">
        <v>122</v>
      </c>
      <c r="D130" s="48" t="s">
        <v>109</v>
      </c>
      <c r="E130" s="43">
        <v>33000</v>
      </c>
      <c r="F130" s="175" t="s">
        <v>109</v>
      </c>
      <c r="G130" s="9">
        <f>IF(BD!$E130="","",(E130/(H130*I130)))</f>
        <v>33000</v>
      </c>
      <c r="H130" s="8">
        <v>1</v>
      </c>
      <c r="I130" s="8">
        <v>1</v>
      </c>
      <c r="J130" s="205" t="str">
        <f t="shared" si="6"/>
        <v>F_069</v>
      </c>
      <c r="K130" s="115"/>
    </row>
    <row r="131" spans="1:11" ht="15" customHeight="1">
      <c r="A131" s="41">
        <f t="shared" si="7"/>
        <v>70</v>
      </c>
      <c r="B131" s="36" t="s">
        <v>192</v>
      </c>
      <c r="C131" s="204" t="s">
        <v>122</v>
      </c>
      <c r="D131" s="48" t="s">
        <v>109</v>
      </c>
      <c r="E131" s="43">
        <v>26141</v>
      </c>
      <c r="F131" s="175" t="s">
        <v>109</v>
      </c>
      <c r="G131" s="9">
        <f>IF(BD!$E131="","",(E131/(H131*I131)))</f>
        <v>26141</v>
      </c>
      <c r="H131" s="8">
        <v>1</v>
      </c>
      <c r="I131" s="8">
        <v>1</v>
      </c>
      <c r="J131" s="205" t="str">
        <f t="shared" si="6"/>
        <v>F_070</v>
      </c>
      <c r="K131" s="115"/>
    </row>
    <row r="132" spans="1:11" ht="15" customHeight="1">
      <c r="A132" s="41">
        <f t="shared" si="7"/>
        <v>71</v>
      </c>
      <c r="B132" s="36" t="s">
        <v>193</v>
      </c>
      <c r="C132" s="204" t="s">
        <v>122</v>
      </c>
      <c r="D132" s="48" t="s">
        <v>109</v>
      </c>
      <c r="E132" s="43">
        <v>9818</v>
      </c>
      <c r="F132" s="175" t="s">
        <v>109</v>
      </c>
      <c r="G132" s="9">
        <f>IF(BD!$E132="","",(E132/(H132*I132)))</f>
        <v>9818</v>
      </c>
      <c r="H132" s="8">
        <v>1</v>
      </c>
      <c r="I132" s="8">
        <v>1</v>
      </c>
      <c r="J132" s="205" t="str">
        <f t="shared" si="6"/>
        <v>F_071</v>
      </c>
      <c r="K132" s="115"/>
    </row>
    <row r="133" spans="1:11" ht="15" customHeight="1">
      <c r="A133" s="41">
        <f t="shared" si="7"/>
        <v>72</v>
      </c>
      <c r="B133" s="36" t="s">
        <v>194</v>
      </c>
      <c r="C133" s="204" t="s">
        <v>122</v>
      </c>
      <c r="D133" s="48" t="s">
        <v>109</v>
      </c>
      <c r="E133" s="43">
        <v>37905</v>
      </c>
      <c r="F133" s="175" t="s">
        <v>109</v>
      </c>
      <c r="G133" s="9">
        <f>IF(BD!$E133="","",(E133/(H133*I133)))</f>
        <v>37905</v>
      </c>
      <c r="H133" s="8">
        <v>1</v>
      </c>
      <c r="I133" s="8">
        <v>1</v>
      </c>
      <c r="J133" s="205" t="str">
        <f t="shared" si="6"/>
        <v>F_072</v>
      </c>
      <c r="K133" s="115"/>
    </row>
    <row r="134" spans="1:11" ht="15" customHeight="1">
      <c r="A134" s="41">
        <f t="shared" si="7"/>
        <v>73</v>
      </c>
      <c r="B134" s="36" t="s">
        <v>195</v>
      </c>
      <c r="C134" s="204" t="s">
        <v>122</v>
      </c>
      <c r="D134" s="48" t="s">
        <v>109</v>
      </c>
      <c r="E134" s="43">
        <v>17500</v>
      </c>
      <c r="F134" s="175" t="s">
        <v>109</v>
      </c>
      <c r="G134" s="9">
        <f>IF(BD!$E134="","",(E134/(H134*I134)))</f>
        <v>17500</v>
      </c>
      <c r="H134" s="8">
        <v>1</v>
      </c>
      <c r="I134" s="8">
        <v>1</v>
      </c>
      <c r="J134" s="205" t="str">
        <f t="shared" si="6"/>
        <v>F_073</v>
      </c>
      <c r="K134" s="115"/>
    </row>
    <row r="135" spans="1:11" ht="15" customHeight="1">
      <c r="A135" s="41">
        <f t="shared" si="7"/>
        <v>74</v>
      </c>
      <c r="B135" s="36" t="s">
        <v>196</v>
      </c>
      <c r="C135" s="204" t="s">
        <v>122</v>
      </c>
      <c r="D135" s="48" t="s">
        <v>174</v>
      </c>
      <c r="E135" s="43">
        <v>47662</v>
      </c>
      <c r="F135" s="175" t="s">
        <v>174</v>
      </c>
      <c r="G135" s="9">
        <f>IF(BD!$E135="","",(E135/(H135*I135)))</f>
        <v>47662</v>
      </c>
      <c r="H135" s="8">
        <v>1</v>
      </c>
      <c r="I135" s="8">
        <v>1</v>
      </c>
      <c r="J135" s="205" t="str">
        <f t="shared" si="6"/>
        <v>F_074</v>
      </c>
      <c r="K135" s="115"/>
    </row>
    <row r="136" spans="1:11" ht="15" customHeight="1">
      <c r="A136" s="41">
        <f t="shared" si="7"/>
        <v>75</v>
      </c>
      <c r="B136" s="36" t="s">
        <v>197</v>
      </c>
      <c r="C136" s="204" t="s">
        <v>122</v>
      </c>
      <c r="D136" s="48" t="s">
        <v>174</v>
      </c>
      <c r="E136" s="43">
        <v>8533</v>
      </c>
      <c r="F136" s="175" t="s">
        <v>174</v>
      </c>
      <c r="G136" s="9">
        <f>IF(BD!$E136="","",(E136/(H136*I136)))</f>
        <v>8533</v>
      </c>
      <c r="H136" s="8">
        <v>1</v>
      </c>
      <c r="I136" s="8">
        <v>1</v>
      </c>
      <c r="J136" s="205" t="str">
        <f t="shared" si="6"/>
        <v>F_075</v>
      </c>
      <c r="K136" s="115"/>
    </row>
    <row r="137" spans="1:11" ht="15" customHeight="1">
      <c r="A137" s="41">
        <f t="shared" si="7"/>
        <v>76</v>
      </c>
      <c r="B137" s="36" t="s">
        <v>198</v>
      </c>
      <c r="C137" s="204" t="s">
        <v>122</v>
      </c>
      <c r="D137" s="48" t="s">
        <v>174</v>
      </c>
      <c r="E137" s="43">
        <v>8367</v>
      </c>
      <c r="F137" s="175" t="s">
        <v>174</v>
      </c>
      <c r="G137" s="9">
        <f>IF(BD!$E137="","",(E137/(H137*I137)))</f>
        <v>8367</v>
      </c>
      <c r="H137" s="8">
        <v>1</v>
      </c>
      <c r="I137" s="8">
        <v>1</v>
      </c>
      <c r="J137" s="205" t="str">
        <f t="shared" si="6"/>
        <v>F_076</v>
      </c>
      <c r="K137" s="115"/>
    </row>
    <row r="138" spans="1:11" ht="15" customHeight="1">
      <c r="A138" s="41">
        <f t="shared" si="7"/>
        <v>77</v>
      </c>
      <c r="B138" s="36" t="s">
        <v>199</v>
      </c>
      <c r="C138" s="204" t="s">
        <v>122</v>
      </c>
      <c r="D138" s="48" t="s">
        <v>174</v>
      </c>
      <c r="E138" s="43">
        <v>32859</v>
      </c>
      <c r="F138" s="175" t="s">
        <v>174</v>
      </c>
      <c r="G138" s="9">
        <f>IF(BD!$E138="","",(E138/(H138*I138)))</f>
        <v>32859</v>
      </c>
      <c r="H138" s="8">
        <v>1</v>
      </c>
      <c r="I138" s="8">
        <v>1</v>
      </c>
      <c r="J138" s="205" t="str">
        <f t="shared" si="6"/>
        <v>F_077</v>
      </c>
      <c r="K138" s="115"/>
    </row>
    <row r="139" spans="1:11" ht="15" customHeight="1">
      <c r="A139" s="41">
        <f t="shared" si="7"/>
        <v>78</v>
      </c>
      <c r="B139" s="36" t="s">
        <v>200</v>
      </c>
      <c r="C139" s="204" t="s">
        <v>122</v>
      </c>
      <c r="D139" s="48" t="s">
        <v>174</v>
      </c>
      <c r="E139" s="43">
        <v>9366</v>
      </c>
      <c r="F139" s="175" t="s">
        <v>174</v>
      </c>
      <c r="G139" s="9">
        <f>IF(BD!$E139="","",(E139/(H139*I139)))</f>
        <v>9366</v>
      </c>
      <c r="H139" s="8">
        <v>1</v>
      </c>
      <c r="I139" s="8">
        <v>1</v>
      </c>
      <c r="J139" s="205" t="str">
        <f t="shared" si="6"/>
        <v>F_078</v>
      </c>
      <c r="K139" s="115"/>
    </row>
    <row r="140" spans="1:11" ht="15" customHeight="1">
      <c r="A140" s="41">
        <f t="shared" si="7"/>
        <v>79</v>
      </c>
      <c r="B140" s="36" t="s">
        <v>201</v>
      </c>
      <c r="C140" s="204" t="s">
        <v>122</v>
      </c>
      <c r="D140" s="48" t="s">
        <v>174</v>
      </c>
      <c r="E140" s="43">
        <v>54502</v>
      </c>
      <c r="F140" s="175" t="s">
        <v>174</v>
      </c>
      <c r="G140" s="9">
        <f>IF(BD!$E140="","",(E140/(H140*I140)))</f>
        <v>54502</v>
      </c>
      <c r="H140" s="8">
        <v>1</v>
      </c>
      <c r="I140" s="8">
        <v>1</v>
      </c>
      <c r="J140" s="205" t="str">
        <f t="shared" si="6"/>
        <v>F_079</v>
      </c>
      <c r="K140" s="115"/>
    </row>
    <row r="141" spans="1:11" ht="15" customHeight="1">
      <c r="A141" s="41">
        <f t="shared" si="7"/>
        <v>80</v>
      </c>
      <c r="B141" s="36" t="s">
        <v>202</v>
      </c>
      <c r="C141" s="204" t="s">
        <v>122</v>
      </c>
      <c r="D141" s="48" t="s">
        <v>203</v>
      </c>
      <c r="E141" s="43">
        <v>14170</v>
      </c>
      <c r="F141" s="175" t="s">
        <v>203</v>
      </c>
      <c r="G141" s="9">
        <f>IF(BD!$E141="","",(E141/(H141*I141)))</f>
        <v>14170</v>
      </c>
      <c r="H141" s="8">
        <v>1</v>
      </c>
      <c r="I141" s="8">
        <v>1</v>
      </c>
      <c r="J141" s="205" t="str">
        <f t="shared" si="6"/>
        <v>F_080</v>
      </c>
      <c r="K141" s="115"/>
    </row>
    <row r="142" spans="1:11" ht="15" customHeight="1">
      <c r="A142" s="41">
        <f t="shared" si="7"/>
        <v>81</v>
      </c>
      <c r="B142" s="36" t="s">
        <v>204</v>
      </c>
      <c r="C142" s="204" t="s">
        <v>122</v>
      </c>
      <c r="D142" s="48" t="s">
        <v>109</v>
      </c>
      <c r="E142" s="43">
        <v>57850</v>
      </c>
      <c r="F142" s="175" t="s">
        <v>109</v>
      </c>
      <c r="G142" s="9">
        <f>IF(BD!$E142="","",(E142/(H142*I142)))</f>
        <v>57850</v>
      </c>
      <c r="H142" s="8">
        <v>1</v>
      </c>
      <c r="I142" s="8">
        <v>1</v>
      </c>
      <c r="J142" s="205" t="str">
        <f t="shared" si="6"/>
        <v>F_081</v>
      </c>
      <c r="K142" s="115"/>
    </row>
    <row r="143" spans="1:11" ht="15" customHeight="1">
      <c r="A143" s="41">
        <f t="shared" si="7"/>
        <v>82</v>
      </c>
      <c r="B143" s="36" t="s">
        <v>205</v>
      </c>
      <c r="C143" s="204" t="s">
        <v>122</v>
      </c>
      <c r="D143" s="48" t="s">
        <v>206</v>
      </c>
      <c r="E143" s="43">
        <v>33800</v>
      </c>
      <c r="F143" s="175" t="s">
        <v>109</v>
      </c>
      <c r="G143" s="9">
        <f>IF(BD!$E143="","",(E143/(H143*I143)))</f>
        <v>33800</v>
      </c>
      <c r="H143" s="8">
        <v>1</v>
      </c>
      <c r="I143" s="8">
        <v>1</v>
      </c>
      <c r="J143" s="205" t="str">
        <f t="shared" si="6"/>
        <v>F_082</v>
      </c>
      <c r="K143" s="115"/>
    </row>
    <row r="144" spans="1:11" ht="15" customHeight="1">
      <c r="A144" s="41">
        <f t="shared" si="7"/>
        <v>83</v>
      </c>
      <c r="B144" s="36" t="s">
        <v>207</v>
      </c>
      <c r="C144" s="204" t="s">
        <v>122</v>
      </c>
      <c r="D144" s="48" t="s">
        <v>208</v>
      </c>
      <c r="E144" s="43">
        <v>50178</v>
      </c>
      <c r="F144" s="175" t="s">
        <v>208</v>
      </c>
      <c r="G144" s="9">
        <f>IF(BD!$E144="","",(E144/(H144*I144)))</f>
        <v>50178</v>
      </c>
      <c r="H144" s="8">
        <v>1</v>
      </c>
      <c r="I144" s="8">
        <v>1</v>
      </c>
      <c r="J144" s="205" t="str">
        <f t="shared" si="6"/>
        <v>F_083</v>
      </c>
      <c r="K144" s="115"/>
    </row>
    <row r="145" spans="1:11" ht="15" customHeight="1">
      <c r="A145" s="41">
        <f t="shared" si="7"/>
        <v>84</v>
      </c>
      <c r="B145" s="36" t="s">
        <v>209</v>
      </c>
      <c r="C145" s="204" t="s">
        <v>122</v>
      </c>
      <c r="D145" s="48" t="s">
        <v>174</v>
      </c>
      <c r="E145" s="43">
        <v>35105</v>
      </c>
      <c r="F145" s="175" t="s">
        <v>174</v>
      </c>
      <c r="G145" s="9">
        <f>IF(BD!$E145="","",(E145/(H145*I145)))</f>
        <v>35105</v>
      </c>
      <c r="H145" s="8">
        <v>1</v>
      </c>
      <c r="I145" s="8">
        <v>1</v>
      </c>
      <c r="J145" s="205" t="str">
        <f t="shared" si="6"/>
        <v>F_084</v>
      </c>
      <c r="K145" s="115"/>
    </row>
    <row r="146" spans="1:11" ht="15" customHeight="1">
      <c r="A146" s="41">
        <f t="shared" si="7"/>
        <v>85</v>
      </c>
      <c r="B146" s="36" t="s">
        <v>210</v>
      </c>
      <c r="C146" s="204" t="s">
        <v>122</v>
      </c>
      <c r="D146" s="48" t="s">
        <v>109</v>
      </c>
      <c r="E146" s="43">
        <v>175000</v>
      </c>
      <c r="F146" s="175" t="s">
        <v>109</v>
      </c>
      <c r="G146" s="9">
        <f>IF(BD!$E146="","",(E146/(H146*I146)))</f>
        <v>175000</v>
      </c>
      <c r="H146" s="8">
        <v>1</v>
      </c>
      <c r="I146" s="8">
        <v>1</v>
      </c>
      <c r="J146" s="205" t="str">
        <f t="shared" si="6"/>
        <v>F_085</v>
      </c>
      <c r="K146" s="115"/>
    </row>
    <row r="147" spans="1:11" ht="15" customHeight="1">
      <c r="A147" s="41">
        <f t="shared" si="7"/>
        <v>86</v>
      </c>
      <c r="B147" s="36" t="s">
        <v>211</v>
      </c>
      <c r="C147" s="204" t="s">
        <v>122</v>
      </c>
      <c r="D147" s="48" t="s">
        <v>109</v>
      </c>
      <c r="E147" s="43">
        <v>283333.33333333331</v>
      </c>
      <c r="F147" s="175" t="s">
        <v>109</v>
      </c>
      <c r="G147" s="9">
        <f>IF(BD!$E147="","",(E147/(H147*I147)))</f>
        <v>283333.33333333331</v>
      </c>
      <c r="H147" s="8">
        <v>1</v>
      </c>
      <c r="I147" s="8">
        <v>1</v>
      </c>
      <c r="J147" s="205" t="str">
        <f t="shared" si="6"/>
        <v>F_086</v>
      </c>
      <c r="K147" s="115"/>
    </row>
    <row r="148" spans="1:11" ht="15" customHeight="1">
      <c r="A148" s="41">
        <f t="shared" si="7"/>
        <v>87</v>
      </c>
      <c r="B148" s="36" t="s">
        <v>212</v>
      </c>
      <c r="C148" s="204" t="s">
        <v>122</v>
      </c>
      <c r="D148" s="48" t="s">
        <v>109</v>
      </c>
      <c r="E148" s="43">
        <v>40333.5</v>
      </c>
      <c r="F148" s="175" t="s">
        <v>109</v>
      </c>
      <c r="G148" s="9">
        <f>IF(BD!$E148="","",(E148/(H148*I148)))</f>
        <v>40333.5</v>
      </c>
      <c r="H148" s="8">
        <v>1</v>
      </c>
      <c r="I148" s="8">
        <v>1</v>
      </c>
      <c r="J148" s="205" t="str">
        <f t="shared" si="6"/>
        <v>F_087</v>
      </c>
      <c r="K148" s="115"/>
    </row>
    <row r="149" spans="1:11" ht="15" customHeight="1">
      <c r="A149" s="41">
        <f t="shared" si="7"/>
        <v>88</v>
      </c>
      <c r="B149" s="36" t="s">
        <v>213</v>
      </c>
      <c r="C149" s="204" t="s">
        <v>122</v>
      </c>
      <c r="D149" s="48" t="s">
        <v>109</v>
      </c>
      <c r="E149" s="43">
        <v>15547.5</v>
      </c>
      <c r="F149" s="175" t="s">
        <v>109</v>
      </c>
      <c r="G149" s="9">
        <f>IF(BD!$E149="","",(E149/(H149*I149)))</f>
        <v>15547.5</v>
      </c>
      <c r="H149" s="8">
        <v>1</v>
      </c>
      <c r="I149" s="8">
        <v>1</v>
      </c>
      <c r="J149" s="205" t="str">
        <f t="shared" si="6"/>
        <v>F_088</v>
      </c>
      <c r="K149" s="115"/>
    </row>
    <row r="150" spans="1:11" ht="15" customHeight="1">
      <c r="A150" s="41">
        <f t="shared" si="7"/>
        <v>89</v>
      </c>
      <c r="B150" s="36" t="s">
        <v>214</v>
      </c>
      <c r="C150" s="204" t="s">
        <v>122</v>
      </c>
      <c r="D150" s="48" t="s">
        <v>109</v>
      </c>
      <c r="E150" s="43">
        <v>18172.599999999999</v>
      </c>
      <c r="F150" s="175" t="s">
        <v>109</v>
      </c>
      <c r="G150" s="9">
        <f>IF(BD!$E150="","",(E150/(H150*I150)))</f>
        <v>18172.599999999999</v>
      </c>
      <c r="H150" s="8">
        <v>1</v>
      </c>
      <c r="I150" s="8">
        <v>1</v>
      </c>
      <c r="J150" s="205" t="str">
        <f t="shared" si="6"/>
        <v>F_089</v>
      </c>
      <c r="K150" s="115"/>
    </row>
    <row r="151" spans="1:11" ht="15" customHeight="1">
      <c r="A151" s="41">
        <f t="shared" si="7"/>
        <v>90</v>
      </c>
      <c r="B151" s="36" t="s">
        <v>215</v>
      </c>
      <c r="C151" s="204" t="s">
        <v>122</v>
      </c>
      <c r="D151" s="48" t="s">
        <v>216</v>
      </c>
      <c r="E151" s="43">
        <v>38591.666666666664</v>
      </c>
      <c r="F151" s="175" t="s">
        <v>216</v>
      </c>
      <c r="G151" s="9">
        <f>IF(BD!$E151="","",(E151/(H151*I151)))</f>
        <v>38591.666666666664</v>
      </c>
      <c r="H151" s="8">
        <v>1</v>
      </c>
      <c r="I151" s="8">
        <v>1</v>
      </c>
      <c r="J151" s="205" t="str">
        <f t="shared" si="6"/>
        <v>F_090</v>
      </c>
      <c r="K151" s="115"/>
    </row>
    <row r="152" spans="1:11" ht="15" customHeight="1">
      <c r="A152" s="41">
        <f t="shared" si="7"/>
        <v>91</v>
      </c>
      <c r="B152" s="36" t="s">
        <v>217</v>
      </c>
      <c r="C152" s="204" t="s">
        <v>122</v>
      </c>
      <c r="D152" s="48" t="s">
        <v>174</v>
      </c>
      <c r="E152" s="43">
        <v>22134</v>
      </c>
      <c r="F152" s="175" t="s">
        <v>174</v>
      </c>
      <c r="G152" s="9">
        <f>IF(BD!$E152="","",(E152/(H152*I152)))</f>
        <v>22134</v>
      </c>
      <c r="H152" s="8">
        <v>1</v>
      </c>
      <c r="I152" s="8">
        <v>1</v>
      </c>
      <c r="J152" s="205" t="str">
        <f t="shared" si="6"/>
        <v>F_091</v>
      </c>
      <c r="K152" s="115"/>
    </row>
    <row r="153" spans="1:11" ht="15" customHeight="1">
      <c r="A153" s="41">
        <f t="shared" si="7"/>
        <v>92</v>
      </c>
      <c r="B153" s="36" t="s">
        <v>218</v>
      </c>
      <c r="C153" s="204" t="s">
        <v>122</v>
      </c>
      <c r="D153" s="48" t="s">
        <v>109</v>
      </c>
      <c r="E153" s="43">
        <v>18125</v>
      </c>
      <c r="F153" s="175" t="s">
        <v>109</v>
      </c>
      <c r="G153" s="9">
        <f>IF(BD!$E153="","",(E153/(H153*I153)))</f>
        <v>18125</v>
      </c>
      <c r="H153" s="8">
        <v>1</v>
      </c>
      <c r="I153" s="8">
        <v>1</v>
      </c>
      <c r="J153" s="205" t="str">
        <f t="shared" si="6"/>
        <v>F_092</v>
      </c>
      <c r="K153" s="115"/>
    </row>
    <row r="154" spans="1:11" ht="15" customHeight="1">
      <c r="A154" s="41">
        <f t="shared" si="7"/>
        <v>93</v>
      </c>
      <c r="B154" s="36" t="s">
        <v>219</v>
      </c>
      <c r="C154" s="204" t="s">
        <v>122</v>
      </c>
      <c r="D154" s="48" t="s">
        <v>109</v>
      </c>
      <c r="E154" s="43">
        <v>102685</v>
      </c>
      <c r="F154" s="175" t="s">
        <v>109</v>
      </c>
      <c r="G154" s="9">
        <f>IF(BD!$E154="","",(E154/(H154*I154)))</f>
        <v>102685</v>
      </c>
      <c r="H154" s="8">
        <v>1</v>
      </c>
      <c r="I154" s="8">
        <v>1</v>
      </c>
      <c r="J154" s="205" t="str">
        <f t="shared" si="6"/>
        <v>F_093</v>
      </c>
      <c r="K154" s="115"/>
    </row>
    <row r="155" spans="1:11" ht="15" customHeight="1">
      <c r="A155" s="41">
        <f t="shared" si="7"/>
        <v>94</v>
      </c>
      <c r="B155" s="36" t="s">
        <v>220</v>
      </c>
      <c r="C155" s="204" t="s">
        <v>122</v>
      </c>
      <c r="D155" s="48" t="s">
        <v>109</v>
      </c>
      <c r="E155" s="43">
        <v>25163</v>
      </c>
      <c r="F155" s="175" t="s">
        <v>109</v>
      </c>
      <c r="G155" s="9">
        <f>IF(BD!$E155="","",(E155/(H155*I155)))</f>
        <v>25163</v>
      </c>
      <c r="H155" s="8">
        <v>1</v>
      </c>
      <c r="I155" s="8">
        <v>1</v>
      </c>
      <c r="J155" s="205" t="str">
        <f t="shared" si="6"/>
        <v>F_094</v>
      </c>
      <c r="K155" s="115"/>
    </row>
    <row r="156" spans="1:11" ht="15" customHeight="1">
      <c r="A156" s="41">
        <f t="shared" si="7"/>
        <v>95</v>
      </c>
      <c r="B156" s="36" t="s">
        <v>221</v>
      </c>
      <c r="C156" s="204" t="s">
        <v>122</v>
      </c>
      <c r="D156" s="48" t="s">
        <v>174</v>
      </c>
      <c r="E156" s="43">
        <v>149370</v>
      </c>
      <c r="F156" s="175" t="s">
        <v>174</v>
      </c>
      <c r="G156" s="9">
        <f>IF(BD!$E156="","",(E156/(H156*I156)))</f>
        <v>149370</v>
      </c>
      <c r="H156" s="8">
        <v>1</v>
      </c>
      <c r="I156" s="8">
        <v>1</v>
      </c>
      <c r="J156" s="205" t="str">
        <f t="shared" si="6"/>
        <v>F_095</v>
      </c>
      <c r="K156" s="115"/>
    </row>
    <row r="157" spans="1:11" ht="15" customHeight="1">
      <c r="A157" s="41">
        <f t="shared" si="7"/>
        <v>96</v>
      </c>
      <c r="B157" s="36" t="s">
        <v>222</v>
      </c>
      <c r="C157" s="204" t="s">
        <v>122</v>
      </c>
      <c r="D157" s="48" t="s">
        <v>109</v>
      </c>
      <c r="E157" s="43">
        <v>83922.5</v>
      </c>
      <c r="F157" s="175" t="s">
        <v>109</v>
      </c>
      <c r="G157" s="9">
        <f>IF(BD!$E157="","",(E157/(H157*I157)))</f>
        <v>83922.5</v>
      </c>
      <c r="H157" s="8">
        <v>1</v>
      </c>
      <c r="I157" s="8">
        <v>1</v>
      </c>
      <c r="J157" s="205" t="str">
        <f t="shared" si="6"/>
        <v>F_096</v>
      </c>
      <c r="K157" s="115"/>
    </row>
    <row r="158" spans="1:11" ht="15" customHeight="1">
      <c r="A158" s="41">
        <f t="shared" si="7"/>
        <v>97</v>
      </c>
      <c r="B158" s="36" t="s">
        <v>223</v>
      </c>
      <c r="C158" s="204" t="s">
        <v>122</v>
      </c>
      <c r="D158" s="48" t="s">
        <v>109</v>
      </c>
      <c r="E158" s="43">
        <v>547525</v>
      </c>
      <c r="F158" s="175" t="s">
        <v>109</v>
      </c>
      <c r="G158" s="9">
        <f>IF(BD!$E158="","",(E158/(H158*I158)))</f>
        <v>547525</v>
      </c>
      <c r="H158" s="8">
        <v>1</v>
      </c>
      <c r="I158" s="8">
        <v>1</v>
      </c>
      <c r="J158" s="205" t="str">
        <f t="shared" ref="J158:J169" si="8">CONCATENATE(LEFT(C158,1),"_",TEXT(A158,"000"))</f>
        <v>F_097</v>
      </c>
      <c r="K158" s="115"/>
    </row>
    <row r="159" spans="1:11" ht="15" customHeight="1">
      <c r="A159" s="41">
        <f t="shared" ref="A159:A169" si="9">A158+1</f>
        <v>98</v>
      </c>
      <c r="B159" s="36" t="s">
        <v>224</v>
      </c>
      <c r="C159" s="204" t="s">
        <v>122</v>
      </c>
      <c r="D159" s="48" t="s">
        <v>208</v>
      </c>
      <c r="E159" s="43">
        <v>8850</v>
      </c>
      <c r="F159" s="175" t="s">
        <v>208</v>
      </c>
      <c r="G159" s="9">
        <f>IF(BD!$E159="","",(E159/(H159*I159)))</f>
        <v>8850</v>
      </c>
      <c r="H159" s="8">
        <v>1</v>
      </c>
      <c r="I159" s="8">
        <v>1</v>
      </c>
      <c r="J159" s="205" t="str">
        <f t="shared" si="8"/>
        <v>F_098</v>
      </c>
      <c r="K159" s="115"/>
    </row>
    <row r="160" spans="1:11" ht="15" customHeight="1">
      <c r="A160" s="41">
        <f t="shared" si="9"/>
        <v>99</v>
      </c>
      <c r="B160" s="36" t="s">
        <v>225</v>
      </c>
      <c r="C160" s="204" t="s">
        <v>122</v>
      </c>
      <c r="D160" s="48" t="s">
        <v>226</v>
      </c>
      <c r="E160" s="43">
        <v>135533.5</v>
      </c>
      <c r="F160" s="175" t="s">
        <v>226</v>
      </c>
      <c r="G160" s="9">
        <f>IF(BD!$E160="","",(E160/(H160*I160)))</f>
        <v>135533.5</v>
      </c>
      <c r="H160" s="8">
        <v>1</v>
      </c>
      <c r="I160" s="8">
        <v>1</v>
      </c>
      <c r="J160" s="205" t="str">
        <f t="shared" si="8"/>
        <v>F_099</v>
      </c>
      <c r="K160" s="115"/>
    </row>
    <row r="161" spans="1:11" ht="15" customHeight="1">
      <c r="A161" s="41">
        <f t="shared" si="9"/>
        <v>100</v>
      </c>
      <c r="B161" s="36" t="s">
        <v>227</v>
      </c>
      <c r="C161" s="204" t="s">
        <v>122</v>
      </c>
      <c r="D161" s="48" t="s">
        <v>109</v>
      </c>
      <c r="E161" s="43">
        <v>313317.5</v>
      </c>
      <c r="F161" s="175" t="s">
        <v>109</v>
      </c>
      <c r="G161" s="9">
        <f>IF(BD!$E161="","",(E161/(H161*I161)))</f>
        <v>313317.5</v>
      </c>
      <c r="H161" s="8">
        <v>1</v>
      </c>
      <c r="I161" s="8">
        <v>1</v>
      </c>
      <c r="J161" s="205" t="str">
        <f t="shared" si="8"/>
        <v>F_100</v>
      </c>
      <c r="K161" s="115"/>
    </row>
    <row r="162" spans="1:11" ht="15" customHeight="1">
      <c r="A162" s="41">
        <f t="shared" si="9"/>
        <v>101</v>
      </c>
      <c r="B162" s="36" t="s">
        <v>228</v>
      </c>
      <c r="C162" s="204" t="s">
        <v>122</v>
      </c>
      <c r="D162" s="48" t="s">
        <v>109</v>
      </c>
      <c r="E162" s="43">
        <v>22214</v>
      </c>
      <c r="F162" s="175" t="s">
        <v>109</v>
      </c>
      <c r="G162" s="9">
        <f>IF(BD!$E162="","",(E162/(H162*I162)))</f>
        <v>22214</v>
      </c>
      <c r="H162" s="8">
        <v>1</v>
      </c>
      <c r="I162" s="8">
        <v>1</v>
      </c>
      <c r="J162" s="205" t="str">
        <f t="shared" si="8"/>
        <v>F_101</v>
      </c>
      <c r="K162" s="115"/>
    </row>
    <row r="163" spans="1:11" ht="15" customHeight="1">
      <c r="A163" s="41">
        <f t="shared" si="9"/>
        <v>102</v>
      </c>
      <c r="B163" s="36" t="s">
        <v>229</v>
      </c>
      <c r="C163" s="204" t="s">
        <v>122</v>
      </c>
      <c r="D163" s="48" t="s">
        <v>109</v>
      </c>
      <c r="E163" s="43">
        <v>293333.33500000002</v>
      </c>
      <c r="F163" s="175" t="s">
        <v>109</v>
      </c>
      <c r="G163" s="9">
        <f>IF(BD!$E163="","",(E163/(H163*I163)))</f>
        <v>293333.33500000002</v>
      </c>
      <c r="H163" s="8">
        <v>1</v>
      </c>
      <c r="I163" s="8">
        <v>1</v>
      </c>
      <c r="J163" s="205" t="str">
        <f t="shared" si="8"/>
        <v>F_102</v>
      </c>
      <c r="K163" s="115"/>
    </row>
    <row r="164" spans="1:11" ht="15" customHeight="1">
      <c r="A164" s="41">
        <f t="shared" si="9"/>
        <v>103</v>
      </c>
      <c r="B164" s="36" t="s">
        <v>230</v>
      </c>
      <c r="C164" s="204" t="s">
        <v>122</v>
      </c>
      <c r="D164" s="48" t="s">
        <v>109</v>
      </c>
      <c r="E164" s="43">
        <v>30290</v>
      </c>
      <c r="F164" s="175" t="s">
        <v>109</v>
      </c>
      <c r="G164" s="9">
        <f>IF(BD!$E164="","",(E164/(H164*I164)))</f>
        <v>30290</v>
      </c>
      <c r="H164" s="8">
        <v>1</v>
      </c>
      <c r="I164" s="8">
        <v>1</v>
      </c>
      <c r="J164" s="205" t="str">
        <f t="shared" si="8"/>
        <v>F_103</v>
      </c>
      <c r="K164" s="115"/>
    </row>
    <row r="165" spans="1:11" ht="15" customHeight="1">
      <c r="A165" s="41">
        <f t="shared" si="9"/>
        <v>104</v>
      </c>
      <c r="B165" s="36" t="s">
        <v>231</v>
      </c>
      <c r="C165" s="204" t="s">
        <v>122</v>
      </c>
      <c r="D165" s="48" t="s">
        <v>109</v>
      </c>
      <c r="E165" s="43">
        <v>69202</v>
      </c>
      <c r="F165" s="175" t="s">
        <v>109</v>
      </c>
      <c r="G165" s="9">
        <f>IF(BD!$E165="","",(E165/(H165*I165)))</f>
        <v>69202</v>
      </c>
      <c r="H165" s="8">
        <v>1</v>
      </c>
      <c r="I165" s="8">
        <v>1</v>
      </c>
      <c r="J165" s="205" t="str">
        <f t="shared" si="8"/>
        <v>F_104</v>
      </c>
      <c r="K165" s="115"/>
    </row>
    <row r="166" spans="1:11" ht="15" customHeight="1">
      <c r="A166" s="41">
        <f t="shared" si="9"/>
        <v>105</v>
      </c>
      <c r="B166" s="36" t="s">
        <v>232</v>
      </c>
      <c r="C166" s="204" t="s">
        <v>122</v>
      </c>
      <c r="D166" s="48" t="s">
        <v>216</v>
      </c>
      <c r="E166" s="43">
        <v>90800</v>
      </c>
      <c r="F166" s="175" t="s">
        <v>216</v>
      </c>
      <c r="G166" s="9">
        <f>IF(BD!$E166="","",(E166/(H166*I166)))</f>
        <v>90800</v>
      </c>
      <c r="H166" s="8">
        <v>1</v>
      </c>
      <c r="I166" s="8">
        <v>1</v>
      </c>
      <c r="J166" s="205" t="str">
        <f t="shared" si="8"/>
        <v>F_105</v>
      </c>
      <c r="K166" s="115"/>
    </row>
    <row r="167" spans="1:11" ht="15" customHeight="1">
      <c r="A167" s="41">
        <f t="shared" si="9"/>
        <v>106</v>
      </c>
      <c r="B167" s="36" t="s">
        <v>233</v>
      </c>
      <c r="C167" s="204" t="s">
        <v>122</v>
      </c>
      <c r="D167" s="48" t="s">
        <v>109</v>
      </c>
      <c r="E167" s="43">
        <v>79333.666666666672</v>
      </c>
      <c r="F167" s="175" t="s">
        <v>109</v>
      </c>
      <c r="G167" s="9">
        <f>IF(BD!$E167="","",(E167/(H167*I167)))</f>
        <v>79333.666666666672</v>
      </c>
      <c r="H167" s="8">
        <v>1</v>
      </c>
      <c r="I167" s="8">
        <v>1</v>
      </c>
      <c r="J167" s="205" t="str">
        <f t="shared" si="8"/>
        <v>F_106</v>
      </c>
      <c r="K167" s="115"/>
    </row>
    <row r="168" spans="1:11" ht="15" customHeight="1">
      <c r="A168" s="41">
        <f t="shared" si="9"/>
        <v>107</v>
      </c>
      <c r="B168" s="36" t="s">
        <v>234</v>
      </c>
      <c r="C168" s="204" t="s">
        <v>122</v>
      </c>
      <c r="D168" s="48" t="s">
        <v>109</v>
      </c>
      <c r="E168" s="43">
        <v>27500</v>
      </c>
      <c r="F168" s="175" t="s">
        <v>109</v>
      </c>
      <c r="G168" s="9">
        <f>IF(BD!$E168="","",(E168/(H168*I168)))</f>
        <v>27500</v>
      </c>
      <c r="H168" s="8">
        <v>1</v>
      </c>
      <c r="I168" s="8">
        <v>1</v>
      </c>
      <c r="J168" s="205" t="str">
        <f t="shared" si="8"/>
        <v>F_107</v>
      </c>
      <c r="K168" s="115"/>
    </row>
    <row r="169" spans="1:11" ht="15" customHeight="1">
      <c r="A169" s="41">
        <f t="shared" si="9"/>
        <v>108</v>
      </c>
      <c r="B169" s="36" t="s">
        <v>235</v>
      </c>
      <c r="C169" s="204" t="s">
        <v>122</v>
      </c>
      <c r="D169" s="48" t="s">
        <v>109</v>
      </c>
      <c r="E169" s="43">
        <v>16548</v>
      </c>
      <c r="F169" s="175" t="s">
        <v>109</v>
      </c>
      <c r="G169" s="9">
        <f>IF(BD!$E169="","",(E169/(H169*I169)))</f>
        <v>16548</v>
      </c>
      <c r="H169" s="8">
        <v>1</v>
      </c>
      <c r="I169" s="8">
        <v>1</v>
      </c>
      <c r="J169" s="205" t="str">
        <f t="shared" si="8"/>
        <v>F_108</v>
      </c>
      <c r="K169" s="115"/>
    </row>
    <row r="170" spans="1:11" ht="15" customHeight="1">
      <c r="B170"/>
      <c r="C170"/>
      <c r="D170"/>
      <c r="E170"/>
      <c r="F170" s="176"/>
      <c r="H170"/>
      <c r="I170"/>
    </row>
    <row r="171" spans="1:11" ht="15" customHeight="1">
      <c r="B171"/>
      <c r="C171"/>
      <c r="D171"/>
      <c r="E171"/>
      <c r="F171" s="176"/>
      <c r="H171"/>
      <c r="I171"/>
    </row>
    <row r="172" spans="1:11" ht="15" customHeight="1">
      <c r="B172"/>
      <c r="C172"/>
      <c r="D172"/>
      <c r="E172"/>
      <c r="F172" s="176"/>
      <c r="H172"/>
      <c r="I172"/>
    </row>
    <row r="173" spans="1:11" ht="15" customHeight="1">
      <c r="B173"/>
      <c r="C173"/>
      <c r="D173"/>
      <c r="E173"/>
      <c r="F173" s="176"/>
      <c r="H173"/>
      <c r="I173"/>
    </row>
    <row r="174" spans="1:11" ht="15" customHeight="1">
      <c r="B174"/>
      <c r="C174"/>
      <c r="D174"/>
      <c r="E174"/>
      <c r="F174" s="176"/>
      <c r="H174"/>
      <c r="I174"/>
    </row>
    <row r="175" spans="1:11" ht="15" customHeight="1">
      <c r="B175"/>
      <c r="C175"/>
      <c r="D175"/>
      <c r="E175"/>
      <c r="F175" s="176"/>
      <c r="H175"/>
      <c r="I175"/>
    </row>
    <row r="176" spans="1:11" ht="15" customHeight="1">
      <c r="B176"/>
      <c r="C176"/>
      <c r="D176"/>
      <c r="E176"/>
      <c r="F176" s="176"/>
      <c r="H176"/>
      <c r="I176"/>
    </row>
    <row r="177" spans="6:6" customFormat="1" ht="15" customHeight="1">
      <c r="F177" s="176"/>
    </row>
    <row r="178" spans="6:6" customFormat="1" ht="15" customHeight="1">
      <c r="F178" s="176"/>
    </row>
    <row r="179" spans="6:6" customFormat="1" ht="15" customHeight="1">
      <c r="F179" s="176"/>
    </row>
    <row r="180" spans="6:6" customFormat="1" ht="15" customHeight="1">
      <c r="F180" s="176"/>
    </row>
    <row r="181" spans="6:6" customFormat="1" ht="15" customHeight="1">
      <c r="F181" s="176"/>
    </row>
    <row r="182" spans="6:6" customFormat="1" ht="15" customHeight="1">
      <c r="F182" s="176"/>
    </row>
    <row r="183" spans="6:6" customFormat="1" ht="15" customHeight="1">
      <c r="F183" s="176"/>
    </row>
    <row r="184" spans="6:6" customFormat="1" ht="15" customHeight="1">
      <c r="F184" s="176"/>
    </row>
    <row r="185" spans="6:6" customFormat="1" ht="15" customHeight="1">
      <c r="F185" s="176"/>
    </row>
    <row r="186" spans="6:6" customFormat="1" ht="15" customHeight="1">
      <c r="F186" s="176"/>
    </row>
    <row r="187" spans="6:6" customFormat="1" ht="15" customHeight="1">
      <c r="F187" s="176"/>
    </row>
    <row r="188" spans="6:6" customFormat="1" ht="15" customHeight="1">
      <c r="F188" s="176"/>
    </row>
    <row r="189" spans="6:6" customFormat="1" ht="15" customHeight="1">
      <c r="F189" s="176"/>
    </row>
    <row r="190" spans="6:6" customFormat="1" ht="15" customHeight="1">
      <c r="F190" s="176"/>
    </row>
    <row r="191" spans="6:6" customFormat="1" ht="15" customHeight="1">
      <c r="F191" s="176"/>
    </row>
    <row r="192" spans="6:6" customFormat="1" ht="15" customHeight="1">
      <c r="F192" s="176"/>
    </row>
    <row r="193" spans="6:6" customFormat="1" ht="15" customHeight="1">
      <c r="F193" s="176"/>
    </row>
    <row r="194" spans="6:6" customFormat="1" ht="15" customHeight="1">
      <c r="F194" s="176"/>
    </row>
    <row r="195" spans="6:6" customFormat="1" ht="15" customHeight="1">
      <c r="F195" s="176"/>
    </row>
    <row r="196" spans="6:6" customFormat="1" ht="15" customHeight="1">
      <c r="F196" s="176"/>
    </row>
    <row r="197" spans="6:6" customFormat="1" ht="15" customHeight="1">
      <c r="F197" s="176"/>
    </row>
    <row r="198" spans="6:6" customFormat="1" ht="15" customHeight="1">
      <c r="F198" s="176"/>
    </row>
    <row r="199" spans="6:6" customFormat="1" ht="15" customHeight="1">
      <c r="F199" s="176"/>
    </row>
    <row r="200" spans="6:6" customFormat="1" ht="15" customHeight="1">
      <c r="F200" s="176"/>
    </row>
    <row r="201" spans="6:6" customFormat="1" ht="15" customHeight="1">
      <c r="F201" s="176"/>
    </row>
    <row r="202" spans="6:6" customFormat="1" ht="15" customHeight="1">
      <c r="F202" s="176"/>
    </row>
    <row r="203" spans="6:6" customFormat="1" ht="15" customHeight="1">
      <c r="F203" s="176"/>
    </row>
    <row r="204" spans="6:6" customFormat="1" ht="15" customHeight="1">
      <c r="F204" s="176"/>
    </row>
    <row r="205" spans="6:6" customFormat="1" ht="15" customHeight="1">
      <c r="F205" s="176"/>
    </row>
    <row r="206" spans="6:6" customFormat="1" ht="15" customHeight="1">
      <c r="F206" s="176"/>
    </row>
    <row r="207" spans="6:6" customFormat="1" ht="15" customHeight="1">
      <c r="F207" s="176"/>
    </row>
    <row r="208" spans="6:6" customFormat="1" ht="15" customHeight="1">
      <c r="F208" s="176"/>
    </row>
    <row r="209" spans="1:11" ht="15" customHeight="1">
      <c r="B209"/>
      <c r="C209"/>
      <c r="D209"/>
      <c r="E209"/>
      <c r="F209" s="176"/>
      <c r="H209"/>
      <c r="I209"/>
    </row>
    <row r="210" spans="1:11" ht="15" customHeight="1">
      <c r="B210"/>
      <c r="C210"/>
      <c r="D210"/>
      <c r="E210"/>
      <c r="F210" s="176"/>
      <c r="H210"/>
      <c r="I210"/>
    </row>
    <row r="211" spans="1:11" ht="15" customHeight="1">
      <c r="B211"/>
      <c r="C211"/>
      <c r="D211"/>
      <c r="E211"/>
      <c r="F211" s="176"/>
      <c r="H211"/>
      <c r="I211"/>
    </row>
    <row r="212" spans="1:11" ht="17.25" customHeight="1">
      <c r="A212" s="75"/>
      <c r="B212" s="76" t="s">
        <v>120</v>
      </c>
      <c r="C212" s="75"/>
      <c r="D212" s="75"/>
      <c r="E212" s="75"/>
      <c r="F212" s="177"/>
      <c r="G212" s="75"/>
      <c r="H212" s="75"/>
      <c r="I212" s="75"/>
      <c r="J212" s="75"/>
    </row>
    <row r="213" spans="1:11" ht="17.25" customHeight="1">
      <c r="B213" s="112"/>
      <c r="C213"/>
      <c r="D213"/>
      <c r="E213"/>
      <c r="F213" s="176"/>
      <c r="H213"/>
      <c r="I213"/>
    </row>
    <row r="214" spans="1:11" ht="15" customHeight="1">
      <c r="B214"/>
      <c r="C214"/>
      <c r="D214"/>
      <c r="F214" s="176"/>
      <c r="H214"/>
      <c r="I214"/>
    </row>
    <row r="215" spans="1:11" ht="34.5" customHeight="1">
      <c r="A215" s="119" t="s">
        <v>90</v>
      </c>
      <c r="B215" s="268">
        <f>SUBTOTAL(3,(B217:B430))</f>
        <v>214</v>
      </c>
      <c r="C215" s="115"/>
      <c r="D215" s="115"/>
      <c r="E215"/>
      <c r="F215" s="176"/>
      <c r="H215"/>
      <c r="I215"/>
    </row>
    <row r="216" spans="1:11" ht="47.25">
      <c r="A216" s="113" t="s">
        <v>72</v>
      </c>
      <c r="B216" s="118" t="s">
        <v>92</v>
      </c>
      <c r="C216" s="114" t="s">
        <v>93</v>
      </c>
      <c r="D216" s="98" t="s">
        <v>94</v>
      </c>
      <c r="E216" s="67" t="s">
        <v>95</v>
      </c>
      <c r="F216" s="174" t="s">
        <v>96</v>
      </c>
      <c r="G216" s="69" t="s">
        <v>97</v>
      </c>
      <c r="H216" s="70" t="s">
        <v>98</v>
      </c>
      <c r="I216" s="70" t="s">
        <v>99</v>
      </c>
      <c r="J216" s="276" t="s">
        <v>100</v>
      </c>
      <c r="K216" s="277" t="s">
        <v>101</v>
      </c>
    </row>
    <row r="217" spans="1:11" ht="15" customHeight="1">
      <c r="A217" s="41">
        <v>1</v>
      </c>
      <c r="B217" s="187" t="s">
        <v>236</v>
      </c>
      <c r="C217" s="204" t="s">
        <v>237</v>
      </c>
      <c r="D217" s="48" t="s">
        <v>174</v>
      </c>
      <c r="E217" s="43">
        <v>760</v>
      </c>
      <c r="F217" s="175" t="s">
        <v>174</v>
      </c>
      <c r="G217" s="39">
        <v>760</v>
      </c>
      <c r="H217" s="8">
        <v>1</v>
      </c>
      <c r="I217" s="8">
        <v>1</v>
      </c>
      <c r="J217" s="205" t="str">
        <f t="shared" ref="J217:J280" si="10">CONCATENATE(LEFT(C217,1),MID(C217,SEARCH("_",C217)+1,2),TEXT(A217,"000"))</f>
        <v>SME001</v>
      </c>
      <c r="K217" s="115"/>
    </row>
    <row r="218" spans="1:11" ht="15" customHeight="1">
      <c r="A218" s="41">
        <v>128</v>
      </c>
      <c r="B218" s="278" t="s">
        <v>238</v>
      </c>
      <c r="C218" s="204" t="s">
        <v>237</v>
      </c>
      <c r="D218" s="48" t="s">
        <v>239</v>
      </c>
      <c r="E218" s="43"/>
      <c r="F218" s="175" t="s">
        <v>240</v>
      </c>
      <c r="G218" s="39"/>
      <c r="H218" s="8">
        <v>1</v>
      </c>
      <c r="I218" s="8">
        <v>100</v>
      </c>
      <c r="J218" s="205" t="str">
        <f t="shared" si="10"/>
        <v>SME128</v>
      </c>
      <c r="K218" s="115"/>
    </row>
    <row r="219" spans="1:11" ht="15" customHeight="1">
      <c r="A219" s="41">
        <v>2</v>
      </c>
      <c r="B219" s="187" t="s">
        <v>241</v>
      </c>
      <c r="C219" s="204" t="s">
        <v>237</v>
      </c>
      <c r="D219" s="48" t="s">
        <v>242</v>
      </c>
      <c r="E219" s="43">
        <v>45667</v>
      </c>
      <c r="F219" s="175" t="s">
        <v>242</v>
      </c>
      <c r="G219" s="39">
        <v>45667</v>
      </c>
      <c r="H219" s="8">
        <v>1</v>
      </c>
      <c r="I219" s="8">
        <v>1</v>
      </c>
      <c r="J219" s="205" t="str">
        <f t="shared" si="10"/>
        <v>SME002</v>
      </c>
      <c r="K219" s="115"/>
    </row>
    <row r="220" spans="1:11" ht="15" customHeight="1">
      <c r="A220" s="41">
        <v>128</v>
      </c>
      <c r="B220" s="278" t="s">
        <v>243</v>
      </c>
      <c r="C220" s="204" t="s">
        <v>237</v>
      </c>
      <c r="D220" s="48" t="s">
        <v>239</v>
      </c>
      <c r="E220" s="43"/>
      <c r="F220" s="175" t="s">
        <v>240</v>
      </c>
      <c r="G220" s="39"/>
      <c r="H220" s="8">
        <v>1</v>
      </c>
      <c r="I220" s="8">
        <v>100</v>
      </c>
      <c r="J220" s="205" t="str">
        <f t="shared" si="10"/>
        <v>SME128</v>
      </c>
      <c r="K220" s="115"/>
    </row>
    <row r="221" spans="1:11" ht="15" customHeight="1">
      <c r="A221" s="41">
        <v>128</v>
      </c>
      <c r="B221" s="278" t="s">
        <v>244</v>
      </c>
      <c r="C221" s="204" t="s">
        <v>237</v>
      </c>
      <c r="D221" s="48" t="s">
        <v>239</v>
      </c>
      <c r="E221" s="43"/>
      <c r="F221" s="175" t="s">
        <v>240</v>
      </c>
      <c r="G221" s="39"/>
      <c r="H221" s="8">
        <v>1</v>
      </c>
      <c r="I221" s="8">
        <v>100</v>
      </c>
      <c r="J221" s="205" t="str">
        <f t="shared" si="10"/>
        <v>SME128</v>
      </c>
      <c r="K221" s="115"/>
    </row>
    <row r="222" spans="1:11" ht="15" customHeight="1">
      <c r="A222" s="41">
        <v>128</v>
      </c>
      <c r="B222" s="278" t="s">
        <v>245</v>
      </c>
      <c r="C222" s="204" t="s">
        <v>237</v>
      </c>
      <c r="D222" s="48" t="s">
        <v>239</v>
      </c>
      <c r="E222" s="43"/>
      <c r="F222" s="175" t="s">
        <v>240</v>
      </c>
      <c r="G222" s="39"/>
      <c r="H222" s="8">
        <v>1</v>
      </c>
      <c r="I222" s="8">
        <v>100</v>
      </c>
      <c r="J222" s="205" t="str">
        <f t="shared" si="10"/>
        <v>SME128</v>
      </c>
      <c r="K222" s="115"/>
    </row>
    <row r="223" spans="1:11" ht="15" customHeight="1">
      <c r="A223" s="41">
        <v>128</v>
      </c>
      <c r="B223" s="278" t="s">
        <v>246</v>
      </c>
      <c r="C223" s="204" t="s">
        <v>237</v>
      </c>
      <c r="D223" s="48" t="s">
        <v>239</v>
      </c>
      <c r="E223" s="43"/>
      <c r="F223" s="175" t="s">
        <v>240</v>
      </c>
      <c r="G223" s="39"/>
      <c r="H223" s="8">
        <v>1</v>
      </c>
      <c r="I223" s="8">
        <v>100</v>
      </c>
      <c r="J223" s="205" t="str">
        <f t="shared" si="10"/>
        <v>SME128</v>
      </c>
      <c r="K223" s="115"/>
    </row>
    <row r="224" spans="1:11" ht="15" customHeight="1">
      <c r="A224" s="41">
        <v>128</v>
      </c>
      <c r="B224" s="278" t="s">
        <v>247</v>
      </c>
      <c r="C224" s="204" t="s">
        <v>237</v>
      </c>
      <c r="D224" s="48" t="s">
        <v>239</v>
      </c>
      <c r="E224" s="43"/>
      <c r="F224" s="175" t="s">
        <v>240</v>
      </c>
      <c r="G224" s="39"/>
      <c r="H224" s="8">
        <v>1</v>
      </c>
      <c r="I224" s="8">
        <v>100</v>
      </c>
      <c r="J224" s="205" t="str">
        <f t="shared" si="10"/>
        <v>SME128</v>
      </c>
      <c r="K224" s="115"/>
    </row>
    <row r="225" spans="1:11" ht="15" customHeight="1">
      <c r="A225" s="41">
        <v>128</v>
      </c>
      <c r="B225" s="278" t="s">
        <v>248</v>
      </c>
      <c r="C225" s="204" t="s">
        <v>237</v>
      </c>
      <c r="D225" s="48" t="s">
        <v>239</v>
      </c>
      <c r="E225" s="43"/>
      <c r="F225" s="175" t="s">
        <v>240</v>
      </c>
      <c r="G225" s="39"/>
      <c r="H225" s="8">
        <v>1</v>
      </c>
      <c r="I225" s="8">
        <v>100</v>
      </c>
      <c r="J225" s="205" t="str">
        <f t="shared" si="10"/>
        <v>SME128</v>
      </c>
      <c r="K225" s="115"/>
    </row>
    <row r="226" spans="1:11" ht="15" customHeight="1">
      <c r="A226" s="41">
        <v>128</v>
      </c>
      <c r="B226" s="278" t="s">
        <v>249</v>
      </c>
      <c r="C226" s="204" t="s">
        <v>237</v>
      </c>
      <c r="D226" s="48" t="s">
        <v>239</v>
      </c>
      <c r="E226" s="43"/>
      <c r="F226" s="175" t="s">
        <v>240</v>
      </c>
      <c r="G226" s="39"/>
      <c r="H226" s="8">
        <v>1</v>
      </c>
      <c r="I226" s="8">
        <v>100</v>
      </c>
      <c r="J226" s="205" t="str">
        <f t="shared" si="10"/>
        <v>SME128</v>
      </c>
      <c r="K226" s="115"/>
    </row>
    <row r="227" spans="1:11" ht="15" customHeight="1">
      <c r="A227" s="41">
        <v>128</v>
      </c>
      <c r="B227" s="278" t="s">
        <v>250</v>
      </c>
      <c r="C227" s="204" t="s">
        <v>237</v>
      </c>
      <c r="D227" s="48" t="s">
        <v>239</v>
      </c>
      <c r="E227" s="43"/>
      <c r="F227" s="175" t="s">
        <v>240</v>
      </c>
      <c r="G227" s="39"/>
      <c r="H227" s="134">
        <v>1</v>
      </c>
      <c r="I227" s="8">
        <v>100</v>
      </c>
      <c r="J227" s="205" t="str">
        <f t="shared" si="10"/>
        <v>SME128</v>
      </c>
      <c r="K227" s="115"/>
    </row>
    <row r="228" spans="1:11" ht="15" customHeight="1">
      <c r="A228" s="41">
        <v>128</v>
      </c>
      <c r="B228" s="278" t="s">
        <v>251</v>
      </c>
      <c r="C228" s="204" t="s">
        <v>237</v>
      </c>
      <c r="D228" s="48" t="s">
        <v>239</v>
      </c>
      <c r="E228" s="43"/>
      <c r="F228" s="175" t="s">
        <v>240</v>
      </c>
      <c r="G228" s="39"/>
      <c r="H228" s="134">
        <v>1</v>
      </c>
      <c r="I228" s="8">
        <v>100</v>
      </c>
      <c r="J228" s="205" t="str">
        <f t="shared" si="10"/>
        <v>SME128</v>
      </c>
      <c r="K228" s="115"/>
    </row>
    <row r="229" spans="1:11" ht="15" customHeight="1">
      <c r="A229" s="41">
        <v>3</v>
      </c>
      <c r="B229" s="187" t="s">
        <v>252</v>
      </c>
      <c r="C229" s="204" t="s">
        <v>237</v>
      </c>
      <c r="D229" s="48" t="s">
        <v>253</v>
      </c>
      <c r="E229" s="43">
        <v>41000</v>
      </c>
      <c r="F229" s="175" t="s">
        <v>239</v>
      </c>
      <c r="G229" s="39">
        <v>410</v>
      </c>
      <c r="H229" s="134">
        <v>100</v>
      </c>
      <c r="I229" s="8">
        <v>1</v>
      </c>
      <c r="J229" s="205" t="str">
        <f t="shared" si="10"/>
        <v>SME003</v>
      </c>
      <c r="K229" s="115"/>
    </row>
    <row r="230" spans="1:11" ht="15" customHeight="1">
      <c r="A230" s="41">
        <v>4</v>
      </c>
      <c r="B230" s="187" t="s">
        <v>254</v>
      </c>
      <c r="C230" s="204" t="s">
        <v>237</v>
      </c>
      <c r="D230" s="48" t="s">
        <v>253</v>
      </c>
      <c r="E230" s="43">
        <v>58500</v>
      </c>
      <c r="F230" s="175" t="s">
        <v>239</v>
      </c>
      <c r="G230" s="39">
        <v>585</v>
      </c>
      <c r="H230" s="134">
        <v>100</v>
      </c>
      <c r="I230" s="8">
        <v>1</v>
      </c>
      <c r="J230" s="205" t="str">
        <f t="shared" si="10"/>
        <v>SME004</v>
      </c>
      <c r="K230" s="115"/>
    </row>
    <row r="231" spans="1:11" ht="15" customHeight="1">
      <c r="A231" s="41">
        <v>5</v>
      </c>
      <c r="B231" s="187" t="s">
        <v>255</v>
      </c>
      <c r="C231" s="204" t="s">
        <v>237</v>
      </c>
      <c r="D231" s="48" t="s">
        <v>242</v>
      </c>
      <c r="E231" s="43">
        <v>17830</v>
      </c>
      <c r="F231" s="175" t="s">
        <v>256</v>
      </c>
      <c r="G231" s="39">
        <v>1.2735714285714286</v>
      </c>
      <c r="H231" s="134">
        <v>140</v>
      </c>
      <c r="I231" s="8">
        <v>100</v>
      </c>
      <c r="J231" s="205" t="str">
        <f t="shared" si="10"/>
        <v>SME005</v>
      </c>
      <c r="K231" s="115"/>
    </row>
    <row r="232" spans="1:11" ht="15" customHeight="1">
      <c r="A232" s="41">
        <v>42</v>
      </c>
      <c r="B232" s="187" t="s">
        <v>257</v>
      </c>
      <c r="C232" s="204" t="s">
        <v>237</v>
      </c>
      <c r="D232" s="48" t="s">
        <v>174</v>
      </c>
      <c r="E232" s="43">
        <v>639</v>
      </c>
      <c r="F232" s="175" t="s">
        <v>174</v>
      </c>
      <c r="G232" s="39">
        <v>639</v>
      </c>
      <c r="H232" s="134">
        <v>1</v>
      </c>
      <c r="I232" s="8">
        <v>1</v>
      </c>
      <c r="J232" s="205" t="str">
        <f t="shared" si="10"/>
        <v>SME042</v>
      </c>
      <c r="K232" s="115"/>
    </row>
    <row r="233" spans="1:11" ht="15" customHeight="1">
      <c r="A233" s="41">
        <v>43</v>
      </c>
      <c r="B233" s="187" t="s">
        <v>258</v>
      </c>
      <c r="C233" s="204" t="s">
        <v>237</v>
      </c>
      <c r="D233" s="48" t="s">
        <v>174</v>
      </c>
      <c r="E233" s="43">
        <v>639</v>
      </c>
      <c r="F233" s="175" t="s">
        <v>174</v>
      </c>
      <c r="G233" s="39">
        <v>639</v>
      </c>
      <c r="H233" s="134">
        <v>1</v>
      </c>
      <c r="I233" s="8">
        <v>1</v>
      </c>
      <c r="J233" s="205" t="str">
        <f t="shared" si="10"/>
        <v>SME043</v>
      </c>
      <c r="K233" s="115"/>
    </row>
    <row r="234" spans="1:11" ht="15" customHeight="1">
      <c r="A234" s="41">
        <v>44</v>
      </c>
      <c r="B234" s="187" t="s">
        <v>259</v>
      </c>
      <c r="C234" s="204" t="s">
        <v>237</v>
      </c>
      <c r="D234" s="48" t="s">
        <v>174</v>
      </c>
      <c r="E234" s="43">
        <v>639</v>
      </c>
      <c r="F234" s="175" t="s">
        <v>174</v>
      </c>
      <c r="G234" s="39">
        <v>639</v>
      </c>
      <c r="H234" s="134">
        <v>1</v>
      </c>
      <c r="I234" s="8">
        <v>1</v>
      </c>
      <c r="J234" s="205" t="str">
        <f t="shared" si="10"/>
        <v>SME044</v>
      </c>
      <c r="K234" s="115"/>
    </row>
    <row r="235" spans="1:11" ht="15" customHeight="1">
      <c r="A235" s="41">
        <v>45</v>
      </c>
      <c r="B235" s="187" t="s">
        <v>260</v>
      </c>
      <c r="C235" s="204" t="s">
        <v>237</v>
      </c>
      <c r="D235" s="48" t="s">
        <v>174</v>
      </c>
      <c r="E235" s="62">
        <v>639</v>
      </c>
      <c r="F235" s="175" t="s">
        <v>174</v>
      </c>
      <c r="G235" s="39">
        <v>639</v>
      </c>
      <c r="H235" s="134">
        <v>1</v>
      </c>
      <c r="I235" s="8">
        <v>1</v>
      </c>
      <c r="J235" s="205" t="str">
        <f t="shared" si="10"/>
        <v>SME045</v>
      </c>
      <c r="K235" s="115"/>
    </row>
    <row r="236" spans="1:11" ht="15" customHeight="1">
      <c r="A236" s="41">
        <v>46</v>
      </c>
      <c r="B236" s="187" t="s">
        <v>261</v>
      </c>
      <c r="C236" s="204" t="s">
        <v>237</v>
      </c>
      <c r="D236" s="48" t="s">
        <v>174</v>
      </c>
      <c r="E236" s="62">
        <v>639</v>
      </c>
      <c r="F236" s="175" t="s">
        <v>174</v>
      </c>
      <c r="G236" s="39">
        <v>639</v>
      </c>
      <c r="H236" s="134">
        <v>1</v>
      </c>
      <c r="I236" s="8">
        <v>1</v>
      </c>
      <c r="J236" s="205" t="str">
        <f t="shared" si="10"/>
        <v>SME046</v>
      </c>
      <c r="K236" s="115"/>
    </row>
    <row r="237" spans="1:11" ht="15" customHeight="1">
      <c r="A237" s="41">
        <v>47</v>
      </c>
      <c r="B237" s="187" t="s">
        <v>262</v>
      </c>
      <c r="C237" s="204" t="s">
        <v>237</v>
      </c>
      <c r="D237" s="48" t="s">
        <v>174</v>
      </c>
      <c r="E237" s="62">
        <v>639</v>
      </c>
      <c r="F237" s="175" t="s">
        <v>174</v>
      </c>
      <c r="G237" s="39">
        <v>639</v>
      </c>
      <c r="H237" s="134">
        <v>1</v>
      </c>
      <c r="I237" s="8">
        <v>1</v>
      </c>
      <c r="J237" s="205" t="str">
        <f t="shared" si="10"/>
        <v>SME047</v>
      </c>
      <c r="K237" s="115"/>
    </row>
    <row r="238" spans="1:11" ht="15" customHeight="1">
      <c r="A238" s="41">
        <v>48</v>
      </c>
      <c r="B238" s="187" t="s">
        <v>263</v>
      </c>
      <c r="C238" s="204" t="s">
        <v>237</v>
      </c>
      <c r="D238" s="48" t="s">
        <v>174</v>
      </c>
      <c r="E238" s="62">
        <v>639</v>
      </c>
      <c r="F238" s="175" t="s">
        <v>174</v>
      </c>
      <c r="G238" s="39">
        <v>639</v>
      </c>
      <c r="H238" s="134">
        <v>1</v>
      </c>
      <c r="I238" s="8">
        <v>1</v>
      </c>
      <c r="J238" s="205" t="str">
        <f t="shared" si="10"/>
        <v>SME048</v>
      </c>
      <c r="K238" s="115"/>
    </row>
    <row r="239" spans="1:11" ht="15" customHeight="1">
      <c r="A239" s="41">
        <v>49</v>
      </c>
      <c r="B239" s="187" t="s">
        <v>264</v>
      </c>
      <c r="C239" s="204" t="s">
        <v>237</v>
      </c>
      <c r="D239" s="48" t="s">
        <v>174</v>
      </c>
      <c r="E239" s="62">
        <v>639</v>
      </c>
      <c r="F239" s="175" t="s">
        <v>174</v>
      </c>
      <c r="G239" s="39">
        <v>639</v>
      </c>
      <c r="H239" s="134">
        <v>1</v>
      </c>
      <c r="I239" s="8">
        <v>1</v>
      </c>
      <c r="J239" s="205" t="str">
        <f t="shared" si="10"/>
        <v>SME049</v>
      </c>
      <c r="K239" s="115"/>
    </row>
    <row r="240" spans="1:11" ht="15" customHeight="1">
      <c r="A240" s="41">
        <v>6</v>
      </c>
      <c r="B240" s="187" t="s">
        <v>265</v>
      </c>
      <c r="C240" s="204" t="s">
        <v>237</v>
      </c>
      <c r="D240" s="48" t="s">
        <v>174</v>
      </c>
      <c r="E240" s="62">
        <v>639</v>
      </c>
      <c r="F240" s="48" t="s">
        <v>174</v>
      </c>
      <c r="G240" s="39">
        <v>639</v>
      </c>
      <c r="H240" s="134">
        <v>1</v>
      </c>
      <c r="I240" s="8">
        <v>1</v>
      </c>
      <c r="J240" s="205" t="str">
        <f t="shared" si="10"/>
        <v>SME006</v>
      </c>
      <c r="K240" s="115"/>
    </row>
    <row r="241" spans="1:11" ht="15" customHeight="1">
      <c r="A241" s="41">
        <v>7</v>
      </c>
      <c r="B241" s="187" t="s">
        <v>266</v>
      </c>
      <c r="C241" s="204" t="s">
        <v>237</v>
      </c>
      <c r="D241" s="48" t="s">
        <v>174</v>
      </c>
      <c r="E241" s="62">
        <v>639</v>
      </c>
      <c r="F241" s="48" t="s">
        <v>174</v>
      </c>
      <c r="G241" s="39">
        <v>639</v>
      </c>
      <c r="H241" s="134">
        <v>1</v>
      </c>
      <c r="I241" s="8">
        <v>1</v>
      </c>
      <c r="J241" s="205" t="str">
        <f t="shared" si="10"/>
        <v>SME007</v>
      </c>
      <c r="K241" s="115"/>
    </row>
    <row r="242" spans="1:11" ht="15" customHeight="1">
      <c r="A242" s="41">
        <v>8</v>
      </c>
      <c r="B242" s="187" t="s">
        <v>267</v>
      </c>
      <c r="C242" s="204" t="s">
        <v>237</v>
      </c>
      <c r="D242" s="48" t="s">
        <v>174</v>
      </c>
      <c r="E242" s="62">
        <v>639</v>
      </c>
      <c r="F242" s="48" t="s">
        <v>174</v>
      </c>
      <c r="G242" s="39">
        <v>639</v>
      </c>
      <c r="H242" s="134">
        <v>1</v>
      </c>
      <c r="I242" s="8">
        <v>1</v>
      </c>
      <c r="J242" s="205" t="str">
        <f t="shared" si="10"/>
        <v>SME008</v>
      </c>
      <c r="K242" s="115"/>
    </row>
    <row r="243" spans="1:11" ht="15" customHeight="1">
      <c r="A243" s="41">
        <v>9</v>
      </c>
      <c r="B243" s="187" t="s">
        <v>268</v>
      </c>
      <c r="C243" s="204" t="s">
        <v>237</v>
      </c>
      <c r="D243" s="48" t="s">
        <v>174</v>
      </c>
      <c r="E243" s="62">
        <v>639</v>
      </c>
      <c r="F243" s="48" t="s">
        <v>174</v>
      </c>
      <c r="G243" s="39">
        <v>639</v>
      </c>
      <c r="H243" s="134">
        <v>1</v>
      </c>
      <c r="I243" s="8">
        <v>1</v>
      </c>
      <c r="J243" s="205" t="str">
        <f t="shared" si="10"/>
        <v>SME009</v>
      </c>
      <c r="K243" s="115"/>
    </row>
    <row r="244" spans="1:11" ht="15" customHeight="1">
      <c r="A244" s="41">
        <v>12</v>
      </c>
      <c r="B244" s="187" t="s">
        <v>269</v>
      </c>
      <c r="C244" s="204" t="s">
        <v>237</v>
      </c>
      <c r="D244" s="58" t="s">
        <v>174</v>
      </c>
      <c r="E244" s="62">
        <v>639</v>
      </c>
      <c r="F244" s="58" t="s">
        <v>174</v>
      </c>
      <c r="G244" s="39">
        <v>639</v>
      </c>
      <c r="H244" s="134">
        <v>1</v>
      </c>
      <c r="I244" s="8">
        <v>1</v>
      </c>
      <c r="J244" s="205" t="str">
        <f t="shared" si="10"/>
        <v>SME012</v>
      </c>
      <c r="K244" s="115"/>
    </row>
    <row r="245" spans="1:11" ht="15" customHeight="1">
      <c r="A245" s="41">
        <v>13</v>
      </c>
      <c r="B245" s="187" t="s">
        <v>270</v>
      </c>
      <c r="C245" s="204" t="s">
        <v>237</v>
      </c>
      <c r="D245" s="58" t="s">
        <v>174</v>
      </c>
      <c r="E245" s="62">
        <v>639</v>
      </c>
      <c r="F245" s="58" t="s">
        <v>174</v>
      </c>
      <c r="G245" s="39">
        <v>639</v>
      </c>
      <c r="H245" s="134">
        <v>1</v>
      </c>
      <c r="I245" s="8">
        <v>1</v>
      </c>
      <c r="J245" s="205" t="str">
        <f t="shared" si="10"/>
        <v>SME013</v>
      </c>
      <c r="K245" s="115"/>
    </row>
    <row r="246" spans="1:11" ht="15" customHeight="1">
      <c r="A246" s="41">
        <v>14</v>
      </c>
      <c r="B246" s="187" t="s">
        <v>271</v>
      </c>
      <c r="C246" s="204" t="s">
        <v>237</v>
      </c>
      <c r="D246" s="58" t="s">
        <v>174</v>
      </c>
      <c r="E246" s="62">
        <v>639</v>
      </c>
      <c r="F246" s="58" t="s">
        <v>174</v>
      </c>
      <c r="G246" s="39">
        <v>639</v>
      </c>
      <c r="H246" s="134">
        <v>1</v>
      </c>
      <c r="I246" s="8">
        <v>1</v>
      </c>
      <c r="J246" s="205" t="str">
        <f t="shared" si="10"/>
        <v>SME014</v>
      </c>
      <c r="K246" s="115"/>
    </row>
    <row r="247" spans="1:11" ht="15" customHeight="1">
      <c r="A247" s="41">
        <v>15</v>
      </c>
      <c r="B247" s="187" t="s">
        <v>272</v>
      </c>
      <c r="C247" s="204" t="s">
        <v>237</v>
      </c>
      <c r="D247" s="58" t="s">
        <v>174</v>
      </c>
      <c r="E247" s="62">
        <v>639</v>
      </c>
      <c r="F247" s="58" t="s">
        <v>174</v>
      </c>
      <c r="G247" s="39">
        <v>639</v>
      </c>
      <c r="H247" s="134">
        <v>1</v>
      </c>
      <c r="I247" s="8">
        <v>1</v>
      </c>
      <c r="J247" s="205" t="str">
        <f t="shared" si="10"/>
        <v>SME015</v>
      </c>
      <c r="K247" s="115"/>
    </row>
    <row r="248" spans="1:11" ht="15" customHeight="1">
      <c r="A248" s="41">
        <v>16</v>
      </c>
      <c r="B248" s="187" t="s">
        <v>273</v>
      </c>
      <c r="C248" s="204" t="s">
        <v>237</v>
      </c>
      <c r="D248" s="58" t="s">
        <v>174</v>
      </c>
      <c r="E248" s="62">
        <v>639</v>
      </c>
      <c r="F248" s="58" t="s">
        <v>174</v>
      </c>
      <c r="G248" s="39">
        <v>639</v>
      </c>
      <c r="H248" s="134">
        <v>1</v>
      </c>
      <c r="I248" s="8">
        <v>1</v>
      </c>
      <c r="J248" s="205" t="str">
        <f t="shared" si="10"/>
        <v>SME016</v>
      </c>
      <c r="K248" s="115"/>
    </row>
    <row r="249" spans="1:11" ht="15" customHeight="1">
      <c r="A249" s="41">
        <v>50</v>
      </c>
      <c r="B249" s="187" t="s">
        <v>274</v>
      </c>
      <c r="C249" s="204" t="s">
        <v>237</v>
      </c>
      <c r="D249" s="58" t="s">
        <v>174</v>
      </c>
      <c r="E249" s="62">
        <v>639</v>
      </c>
      <c r="F249" s="178" t="s">
        <v>174</v>
      </c>
      <c r="G249" s="39">
        <v>639</v>
      </c>
      <c r="H249" s="134">
        <v>1</v>
      </c>
      <c r="I249" s="8">
        <v>1</v>
      </c>
      <c r="J249" s="205" t="str">
        <f t="shared" si="10"/>
        <v>SME050</v>
      </c>
      <c r="K249" s="115"/>
    </row>
    <row r="250" spans="1:11" ht="15" customHeight="1">
      <c r="A250" s="41">
        <v>51</v>
      </c>
      <c r="B250" s="187" t="s">
        <v>275</v>
      </c>
      <c r="C250" s="204" t="s">
        <v>237</v>
      </c>
      <c r="D250" s="58" t="s">
        <v>174</v>
      </c>
      <c r="E250" s="62">
        <v>639</v>
      </c>
      <c r="F250" s="178" t="s">
        <v>174</v>
      </c>
      <c r="G250" s="39">
        <v>639</v>
      </c>
      <c r="H250" s="134">
        <v>1</v>
      </c>
      <c r="I250" s="8">
        <v>1</v>
      </c>
      <c r="J250" s="205" t="str">
        <f t="shared" si="10"/>
        <v>SME051</v>
      </c>
      <c r="K250" s="115"/>
    </row>
    <row r="251" spans="1:11" ht="15" customHeight="1">
      <c r="A251" s="41">
        <v>52</v>
      </c>
      <c r="B251" s="187" t="s">
        <v>276</v>
      </c>
      <c r="C251" s="204" t="s">
        <v>237</v>
      </c>
      <c r="D251" s="48" t="s">
        <v>174</v>
      </c>
      <c r="E251" s="43">
        <v>639</v>
      </c>
      <c r="F251" s="175" t="s">
        <v>174</v>
      </c>
      <c r="G251" s="39">
        <v>639</v>
      </c>
      <c r="H251" s="134">
        <v>1</v>
      </c>
      <c r="I251" s="8">
        <v>1</v>
      </c>
      <c r="J251" s="205" t="str">
        <f t="shared" si="10"/>
        <v>SME052</v>
      </c>
      <c r="K251" s="115"/>
    </row>
    <row r="252" spans="1:11" ht="15" customHeight="1">
      <c r="A252" s="41">
        <v>53</v>
      </c>
      <c r="B252" s="187" t="s">
        <v>277</v>
      </c>
      <c r="C252" s="204" t="s">
        <v>237</v>
      </c>
      <c r="D252" s="48" t="s">
        <v>174</v>
      </c>
      <c r="E252" s="43">
        <v>639</v>
      </c>
      <c r="F252" s="175" t="s">
        <v>174</v>
      </c>
      <c r="G252" s="39">
        <v>639</v>
      </c>
      <c r="H252" s="8">
        <v>1</v>
      </c>
      <c r="I252" s="8">
        <v>1</v>
      </c>
      <c r="J252" s="205" t="str">
        <f t="shared" si="10"/>
        <v>SME053</v>
      </c>
      <c r="K252" s="115"/>
    </row>
    <row r="253" spans="1:11" ht="15" customHeight="1">
      <c r="A253" s="41">
        <v>54</v>
      </c>
      <c r="B253" s="187" t="s">
        <v>278</v>
      </c>
      <c r="C253" s="204" t="s">
        <v>237</v>
      </c>
      <c r="D253" s="48" t="s">
        <v>174</v>
      </c>
      <c r="E253" s="43">
        <v>639</v>
      </c>
      <c r="F253" s="175" t="s">
        <v>174</v>
      </c>
      <c r="G253" s="39">
        <v>639</v>
      </c>
      <c r="H253" s="8">
        <v>1</v>
      </c>
      <c r="I253" s="8">
        <v>1</v>
      </c>
      <c r="J253" s="205" t="str">
        <f t="shared" si="10"/>
        <v>SME054</v>
      </c>
      <c r="K253" s="115"/>
    </row>
    <row r="254" spans="1:11" ht="15" customHeight="1">
      <c r="A254" s="41">
        <v>55</v>
      </c>
      <c r="B254" s="187" t="s">
        <v>279</v>
      </c>
      <c r="C254" s="204" t="s">
        <v>237</v>
      </c>
      <c r="D254" s="142" t="s">
        <v>174</v>
      </c>
      <c r="E254" s="143">
        <v>639</v>
      </c>
      <c r="F254" s="175" t="s">
        <v>174</v>
      </c>
      <c r="G254" s="39">
        <v>639</v>
      </c>
      <c r="H254" s="8">
        <v>1</v>
      </c>
      <c r="I254" s="8">
        <v>1</v>
      </c>
      <c r="J254" s="205" t="str">
        <f t="shared" si="10"/>
        <v>SME055</v>
      </c>
      <c r="K254" s="115"/>
    </row>
    <row r="255" spans="1:11" ht="15" customHeight="1">
      <c r="A255" s="41">
        <v>56</v>
      </c>
      <c r="B255" s="187" t="s">
        <v>280</v>
      </c>
      <c r="C255" s="204" t="s">
        <v>237</v>
      </c>
      <c r="D255" s="48" t="s">
        <v>174</v>
      </c>
      <c r="E255" s="43">
        <v>639</v>
      </c>
      <c r="F255" s="175" t="s">
        <v>174</v>
      </c>
      <c r="G255" s="39">
        <v>639</v>
      </c>
      <c r="H255" s="8">
        <v>1</v>
      </c>
      <c r="I255" s="8">
        <v>1</v>
      </c>
      <c r="J255" s="205" t="str">
        <f t="shared" si="10"/>
        <v>SME056</v>
      </c>
      <c r="K255" s="115"/>
    </row>
    <row r="256" spans="1:11" ht="15" customHeight="1">
      <c r="A256" s="41">
        <v>57</v>
      </c>
      <c r="B256" s="187" t="s">
        <v>281</v>
      </c>
      <c r="C256" s="204" t="s">
        <v>237</v>
      </c>
      <c r="D256" s="142" t="s">
        <v>174</v>
      </c>
      <c r="E256" s="143">
        <v>475.34</v>
      </c>
      <c r="F256" s="175" t="s">
        <v>174</v>
      </c>
      <c r="G256" s="39">
        <v>475.34</v>
      </c>
      <c r="H256" s="8">
        <v>1</v>
      </c>
      <c r="I256" s="8">
        <v>1</v>
      </c>
      <c r="J256" s="205" t="str">
        <f t="shared" si="10"/>
        <v>SME057</v>
      </c>
      <c r="K256" s="115"/>
    </row>
    <row r="257" spans="1:11" ht="15" customHeight="1">
      <c r="A257" s="41">
        <v>17</v>
      </c>
      <c r="B257" s="187" t="s">
        <v>282</v>
      </c>
      <c r="C257" s="204" t="s">
        <v>237</v>
      </c>
      <c r="D257" s="142" t="s">
        <v>174</v>
      </c>
      <c r="E257" s="143">
        <v>475</v>
      </c>
      <c r="F257" s="48" t="s">
        <v>174</v>
      </c>
      <c r="G257" s="39">
        <v>475</v>
      </c>
      <c r="H257" s="8">
        <v>1</v>
      </c>
      <c r="I257" s="8">
        <v>1</v>
      </c>
      <c r="J257" s="205" t="str">
        <f t="shared" si="10"/>
        <v>SME017</v>
      </c>
      <c r="K257" s="115"/>
    </row>
    <row r="258" spans="1:11" ht="15" customHeight="1">
      <c r="A258" s="41">
        <v>18</v>
      </c>
      <c r="B258" s="187" t="s">
        <v>283</v>
      </c>
      <c r="C258" s="204" t="s">
        <v>237</v>
      </c>
      <c r="D258" s="142" t="s">
        <v>174</v>
      </c>
      <c r="E258" s="143">
        <v>475</v>
      </c>
      <c r="F258" s="48" t="s">
        <v>174</v>
      </c>
      <c r="G258" s="39">
        <v>475</v>
      </c>
      <c r="H258" s="8">
        <v>1</v>
      </c>
      <c r="I258" s="8">
        <v>1</v>
      </c>
      <c r="J258" s="205" t="str">
        <f t="shared" si="10"/>
        <v>SME018</v>
      </c>
      <c r="K258" s="115"/>
    </row>
    <row r="259" spans="1:11" ht="15" customHeight="1">
      <c r="A259" s="41">
        <v>19</v>
      </c>
      <c r="B259" s="187" t="s">
        <v>284</v>
      </c>
      <c r="C259" s="204" t="s">
        <v>237</v>
      </c>
      <c r="D259" s="142" t="s">
        <v>174</v>
      </c>
      <c r="E259" s="143">
        <v>475</v>
      </c>
      <c r="F259" s="48" t="s">
        <v>174</v>
      </c>
      <c r="G259" s="39">
        <v>475</v>
      </c>
      <c r="H259" s="8">
        <v>1</v>
      </c>
      <c r="I259" s="8">
        <v>1</v>
      </c>
      <c r="J259" s="205" t="str">
        <f t="shared" si="10"/>
        <v>SME019</v>
      </c>
      <c r="K259" s="115"/>
    </row>
    <row r="260" spans="1:11" ht="15" customHeight="1">
      <c r="A260" s="41">
        <v>20</v>
      </c>
      <c r="B260" s="187" t="s">
        <v>285</v>
      </c>
      <c r="C260" s="204" t="s">
        <v>237</v>
      </c>
      <c r="D260" s="142" t="s">
        <v>174</v>
      </c>
      <c r="E260" s="143">
        <v>475</v>
      </c>
      <c r="F260" s="48" t="s">
        <v>174</v>
      </c>
      <c r="G260" s="39">
        <v>475</v>
      </c>
      <c r="H260" s="8">
        <v>1</v>
      </c>
      <c r="I260" s="8">
        <v>1</v>
      </c>
      <c r="J260" s="205" t="str">
        <f t="shared" si="10"/>
        <v>SME020</v>
      </c>
      <c r="K260" s="115"/>
    </row>
    <row r="261" spans="1:11" ht="15" customHeight="1">
      <c r="A261" s="41">
        <v>21</v>
      </c>
      <c r="B261" s="187" t="s">
        <v>286</v>
      </c>
      <c r="C261" s="204" t="s">
        <v>237</v>
      </c>
      <c r="D261" s="142" t="s">
        <v>174</v>
      </c>
      <c r="E261" s="143">
        <v>475</v>
      </c>
      <c r="F261" s="48" t="s">
        <v>174</v>
      </c>
      <c r="G261" s="39">
        <v>475</v>
      </c>
      <c r="H261" s="8">
        <v>1</v>
      </c>
      <c r="I261" s="8">
        <v>1</v>
      </c>
      <c r="J261" s="205" t="str">
        <f t="shared" si="10"/>
        <v>SME021</v>
      </c>
      <c r="K261" s="115"/>
    </row>
    <row r="262" spans="1:11" ht="15" customHeight="1">
      <c r="A262" s="41">
        <v>22</v>
      </c>
      <c r="B262" s="187" t="s">
        <v>287</v>
      </c>
      <c r="C262" s="204" t="s">
        <v>237</v>
      </c>
      <c r="D262" s="142" t="s">
        <v>174</v>
      </c>
      <c r="E262" s="143">
        <v>475</v>
      </c>
      <c r="F262" s="48" t="s">
        <v>174</v>
      </c>
      <c r="G262" s="39">
        <v>475</v>
      </c>
      <c r="H262" s="8">
        <v>1</v>
      </c>
      <c r="I262" s="8">
        <v>1</v>
      </c>
      <c r="J262" s="205" t="str">
        <f t="shared" si="10"/>
        <v>SME022</v>
      </c>
      <c r="K262" s="115"/>
    </row>
    <row r="263" spans="1:11" ht="15" customHeight="1">
      <c r="A263" s="41">
        <v>23</v>
      </c>
      <c r="B263" s="187" t="s">
        <v>288</v>
      </c>
      <c r="C263" s="204" t="s">
        <v>237</v>
      </c>
      <c r="D263" s="48" t="s">
        <v>174</v>
      </c>
      <c r="E263" s="43">
        <v>475</v>
      </c>
      <c r="F263" s="48" t="s">
        <v>174</v>
      </c>
      <c r="G263" s="39">
        <v>475</v>
      </c>
      <c r="H263" s="8">
        <v>1</v>
      </c>
      <c r="I263" s="8">
        <v>1</v>
      </c>
      <c r="J263" s="205" t="str">
        <f t="shared" si="10"/>
        <v>SME023</v>
      </c>
      <c r="K263" s="115"/>
    </row>
    <row r="264" spans="1:11" ht="15" customHeight="1">
      <c r="A264" s="41">
        <v>24</v>
      </c>
      <c r="B264" s="187" t="s">
        <v>289</v>
      </c>
      <c r="C264" s="204" t="s">
        <v>237</v>
      </c>
      <c r="D264" s="142" t="s">
        <v>174</v>
      </c>
      <c r="E264" s="143">
        <v>475</v>
      </c>
      <c r="F264" s="48" t="s">
        <v>174</v>
      </c>
      <c r="G264" s="39">
        <v>475</v>
      </c>
      <c r="H264" s="160">
        <v>1</v>
      </c>
      <c r="I264" s="8">
        <v>1</v>
      </c>
      <c r="J264" s="205" t="str">
        <f t="shared" si="10"/>
        <v>SME024</v>
      </c>
      <c r="K264" s="115"/>
    </row>
    <row r="265" spans="1:11" ht="15" customHeight="1">
      <c r="A265" s="41">
        <v>25</v>
      </c>
      <c r="B265" s="187" t="s">
        <v>290</v>
      </c>
      <c r="C265" s="204" t="s">
        <v>237</v>
      </c>
      <c r="D265" s="142" t="s">
        <v>174</v>
      </c>
      <c r="E265" s="143">
        <v>475</v>
      </c>
      <c r="F265" s="48" t="s">
        <v>174</v>
      </c>
      <c r="G265" s="39">
        <v>475</v>
      </c>
      <c r="H265" s="160">
        <v>1</v>
      </c>
      <c r="I265" s="8">
        <v>1</v>
      </c>
      <c r="J265" s="205" t="str">
        <f t="shared" si="10"/>
        <v>SME025</v>
      </c>
      <c r="K265" s="115"/>
    </row>
    <row r="266" spans="1:11" ht="15" customHeight="1">
      <c r="A266" s="41">
        <v>26</v>
      </c>
      <c r="B266" s="187" t="s">
        <v>291</v>
      </c>
      <c r="C266" s="204" t="s">
        <v>237</v>
      </c>
      <c r="D266" s="142" t="s">
        <v>174</v>
      </c>
      <c r="E266" s="143">
        <v>475</v>
      </c>
      <c r="F266" s="48" t="s">
        <v>174</v>
      </c>
      <c r="G266" s="39">
        <v>475</v>
      </c>
      <c r="H266" s="160">
        <v>1</v>
      </c>
      <c r="I266" s="8">
        <v>1</v>
      </c>
      <c r="J266" s="205" t="str">
        <f t="shared" si="10"/>
        <v>SME026</v>
      </c>
      <c r="K266" s="115"/>
    </row>
    <row r="267" spans="1:11" ht="15" customHeight="1">
      <c r="A267" s="41">
        <v>27</v>
      </c>
      <c r="B267" s="187" t="s">
        <v>292</v>
      </c>
      <c r="C267" s="204" t="s">
        <v>237</v>
      </c>
      <c r="D267" s="142" t="s">
        <v>174</v>
      </c>
      <c r="E267" s="143">
        <v>475</v>
      </c>
      <c r="F267" s="48" t="s">
        <v>174</v>
      </c>
      <c r="G267" s="39">
        <v>475</v>
      </c>
      <c r="H267" s="160">
        <v>1</v>
      </c>
      <c r="I267" s="8">
        <v>1</v>
      </c>
      <c r="J267" s="205" t="str">
        <f t="shared" si="10"/>
        <v>SME027</v>
      </c>
      <c r="K267" s="115"/>
    </row>
    <row r="268" spans="1:11" ht="15" customHeight="1">
      <c r="A268" s="41">
        <v>28</v>
      </c>
      <c r="B268" s="187" t="s">
        <v>293</v>
      </c>
      <c r="C268" s="204" t="s">
        <v>237</v>
      </c>
      <c r="D268" s="142" t="s">
        <v>174</v>
      </c>
      <c r="E268" s="143">
        <v>475</v>
      </c>
      <c r="F268" s="48" t="s">
        <v>174</v>
      </c>
      <c r="G268" s="39">
        <v>475</v>
      </c>
      <c r="H268" s="160">
        <v>1</v>
      </c>
      <c r="I268" s="8">
        <v>1</v>
      </c>
      <c r="J268" s="205" t="str">
        <f t="shared" si="10"/>
        <v>SME028</v>
      </c>
      <c r="K268" s="115"/>
    </row>
    <row r="269" spans="1:11" ht="15" customHeight="1">
      <c r="A269" s="41">
        <v>29</v>
      </c>
      <c r="B269" s="187" t="s">
        <v>294</v>
      </c>
      <c r="C269" s="204" t="s">
        <v>237</v>
      </c>
      <c r="D269" s="48" t="s">
        <v>174</v>
      </c>
      <c r="E269" s="43">
        <v>475</v>
      </c>
      <c r="F269" s="48" t="s">
        <v>174</v>
      </c>
      <c r="G269" s="39">
        <v>475</v>
      </c>
      <c r="H269" s="160">
        <v>1</v>
      </c>
      <c r="I269" s="8">
        <v>1</v>
      </c>
      <c r="J269" s="205" t="str">
        <f t="shared" si="10"/>
        <v>SME029</v>
      </c>
      <c r="K269" s="115"/>
    </row>
    <row r="270" spans="1:11" ht="15" customHeight="1">
      <c r="A270" s="41">
        <v>31</v>
      </c>
      <c r="B270" s="187" t="s">
        <v>295</v>
      </c>
      <c r="C270" s="204" t="s">
        <v>237</v>
      </c>
      <c r="D270" s="48" t="s">
        <v>174</v>
      </c>
      <c r="E270" s="155">
        <v>475</v>
      </c>
      <c r="F270" s="179" t="s">
        <v>174</v>
      </c>
      <c r="G270" s="39">
        <v>475</v>
      </c>
      <c r="H270" s="161">
        <v>1</v>
      </c>
      <c r="I270" s="8">
        <v>1</v>
      </c>
      <c r="J270" s="205" t="str">
        <f t="shared" si="10"/>
        <v>SME031</v>
      </c>
      <c r="K270" s="115"/>
    </row>
    <row r="271" spans="1:11" ht="15" customHeight="1">
      <c r="A271" s="41">
        <v>32</v>
      </c>
      <c r="B271" s="187" t="s">
        <v>296</v>
      </c>
      <c r="C271" s="204" t="s">
        <v>237</v>
      </c>
      <c r="D271" s="48" t="s">
        <v>174</v>
      </c>
      <c r="E271" s="155">
        <v>475</v>
      </c>
      <c r="F271" s="179" t="s">
        <v>174</v>
      </c>
      <c r="G271" s="39">
        <v>475</v>
      </c>
      <c r="H271" s="161">
        <v>1</v>
      </c>
      <c r="I271" s="8">
        <v>1</v>
      </c>
      <c r="J271" s="205" t="str">
        <f t="shared" si="10"/>
        <v>SME032</v>
      </c>
      <c r="K271" s="115"/>
    </row>
    <row r="272" spans="1:11" ht="15" customHeight="1">
      <c r="A272" s="41">
        <v>33</v>
      </c>
      <c r="B272" s="187" t="s">
        <v>297</v>
      </c>
      <c r="C272" s="204" t="s">
        <v>237</v>
      </c>
      <c r="D272" s="48" t="s">
        <v>174</v>
      </c>
      <c r="E272" s="155">
        <v>475</v>
      </c>
      <c r="F272" s="179" t="s">
        <v>174</v>
      </c>
      <c r="G272" s="39">
        <v>475</v>
      </c>
      <c r="H272" s="161">
        <v>1</v>
      </c>
      <c r="I272" s="8">
        <v>1</v>
      </c>
      <c r="J272" s="205" t="str">
        <f t="shared" si="10"/>
        <v>SME033</v>
      </c>
      <c r="K272" s="115"/>
    </row>
    <row r="273" spans="1:11" ht="15" customHeight="1">
      <c r="A273" s="41">
        <v>34</v>
      </c>
      <c r="B273" s="137" t="s">
        <v>298</v>
      </c>
      <c r="C273" s="204" t="s">
        <v>237</v>
      </c>
      <c r="D273" s="48" t="s">
        <v>174</v>
      </c>
      <c r="E273" s="43">
        <v>475</v>
      </c>
      <c r="F273" s="180" t="s">
        <v>174</v>
      </c>
      <c r="G273" s="39">
        <v>475</v>
      </c>
      <c r="H273" s="160">
        <v>1</v>
      </c>
      <c r="I273" s="8">
        <v>1</v>
      </c>
      <c r="J273" s="205" t="str">
        <f t="shared" si="10"/>
        <v>SME034</v>
      </c>
      <c r="K273" s="115"/>
    </row>
    <row r="274" spans="1:11" ht="15" customHeight="1">
      <c r="A274" s="41">
        <v>35</v>
      </c>
      <c r="B274" s="145" t="s">
        <v>299</v>
      </c>
      <c r="C274" s="204" t="s">
        <v>237</v>
      </c>
      <c r="D274" s="49" t="s">
        <v>174</v>
      </c>
      <c r="E274" s="155">
        <v>475</v>
      </c>
      <c r="F274" s="280" t="s">
        <v>174</v>
      </c>
      <c r="G274" s="39">
        <v>475</v>
      </c>
      <c r="H274" s="161">
        <v>1</v>
      </c>
      <c r="I274" s="161">
        <v>1</v>
      </c>
      <c r="J274" s="205" t="str">
        <f t="shared" si="10"/>
        <v>SME035</v>
      </c>
      <c r="K274" s="115"/>
    </row>
    <row r="275" spans="1:11" ht="15" customHeight="1">
      <c r="A275" s="41">
        <v>36</v>
      </c>
      <c r="B275" s="145" t="s">
        <v>300</v>
      </c>
      <c r="C275" s="204" t="s">
        <v>237</v>
      </c>
      <c r="D275" s="49" t="s">
        <v>174</v>
      </c>
      <c r="E275" s="155">
        <v>475</v>
      </c>
      <c r="F275" s="280" t="s">
        <v>174</v>
      </c>
      <c r="G275" s="39">
        <v>475</v>
      </c>
      <c r="H275" s="161">
        <v>1</v>
      </c>
      <c r="I275" s="161">
        <v>1</v>
      </c>
      <c r="J275" s="205" t="str">
        <f t="shared" si="10"/>
        <v>SME036</v>
      </c>
      <c r="K275" s="115"/>
    </row>
    <row r="276" spans="1:11" ht="15" customHeight="1">
      <c r="A276" s="41">
        <v>37</v>
      </c>
      <c r="B276" s="145" t="s">
        <v>301</v>
      </c>
      <c r="C276" s="204" t="s">
        <v>237</v>
      </c>
      <c r="D276" s="49" t="s">
        <v>174</v>
      </c>
      <c r="E276" s="155">
        <v>475</v>
      </c>
      <c r="F276" s="280" t="s">
        <v>174</v>
      </c>
      <c r="G276" s="39">
        <v>475</v>
      </c>
      <c r="H276" s="161">
        <v>1</v>
      </c>
      <c r="I276" s="161">
        <v>1</v>
      </c>
      <c r="J276" s="205" t="str">
        <f t="shared" si="10"/>
        <v>SME037</v>
      </c>
      <c r="K276" s="115"/>
    </row>
    <row r="277" spans="1:11" ht="15" customHeight="1">
      <c r="A277" s="41">
        <v>38</v>
      </c>
      <c r="B277" s="145" t="s">
        <v>302</v>
      </c>
      <c r="C277" s="204" t="s">
        <v>237</v>
      </c>
      <c r="D277" s="49" t="s">
        <v>174</v>
      </c>
      <c r="E277" s="155">
        <v>475</v>
      </c>
      <c r="F277" s="280" t="s">
        <v>174</v>
      </c>
      <c r="G277" s="39">
        <v>475</v>
      </c>
      <c r="H277" s="161">
        <v>1</v>
      </c>
      <c r="I277" s="161">
        <v>1</v>
      </c>
      <c r="J277" s="205" t="str">
        <f t="shared" si="10"/>
        <v>SME038</v>
      </c>
      <c r="K277" s="115"/>
    </row>
    <row r="278" spans="1:11" ht="15" customHeight="1">
      <c r="A278" s="41">
        <v>39</v>
      </c>
      <c r="B278" s="145" t="s">
        <v>303</v>
      </c>
      <c r="C278" s="204" t="s">
        <v>237</v>
      </c>
      <c r="D278" s="49" t="s">
        <v>174</v>
      </c>
      <c r="E278" s="155">
        <v>475</v>
      </c>
      <c r="F278" s="280" t="s">
        <v>174</v>
      </c>
      <c r="G278" s="39">
        <v>475</v>
      </c>
      <c r="H278" s="161">
        <v>1</v>
      </c>
      <c r="I278" s="161">
        <v>1</v>
      </c>
      <c r="J278" s="205" t="str">
        <f t="shared" si="10"/>
        <v>SME039</v>
      </c>
      <c r="K278" s="115"/>
    </row>
    <row r="279" spans="1:11" ht="15" customHeight="1">
      <c r="A279" s="41">
        <v>40</v>
      </c>
      <c r="B279" s="145" t="s">
        <v>304</v>
      </c>
      <c r="C279" s="204" t="s">
        <v>237</v>
      </c>
      <c r="D279" s="49" t="s">
        <v>174</v>
      </c>
      <c r="E279" s="155">
        <v>475</v>
      </c>
      <c r="F279" s="280" t="s">
        <v>174</v>
      </c>
      <c r="G279" s="39">
        <v>475</v>
      </c>
      <c r="H279" s="161">
        <v>1</v>
      </c>
      <c r="I279" s="161">
        <v>1</v>
      </c>
      <c r="J279" s="205" t="str">
        <f t="shared" si="10"/>
        <v>SME040</v>
      </c>
      <c r="K279" s="115"/>
    </row>
    <row r="280" spans="1:11" ht="15" customHeight="1">
      <c r="A280" s="41">
        <v>41</v>
      </c>
      <c r="B280" s="145" t="s">
        <v>305</v>
      </c>
      <c r="C280" s="204" t="s">
        <v>237</v>
      </c>
      <c r="D280" s="48" t="s">
        <v>174</v>
      </c>
      <c r="E280" s="155">
        <v>475</v>
      </c>
      <c r="F280" s="179" t="s">
        <v>174</v>
      </c>
      <c r="G280" s="39">
        <v>475</v>
      </c>
      <c r="H280" s="161">
        <v>1</v>
      </c>
      <c r="I280" s="161">
        <v>1</v>
      </c>
      <c r="J280" s="205" t="str">
        <f t="shared" si="10"/>
        <v>SME041</v>
      </c>
      <c r="K280" s="115"/>
    </row>
    <row r="281" spans="1:11" ht="15" customHeight="1">
      <c r="A281" s="41">
        <v>58</v>
      </c>
      <c r="B281" s="145" t="s">
        <v>306</v>
      </c>
      <c r="C281" s="204" t="s">
        <v>237</v>
      </c>
      <c r="D281" s="48" t="s">
        <v>174</v>
      </c>
      <c r="E281" s="155">
        <v>475.34</v>
      </c>
      <c r="F281" s="179" t="s">
        <v>174</v>
      </c>
      <c r="G281" s="39">
        <v>475.34</v>
      </c>
      <c r="H281" s="161">
        <v>1</v>
      </c>
      <c r="I281" s="161">
        <v>1</v>
      </c>
      <c r="J281" s="205" t="str">
        <f t="shared" ref="J281:J344" si="11">CONCATENATE(LEFT(C281,1),MID(C281,SEARCH("_",C281)+1,2),TEXT(A281,"000"))</f>
        <v>SME058</v>
      </c>
      <c r="K281" s="115"/>
    </row>
    <row r="282" spans="1:11" ht="15" customHeight="1">
      <c r="A282" s="41">
        <v>59</v>
      </c>
      <c r="B282" t="s">
        <v>307</v>
      </c>
      <c r="C282" s="204" t="s">
        <v>237</v>
      </c>
      <c r="D282" s="48" t="s">
        <v>174</v>
      </c>
      <c r="E282" s="155">
        <v>475.34</v>
      </c>
      <c r="F282" s="179" t="s">
        <v>174</v>
      </c>
      <c r="G282" s="39">
        <v>475.34</v>
      </c>
      <c r="H282" s="161">
        <v>1</v>
      </c>
      <c r="I282" s="161">
        <v>1</v>
      </c>
      <c r="J282" s="205" t="str">
        <f t="shared" si="11"/>
        <v>SME059</v>
      </c>
      <c r="K282" s="115"/>
    </row>
    <row r="283" spans="1:11" ht="15" customHeight="1">
      <c r="A283" s="41">
        <v>60</v>
      </c>
      <c r="B283" t="s">
        <v>308</v>
      </c>
      <c r="C283" s="204" t="s">
        <v>237</v>
      </c>
      <c r="D283" s="48" t="s">
        <v>174</v>
      </c>
      <c r="E283" s="155">
        <v>475.34</v>
      </c>
      <c r="F283" s="179" t="s">
        <v>174</v>
      </c>
      <c r="G283" s="39">
        <v>475.34</v>
      </c>
      <c r="H283" s="161">
        <v>1</v>
      </c>
      <c r="I283" s="161">
        <v>1</v>
      </c>
      <c r="J283" s="205" t="str">
        <f t="shared" si="11"/>
        <v>SME060</v>
      </c>
      <c r="K283" s="115"/>
    </row>
    <row r="284" spans="1:11" ht="15" customHeight="1">
      <c r="A284" s="41">
        <v>61</v>
      </c>
      <c r="B284" t="s">
        <v>309</v>
      </c>
      <c r="C284" s="204" t="s">
        <v>237</v>
      </c>
      <c r="D284" s="48" t="s">
        <v>174</v>
      </c>
      <c r="E284" s="155">
        <v>475.34</v>
      </c>
      <c r="F284" s="179" t="s">
        <v>174</v>
      </c>
      <c r="G284" s="39">
        <v>475.34</v>
      </c>
      <c r="H284" s="161">
        <v>1</v>
      </c>
      <c r="I284" s="161">
        <v>1</v>
      </c>
      <c r="J284" s="205" t="str">
        <f t="shared" si="11"/>
        <v>SME061</v>
      </c>
      <c r="K284" s="115"/>
    </row>
    <row r="285" spans="1:11" ht="15" customHeight="1">
      <c r="A285" s="41">
        <v>62</v>
      </c>
      <c r="B285" t="s">
        <v>310</v>
      </c>
      <c r="C285" s="204" t="s">
        <v>237</v>
      </c>
      <c r="D285" s="48" t="s">
        <v>174</v>
      </c>
      <c r="E285" s="155">
        <v>475.34</v>
      </c>
      <c r="F285" s="179" t="s">
        <v>174</v>
      </c>
      <c r="G285" s="39">
        <v>475.34</v>
      </c>
      <c r="H285" s="161">
        <v>1</v>
      </c>
      <c r="I285" s="161">
        <v>1</v>
      </c>
      <c r="J285" s="205" t="str">
        <f t="shared" si="11"/>
        <v>SME062</v>
      </c>
      <c r="K285" s="115"/>
    </row>
    <row r="286" spans="1:11" ht="15" customHeight="1">
      <c r="A286" s="41">
        <v>63</v>
      </c>
      <c r="B286" t="s">
        <v>311</v>
      </c>
      <c r="C286" s="204" t="s">
        <v>237</v>
      </c>
      <c r="D286" s="48" t="s">
        <v>174</v>
      </c>
      <c r="E286" s="155">
        <v>475.34</v>
      </c>
      <c r="F286" s="179" t="s">
        <v>174</v>
      </c>
      <c r="G286" s="39">
        <v>475.34</v>
      </c>
      <c r="H286" s="161">
        <v>1</v>
      </c>
      <c r="I286" s="161">
        <v>1</v>
      </c>
      <c r="J286" s="205" t="str">
        <f t="shared" si="11"/>
        <v>SME063</v>
      </c>
      <c r="K286" s="115"/>
    </row>
    <row r="287" spans="1:11" ht="15" customHeight="1">
      <c r="A287" s="41">
        <v>64</v>
      </c>
      <c r="B287" t="s">
        <v>312</v>
      </c>
      <c r="C287" s="204" t="s">
        <v>237</v>
      </c>
      <c r="D287" s="48" t="s">
        <v>174</v>
      </c>
      <c r="E287" s="155">
        <v>475.34</v>
      </c>
      <c r="F287" s="179" t="s">
        <v>174</v>
      </c>
      <c r="G287" s="39">
        <v>475.34</v>
      </c>
      <c r="H287" s="161">
        <v>1</v>
      </c>
      <c r="I287" s="161">
        <v>1</v>
      </c>
      <c r="J287" s="205" t="str">
        <f t="shared" si="11"/>
        <v>SME064</v>
      </c>
      <c r="K287" s="115"/>
    </row>
    <row r="288" spans="1:11" ht="15" customHeight="1">
      <c r="A288" s="41">
        <v>65</v>
      </c>
      <c r="B288" t="s">
        <v>313</v>
      </c>
      <c r="C288" s="204" t="s">
        <v>237</v>
      </c>
      <c r="D288" s="48" t="s">
        <v>174</v>
      </c>
      <c r="E288" s="155">
        <v>475.34</v>
      </c>
      <c r="F288" s="179" t="s">
        <v>174</v>
      </c>
      <c r="G288" s="39">
        <v>475.34</v>
      </c>
      <c r="H288" s="161">
        <v>1</v>
      </c>
      <c r="I288" s="161">
        <v>1</v>
      </c>
      <c r="J288" s="205" t="str">
        <f t="shared" si="11"/>
        <v>SME065</v>
      </c>
      <c r="K288" s="115"/>
    </row>
    <row r="289" spans="1:11" ht="15" customHeight="1">
      <c r="A289" s="41">
        <v>128</v>
      </c>
      <c r="B289" s="278" t="s">
        <v>314</v>
      </c>
      <c r="C289" s="204" t="s">
        <v>237</v>
      </c>
      <c r="D289" s="48" t="s">
        <v>239</v>
      </c>
      <c r="E289" s="155"/>
      <c r="F289" s="179" t="s">
        <v>240</v>
      </c>
      <c r="G289" s="39"/>
      <c r="H289" s="161">
        <v>1</v>
      </c>
      <c r="I289" s="161">
        <v>100</v>
      </c>
      <c r="J289" s="205" t="str">
        <f t="shared" si="11"/>
        <v>SME128</v>
      </c>
      <c r="K289" s="115"/>
    </row>
    <row r="290" spans="1:11" ht="15" customHeight="1">
      <c r="A290" s="41">
        <v>128</v>
      </c>
      <c r="B290" s="279" t="s">
        <v>315</v>
      </c>
      <c r="C290" s="204" t="s">
        <v>237</v>
      </c>
      <c r="D290" s="48" t="s">
        <v>239</v>
      </c>
      <c r="E290" s="155"/>
      <c r="F290" s="179" t="s">
        <v>240</v>
      </c>
      <c r="G290" s="39"/>
      <c r="H290" s="161">
        <v>1</v>
      </c>
      <c r="I290" s="161">
        <v>100</v>
      </c>
      <c r="J290" s="205" t="str">
        <f t="shared" si="11"/>
        <v>SME128</v>
      </c>
      <c r="K290" s="115"/>
    </row>
    <row r="291" spans="1:11" ht="15" customHeight="1">
      <c r="A291" s="41">
        <v>128</v>
      </c>
      <c r="B291" s="279" t="s">
        <v>316</v>
      </c>
      <c r="C291" s="204" t="s">
        <v>237</v>
      </c>
      <c r="D291" s="48" t="s">
        <v>239</v>
      </c>
      <c r="E291" s="43"/>
      <c r="F291" s="180" t="s">
        <v>240</v>
      </c>
      <c r="G291" s="39"/>
      <c r="H291" s="160">
        <v>1</v>
      </c>
      <c r="I291" s="8">
        <v>100</v>
      </c>
      <c r="J291" s="205" t="str">
        <f t="shared" si="11"/>
        <v>SME128</v>
      </c>
      <c r="K291" s="115"/>
    </row>
    <row r="292" spans="1:11" ht="15" customHeight="1">
      <c r="A292" s="41">
        <v>128</v>
      </c>
      <c r="B292" s="279" t="s">
        <v>317</v>
      </c>
      <c r="C292" s="204" t="s">
        <v>237</v>
      </c>
      <c r="D292" s="48" t="s">
        <v>239</v>
      </c>
      <c r="E292" s="43"/>
      <c r="F292" s="180" t="s">
        <v>240</v>
      </c>
      <c r="G292" s="39"/>
      <c r="H292" s="160">
        <v>1</v>
      </c>
      <c r="I292" s="134">
        <v>100</v>
      </c>
      <c r="J292" s="205" t="str">
        <f t="shared" si="11"/>
        <v>SME128</v>
      </c>
      <c r="K292" s="115"/>
    </row>
    <row r="293" spans="1:11" ht="15" customHeight="1">
      <c r="A293" s="41">
        <v>128</v>
      </c>
      <c r="B293" s="279" t="s">
        <v>318</v>
      </c>
      <c r="C293" s="204" t="s">
        <v>237</v>
      </c>
      <c r="D293" s="48" t="s">
        <v>239</v>
      </c>
      <c r="E293" s="43"/>
      <c r="F293" s="180" t="s">
        <v>240</v>
      </c>
      <c r="G293" s="39"/>
      <c r="H293" s="160">
        <v>1</v>
      </c>
      <c r="I293" s="134">
        <v>100</v>
      </c>
      <c r="J293" s="205" t="str">
        <f t="shared" si="11"/>
        <v>SME128</v>
      </c>
      <c r="K293" s="115"/>
    </row>
    <row r="294" spans="1:11" ht="15" customHeight="1">
      <c r="A294" s="41">
        <v>66</v>
      </c>
      <c r="B294" t="s">
        <v>319</v>
      </c>
      <c r="C294" s="204" t="s">
        <v>237</v>
      </c>
      <c r="D294" s="48" t="s">
        <v>174</v>
      </c>
      <c r="E294" s="43">
        <v>475.34</v>
      </c>
      <c r="F294" s="180" t="s">
        <v>174</v>
      </c>
      <c r="G294" s="39">
        <v>475.34</v>
      </c>
      <c r="H294" s="160">
        <v>1</v>
      </c>
      <c r="I294" s="134">
        <v>1</v>
      </c>
      <c r="J294" s="205" t="str">
        <f t="shared" si="11"/>
        <v>SME066</v>
      </c>
      <c r="K294" s="115"/>
    </row>
    <row r="295" spans="1:11" ht="15" customHeight="1">
      <c r="A295" s="41">
        <v>67</v>
      </c>
      <c r="B295" s="188" t="s">
        <v>320</v>
      </c>
      <c r="C295" s="204" t="s">
        <v>237</v>
      </c>
      <c r="D295" s="48" t="s">
        <v>239</v>
      </c>
      <c r="E295" s="43">
        <v>9800</v>
      </c>
      <c r="F295" s="180" t="s">
        <v>240</v>
      </c>
      <c r="G295" s="39">
        <v>98</v>
      </c>
      <c r="H295" s="160">
        <v>100</v>
      </c>
      <c r="I295" s="134">
        <v>1</v>
      </c>
      <c r="J295" s="205" t="str">
        <f t="shared" si="11"/>
        <v>SME067</v>
      </c>
      <c r="K295" s="115"/>
    </row>
    <row r="296" spans="1:11" ht="15" customHeight="1">
      <c r="A296" s="41">
        <v>68</v>
      </c>
      <c r="B296" t="s">
        <v>321</v>
      </c>
      <c r="C296" s="204" t="s">
        <v>237</v>
      </c>
      <c r="D296" s="48" t="s">
        <v>239</v>
      </c>
      <c r="E296" s="43">
        <v>943.5</v>
      </c>
      <c r="F296" s="180" t="s">
        <v>240</v>
      </c>
      <c r="G296" s="39">
        <v>9.4350000000000005</v>
      </c>
      <c r="H296" s="160">
        <v>100</v>
      </c>
      <c r="I296" s="134">
        <v>1</v>
      </c>
      <c r="J296" s="205" t="str">
        <f t="shared" si="11"/>
        <v>SME068</v>
      </c>
      <c r="K296" s="115"/>
    </row>
    <row r="297" spans="1:11" ht="15" customHeight="1">
      <c r="A297" s="41">
        <v>69</v>
      </c>
      <c r="B297" t="s">
        <v>322</v>
      </c>
      <c r="C297" s="204" t="s">
        <v>237</v>
      </c>
      <c r="D297" s="48" t="s">
        <v>239</v>
      </c>
      <c r="E297" s="43">
        <v>943.5</v>
      </c>
      <c r="F297" s="180" t="s">
        <v>240</v>
      </c>
      <c r="G297" s="39">
        <v>9.4350000000000005</v>
      </c>
      <c r="H297" s="160">
        <v>100</v>
      </c>
      <c r="I297" s="134">
        <v>1</v>
      </c>
      <c r="J297" s="205" t="str">
        <f t="shared" si="11"/>
        <v>SME069</v>
      </c>
      <c r="K297" s="115"/>
    </row>
    <row r="298" spans="1:11" ht="15" customHeight="1">
      <c r="A298" s="41">
        <v>70</v>
      </c>
      <c r="B298" s="92" t="s">
        <v>323</v>
      </c>
      <c r="C298" s="37" t="s">
        <v>237</v>
      </c>
      <c r="D298" s="48" t="s">
        <v>239</v>
      </c>
      <c r="E298" s="43">
        <v>1223</v>
      </c>
      <c r="F298" s="180" t="s">
        <v>240</v>
      </c>
      <c r="G298" s="39">
        <v>12.23</v>
      </c>
      <c r="H298" s="160">
        <v>100</v>
      </c>
      <c r="I298" s="8">
        <v>1</v>
      </c>
      <c r="J298" s="205" t="str">
        <f t="shared" si="11"/>
        <v>SME070</v>
      </c>
      <c r="K298" s="115"/>
    </row>
    <row r="299" spans="1:11" ht="15" customHeight="1">
      <c r="A299" s="232">
        <v>71</v>
      </c>
      <c r="B299" s="92" t="s">
        <v>324</v>
      </c>
      <c r="C299" s="235" t="s">
        <v>237</v>
      </c>
      <c r="D299" s="236" t="s">
        <v>242</v>
      </c>
      <c r="E299" s="133">
        <v>16471.25</v>
      </c>
      <c r="F299" s="180" t="s">
        <v>242</v>
      </c>
      <c r="G299" s="238">
        <v>16471.25</v>
      </c>
      <c r="H299" s="160">
        <v>1</v>
      </c>
      <c r="I299" s="134">
        <v>1</v>
      </c>
      <c r="J299" s="205" t="str">
        <f t="shared" si="11"/>
        <v>SME071</v>
      </c>
      <c r="K299" s="115"/>
    </row>
    <row r="300" spans="1:11" ht="15" customHeight="1">
      <c r="A300" s="232">
        <v>72</v>
      </c>
      <c r="B300" s="92" t="s">
        <v>325</v>
      </c>
      <c r="C300" s="235" t="s">
        <v>237</v>
      </c>
      <c r="D300" s="236" t="s">
        <v>242</v>
      </c>
      <c r="E300" s="133">
        <v>32931.5</v>
      </c>
      <c r="F300" s="180" t="s">
        <v>242</v>
      </c>
      <c r="G300" s="238">
        <v>32931.5</v>
      </c>
      <c r="H300" s="160">
        <v>1</v>
      </c>
      <c r="I300" s="134">
        <v>1</v>
      </c>
      <c r="J300" s="205" t="str">
        <f t="shared" si="11"/>
        <v>SME072</v>
      </c>
      <c r="K300" s="115"/>
    </row>
    <row r="301" spans="1:11" ht="15" customHeight="1">
      <c r="A301" s="232">
        <v>73</v>
      </c>
      <c r="B301" s="92" t="s">
        <v>326</v>
      </c>
      <c r="C301" s="235" t="s">
        <v>237</v>
      </c>
      <c r="D301" s="236" t="s">
        <v>242</v>
      </c>
      <c r="E301" s="133">
        <v>16209.5</v>
      </c>
      <c r="F301" s="180" t="s">
        <v>242</v>
      </c>
      <c r="G301" s="238">
        <v>16209.5</v>
      </c>
      <c r="H301" s="160">
        <v>1</v>
      </c>
      <c r="I301" s="134">
        <v>1</v>
      </c>
      <c r="J301" s="205" t="str">
        <f t="shared" si="11"/>
        <v>SME073</v>
      </c>
      <c r="K301" s="115"/>
    </row>
    <row r="302" spans="1:11" ht="15" customHeight="1">
      <c r="A302" s="232">
        <v>74</v>
      </c>
      <c r="B302" s="92" t="s">
        <v>327</v>
      </c>
      <c r="C302" s="235" t="s">
        <v>237</v>
      </c>
      <c r="D302" s="236" t="s">
        <v>242</v>
      </c>
      <c r="E302" s="133">
        <v>32417</v>
      </c>
      <c r="F302" s="180" t="s">
        <v>242</v>
      </c>
      <c r="G302" s="238">
        <v>32417</v>
      </c>
      <c r="H302" s="160">
        <v>1</v>
      </c>
      <c r="I302" s="134">
        <v>1</v>
      </c>
      <c r="J302" s="205" t="str">
        <f t="shared" si="11"/>
        <v>SME074</v>
      </c>
      <c r="K302" s="115"/>
    </row>
    <row r="303" spans="1:11" ht="15" customHeight="1">
      <c r="A303" s="232">
        <v>75</v>
      </c>
      <c r="B303" s="92" t="s">
        <v>328</v>
      </c>
      <c r="C303" s="235" t="s">
        <v>237</v>
      </c>
      <c r="D303" s="236" t="s">
        <v>242</v>
      </c>
      <c r="E303" s="133">
        <v>50250</v>
      </c>
      <c r="F303" s="180" t="s">
        <v>242</v>
      </c>
      <c r="G303" s="238">
        <v>50250</v>
      </c>
      <c r="H303" s="160">
        <v>1</v>
      </c>
      <c r="I303" s="134">
        <v>1</v>
      </c>
      <c r="J303" s="205" t="str">
        <f t="shared" si="11"/>
        <v>SME075</v>
      </c>
      <c r="K303" s="115"/>
    </row>
    <row r="304" spans="1:11" ht="15" customHeight="1">
      <c r="A304" s="232">
        <v>76</v>
      </c>
      <c r="B304" s="38" t="s">
        <v>329</v>
      </c>
      <c r="C304" s="235" t="s">
        <v>237</v>
      </c>
      <c r="D304" s="236" t="s">
        <v>242</v>
      </c>
      <c r="E304" s="133">
        <v>25131.5</v>
      </c>
      <c r="F304" s="180" t="s">
        <v>242</v>
      </c>
      <c r="G304" s="238">
        <v>25131.5</v>
      </c>
      <c r="H304" s="160">
        <v>1</v>
      </c>
      <c r="I304" s="134">
        <v>1</v>
      </c>
      <c r="J304" s="205" t="str">
        <f t="shared" si="11"/>
        <v>SME076</v>
      </c>
      <c r="K304" s="115"/>
    </row>
    <row r="305" spans="1:11" ht="15" customHeight="1">
      <c r="A305" s="232">
        <v>77</v>
      </c>
      <c r="B305" s="92" t="s">
        <v>330</v>
      </c>
      <c r="C305" s="235" t="s">
        <v>237</v>
      </c>
      <c r="D305" s="236" t="s">
        <v>253</v>
      </c>
      <c r="E305" s="133">
        <v>3700</v>
      </c>
      <c r="F305" s="180" t="s">
        <v>256</v>
      </c>
      <c r="G305" s="238">
        <v>26.428571428571427</v>
      </c>
      <c r="H305" s="160">
        <v>140</v>
      </c>
      <c r="I305" s="134">
        <v>1</v>
      </c>
      <c r="J305" s="205" t="str">
        <f t="shared" si="11"/>
        <v>SME077</v>
      </c>
      <c r="K305" s="115"/>
    </row>
    <row r="306" spans="1:11" ht="15" customHeight="1">
      <c r="A306" s="232">
        <v>78</v>
      </c>
      <c r="B306" s="92" t="s">
        <v>331</v>
      </c>
      <c r="C306" s="235" t="s">
        <v>237</v>
      </c>
      <c r="D306" s="236" t="s">
        <v>239</v>
      </c>
      <c r="E306" s="133">
        <v>92</v>
      </c>
      <c r="F306" s="180" t="s">
        <v>239</v>
      </c>
      <c r="G306" s="238">
        <v>92</v>
      </c>
      <c r="H306" s="160">
        <v>1</v>
      </c>
      <c r="I306" s="134">
        <v>1</v>
      </c>
      <c r="J306" s="205" t="str">
        <f t="shared" si="11"/>
        <v>SME078</v>
      </c>
      <c r="K306" s="115"/>
    </row>
    <row r="307" spans="1:11" ht="15" customHeight="1">
      <c r="A307" s="232">
        <v>79</v>
      </c>
      <c r="B307" s="92" t="s">
        <v>332</v>
      </c>
      <c r="C307" s="235" t="s">
        <v>237</v>
      </c>
      <c r="D307" s="236" t="s">
        <v>239</v>
      </c>
      <c r="E307" s="133">
        <v>92</v>
      </c>
      <c r="F307" s="180" t="s">
        <v>239</v>
      </c>
      <c r="G307" s="238">
        <v>92</v>
      </c>
      <c r="H307" s="160">
        <v>1</v>
      </c>
      <c r="I307" s="134">
        <v>1</v>
      </c>
      <c r="J307" s="205" t="str">
        <f t="shared" si="11"/>
        <v>SME079</v>
      </c>
      <c r="K307" s="115"/>
    </row>
    <row r="308" spans="1:11" ht="15" customHeight="1">
      <c r="A308" s="232">
        <v>80</v>
      </c>
      <c r="B308" s="92" t="s">
        <v>333</v>
      </c>
      <c r="C308" s="235" t="s">
        <v>237</v>
      </c>
      <c r="D308" s="236" t="s">
        <v>239</v>
      </c>
      <c r="E308" s="133">
        <v>92</v>
      </c>
      <c r="F308" s="180" t="s">
        <v>239</v>
      </c>
      <c r="G308" s="238">
        <v>92</v>
      </c>
      <c r="H308" s="160">
        <v>1</v>
      </c>
      <c r="I308" s="134">
        <v>1</v>
      </c>
      <c r="J308" s="205" t="str">
        <f t="shared" si="11"/>
        <v>SME080</v>
      </c>
      <c r="K308" s="115"/>
    </row>
    <row r="309" spans="1:11" ht="15" customHeight="1">
      <c r="A309" s="232">
        <v>81</v>
      </c>
      <c r="B309" s="92" t="s">
        <v>334</v>
      </c>
      <c r="C309" s="235" t="s">
        <v>237</v>
      </c>
      <c r="D309" s="236" t="s">
        <v>256</v>
      </c>
      <c r="E309" s="133">
        <v>8591.7999999999993</v>
      </c>
      <c r="F309" s="180" t="s">
        <v>239</v>
      </c>
      <c r="G309" s="238">
        <v>0.35799166666666665</v>
      </c>
      <c r="H309" s="160">
        <v>200</v>
      </c>
      <c r="I309" s="134">
        <v>120</v>
      </c>
      <c r="J309" s="205" t="str">
        <f t="shared" si="11"/>
        <v>SME081</v>
      </c>
      <c r="K309" s="115"/>
    </row>
    <row r="310" spans="1:11" ht="15" customHeight="1">
      <c r="A310" s="232">
        <v>82</v>
      </c>
      <c r="B310" s="38" t="s">
        <v>335</v>
      </c>
      <c r="C310" s="235" t="s">
        <v>237</v>
      </c>
      <c r="D310" s="236" t="s">
        <v>239</v>
      </c>
      <c r="E310" s="133">
        <v>10740.701999999999</v>
      </c>
      <c r="F310" s="180" t="s">
        <v>239</v>
      </c>
      <c r="G310" s="238">
        <v>10740.701999999999</v>
      </c>
      <c r="H310" s="160">
        <v>1</v>
      </c>
      <c r="I310" s="134">
        <v>1</v>
      </c>
      <c r="J310" s="205" t="str">
        <f t="shared" si="11"/>
        <v>SME082</v>
      </c>
      <c r="K310" s="115"/>
    </row>
    <row r="311" spans="1:11" ht="15" customHeight="1">
      <c r="A311" s="232">
        <v>83</v>
      </c>
      <c r="B311" s="92" t="s">
        <v>336</v>
      </c>
      <c r="C311" s="235" t="s">
        <v>237</v>
      </c>
      <c r="D311" s="236" t="s">
        <v>239</v>
      </c>
      <c r="E311" s="133">
        <v>28000</v>
      </c>
      <c r="F311" s="180" t="s">
        <v>256</v>
      </c>
      <c r="G311" s="238">
        <v>1.4</v>
      </c>
      <c r="H311" s="160">
        <v>200</v>
      </c>
      <c r="I311" s="134">
        <v>100</v>
      </c>
      <c r="J311" s="205" t="str">
        <f t="shared" si="11"/>
        <v>SME083</v>
      </c>
      <c r="K311" s="115"/>
    </row>
    <row r="312" spans="1:11" ht="15" customHeight="1">
      <c r="A312" s="232">
        <v>84</v>
      </c>
      <c r="B312" s="92" t="s">
        <v>337</v>
      </c>
      <c r="C312" s="235" t="s">
        <v>237</v>
      </c>
      <c r="D312" s="236" t="s">
        <v>239</v>
      </c>
      <c r="E312" s="133">
        <v>20000</v>
      </c>
      <c r="F312" s="180" t="s">
        <v>256</v>
      </c>
      <c r="G312" s="238">
        <v>1</v>
      </c>
      <c r="H312" s="160">
        <v>200</v>
      </c>
      <c r="I312" s="134">
        <v>100</v>
      </c>
      <c r="J312" s="205" t="str">
        <f t="shared" si="11"/>
        <v>SME084</v>
      </c>
      <c r="K312" s="115"/>
    </row>
    <row r="313" spans="1:11" ht="15" customHeight="1">
      <c r="A313" s="232">
        <v>128</v>
      </c>
      <c r="B313" s="269" t="s">
        <v>338</v>
      </c>
      <c r="C313" s="235" t="s">
        <v>237</v>
      </c>
      <c r="D313" s="236" t="s">
        <v>239</v>
      </c>
      <c r="E313" s="133"/>
      <c r="F313" s="180" t="s">
        <v>240</v>
      </c>
      <c r="G313" s="238"/>
      <c r="H313" s="160">
        <v>1</v>
      </c>
      <c r="I313" s="134">
        <v>100</v>
      </c>
      <c r="J313" s="205" t="str">
        <f t="shared" si="11"/>
        <v>SME128</v>
      </c>
      <c r="K313" s="115"/>
    </row>
    <row r="314" spans="1:11" ht="15" customHeight="1">
      <c r="A314" s="232">
        <v>128</v>
      </c>
      <c r="B314" s="269" t="s">
        <v>339</v>
      </c>
      <c r="C314" s="235" t="s">
        <v>237</v>
      </c>
      <c r="D314" s="236" t="s">
        <v>239</v>
      </c>
      <c r="E314" s="133"/>
      <c r="F314" s="180" t="s">
        <v>240</v>
      </c>
      <c r="G314" s="238"/>
      <c r="H314" s="160">
        <v>1</v>
      </c>
      <c r="I314" s="134">
        <v>100</v>
      </c>
      <c r="J314" s="205" t="str">
        <f t="shared" si="11"/>
        <v>SME128</v>
      </c>
      <c r="K314" s="115"/>
    </row>
    <row r="315" spans="1:11" ht="15" customHeight="1">
      <c r="A315" s="232">
        <v>128</v>
      </c>
      <c r="B315" s="269" t="s">
        <v>340</v>
      </c>
      <c r="C315" s="235" t="s">
        <v>237</v>
      </c>
      <c r="D315" s="236" t="s">
        <v>239</v>
      </c>
      <c r="E315" s="133"/>
      <c r="F315" s="180" t="s">
        <v>240</v>
      </c>
      <c r="G315" s="238"/>
      <c r="H315" s="160">
        <v>1</v>
      </c>
      <c r="I315" s="134">
        <v>100</v>
      </c>
      <c r="J315" s="205" t="str">
        <f t="shared" si="11"/>
        <v>SME128</v>
      </c>
      <c r="K315" s="115"/>
    </row>
    <row r="316" spans="1:11" ht="15" customHeight="1">
      <c r="A316" s="232">
        <v>128</v>
      </c>
      <c r="B316" s="269" t="s">
        <v>341</v>
      </c>
      <c r="C316" s="235" t="s">
        <v>237</v>
      </c>
      <c r="D316" s="236" t="s">
        <v>239</v>
      </c>
      <c r="E316" s="133"/>
      <c r="F316" s="180" t="s">
        <v>240</v>
      </c>
      <c r="G316" s="238"/>
      <c r="H316" s="160">
        <v>1</v>
      </c>
      <c r="I316" s="134">
        <v>100</v>
      </c>
      <c r="J316" s="205" t="str">
        <f t="shared" si="11"/>
        <v>SME128</v>
      </c>
      <c r="K316" s="115"/>
    </row>
    <row r="317" spans="1:11" ht="15" customHeight="1">
      <c r="A317" s="232">
        <v>85</v>
      </c>
      <c r="B317" s="137" t="s">
        <v>342</v>
      </c>
      <c r="C317" s="235" t="s">
        <v>237</v>
      </c>
      <c r="D317" s="236" t="s">
        <v>239</v>
      </c>
      <c r="E317" s="133">
        <v>7000</v>
      </c>
      <c r="F317" s="180" t="s">
        <v>343</v>
      </c>
      <c r="G317" s="238">
        <v>7000</v>
      </c>
      <c r="H317" s="160">
        <v>1</v>
      </c>
      <c r="I317" s="134">
        <v>1</v>
      </c>
      <c r="J317" s="205" t="str">
        <f t="shared" si="11"/>
        <v>SME085</v>
      </c>
      <c r="K317" s="115"/>
    </row>
    <row r="318" spans="1:11" ht="15" customHeight="1">
      <c r="A318" s="232">
        <v>128</v>
      </c>
      <c r="B318" s="269" t="s">
        <v>344</v>
      </c>
      <c r="C318" s="235" t="s">
        <v>237</v>
      </c>
      <c r="D318" s="236" t="s">
        <v>239</v>
      </c>
      <c r="E318" s="133"/>
      <c r="F318" s="180" t="s">
        <v>240</v>
      </c>
      <c r="G318" s="238"/>
      <c r="H318" s="160">
        <v>1</v>
      </c>
      <c r="I318" s="134">
        <v>100</v>
      </c>
      <c r="J318" s="205" t="str">
        <f t="shared" si="11"/>
        <v>SME128</v>
      </c>
      <c r="K318" s="115"/>
    </row>
    <row r="319" spans="1:11" ht="15" customHeight="1">
      <c r="A319" s="232">
        <v>128</v>
      </c>
      <c r="B319" s="269" t="s">
        <v>345</v>
      </c>
      <c r="C319" s="235" t="s">
        <v>237</v>
      </c>
      <c r="D319" s="236" t="s">
        <v>239</v>
      </c>
      <c r="E319" s="133"/>
      <c r="F319" s="180" t="s">
        <v>240</v>
      </c>
      <c r="G319" s="238"/>
      <c r="H319" s="160">
        <v>1</v>
      </c>
      <c r="I319" s="134">
        <v>100</v>
      </c>
      <c r="J319" s="205" t="str">
        <f t="shared" si="11"/>
        <v>SME128</v>
      </c>
      <c r="K319" s="115"/>
    </row>
    <row r="320" spans="1:11" ht="15" customHeight="1">
      <c r="A320" s="232">
        <v>128</v>
      </c>
      <c r="B320" s="269" t="s">
        <v>346</v>
      </c>
      <c r="C320" s="235" t="s">
        <v>237</v>
      </c>
      <c r="D320" s="236" t="s">
        <v>239</v>
      </c>
      <c r="E320" s="133"/>
      <c r="F320" s="180" t="s">
        <v>240</v>
      </c>
      <c r="G320" s="238"/>
      <c r="H320" s="160">
        <v>1</v>
      </c>
      <c r="I320" s="134">
        <v>100</v>
      </c>
      <c r="J320" s="205" t="str">
        <f t="shared" si="11"/>
        <v>SME128</v>
      </c>
      <c r="K320" s="115"/>
    </row>
    <row r="321" spans="1:11" ht="15" customHeight="1">
      <c r="A321" s="232">
        <v>128</v>
      </c>
      <c r="B321" s="269" t="s">
        <v>347</v>
      </c>
      <c r="C321" s="235" t="s">
        <v>237</v>
      </c>
      <c r="D321" s="236" t="s">
        <v>239</v>
      </c>
      <c r="E321" s="133"/>
      <c r="F321" s="180" t="s">
        <v>240</v>
      </c>
      <c r="G321" s="238"/>
      <c r="H321" s="160">
        <v>1</v>
      </c>
      <c r="I321" s="134">
        <v>100</v>
      </c>
      <c r="J321" s="205" t="str">
        <f t="shared" si="11"/>
        <v>SME128</v>
      </c>
      <c r="K321" s="115"/>
    </row>
    <row r="322" spans="1:11" ht="15" customHeight="1">
      <c r="A322" s="232">
        <v>128</v>
      </c>
      <c r="B322" s="269" t="s">
        <v>348</v>
      </c>
      <c r="C322" s="235" t="s">
        <v>237</v>
      </c>
      <c r="D322" s="236" t="s">
        <v>239</v>
      </c>
      <c r="E322" s="133"/>
      <c r="F322" s="180" t="s">
        <v>240</v>
      </c>
      <c r="G322" s="238"/>
      <c r="H322" s="160">
        <v>1</v>
      </c>
      <c r="I322" s="134">
        <v>100</v>
      </c>
      <c r="J322" s="205" t="str">
        <f t="shared" si="11"/>
        <v>SME128</v>
      </c>
      <c r="K322" s="115"/>
    </row>
    <row r="323" spans="1:11" ht="15" customHeight="1">
      <c r="A323" s="232">
        <v>128</v>
      </c>
      <c r="B323" s="269" t="s">
        <v>349</v>
      </c>
      <c r="C323" s="235" t="s">
        <v>237</v>
      </c>
      <c r="D323" s="236" t="s">
        <v>239</v>
      </c>
      <c r="E323" s="133"/>
      <c r="F323" s="180" t="s">
        <v>240</v>
      </c>
      <c r="G323" s="238"/>
      <c r="H323" s="160">
        <v>1</v>
      </c>
      <c r="I323" s="134">
        <v>100</v>
      </c>
      <c r="J323" s="205" t="str">
        <f t="shared" si="11"/>
        <v>SME128</v>
      </c>
      <c r="K323" s="115"/>
    </row>
    <row r="324" spans="1:11" ht="15" customHeight="1">
      <c r="A324" s="232">
        <v>128</v>
      </c>
      <c r="B324" s="269" t="s">
        <v>350</v>
      </c>
      <c r="C324" s="235" t="s">
        <v>237</v>
      </c>
      <c r="D324" s="236" t="s">
        <v>239</v>
      </c>
      <c r="E324" s="133"/>
      <c r="F324" s="180" t="s">
        <v>240</v>
      </c>
      <c r="G324" s="238"/>
      <c r="H324" s="160">
        <v>1</v>
      </c>
      <c r="I324" s="134">
        <v>100</v>
      </c>
      <c r="J324" s="205" t="str">
        <f t="shared" si="11"/>
        <v>SME128</v>
      </c>
      <c r="K324" s="115"/>
    </row>
    <row r="325" spans="1:11" ht="15" customHeight="1">
      <c r="A325" s="232">
        <v>86</v>
      </c>
      <c r="B325" s="137" t="s">
        <v>351</v>
      </c>
      <c r="C325" s="235" t="s">
        <v>237</v>
      </c>
      <c r="D325" s="236" t="s">
        <v>253</v>
      </c>
      <c r="E325" s="133">
        <v>12000</v>
      </c>
      <c r="F325" s="180" t="s">
        <v>343</v>
      </c>
      <c r="G325" s="238">
        <v>12000</v>
      </c>
      <c r="H325" s="160">
        <v>1</v>
      </c>
      <c r="I325" s="134">
        <v>1</v>
      </c>
      <c r="J325" s="205" t="str">
        <f t="shared" si="11"/>
        <v>SME086</v>
      </c>
      <c r="K325" s="115"/>
    </row>
    <row r="326" spans="1:11" ht="15" customHeight="1">
      <c r="A326" s="232">
        <v>87</v>
      </c>
      <c r="B326" s="137" t="s">
        <v>352</v>
      </c>
      <c r="C326" s="235" t="s">
        <v>237</v>
      </c>
      <c r="D326" s="236" t="s">
        <v>109</v>
      </c>
      <c r="E326" s="133">
        <v>7266.666666666667</v>
      </c>
      <c r="F326" s="180" t="s">
        <v>343</v>
      </c>
      <c r="G326" s="238">
        <v>7266.666666666667</v>
      </c>
      <c r="H326" s="160">
        <v>1</v>
      </c>
      <c r="I326" s="134">
        <v>1</v>
      </c>
      <c r="J326" s="205" t="str">
        <f t="shared" si="11"/>
        <v>SME087</v>
      </c>
      <c r="K326" s="115"/>
    </row>
    <row r="327" spans="1:11" ht="15" customHeight="1">
      <c r="A327" s="232">
        <v>88</v>
      </c>
      <c r="B327" s="137" t="s">
        <v>353</v>
      </c>
      <c r="C327" s="235" t="s">
        <v>237</v>
      </c>
      <c r="D327" s="236" t="s">
        <v>109</v>
      </c>
      <c r="E327" s="133">
        <v>7266.666666666667</v>
      </c>
      <c r="F327" s="180" t="s">
        <v>343</v>
      </c>
      <c r="G327" s="238">
        <v>7266.666666666667</v>
      </c>
      <c r="H327" s="160">
        <v>1</v>
      </c>
      <c r="I327" s="134">
        <v>1</v>
      </c>
      <c r="J327" s="205" t="str">
        <f t="shared" si="11"/>
        <v>SME088</v>
      </c>
      <c r="K327" s="115"/>
    </row>
    <row r="328" spans="1:11" ht="15" customHeight="1">
      <c r="A328" s="232">
        <v>89</v>
      </c>
      <c r="B328" s="137" t="s">
        <v>354</v>
      </c>
      <c r="C328" s="235" t="s">
        <v>237</v>
      </c>
      <c r="D328" s="236" t="s">
        <v>109</v>
      </c>
      <c r="E328" s="133">
        <v>7266.665</v>
      </c>
      <c r="F328" s="180" t="s">
        <v>343</v>
      </c>
      <c r="G328" s="238">
        <v>7266.665</v>
      </c>
      <c r="H328" s="160">
        <v>1</v>
      </c>
      <c r="I328" s="134">
        <v>1</v>
      </c>
      <c r="J328" s="205" t="str">
        <f t="shared" si="11"/>
        <v>SME089</v>
      </c>
      <c r="K328" s="115"/>
    </row>
    <row r="329" spans="1:11" ht="15" customHeight="1">
      <c r="A329" s="232">
        <v>90</v>
      </c>
      <c r="B329" s="137" t="s">
        <v>355</v>
      </c>
      <c r="C329" s="235" t="s">
        <v>237</v>
      </c>
      <c r="D329" s="236" t="s">
        <v>253</v>
      </c>
      <c r="E329" s="133">
        <v>5000</v>
      </c>
      <c r="F329" s="180" t="s">
        <v>343</v>
      </c>
      <c r="G329" s="238">
        <v>5000</v>
      </c>
      <c r="H329" s="160">
        <v>1</v>
      </c>
      <c r="I329" s="134">
        <v>1</v>
      </c>
      <c r="J329" s="205" t="str">
        <f t="shared" si="11"/>
        <v>SME090</v>
      </c>
      <c r="K329" s="115"/>
    </row>
    <row r="330" spans="1:11" ht="15" customHeight="1">
      <c r="A330" s="232">
        <v>128</v>
      </c>
      <c r="B330" s="269" t="s">
        <v>356</v>
      </c>
      <c r="C330" s="235" t="s">
        <v>237</v>
      </c>
      <c r="D330" s="236" t="s">
        <v>239</v>
      </c>
      <c r="E330" s="133"/>
      <c r="F330" s="180" t="s">
        <v>240</v>
      </c>
      <c r="G330" s="238"/>
      <c r="H330" s="160">
        <v>1</v>
      </c>
      <c r="I330" s="134">
        <v>100</v>
      </c>
      <c r="J330" s="205" t="str">
        <f t="shared" si="11"/>
        <v>SME128</v>
      </c>
      <c r="K330" s="115"/>
    </row>
    <row r="331" spans="1:11" ht="15" customHeight="1">
      <c r="A331" s="232">
        <v>128</v>
      </c>
      <c r="B331" s="269" t="s">
        <v>357</v>
      </c>
      <c r="C331" s="235" t="s">
        <v>237</v>
      </c>
      <c r="D331" s="236" t="s">
        <v>239</v>
      </c>
      <c r="E331" s="133"/>
      <c r="F331" s="180" t="s">
        <v>240</v>
      </c>
      <c r="G331" s="238"/>
      <c r="H331" s="160">
        <v>1</v>
      </c>
      <c r="I331" s="134">
        <v>100</v>
      </c>
      <c r="J331" s="205" t="str">
        <f t="shared" si="11"/>
        <v>SME128</v>
      </c>
      <c r="K331" s="115"/>
    </row>
    <row r="332" spans="1:11" ht="15" customHeight="1">
      <c r="A332" s="232">
        <v>128</v>
      </c>
      <c r="B332" s="269" t="s">
        <v>358</v>
      </c>
      <c r="C332" s="235" t="s">
        <v>237</v>
      </c>
      <c r="D332" s="236" t="s">
        <v>239</v>
      </c>
      <c r="E332" s="133"/>
      <c r="F332" s="180" t="s">
        <v>240</v>
      </c>
      <c r="G332" s="238"/>
      <c r="H332" s="160">
        <v>1</v>
      </c>
      <c r="I332" s="134">
        <v>100</v>
      </c>
      <c r="J332" s="205" t="str">
        <f t="shared" si="11"/>
        <v>SME128</v>
      </c>
      <c r="K332" s="115"/>
    </row>
    <row r="333" spans="1:11" ht="15" customHeight="1">
      <c r="A333" s="232">
        <v>128</v>
      </c>
      <c r="B333" s="269" t="s">
        <v>359</v>
      </c>
      <c r="C333" s="235" t="s">
        <v>237</v>
      </c>
      <c r="D333" s="236" t="s">
        <v>239</v>
      </c>
      <c r="E333" s="133"/>
      <c r="F333" s="180" t="s">
        <v>240</v>
      </c>
      <c r="G333" s="238"/>
      <c r="H333" s="160">
        <v>1</v>
      </c>
      <c r="I333" s="134">
        <v>100</v>
      </c>
      <c r="J333" s="205" t="str">
        <f t="shared" si="11"/>
        <v>SME128</v>
      </c>
      <c r="K333" s="115"/>
    </row>
    <row r="334" spans="1:11" ht="15" customHeight="1">
      <c r="A334" s="232">
        <v>128</v>
      </c>
      <c r="B334" s="269" t="s">
        <v>360</v>
      </c>
      <c r="C334" s="235" t="s">
        <v>237</v>
      </c>
      <c r="D334" s="236" t="s">
        <v>239</v>
      </c>
      <c r="E334" s="133"/>
      <c r="F334" s="180" t="s">
        <v>240</v>
      </c>
      <c r="G334" s="238"/>
      <c r="H334" s="160">
        <v>1</v>
      </c>
      <c r="I334" s="134">
        <v>100</v>
      </c>
      <c r="J334" s="205" t="str">
        <f t="shared" si="11"/>
        <v>SME128</v>
      </c>
      <c r="K334" s="115"/>
    </row>
    <row r="335" spans="1:11" ht="15" customHeight="1">
      <c r="A335" s="232">
        <v>128</v>
      </c>
      <c r="B335" s="269" t="s">
        <v>361</v>
      </c>
      <c r="C335" s="235" t="s">
        <v>237</v>
      </c>
      <c r="D335" s="236" t="s">
        <v>239</v>
      </c>
      <c r="E335" s="133"/>
      <c r="F335" s="180" t="s">
        <v>240</v>
      </c>
      <c r="G335" s="238"/>
      <c r="H335" s="160">
        <v>1</v>
      </c>
      <c r="I335" s="134">
        <v>100</v>
      </c>
      <c r="J335" s="205" t="str">
        <f t="shared" si="11"/>
        <v>SME128</v>
      </c>
      <c r="K335" s="115"/>
    </row>
    <row r="336" spans="1:11" ht="15" customHeight="1">
      <c r="A336" s="232">
        <v>128</v>
      </c>
      <c r="B336" s="269" t="s">
        <v>362</v>
      </c>
      <c r="C336" s="235" t="s">
        <v>237</v>
      </c>
      <c r="D336" s="236" t="s">
        <v>239</v>
      </c>
      <c r="E336" s="133"/>
      <c r="F336" s="180" t="s">
        <v>240</v>
      </c>
      <c r="G336" s="238"/>
      <c r="H336" s="160">
        <v>1</v>
      </c>
      <c r="I336" s="134">
        <v>100</v>
      </c>
      <c r="J336" s="205" t="str">
        <f t="shared" si="11"/>
        <v>SME128</v>
      </c>
      <c r="K336" s="115"/>
    </row>
    <row r="337" spans="1:11" ht="15" customHeight="1">
      <c r="A337" s="232">
        <v>128</v>
      </c>
      <c r="B337" s="269" t="s">
        <v>363</v>
      </c>
      <c r="C337" s="235" t="s">
        <v>237</v>
      </c>
      <c r="D337" s="236" t="s">
        <v>239</v>
      </c>
      <c r="E337" s="133"/>
      <c r="F337" s="180" t="s">
        <v>240</v>
      </c>
      <c r="G337" s="238"/>
      <c r="H337" s="160">
        <v>1</v>
      </c>
      <c r="I337" s="134">
        <v>100</v>
      </c>
      <c r="J337" s="205" t="str">
        <f t="shared" si="11"/>
        <v>SME128</v>
      </c>
      <c r="K337" s="115"/>
    </row>
    <row r="338" spans="1:11" ht="15" customHeight="1">
      <c r="A338" s="232">
        <v>128</v>
      </c>
      <c r="B338" s="269" t="s">
        <v>364</v>
      </c>
      <c r="C338" s="235" t="s">
        <v>237</v>
      </c>
      <c r="D338" s="236" t="s">
        <v>239</v>
      </c>
      <c r="E338" s="133"/>
      <c r="F338" s="180" t="s">
        <v>240</v>
      </c>
      <c r="G338" s="238"/>
      <c r="H338" s="160">
        <v>1</v>
      </c>
      <c r="I338" s="134">
        <v>100</v>
      </c>
      <c r="J338" s="205" t="str">
        <f t="shared" si="11"/>
        <v>SME128</v>
      </c>
      <c r="K338" s="115"/>
    </row>
    <row r="339" spans="1:11" ht="15" customHeight="1">
      <c r="A339" s="232">
        <v>128</v>
      </c>
      <c r="B339" s="269" t="s">
        <v>365</v>
      </c>
      <c r="C339" s="235" t="s">
        <v>237</v>
      </c>
      <c r="D339" s="236" t="s">
        <v>239</v>
      </c>
      <c r="E339" s="133"/>
      <c r="F339" s="180" t="s">
        <v>240</v>
      </c>
      <c r="G339" s="238"/>
      <c r="H339" s="160">
        <v>1</v>
      </c>
      <c r="I339" s="134">
        <v>100</v>
      </c>
      <c r="J339" s="205" t="str">
        <f t="shared" si="11"/>
        <v>SME128</v>
      </c>
      <c r="K339" s="115"/>
    </row>
    <row r="340" spans="1:11" ht="15" customHeight="1">
      <c r="A340" s="232">
        <v>128</v>
      </c>
      <c r="B340" s="269" t="s">
        <v>366</v>
      </c>
      <c r="C340" s="235" t="s">
        <v>237</v>
      </c>
      <c r="D340" s="236" t="s">
        <v>239</v>
      </c>
      <c r="E340" s="133"/>
      <c r="F340" s="180" t="s">
        <v>240</v>
      </c>
      <c r="G340" s="238"/>
      <c r="H340" s="160">
        <v>1</v>
      </c>
      <c r="I340" s="134">
        <v>100</v>
      </c>
      <c r="J340" s="205" t="str">
        <f t="shared" si="11"/>
        <v>SME128</v>
      </c>
      <c r="K340" s="115"/>
    </row>
    <row r="341" spans="1:11" ht="15" customHeight="1">
      <c r="A341" s="232">
        <v>128</v>
      </c>
      <c r="B341" s="269" t="s">
        <v>367</v>
      </c>
      <c r="C341" s="235" t="s">
        <v>237</v>
      </c>
      <c r="D341" s="236" t="s">
        <v>239</v>
      </c>
      <c r="E341" s="133"/>
      <c r="F341" s="180" t="s">
        <v>240</v>
      </c>
      <c r="G341" s="238"/>
      <c r="H341" s="160">
        <v>1</v>
      </c>
      <c r="I341" s="134">
        <v>100</v>
      </c>
      <c r="J341" s="205" t="str">
        <f t="shared" si="11"/>
        <v>SME128</v>
      </c>
      <c r="K341" s="115"/>
    </row>
    <row r="342" spans="1:11" ht="15" customHeight="1">
      <c r="A342" s="232">
        <v>128</v>
      </c>
      <c r="B342" s="269" t="s">
        <v>368</v>
      </c>
      <c r="C342" s="235" t="s">
        <v>237</v>
      </c>
      <c r="D342" s="236" t="s">
        <v>239</v>
      </c>
      <c r="E342" s="43"/>
      <c r="F342" s="180" t="s">
        <v>240</v>
      </c>
      <c r="G342" s="39"/>
      <c r="H342" s="160">
        <v>1</v>
      </c>
      <c r="I342" s="8">
        <v>100</v>
      </c>
      <c r="J342" s="205" t="str">
        <f t="shared" si="11"/>
        <v>SME128</v>
      </c>
      <c r="K342" s="115"/>
    </row>
    <row r="343" spans="1:11" ht="15" customHeight="1">
      <c r="A343" s="232">
        <v>128</v>
      </c>
      <c r="B343" s="269" t="s">
        <v>369</v>
      </c>
      <c r="C343" s="235" t="s">
        <v>237</v>
      </c>
      <c r="D343" s="236" t="s">
        <v>239</v>
      </c>
      <c r="E343" s="133"/>
      <c r="F343" s="180" t="s">
        <v>240</v>
      </c>
      <c r="G343" s="238"/>
      <c r="H343" s="160">
        <v>1</v>
      </c>
      <c r="I343" s="8">
        <v>100</v>
      </c>
      <c r="J343" s="205" t="str">
        <f t="shared" si="11"/>
        <v>SME128</v>
      </c>
      <c r="K343" s="115"/>
    </row>
    <row r="344" spans="1:11" ht="15" customHeight="1">
      <c r="A344" s="232">
        <v>128</v>
      </c>
      <c r="B344" s="269" t="s">
        <v>370</v>
      </c>
      <c r="C344" s="235" t="s">
        <v>237</v>
      </c>
      <c r="D344" s="236" t="s">
        <v>239</v>
      </c>
      <c r="E344" s="133"/>
      <c r="F344" s="180" t="s">
        <v>240</v>
      </c>
      <c r="G344" s="238"/>
      <c r="H344" s="160">
        <v>1</v>
      </c>
      <c r="I344" s="8">
        <v>100</v>
      </c>
      <c r="J344" s="205" t="str">
        <f t="shared" si="11"/>
        <v>SME128</v>
      </c>
      <c r="K344" s="115"/>
    </row>
    <row r="345" spans="1:11" ht="15" customHeight="1">
      <c r="A345" s="232">
        <v>128</v>
      </c>
      <c r="B345" s="269" t="s">
        <v>371</v>
      </c>
      <c r="C345" s="235" t="s">
        <v>237</v>
      </c>
      <c r="D345" s="236" t="s">
        <v>239</v>
      </c>
      <c r="E345" s="133"/>
      <c r="F345" s="180" t="s">
        <v>240</v>
      </c>
      <c r="G345" s="238"/>
      <c r="H345" s="160">
        <v>1</v>
      </c>
      <c r="I345" s="8">
        <v>100</v>
      </c>
      <c r="J345" s="205" t="str">
        <f t="shared" ref="J345:J408" si="12">CONCATENATE(LEFT(C345,1),MID(C345,SEARCH("_",C345)+1,2),TEXT(A345,"000"))</f>
        <v>SME128</v>
      </c>
      <c r="K345" s="115"/>
    </row>
    <row r="346" spans="1:11" ht="15" customHeight="1">
      <c r="A346" s="232">
        <v>128</v>
      </c>
      <c r="B346" s="269" t="s">
        <v>372</v>
      </c>
      <c r="C346" s="235" t="s">
        <v>237</v>
      </c>
      <c r="D346" s="236" t="s">
        <v>239</v>
      </c>
      <c r="E346" s="133"/>
      <c r="F346" s="180" t="s">
        <v>240</v>
      </c>
      <c r="G346" s="238"/>
      <c r="H346" s="160">
        <v>1</v>
      </c>
      <c r="I346" s="8">
        <v>100</v>
      </c>
      <c r="J346" s="205" t="str">
        <f t="shared" si="12"/>
        <v>SME128</v>
      </c>
      <c r="K346" s="115"/>
    </row>
    <row r="347" spans="1:11" ht="15" customHeight="1">
      <c r="A347" s="232">
        <v>128</v>
      </c>
      <c r="B347" s="269" t="s">
        <v>373</v>
      </c>
      <c r="C347" s="235" t="s">
        <v>237</v>
      </c>
      <c r="D347" s="236" t="s">
        <v>239</v>
      </c>
      <c r="E347" s="133"/>
      <c r="F347" s="180" t="s">
        <v>240</v>
      </c>
      <c r="G347" s="238"/>
      <c r="H347" s="160">
        <v>1</v>
      </c>
      <c r="I347" s="8">
        <v>100</v>
      </c>
      <c r="J347" s="205" t="str">
        <f t="shared" si="12"/>
        <v>SME128</v>
      </c>
      <c r="K347" s="115"/>
    </row>
    <row r="348" spans="1:11" ht="15" customHeight="1">
      <c r="A348" s="232">
        <v>128</v>
      </c>
      <c r="B348" s="269" t="s">
        <v>374</v>
      </c>
      <c r="C348" s="235" t="s">
        <v>237</v>
      </c>
      <c r="D348" s="236" t="s">
        <v>239</v>
      </c>
      <c r="E348" s="133"/>
      <c r="F348" s="180" t="s">
        <v>240</v>
      </c>
      <c r="G348" s="238"/>
      <c r="H348" s="160">
        <v>1</v>
      </c>
      <c r="I348" s="8">
        <v>100</v>
      </c>
      <c r="J348" s="205" t="str">
        <f t="shared" si="12"/>
        <v>SME128</v>
      </c>
      <c r="K348" s="115"/>
    </row>
    <row r="349" spans="1:11" ht="15" customHeight="1">
      <c r="A349" s="232">
        <v>91</v>
      </c>
      <c r="B349" s="137" t="s">
        <v>375</v>
      </c>
      <c r="C349" s="235" t="s">
        <v>237</v>
      </c>
      <c r="D349" s="236" t="s">
        <v>239</v>
      </c>
      <c r="E349" s="133">
        <v>7183</v>
      </c>
      <c r="F349" s="180" t="s">
        <v>256</v>
      </c>
      <c r="G349" s="238">
        <v>0.47886666666666666</v>
      </c>
      <c r="H349" s="160">
        <v>150</v>
      </c>
      <c r="I349" s="8">
        <v>100</v>
      </c>
      <c r="J349" s="205" t="str">
        <f t="shared" si="12"/>
        <v>SME091</v>
      </c>
      <c r="K349" s="115"/>
    </row>
    <row r="350" spans="1:11" ht="15" customHeight="1">
      <c r="A350" s="232">
        <v>92</v>
      </c>
      <c r="B350" s="137" t="s">
        <v>376</v>
      </c>
      <c r="C350" s="235" t="s">
        <v>237</v>
      </c>
      <c r="D350" s="236" t="s">
        <v>239</v>
      </c>
      <c r="E350" s="133">
        <v>10597</v>
      </c>
      <c r="F350" s="180" t="s">
        <v>256</v>
      </c>
      <c r="G350" s="238">
        <v>0.70646666666666669</v>
      </c>
      <c r="H350" s="160">
        <v>150</v>
      </c>
      <c r="I350" s="8">
        <v>100</v>
      </c>
      <c r="J350" s="205" t="str">
        <f t="shared" si="12"/>
        <v>SME092</v>
      </c>
      <c r="K350" s="115"/>
    </row>
    <row r="351" spans="1:11" ht="15" customHeight="1">
      <c r="A351" s="232">
        <v>128</v>
      </c>
      <c r="B351" s="269" t="s">
        <v>377</v>
      </c>
      <c r="C351" s="235" t="s">
        <v>237</v>
      </c>
      <c r="D351" s="236" t="s">
        <v>239</v>
      </c>
      <c r="E351" s="133"/>
      <c r="F351" s="180" t="s">
        <v>240</v>
      </c>
      <c r="G351" s="238"/>
      <c r="H351" s="160">
        <v>1</v>
      </c>
      <c r="I351" s="8">
        <v>100</v>
      </c>
      <c r="J351" s="205" t="str">
        <f t="shared" si="12"/>
        <v>SME128</v>
      </c>
      <c r="K351" s="115"/>
    </row>
    <row r="352" spans="1:11" ht="15" customHeight="1">
      <c r="A352" s="232">
        <v>128</v>
      </c>
      <c r="B352" s="269" t="s">
        <v>378</v>
      </c>
      <c r="C352" s="235" t="s">
        <v>237</v>
      </c>
      <c r="D352" s="236" t="s">
        <v>239</v>
      </c>
      <c r="E352" s="133"/>
      <c r="F352" s="180" t="s">
        <v>240</v>
      </c>
      <c r="G352" s="238"/>
      <c r="H352" s="160">
        <v>1</v>
      </c>
      <c r="I352" s="8">
        <v>100</v>
      </c>
      <c r="J352" s="205" t="str">
        <f t="shared" si="12"/>
        <v>SME128</v>
      </c>
      <c r="K352" s="115"/>
    </row>
    <row r="353" spans="1:11" ht="15" customHeight="1">
      <c r="A353" s="232">
        <v>93</v>
      </c>
      <c r="B353" s="137" t="s">
        <v>379</v>
      </c>
      <c r="C353" s="235" t="s">
        <v>237</v>
      </c>
      <c r="D353" s="236" t="s">
        <v>109</v>
      </c>
      <c r="E353" s="133">
        <v>2866.6666666666665</v>
      </c>
      <c r="F353" s="180" t="s">
        <v>109</v>
      </c>
      <c r="G353" s="238">
        <v>2866.6666666666665</v>
      </c>
      <c r="H353" s="160">
        <v>1</v>
      </c>
      <c r="I353" s="8">
        <v>1</v>
      </c>
      <c r="J353" s="205" t="str">
        <f t="shared" si="12"/>
        <v>SME093</v>
      </c>
      <c r="K353" s="115"/>
    </row>
    <row r="354" spans="1:11" ht="15" customHeight="1">
      <c r="A354" s="232">
        <v>94</v>
      </c>
      <c r="B354" s="137" t="s">
        <v>380</v>
      </c>
      <c r="C354" s="235" t="s">
        <v>237</v>
      </c>
      <c r="D354" s="236" t="s">
        <v>109</v>
      </c>
      <c r="E354" s="133">
        <v>2866.6666666666665</v>
      </c>
      <c r="F354" s="180" t="s">
        <v>109</v>
      </c>
      <c r="G354" s="238">
        <v>2866.6666666666665</v>
      </c>
      <c r="H354" s="160">
        <v>1</v>
      </c>
      <c r="I354" s="8">
        <v>1</v>
      </c>
      <c r="J354" s="205" t="str">
        <f t="shared" si="12"/>
        <v>SME094</v>
      </c>
      <c r="K354" s="115"/>
    </row>
    <row r="355" spans="1:11" ht="15" customHeight="1">
      <c r="A355" s="232">
        <v>128</v>
      </c>
      <c r="B355" s="269" t="s">
        <v>381</v>
      </c>
      <c r="C355" s="235" t="s">
        <v>237</v>
      </c>
      <c r="D355" s="236" t="s">
        <v>239</v>
      </c>
      <c r="E355" s="133"/>
      <c r="F355" s="180" t="s">
        <v>240</v>
      </c>
      <c r="G355" s="238"/>
      <c r="H355" s="160">
        <v>1</v>
      </c>
      <c r="I355" s="8">
        <v>100</v>
      </c>
      <c r="J355" s="205" t="str">
        <f t="shared" si="12"/>
        <v>SME128</v>
      </c>
      <c r="K355" s="115"/>
    </row>
    <row r="356" spans="1:11" ht="15" customHeight="1">
      <c r="A356" s="232">
        <v>128</v>
      </c>
      <c r="B356" s="269" t="s">
        <v>382</v>
      </c>
      <c r="C356" s="235" t="s">
        <v>237</v>
      </c>
      <c r="D356" s="236" t="s">
        <v>239</v>
      </c>
      <c r="E356" s="133"/>
      <c r="F356" s="180" t="s">
        <v>240</v>
      </c>
      <c r="G356" s="238"/>
      <c r="H356" s="160">
        <v>1</v>
      </c>
      <c r="I356" s="8">
        <v>100</v>
      </c>
      <c r="J356" s="205" t="str">
        <f t="shared" si="12"/>
        <v>SME128</v>
      </c>
      <c r="K356" s="115"/>
    </row>
    <row r="357" spans="1:11" ht="15" customHeight="1">
      <c r="A357" s="232">
        <v>128</v>
      </c>
      <c r="B357" s="269" t="s">
        <v>382</v>
      </c>
      <c r="C357" s="235" t="s">
        <v>237</v>
      </c>
      <c r="D357" s="236" t="s">
        <v>239</v>
      </c>
      <c r="E357" s="133"/>
      <c r="F357" s="180" t="s">
        <v>240</v>
      </c>
      <c r="G357" s="238"/>
      <c r="H357" s="160">
        <v>1</v>
      </c>
      <c r="I357" s="8">
        <v>100</v>
      </c>
      <c r="J357" s="205" t="str">
        <f t="shared" si="12"/>
        <v>SME128</v>
      </c>
      <c r="K357" s="115"/>
    </row>
    <row r="358" spans="1:11" ht="15" customHeight="1">
      <c r="A358" s="232">
        <v>128</v>
      </c>
      <c r="B358" s="269" t="s">
        <v>383</v>
      </c>
      <c r="C358" s="235" t="s">
        <v>237</v>
      </c>
      <c r="D358" s="236" t="s">
        <v>239</v>
      </c>
      <c r="E358" s="133"/>
      <c r="F358" s="180" t="s">
        <v>240</v>
      </c>
      <c r="G358" s="238"/>
      <c r="H358" s="160">
        <v>1</v>
      </c>
      <c r="I358" s="8">
        <v>100</v>
      </c>
      <c r="J358" s="205" t="str">
        <f t="shared" si="12"/>
        <v>SME128</v>
      </c>
      <c r="K358" s="115"/>
    </row>
    <row r="359" spans="1:11" ht="15" customHeight="1">
      <c r="A359" s="232">
        <v>95</v>
      </c>
      <c r="B359" s="137" t="s">
        <v>384</v>
      </c>
      <c r="C359" s="235" t="s">
        <v>237</v>
      </c>
      <c r="D359" s="236" t="s">
        <v>256</v>
      </c>
      <c r="E359" s="133"/>
      <c r="F359" s="180" t="s">
        <v>256</v>
      </c>
      <c r="G359" s="238">
        <v>0</v>
      </c>
      <c r="H359" s="160">
        <v>100</v>
      </c>
      <c r="I359" s="8">
        <v>100</v>
      </c>
      <c r="J359" s="205" t="str">
        <f t="shared" si="12"/>
        <v>SME095</v>
      </c>
      <c r="K359" s="115"/>
    </row>
    <row r="360" spans="1:11" ht="15" customHeight="1">
      <c r="A360" s="232">
        <v>96</v>
      </c>
      <c r="B360" s="137" t="s">
        <v>385</v>
      </c>
      <c r="C360" s="235" t="s">
        <v>237</v>
      </c>
      <c r="D360" s="236" t="s">
        <v>242</v>
      </c>
      <c r="E360" s="133">
        <v>8000</v>
      </c>
      <c r="F360" s="180" t="s">
        <v>256</v>
      </c>
      <c r="G360" s="238">
        <v>0.53333333333333333</v>
      </c>
      <c r="H360" s="160">
        <v>150</v>
      </c>
      <c r="I360" s="8">
        <v>100</v>
      </c>
      <c r="J360" s="205" t="str">
        <f t="shared" si="12"/>
        <v>SME096</v>
      </c>
      <c r="K360" s="115"/>
    </row>
    <row r="361" spans="1:11" ht="15" customHeight="1">
      <c r="A361" s="232">
        <v>97</v>
      </c>
      <c r="B361" s="137" t="s">
        <v>386</v>
      </c>
      <c r="C361" s="235" t="s">
        <v>237</v>
      </c>
      <c r="D361" s="236" t="s">
        <v>242</v>
      </c>
      <c r="E361" s="133">
        <v>10000</v>
      </c>
      <c r="F361" s="180" t="s">
        <v>256</v>
      </c>
      <c r="G361" s="238" t="s">
        <v>118</v>
      </c>
      <c r="H361" s="160">
        <v>150</v>
      </c>
      <c r="I361" s="8">
        <v>100</v>
      </c>
      <c r="J361" s="205" t="str">
        <f t="shared" si="12"/>
        <v>SME097</v>
      </c>
      <c r="K361" s="115"/>
    </row>
    <row r="362" spans="1:11" ht="15" customHeight="1">
      <c r="A362" s="232">
        <v>98</v>
      </c>
      <c r="B362" s="137" t="s">
        <v>387</v>
      </c>
      <c r="C362" s="235" t="s">
        <v>237</v>
      </c>
      <c r="D362" s="236" t="s">
        <v>242</v>
      </c>
      <c r="E362" s="133">
        <v>10000</v>
      </c>
      <c r="F362" s="180" t="s">
        <v>256</v>
      </c>
      <c r="G362" s="238">
        <v>0.66666666666666663</v>
      </c>
      <c r="H362" s="160">
        <v>150</v>
      </c>
      <c r="I362" s="8">
        <v>100</v>
      </c>
      <c r="J362" s="205" t="str">
        <f t="shared" si="12"/>
        <v>SME098</v>
      </c>
      <c r="K362" s="115"/>
    </row>
    <row r="363" spans="1:11" ht="15" customHeight="1">
      <c r="A363" s="232">
        <v>128</v>
      </c>
      <c r="B363" s="269" t="s">
        <v>388</v>
      </c>
      <c r="C363" s="235" t="s">
        <v>237</v>
      </c>
      <c r="D363" s="236" t="s">
        <v>239</v>
      </c>
      <c r="E363" s="133"/>
      <c r="F363" s="180" t="s">
        <v>240</v>
      </c>
      <c r="G363" s="238"/>
      <c r="H363" s="160">
        <v>1</v>
      </c>
      <c r="I363" s="8">
        <v>100</v>
      </c>
      <c r="J363" s="205" t="str">
        <f t="shared" si="12"/>
        <v>SME128</v>
      </c>
      <c r="K363" s="115"/>
    </row>
    <row r="364" spans="1:11" ht="15" customHeight="1">
      <c r="A364" s="232">
        <v>99</v>
      </c>
      <c r="B364" s="137" t="s">
        <v>389</v>
      </c>
      <c r="C364" s="235" t="s">
        <v>237</v>
      </c>
      <c r="D364" s="236" t="s">
        <v>256</v>
      </c>
      <c r="E364" s="133"/>
      <c r="F364" s="180" t="s">
        <v>256</v>
      </c>
      <c r="G364" s="238">
        <v>0</v>
      </c>
      <c r="H364" s="160">
        <v>100</v>
      </c>
      <c r="I364" s="8">
        <v>100</v>
      </c>
      <c r="J364" s="205" t="str">
        <f t="shared" si="12"/>
        <v>SME099</v>
      </c>
      <c r="K364" s="115"/>
    </row>
    <row r="365" spans="1:11" ht="15" customHeight="1">
      <c r="A365" s="232">
        <v>128</v>
      </c>
      <c r="B365" s="269" t="s">
        <v>390</v>
      </c>
      <c r="C365" s="235" t="s">
        <v>237</v>
      </c>
      <c r="D365" s="236" t="s">
        <v>239</v>
      </c>
      <c r="E365" s="133"/>
      <c r="F365" s="180" t="s">
        <v>240</v>
      </c>
      <c r="G365" s="238"/>
      <c r="H365" s="160">
        <v>1</v>
      </c>
      <c r="I365" s="8">
        <v>100</v>
      </c>
      <c r="J365" s="205" t="str">
        <f t="shared" si="12"/>
        <v>SME128</v>
      </c>
      <c r="K365" s="115"/>
    </row>
    <row r="366" spans="1:11" ht="15" customHeight="1">
      <c r="A366" s="232">
        <v>100</v>
      </c>
      <c r="B366" s="137" t="s">
        <v>391</v>
      </c>
      <c r="C366" s="235" t="s">
        <v>237</v>
      </c>
      <c r="D366" s="236" t="s">
        <v>206</v>
      </c>
      <c r="E366" s="133">
        <v>636792</v>
      </c>
      <c r="F366" s="180" t="s">
        <v>109</v>
      </c>
      <c r="G366" s="238">
        <v>53066</v>
      </c>
      <c r="H366" s="160">
        <v>12</v>
      </c>
      <c r="I366" s="8">
        <v>1</v>
      </c>
      <c r="J366" s="205" t="str">
        <f t="shared" si="12"/>
        <v>SME100</v>
      </c>
      <c r="K366" s="115"/>
    </row>
    <row r="367" spans="1:11" ht="15" customHeight="1">
      <c r="A367" s="232">
        <v>128</v>
      </c>
      <c r="B367" s="269" t="s">
        <v>392</v>
      </c>
      <c r="C367" s="235" t="s">
        <v>237</v>
      </c>
      <c r="D367" s="236" t="s">
        <v>239</v>
      </c>
      <c r="E367" s="133"/>
      <c r="F367" s="180" t="s">
        <v>240</v>
      </c>
      <c r="G367" s="238"/>
      <c r="H367" s="160">
        <v>1</v>
      </c>
      <c r="I367" s="8">
        <v>100</v>
      </c>
      <c r="J367" s="205" t="str">
        <f t="shared" si="12"/>
        <v>SME128</v>
      </c>
      <c r="K367" s="115"/>
    </row>
    <row r="368" spans="1:11" ht="15" customHeight="1">
      <c r="A368" s="232">
        <v>128</v>
      </c>
      <c r="B368" s="269" t="s">
        <v>393</v>
      </c>
      <c r="C368" s="235" t="s">
        <v>237</v>
      </c>
      <c r="D368" s="236" t="s">
        <v>239</v>
      </c>
      <c r="E368" s="133"/>
      <c r="F368" s="180" t="s">
        <v>240</v>
      </c>
      <c r="G368" s="238"/>
      <c r="H368" s="160">
        <v>1</v>
      </c>
      <c r="I368" s="8">
        <v>100</v>
      </c>
      <c r="J368" s="205" t="str">
        <f t="shared" si="12"/>
        <v>SME128</v>
      </c>
      <c r="K368" s="115"/>
    </row>
    <row r="369" spans="1:11" ht="15" customHeight="1">
      <c r="A369" s="232">
        <v>128</v>
      </c>
      <c r="B369" s="269" t="s">
        <v>394</v>
      </c>
      <c r="C369" s="235" t="s">
        <v>237</v>
      </c>
      <c r="D369" s="236" t="s">
        <v>239</v>
      </c>
      <c r="E369" s="133"/>
      <c r="F369" s="180" t="s">
        <v>240</v>
      </c>
      <c r="G369" s="238"/>
      <c r="H369" s="160">
        <v>1</v>
      </c>
      <c r="I369" s="8">
        <v>100</v>
      </c>
      <c r="J369" s="205" t="str">
        <f t="shared" si="12"/>
        <v>SME128</v>
      </c>
      <c r="K369" s="115"/>
    </row>
    <row r="370" spans="1:11" ht="15" customHeight="1">
      <c r="A370" s="232">
        <v>128</v>
      </c>
      <c r="B370" s="269" t="s">
        <v>395</v>
      </c>
      <c r="C370" s="235" t="s">
        <v>237</v>
      </c>
      <c r="D370" s="236" t="s">
        <v>239</v>
      </c>
      <c r="E370" s="133"/>
      <c r="F370" s="180" t="s">
        <v>240</v>
      </c>
      <c r="G370" s="238"/>
      <c r="H370" s="160">
        <v>1</v>
      </c>
      <c r="I370" s="8">
        <v>100</v>
      </c>
      <c r="J370" s="205" t="str">
        <f t="shared" si="12"/>
        <v>SME128</v>
      </c>
      <c r="K370" s="115"/>
    </row>
    <row r="371" spans="1:11" ht="15" customHeight="1">
      <c r="A371" s="232">
        <v>128</v>
      </c>
      <c r="B371" s="269" t="s">
        <v>396</v>
      </c>
      <c r="C371" s="235" t="s">
        <v>237</v>
      </c>
      <c r="D371" s="236" t="s">
        <v>239</v>
      </c>
      <c r="E371" s="133"/>
      <c r="F371" s="180" t="s">
        <v>240</v>
      </c>
      <c r="G371" s="238"/>
      <c r="H371" s="160">
        <v>1</v>
      </c>
      <c r="I371" s="8">
        <v>100</v>
      </c>
      <c r="J371" s="205" t="str">
        <f t="shared" si="12"/>
        <v>SME128</v>
      </c>
      <c r="K371" s="115"/>
    </row>
    <row r="372" spans="1:11" ht="15" customHeight="1">
      <c r="A372" s="232">
        <v>128</v>
      </c>
      <c r="B372" s="269" t="s">
        <v>397</v>
      </c>
      <c r="C372" s="235" t="s">
        <v>237</v>
      </c>
      <c r="D372" s="236" t="s">
        <v>239</v>
      </c>
      <c r="E372" s="133"/>
      <c r="F372" s="180" t="s">
        <v>240</v>
      </c>
      <c r="G372" s="238"/>
      <c r="H372" s="160">
        <v>1</v>
      </c>
      <c r="I372" s="8">
        <v>100</v>
      </c>
      <c r="J372" s="205" t="str">
        <f t="shared" si="12"/>
        <v>SME128</v>
      </c>
      <c r="K372" s="115"/>
    </row>
    <row r="373" spans="1:11" ht="15" customHeight="1">
      <c r="A373" s="232">
        <v>128</v>
      </c>
      <c r="B373" s="269" t="s">
        <v>398</v>
      </c>
      <c r="C373" s="235" t="s">
        <v>237</v>
      </c>
      <c r="D373" s="236" t="s">
        <v>239</v>
      </c>
      <c r="E373" s="133"/>
      <c r="F373" s="180" t="s">
        <v>240</v>
      </c>
      <c r="G373" s="238"/>
      <c r="H373" s="160">
        <v>1</v>
      </c>
      <c r="I373" s="8">
        <v>100</v>
      </c>
      <c r="J373" s="205" t="str">
        <f t="shared" si="12"/>
        <v>SME128</v>
      </c>
      <c r="K373" s="115"/>
    </row>
    <row r="374" spans="1:11" ht="15" customHeight="1">
      <c r="A374" s="232">
        <v>128</v>
      </c>
      <c r="B374" s="269" t="s">
        <v>399</v>
      </c>
      <c r="C374" s="235" t="s">
        <v>237</v>
      </c>
      <c r="D374" s="236" t="s">
        <v>239</v>
      </c>
      <c r="E374" s="133"/>
      <c r="F374" s="180" t="s">
        <v>240</v>
      </c>
      <c r="G374" s="238"/>
      <c r="H374" s="160">
        <v>1</v>
      </c>
      <c r="I374" s="8">
        <v>100</v>
      </c>
      <c r="J374" s="205" t="str">
        <f t="shared" si="12"/>
        <v>SME128</v>
      </c>
      <c r="K374" s="115"/>
    </row>
    <row r="375" spans="1:11" ht="15" customHeight="1">
      <c r="A375" s="232">
        <v>128</v>
      </c>
      <c r="B375" s="269" t="s">
        <v>400</v>
      </c>
      <c r="C375" s="235" t="s">
        <v>237</v>
      </c>
      <c r="D375" s="236" t="s">
        <v>239</v>
      </c>
      <c r="E375" s="133"/>
      <c r="F375" s="180" t="s">
        <v>240</v>
      </c>
      <c r="G375" s="238"/>
      <c r="H375" s="160">
        <v>1</v>
      </c>
      <c r="I375" s="8">
        <v>100</v>
      </c>
      <c r="J375" s="205" t="str">
        <f t="shared" si="12"/>
        <v>SME128</v>
      </c>
      <c r="K375" s="115"/>
    </row>
    <row r="376" spans="1:11" ht="15" customHeight="1">
      <c r="A376" s="232">
        <v>128</v>
      </c>
      <c r="B376" s="269" t="s">
        <v>401</v>
      </c>
      <c r="C376" s="235" t="s">
        <v>237</v>
      </c>
      <c r="D376" s="236" t="s">
        <v>239</v>
      </c>
      <c r="E376" s="133"/>
      <c r="F376" s="180" t="s">
        <v>240</v>
      </c>
      <c r="G376" s="238"/>
      <c r="H376" s="160">
        <v>1</v>
      </c>
      <c r="I376" s="8">
        <v>100</v>
      </c>
      <c r="J376" s="205" t="str">
        <f t="shared" si="12"/>
        <v>SME128</v>
      </c>
      <c r="K376" s="115"/>
    </row>
    <row r="377" spans="1:11" ht="15" customHeight="1">
      <c r="A377" s="232">
        <v>128</v>
      </c>
      <c r="B377" s="269" t="s">
        <v>402</v>
      </c>
      <c r="C377" s="235" t="s">
        <v>237</v>
      </c>
      <c r="D377" s="236" t="s">
        <v>239</v>
      </c>
      <c r="E377" s="133"/>
      <c r="F377" s="180" t="s">
        <v>240</v>
      </c>
      <c r="G377" s="238"/>
      <c r="H377" s="160">
        <v>1</v>
      </c>
      <c r="I377" s="8">
        <v>100</v>
      </c>
      <c r="J377" s="205" t="str">
        <f t="shared" si="12"/>
        <v>SME128</v>
      </c>
      <c r="K377" s="115"/>
    </row>
    <row r="378" spans="1:11" ht="15" customHeight="1">
      <c r="A378" s="232">
        <v>128</v>
      </c>
      <c r="B378" s="269" t="s">
        <v>403</v>
      </c>
      <c r="C378" s="235" t="s">
        <v>237</v>
      </c>
      <c r="D378" s="236" t="s">
        <v>239</v>
      </c>
      <c r="E378" s="133"/>
      <c r="F378" s="180" t="s">
        <v>240</v>
      </c>
      <c r="G378" s="238"/>
      <c r="H378" s="160">
        <v>1</v>
      </c>
      <c r="I378" s="8">
        <v>100</v>
      </c>
      <c r="J378" s="205" t="str">
        <f t="shared" si="12"/>
        <v>SME128</v>
      </c>
      <c r="K378" s="115"/>
    </row>
    <row r="379" spans="1:11" ht="15" customHeight="1">
      <c r="A379" s="232">
        <v>128</v>
      </c>
      <c r="B379" s="269" t="s">
        <v>404</v>
      </c>
      <c r="C379" s="235" t="s">
        <v>237</v>
      </c>
      <c r="D379" s="236" t="s">
        <v>239</v>
      </c>
      <c r="E379" s="133"/>
      <c r="F379" s="180" t="s">
        <v>240</v>
      </c>
      <c r="G379" s="238"/>
      <c r="H379" s="160">
        <v>1</v>
      </c>
      <c r="I379" s="8">
        <v>100</v>
      </c>
      <c r="J379" s="205" t="str">
        <f t="shared" si="12"/>
        <v>SME128</v>
      </c>
      <c r="K379" s="115"/>
    </row>
    <row r="380" spans="1:11" ht="15" customHeight="1">
      <c r="A380" s="232">
        <v>128</v>
      </c>
      <c r="B380" s="269" t="s">
        <v>405</v>
      </c>
      <c r="C380" s="235" t="s">
        <v>237</v>
      </c>
      <c r="D380" s="236" t="s">
        <v>239</v>
      </c>
      <c r="E380" s="133"/>
      <c r="F380" s="180" t="s">
        <v>240</v>
      </c>
      <c r="G380" s="238"/>
      <c r="H380" s="160">
        <v>1</v>
      </c>
      <c r="I380" s="8">
        <v>100</v>
      </c>
      <c r="J380" s="205" t="str">
        <f t="shared" si="12"/>
        <v>SME128</v>
      </c>
      <c r="K380" s="115"/>
    </row>
    <row r="381" spans="1:11" ht="15" customHeight="1">
      <c r="A381" s="232">
        <v>128</v>
      </c>
      <c r="B381" s="269" t="s">
        <v>406</v>
      </c>
      <c r="C381" s="235" t="s">
        <v>237</v>
      </c>
      <c r="D381" s="236" t="s">
        <v>239</v>
      </c>
      <c r="E381" s="133"/>
      <c r="F381" s="180" t="s">
        <v>240</v>
      </c>
      <c r="G381" s="238"/>
      <c r="H381" s="160">
        <v>1</v>
      </c>
      <c r="I381" s="8">
        <v>100</v>
      </c>
      <c r="J381" s="205" t="str">
        <f t="shared" si="12"/>
        <v>SME128</v>
      </c>
      <c r="K381" s="115"/>
    </row>
    <row r="382" spans="1:11" ht="15" customHeight="1">
      <c r="A382" s="232">
        <v>128</v>
      </c>
      <c r="B382" s="269" t="s">
        <v>407</v>
      </c>
      <c r="C382" s="235" t="s">
        <v>237</v>
      </c>
      <c r="D382" s="236" t="s">
        <v>239</v>
      </c>
      <c r="E382" s="133"/>
      <c r="F382" s="180" t="s">
        <v>240</v>
      </c>
      <c r="G382" s="238"/>
      <c r="H382" s="160">
        <v>1</v>
      </c>
      <c r="I382" s="8">
        <v>100</v>
      </c>
      <c r="J382" s="205" t="str">
        <f t="shared" si="12"/>
        <v>SME128</v>
      </c>
      <c r="K382" s="115"/>
    </row>
    <row r="383" spans="1:11" ht="15" customHeight="1">
      <c r="A383" s="232">
        <v>128</v>
      </c>
      <c r="B383" s="269" t="s">
        <v>408</v>
      </c>
      <c r="C383" s="235" t="s">
        <v>237</v>
      </c>
      <c r="D383" s="236" t="s">
        <v>239</v>
      </c>
      <c r="E383" s="133"/>
      <c r="F383" s="180" t="s">
        <v>240</v>
      </c>
      <c r="G383" s="238"/>
      <c r="H383" s="160">
        <v>1</v>
      </c>
      <c r="I383" s="8">
        <v>100</v>
      </c>
      <c r="J383" s="205" t="str">
        <f t="shared" si="12"/>
        <v>SME128</v>
      </c>
      <c r="K383" s="115"/>
    </row>
    <row r="384" spans="1:11" ht="15" customHeight="1">
      <c r="A384" s="232">
        <v>128</v>
      </c>
      <c r="B384" s="269" t="s">
        <v>409</v>
      </c>
      <c r="C384" s="235" t="s">
        <v>237</v>
      </c>
      <c r="D384" s="236" t="s">
        <v>239</v>
      </c>
      <c r="E384" s="133"/>
      <c r="F384" s="180" t="s">
        <v>240</v>
      </c>
      <c r="G384" s="238"/>
      <c r="H384" s="160">
        <v>1</v>
      </c>
      <c r="I384" s="8">
        <v>100</v>
      </c>
      <c r="J384" s="205" t="str">
        <f t="shared" si="12"/>
        <v>SME128</v>
      </c>
      <c r="K384" s="115"/>
    </row>
    <row r="385" spans="1:11" ht="15" customHeight="1">
      <c r="A385" s="232">
        <v>101</v>
      </c>
      <c r="B385" s="137" t="s">
        <v>410</v>
      </c>
      <c r="C385" s="235" t="s">
        <v>237</v>
      </c>
      <c r="D385" s="236" t="s">
        <v>240</v>
      </c>
      <c r="E385" s="133">
        <v>28.18</v>
      </c>
      <c r="F385" s="180" t="s">
        <v>240</v>
      </c>
      <c r="G385" s="238" t="s">
        <v>118</v>
      </c>
      <c r="H385" s="160">
        <v>1</v>
      </c>
      <c r="I385" s="8">
        <v>1</v>
      </c>
      <c r="J385" s="205" t="str">
        <f t="shared" si="12"/>
        <v>SME101</v>
      </c>
      <c r="K385" s="115"/>
    </row>
    <row r="386" spans="1:11" ht="15" customHeight="1">
      <c r="A386" s="232">
        <v>102</v>
      </c>
      <c r="B386" s="137" t="s">
        <v>411</v>
      </c>
      <c r="C386" s="235" t="s">
        <v>237</v>
      </c>
      <c r="D386" s="236" t="s">
        <v>240</v>
      </c>
      <c r="E386" s="133">
        <v>2700</v>
      </c>
      <c r="F386" s="180" t="s">
        <v>240</v>
      </c>
      <c r="G386" s="238">
        <v>27</v>
      </c>
      <c r="H386" s="160">
        <v>100</v>
      </c>
      <c r="I386" s="8">
        <v>1</v>
      </c>
      <c r="J386" s="205" t="str">
        <f t="shared" si="12"/>
        <v>SME102</v>
      </c>
      <c r="K386" s="115"/>
    </row>
    <row r="387" spans="1:11" ht="15" customHeight="1">
      <c r="A387" s="232">
        <v>103</v>
      </c>
      <c r="B387" s="137" t="s">
        <v>412</v>
      </c>
      <c r="C387" s="235" t="s">
        <v>237</v>
      </c>
      <c r="D387" s="236" t="s">
        <v>240</v>
      </c>
      <c r="E387" s="133">
        <v>18.53</v>
      </c>
      <c r="F387" s="180" t="s">
        <v>240</v>
      </c>
      <c r="G387" s="238">
        <v>18.53</v>
      </c>
      <c r="H387" s="160">
        <v>1</v>
      </c>
      <c r="I387" s="8">
        <v>1</v>
      </c>
      <c r="J387" s="205" t="str">
        <f t="shared" si="12"/>
        <v>SME103</v>
      </c>
      <c r="K387" s="115"/>
    </row>
    <row r="388" spans="1:11" ht="15" customHeight="1">
      <c r="A388" s="232">
        <v>128</v>
      </c>
      <c r="B388" s="269" t="s">
        <v>413</v>
      </c>
      <c r="C388" s="235" t="s">
        <v>237</v>
      </c>
      <c r="D388" s="236" t="s">
        <v>239</v>
      </c>
      <c r="E388" s="133"/>
      <c r="F388" s="180" t="s">
        <v>240</v>
      </c>
      <c r="G388" s="238"/>
      <c r="H388" s="160">
        <v>1</v>
      </c>
      <c r="I388" s="8">
        <v>100</v>
      </c>
      <c r="J388" s="205" t="str">
        <f t="shared" si="12"/>
        <v>SME128</v>
      </c>
      <c r="K388" s="115"/>
    </row>
    <row r="389" spans="1:11" ht="15" customHeight="1">
      <c r="A389" s="232">
        <v>104</v>
      </c>
      <c r="B389" s="137" t="s">
        <v>414</v>
      </c>
      <c r="C389" s="235" t="s">
        <v>237</v>
      </c>
      <c r="D389" s="236" t="s">
        <v>239</v>
      </c>
      <c r="E389" s="133">
        <v>1800</v>
      </c>
      <c r="F389" s="180" t="s">
        <v>240</v>
      </c>
      <c r="G389" s="238">
        <v>18</v>
      </c>
      <c r="H389" s="160">
        <v>100</v>
      </c>
      <c r="I389" s="8">
        <v>1</v>
      </c>
      <c r="J389" s="205" t="str">
        <f t="shared" si="12"/>
        <v>SME104</v>
      </c>
      <c r="K389" s="115"/>
    </row>
    <row r="390" spans="1:11" ht="15" customHeight="1">
      <c r="A390" s="232">
        <v>105</v>
      </c>
      <c r="B390" s="137" t="s">
        <v>415</v>
      </c>
      <c r="C390" s="235" t="s">
        <v>237</v>
      </c>
      <c r="D390" s="236" t="s">
        <v>239</v>
      </c>
      <c r="E390" s="133">
        <v>1057</v>
      </c>
      <c r="F390" s="180" t="s">
        <v>239</v>
      </c>
      <c r="G390" s="238">
        <v>1057</v>
      </c>
      <c r="H390" s="160">
        <v>1</v>
      </c>
      <c r="I390" s="8">
        <v>1</v>
      </c>
      <c r="J390" s="205" t="str">
        <f t="shared" si="12"/>
        <v>SME105</v>
      </c>
      <c r="K390" s="115"/>
    </row>
    <row r="391" spans="1:11" ht="15" customHeight="1">
      <c r="A391" s="232">
        <v>106</v>
      </c>
      <c r="B391" s="137" t="s">
        <v>416</v>
      </c>
      <c r="C391" s="235" t="s">
        <v>237</v>
      </c>
      <c r="D391" s="236" t="s">
        <v>240</v>
      </c>
      <c r="E391" s="133">
        <v>18.53</v>
      </c>
      <c r="F391" s="180" t="s">
        <v>240</v>
      </c>
      <c r="G391" s="238">
        <v>18.53</v>
      </c>
      <c r="H391" s="160">
        <v>1</v>
      </c>
      <c r="I391" s="8">
        <v>1</v>
      </c>
      <c r="J391" s="205" t="str">
        <f t="shared" si="12"/>
        <v>SME106</v>
      </c>
      <c r="K391" s="115"/>
    </row>
    <row r="392" spans="1:11" ht="15" customHeight="1">
      <c r="A392" s="232">
        <v>107</v>
      </c>
      <c r="B392" s="137" t="s">
        <v>417</v>
      </c>
      <c r="C392" s="235" t="s">
        <v>237</v>
      </c>
      <c r="D392" s="236" t="s">
        <v>240</v>
      </c>
      <c r="E392" s="133">
        <v>22.8</v>
      </c>
      <c r="F392" s="180" t="s">
        <v>240</v>
      </c>
      <c r="G392" s="238">
        <v>22.8</v>
      </c>
      <c r="H392" s="160">
        <v>1</v>
      </c>
      <c r="I392" s="8">
        <v>1</v>
      </c>
      <c r="J392" s="205" t="str">
        <f t="shared" si="12"/>
        <v>SME107</v>
      </c>
      <c r="K392" s="115"/>
    </row>
    <row r="393" spans="1:11" ht="15" customHeight="1">
      <c r="A393" s="232">
        <v>108</v>
      </c>
      <c r="B393" s="137" t="s">
        <v>418</v>
      </c>
      <c r="C393" s="235" t="s">
        <v>237</v>
      </c>
      <c r="D393" s="236" t="s">
        <v>240</v>
      </c>
      <c r="E393" s="133">
        <v>22.8</v>
      </c>
      <c r="F393" s="180" t="s">
        <v>240</v>
      </c>
      <c r="G393" s="238">
        <v>22.8</v>
      </c>
      <c r="H393" s="160">
        <v>1</v>
      </c>
      <c r="I393" s="8">
        <v>1</v>
      </c>
      <c r="J393" s="205" t="str">
        <f t="shared" si="12"/>
        <v>SME108</v>
      </c>
      <c r="K393" s="115"/>
    </row>
    <row r="394" spans="1:11" ht="15" customHeight="1">
      <c r="A394" s="232">
        <v>109</v>
      </c>
      <c r="B394" s="137" t="s">
        <v>419</v>
      </c>
      <c r="C394" s="235" t="s">
        <v>237</v>
      </c>
      <c r="D394" s="236" t="s">
        <v>240</v>
      </c>
      <c r="E394" s="133">
        <v>14.73</v>
      </c>
      <c r="F394" s="180" t="s">
        <v>240</v>
      </c>
      <c r="G394" s="238">
        <v>14.73</v>
      </c>
      <c r="H394" s="160">
        <v>1</v>
      </c>
      <c r="I394" s="8">
        <v>1</v>
      </c>
      <c r="J394" s="205" t="str">
        <f t="shared" si="12"/>
        <v>SME109</v>
      </c>
      <c r="K394" s="115"/>
    </row>
    <row r="395" spans="1:11" ht="15" customHeight="1">
      <c r="A395" s="232">
        <v>110</v>
      </c>
      <c r="B395" s="137" t="s">
        <v>420</v>
      </c>
      <c r="C395" s="235" t="s">
        <v>237</v>
      </c>
      <c r="D395" s="236" t="s">
        <v>240</v>
      </c>
      <c r="E395" s="133">
        <v>14.73</v>
      </c>
      <c r="F395" s="180" t="s">
        <v>240</v>
      </c>
      <c r="G395" s="238">
        <v>14.73</v>
      </c>
      <c r="H395" s="160">
        <v>1</v>
      </c>
      <c r="I395" s="8">
        <v>1</v>
      </c>
      <c r="J395" s="205" t="str">
        <f t="shared" si="12"/>
        <v>SME110</v>
      </c>
      <c r="K395" s="115"/>
    </row>
    <row r="396" spans="1:11" ht="15" customHeight="1">
      <c r="A396" s="232">
        <v>128</v>
      </c>
      <c r="B396" s="269" t="s">
        <v>421</v>
      </c>
      <c r="C396" s="235" t="s">
        <v>237</v>
      </c>
      <c r="D396" s="236" t="s">
        <v>239</v>
      </c>
      <c r="E396" s="133"/>
      <c r="F396" s="180" t="s">
        <v>240</v>
      </c>
      <c r="G396" s="238"/>
      <c r="H396" s="160">
        <v>1</v>
      </c>
      <c r="I396" s="8">
        <v>100</v>
      </c>
      <c r="J396" s="205" t="str">
        <f t="shared" si="12"/>
        <v>SME128</v>
      </c>
      <c r="K396" s="115"/>
    </row>
    <row r="397" spans="1:11" ht="15" customHeight="1">
      <c r="A397" s="232">
        <v>128</v>
      </c>
      <c r="B397" s="269" t="s">
        <v>422</v>
      </c>
      <c r="C397" s="235" t="s">
        <v>237</v>
      </c>
      <c r="D397" s="236" t="s">
        <v>239</v>
      </c>
      <c r="E397" s="133"/>
      <c r="F397" s="180" t="s">
        <v>240</v>
      </c>
      <c r="G397" s="238"/>
      <c r="H397" s="160">
        <v>1</v>
      </c>
      <c r="I397" s="8">
        <v>100</v>
      </c>
      <c r="J397" s="205" t="str">
        <f t="shared" si="12"/>
        <v>SME128</v>
      </c>
      <c r="K397" s="115"/>
    </row>
    <row r="398" spans="1:11" ht="15" customHeight="1">
      <c r="A398" s="232">
        <v>128</v>
      </c>
      <c r="B398" s="269" t="s">
        <v>423</v>
      </c>
      <c r="C398" s="235" t="s">
        <v>237</v>
      </c>
      <c r="D398" s="236" t="s">
        <v>239</v>
      </c>
      <c r="E398" s="133"/>
      <c r="F398" s="180" t="s">
        <v>240</v>
      </c>
      <c r="G398" s="238"/>
      <c r="H398" s="160">
        <v>1</v>
      </c>
      <c r="I398" s="8">
        <v>100</v>
      </c>
      <c r="J398" s="205" t="str">
        <f t="shared" si="12"/>
        <v>SME128</v>
      </c>
      <c r="K398" s="115"/>
    </row>
    <row r="399" spans="1:11" ht="15" customHeight="1">
      <c r="A399" s="232">
        <v>128</v>
      </c>
      <c r="B399" s="269" t="s">
        <v>424</v>
      </c>
      <c r="C399" s="235" t="s">
        <v>237</v>
      </c>
      <c r="D399" s="236" t="s">
        <v>239</v>
      </c>
      <c r="E399" s="133"/>
      <c r="F399" s="180" t="s">
        <v>240</v>
      </c>
      <c r="G399" s="238"/>
      <c r="H399" s="160">
        <v>1</v>
      </c>
      <c r="I399" s="8">
        <v>100</v>
      </c>
      <c r="J399" s="205" t="str">
        <f t="shared" si="12"/>
        <v>SME128</v>
      </c>
      <c r="K399" s="115"/>
    </row>
    <row r="400" spans="1:11" ht="15" customHeight="1">
      <c r="A400" s="232">
        <v>128</v>
      </c>
      <c r="B400" s="269" t="s">
        <v>425</v>
      </c>
      <c r="C400" s="235" t="s">
        <v>237</v>
      </c>
      <c r="D400" s="236" t="s">
        <v>239</v>
      </c>
      <c r="E400" s="133"/>
      <c r="F400" s="180" t="s">
        <v>240</v>
      </c>
      <c r="G400" s="238"/>
      <c r="H400" s="160">
        <v>1</v>
      </c>
      <c r="I400" s="8">
        <v>100</v>
      </c>
      <c r="J400" s="205" t="str">
        <f t="shared" si="12"/>
        <v>SME128</v>
      </c>
      <c r="K400" s="115"/>
    </row>
    <row r="401" spans="1:11" ht="15" customHeight="1">
      <c r="A401" s="232">
        <v>128</v>
      </c>
      <c r="B401" s="269" t="s">
        <v>426</v>
      </c>
      <c r="C401" s="235" t="s">
        <v>237</v>
      </c>
      <c r="D401" s="236" t="s">
        <v>239</v>
      </c>
      <c r="E401" s="133"/>
      <c r="F401" s="180" t="s">
        <v>240</v>
      </c>
      <c r="G401" s="238"/>
      <c r="H401" s="160">
        <v>1</v>
      </c>
      <c r="I401" s="8">
        <v>100</v>
      </c>
      <c r="J401" s="205" t="str">
        <f t="shared" si="12"/>
        <v>SME128</v>
      </c>
      <c r="K401" s="115"/>
    </row>
    <row r="402" spans="1:11" ht="15" customHeight="1">
      <c r="A402" s="232">
        <v>128</v>
      </c>
      <c r="B402" s="269" t="s">
        <v>427</v>
      </c>
      <c r="C402" s="235" t="s">
        <v>237</v>
      </c>
      <c r="D402" s="236" t="s">
        <v>239</v>
      </c>
      <c r="E402" s="133"/>
      <c r="F402" s="180" t="s">
        <v>240</v>
      </c>
      <c r="G402" s="238"/>
      <c r="H402" s="160">
        <v>1</v>
      </c>
      <c r="I402" s="8">
        <v>100</v>
      </c>
      <c r="J402" s="205" t="str">
        <f t="shared" si="12"/>
        <v>SME128</v>
      </c>
      <c r="K402" s="115"/>
    </row>
    <row r="403" spans="1:11" ht="15" customHeight="1">
      <c r="A403" s="232">
        <v>128</v>
      </c>
      <c r="B403" s="269" t="s">
        <v>428</v>
      </c>
      <c r="C403" s="235" t="s">
        <v>237</v>
      </c>
      <c r="D403" s="236" t="s">
        <v>239</v>
      </c>
      <c r="E403" s="133"/>
      <c r="F403" s="180" t="s">
        <v>240</v>
      </c>
      <c r="G403" s="238"/>
      <c r="H403" s="160">
        <v>1</v>
      </c>
      <c r="I403" s="8">
        <v>100</v>
      </c>
      <c r="J403" s="205" t="str">
        <f t="shared" si="12"/>
        <v>SME128</v>
      </c>
      <c r="K403" s="115"/>
    </row>
    <row r="404" spans="1:11" ht="15" customHeight="1">
      <c r="A404" s="232">
        <v>128</v>
      </c>
      <c r="B404" s="269" t="s">
        <v>429</v>
      </c>
      <c r="C404" s="235" t="s">
        <v>237</v>
      </c>
      <c r="D404" s="236" t="s">
        <v>239</v>
      </c>
      <c r="E404" s="133"/>
      <c r="F404" s="180" t="s">
        <v>240</v>
      </c>
      <c r="G404" s="238"/>
      <c r="H404" s="160">
        <v>1</v>
      </c>
      <c r="I404" s="8">
        <v>100</v>
      </c>
      <c r="J404" s="205" t="str">
        <f t="shared" si="12"/>
        <v>SME128</v>
      </c>
      <c r="K404" s="115"/>
    </row>
    <row r="405" spans="1:11" ht="15" customHeight="1">
      <c r="A405" s="232">
        <v>128</v>
      </c>
      <c r="B405" s="269" t="s">
        <v>430</v>
      </c>
      <c r="C405" s="235" t="s">
        <v>237</v>
      </c>
      <c r="D405" s="236" t="s">
        <v>239</v>
      </c>
      <c r="E405" s="133"/>
      <c r="F405" s="180" t="s">
        <v>240</v>
      </c>
      <c r="G405" s="238"/>
      <c r="H405" s="160">
        <v>1</v>
      </c>
      <c r="I405" s="8">
        <v>100</v>
      </c>
      <c r="J405" s="205" t="str">
        <f t="shared" si="12"/>
        <v>SME128</v>
      </c>
      <c r="K405" s="115"/>
    </row>
    <row r="406" spans="1:11" ht="15" customHeight="1">
      <c r="A406" s="232">
        <v>128</v>
      </c>
      <c r="B406" s="269" t="s">
        <v>431</v>
      </c>
      <c r="C406" s="235" t="s">
        <v>237</v>
      </c>
      <c r="D406" s="236" t="s">
        <v>239</v>
      </c>
      <c r="E406" s="133"/>
      <c r="F406" s="180" t="s">
        <v>240</v>
      </c>
      <c r="G406" s="238"/>
      <c r="H406" s="160">
        <v>1</v>
      </c>
      <c r="I406" s="8">
        <v>100</v>
      </c>
      <c r="J406" s="205" t="str">
        <f t="shared" si="12"/>
        <v>SME128</v>
      </c>
      <c r="K406" s="115"/>
    </row>
    <row r="407" spans="1:11" ht="15" customHeight="1">
      <c r="A407" s="232">
        <v>128</v>
      </c>
      <c r="B407" s="269" t="s">
        <v>432</v>
      </c>
      <c r="C407" s="235" t="s">
        <v>237</v>
      </c>
      <c r="D407" s="236" t="s">
        <v>239</v>
      </c>
      <c r="E407" s="133"/>
      <c r="F407" s="180" t="s">
        <v>240</v>
      </c>
      <c r="G407" s="238"/>
      <c r="H407" s="160">
        <v>1</v>
      </c>
      <c r="I407" s="8">
        <v>100</v>
      </c>
      <c r="J407" s="205" t="str">
        <f t="shared" si="12"/>
        <v>SME128</v>
      </c>
      <c r="K407" s="115"/>
    </row>
    <row r="408" spans="1:11" ht="15" customHeight="1">
      <c r="A408" s="232">
        <v>128</v>
      </c>
      <c r="B408" s="269" t="s">
        <v>433</v>
      </c>
      <c r="C408" s="235" t="s">
        <v>237</v>
      </c>
      <c r="D408" s="236" t="s">
        <v>239</v>
      </c>
      <c r="E408" s="133"/>
      <c r="F408" s="180" t="s">
        <v>240</v>
      </c>
      <c r="G408" s="238"/>
      <c r="H408" s="160">
        <v>1</v>
      </c>
      <c r="I408" s="8">
        <v>100</v>
      </c>
      <c r="J408" s="205" t="str">
        <f t="shared" si="12"/>
        <v>SME128</v>
      </c>
      <c r="K408" s="115"/>
    </row>
    <row r="409" spans="1:11" ht="15" customHeight="1">
      <c r="A409" s="232">
        <v>111</v>
      </c>
      <c r="B409" s="137" t="s">
        <v>434</v>
      </c>
      <c r="C409" s="235" t="s">
        <v>237</v>
      </c>
      <c r="D409" s="236" t="s">
        <v>239</v>
      </c>
      <c r="E409" s="133">
        <v>819.99999999999989</v>
      </c>
      <c r="F409" s="180" t="s">
        <v>239</v>
      </c>
      <c r="G409" s="238">
        <v>819.99999999999989</v>
      </c>
      <c r="H409" s="160">
        <v>1</v>
      </c>
      <c r="I409" s="8">
        <v>1</v>
      </c>
      <c r="J409" s="205" t="str">
        <f t="shared" ref="J409:J430" si="13">CONCATENATE(LEFT(C409,1),MID(C409,SEARCH("_",C409)+1,2),TEXT(A409,"000"))</f>
        <v>SME111</v>
      </c>
      <c r="K409" s="115"/>
    </row>
    <row r="410" spans="1:11" ht="15" customHeight="1">
      <c r="A410" s="232">
        <v>112</v>
      </c>
      <c r="B410" s="137" t="s">
        <v>435</v>
      </c>
      <c r="C410" s="235" t="s">
        <v>237</v>
      </c>
      <c r="D410" s="236" t="s">
        <v>239</v>
      </c>
      <c r="E410" s="133">
        <v>1170</v>
      </c>
      <c r="F410" s="180" t="s">
        <v>239</v>
      </c>
      <c r="G410" s="238">
        <v>1170</v>
      </c>
      <c r="H410" s="160">
        <v>1</v>
      </c>
      <c r="I410" s="8">
        <v>1</v>
      </c>
      <c r="J410" s="205" t="str">
        <f t="shared" si="13"/>
        <v>SME112</v>
      </c>
      <c r="K410" s="115"/>
    </row>
    <row r="411" spans="1:11" ht="15" customHeight="1">
      <c r="A411" s="232">
        <v>113</v>
      </c>
      <c r="B411" s="137" t="s">
        <v>436</v>
      </c>
      <c r="C411" s="235" t="s">
        <v>237</v>
      </c>
      <c r="D411" s="236" t="s">
        <v>239</v>
      </c>
      <c r="E411" s="133">
        <v>8000</v>
      </c>
      <c r="F411" s="180" t="s">
        <v>256</v>
      </c>
      <c r="G411" s="238">
        <v>0.8</v>
      </c>
      <c r="H411" s="160">
        <v>100</v>
      </c>
      <c r="I411" s="8">
        <v>100</v>
      </c>
      <c r="J411" s="205" t="str">
        <f t="shared" si="13"/>
        <v>SME113</v>
      </c>
      <c r="K411" s="115"/>
    </row>
    <row r="412" spans="1:11" ht="15" customHeight="1">
      <c r="A412" s="232">
        <v>114</v>
      </c>
      <c r="B412" s="137" t="s">
        <v>437</v>
      </c>
      <c r="C412" s="235" t="s">
        <v>237</v>
      </c>
      <c r="D412" s="236" t="s">
        <v>239</v>
      </c>
      <c r="E412" s="133">
        <v>11000</v>
      </c>
      <c r="F412" s="180" t="s">
        <v>256</v>
      </c>
      <c r="G412" s="238">
        <v>0.7857142857142857</v>
      </c>
      <c r="H412" s="160">
        <v>140</v>
      </c>
      <c r="I412" s="8">
        <v>100</v>
      </c>
      <c r="J412" s="205" t="str">
        <f t="shared" si="13"/>
        <v>SME114</v>
      </c>
      <c r="K412" s="115"/>
    </row>
    <row r="413" spans="1:11" ht="15" customHeight="1">
      <c r="A413" s="232">
        <v>115</v>
      </c>
      <c r="B413" s="137" t="s">
        <v>438</v>
      </c>
      <c r="C413" s="235" t="s">
        <v>237</v>
      </c>
      <c r="D413" s="236" t="s">
        <v>239</v>
      </c>
      <c r="E413" s="133">
        <v>10858</v>
      </c>
      <c r="F413" s="180" t="s">
        <v>256</v>
      </c>
      <c r="G413" s="238">
        <v>0.77557142857142858</v>
      </c>
      <c r="H413" s="160">
        <v>140</v>
      </c>
      <c r="I413" s="8">
        <v>100</v>
      </c>
      <c r="J413" s="205" t="str">
        <f t="shared" si="13"/>
        <v>SME115</v>
      </c>
      <c r="K413" s="115"/>
    </row>
    <row r="414" spans="1:11" ht="15" customHeight="1">
      <c r="A414" s="232">
        <v>116</v>
      </c>
      <c r="B414" s="137" t="s">
        <v>439</v>
      </c>
      <c r="C414" s="235" t="s">
        <v>237</v>
      </c>
      <c r="D414" s="236" t="s">
        <v>239</v>
      </c>
      <c r="E414" s="133">
        <v>13999.16</v>
      </c>
      <c r="F414" s="180" t="s">
        <v>239</v>
      </c>
      <c r="G414" s="238">
        <v>13999.16</v>
      </c>
      <c r="H414" s="160">
        <v>1</v>
      </c>
      <c r="I414" s="8">
        <v>1</v>
      </c>
      <c r="J414" s="205" t="str">
        <f t="shared" si="13"/>
        <v>SME116</v>
      </c>
      <c r="K414" s="115"/>
    </row>
    <row r="415" spans="1:11" ht="15" customHeight="1">
      <c r="A415" s="232">
        <v>117</v>
      </c>
      <c r="B415" s="137" t="s">
        <v>440</v>
      </c>
      <c r="C415" s="235" t="s">
        <v>237</v>
      </c>
      <c r="D415" s="236" t="s">
        <v>242</v>
      </c>
      <c r="E415" s="133"/>
      <c r="F415" s="180" t="s">
        <v>240</v>
      </c>
      <c r="G415" s="238">
        <v>0</v>
      </c>
      <c r="H415" s="160">
        <v>1</v>
      </c>
      <c r="I415" s="8">
        <v>1</v>
      </c>
      <c r="J415" s="205" t="str">
        <f t="shared" si="13"/>
        <v>SME117</v>
      </c>
      <c r="K415" s="115"/>
    </row>
    <row r="416" spans="1:11" ht="15" customHeight="1">
      <c r="A416" s="232">
        <v>128</v>
      </c>
      <c r="B416" s="269" t="s">
        <v>441</v>
      </c>
      <c r="C416" s="235" t="s">
        <v>237</v>
      </c>
      <c r="D416" s="236" t="s">
        <v>239</v>
      </c>
      <c r="E416" s="133"/>
      <c r="F416" s="180" t="s">
        <v>240</v>
      </c>
      <c r="G416" s="238"/>
      <c r="H416" s="160">
        <v>1</v>
      </c>
      <c r="I416" s="8">
        <v>100</v>
      </c>
      <c r="J416" s="205" t="str">
        <f t="shared" si="13"/>
        <v>SME128</v>
      </c>
      <c r="K416" s="115"/>
    </row>
    <row r="417" spans="1:11" ht="15" customHeight="1">
      <c r="A417" s="232">
        <v>128</v>
      </c>
      <c r="B417" s="269" t="s">
        <v>442</v>
      </c>
      <c r="C417" s="235" t="s">
        <v>237</v>
      </c>
      <c r="D417" s="236" t="s">
        <v>239</v>
      </c>
      <c r="E417" s="133"/>
      <c r="F417" s="180" t="s">
        <v>240</v>
      </c>
      <c r="G417" s="238"/>
      <c r="H417" s="160">
        <v>1</v>
      </c>
      <c r="I417" s="8">
        <v>100</v>
      </c>
      <c r="J417" s="205" t="str">
        <f t="shared" si="13"/>
        <v>SME128</v>
      </c>
      <c r="K417" s="115"/>
    </row>
    <row r="418" spans="1:11" ht="15" customHeight="1">
      <c r="A418" s="232">
        <v>128</v>
      </c>
      <c r="B418" s="269" t="s">
        <v>443</v>
      </c>
      <c r="C418" s="235" t="s">
        <v>237</v>
      </c>
      <c r="D418" s="236" t="s">
        <v>239</v>
      </c>
      <c r="E418" s="133"/>
      <c r="F418" s="180" t="s">
        <v>240</v>
      </c>
      <c r="G418" s="238"/>
      <c r="H418" s="160">
        <v>1</v>
      </c>
      <c r="I418" s="8">
        <v>100</v>
      </c>
      <c r="J418" s="205" t="str">
        <f t="shared" si="13"/>
        <v>SME128</v>
      </c>
      <c r="K418" s="115"/>
    </row>
    <row r="419" spans="1:11" ht="15" customHeight="1">
      <c r="A419" s="232">
        <v>118</v>
      </c>
      <c r="B419" s="137" t="s">
        <v>444</v>
      </c>
      <c r="C419" s="235" t="s">
        <v>237</v>
      </c>
      <c r="D419" s="236" t="s">
        <v>256</v>
      </c>
      <c r="E419" s="133"/>
      <c r="F419" s="180" t="s">
        <v>256</v>
      </c>
      <c r="G419" s="238">
        <v>0</v>
      </c>
      <c r="H419" s="160">
        <v>100</v>
      </c>
      <c r="I419" s="8">
        <v>100</v>
      </c>
      <c r="J419" s="205" t="str">
        <f t="shared" si="13"/>
        <v>SME118</v>
      </c>
      <c r="K419" s="115"/>
    </row>
    <row r="420" spans="1:11" ht="15" customHeight="1">
      <c r="A420" s="232">
        <v>119</v>
      </c>
      <c r="B420" s="137" t="s">
        <v>445</v>
      </c>
      <c r="C420" s="235" t="s">
        <v>237</v>
      </c>
      <c r="D420" s="236" t="s">
        <v>256</v>
      </c>
      <c r="E420" s="133"/>
      <c r="F420" s="180" t="s">
        <v>256</v>
      </c>
      <c r="G420" s="238" t="s">
        <v>118</v>
      </c>
      <c r="H420" s="160">
        <v>100</v>
      </c>
      <c r="I420" s="8">
        <v>100</v>
      </c>
      <c r="J420" s="205" t="str">
        <f t="shared" si="13"/>
        <v>SME119</v>
      </c>
      <c r="K420" s="115"/>
    </row>
    <row r="421" spans="1:11" ht="15" customHeight="1">
      <c r="A421" s="232">
        <v>120</v>
      </c>
      <c r="B421" s="137" t="s">
        <v>446</v>
      </c>
      <c r="C421" s="235" t="s">
        <v>237</v>
      </c>
      <c r="D421" s="236" t="s">
        <v>447</v>
      </c>
      <c r="E421" s="133"/>
      <c r="F421" s="180" t="s">
        <v>447</v>
      </c>
      <c r="G421" s="238" t="s">
        <v>118</v>
      </c>
      <c r="H421" s="160">
        <v>1</v>
      </c>
      <c r="I421" s="8">
        <v>1</v>
      </c>
      <c r="J421" s="205" t="str">
        <f t="shared" si="13"/>
        <v>SME120</v>
      </c>
      <c r="K421" s="115"/>
    </row>
    <row r="422" spans="1:11" ht="15" customHeight="1">
      <c r="A422" s="232">
        <v>121</v>
      </c>
      <c r="B422" s="137" t="s">
        <v>448</v>
      </c>
      <c r="C422" s="235" t="s">
        <v>237</v>
      </c>
      <c r="D422" s="236" t="s">
        <v>216</v>
      </c>
      <c r="E422" s="133">
        <v>4776.666666666667</v>
      </c>
      <c r="F422" s="180" t="s">
        <v>109</v>
      </c>
      <c r="G422" s="238" t="s">
        <v>118</v>
      </c>
      <c r="H422" s="160">
        <v>1</v>
      </c>
      <c r="I422" s="8">
        <v>1</v>
      </c>
      <c r="J422" s="205" t="str">
        <f t="shared" si="13"/>
        <v>SME121</v>
      </c>
      <c r="K422" s="115"/>
    </row>
    <row r="423" spans="1:11" ht="15" customHeight="1">
      <c r="A423" s="232">
        <v>122</v>
      </c>
      <c r="B423" s="137" t="s">
        <v>449</v>
      </c>
      <c r="C423" s="235" t="s">
        <v>237</v>
      </c>
      <c r="D423" s="236" t="s">
        <v>239</v>
      </c>
      <c r="E423" s="133">
        <v>1035.3</v>
      </c>
      <c r="F423" s="180" t="s">
        <v>239</v>
      </c>
      <c r="G423" s="238" t="s">
        <v>118</v>
      </c>
      <c r="H423" s="160">
        <v>1</v>
      </c>
      <c r="I423" s="8">
        <v>1</v>
      </c>
      <c r="J423" s="205" t="str">
        <f t="shared" si="13"/>
        <v>SME122</v>
      </c>
      <c r="K423" s="115"/>
    </row>
    <row r="424" spans="1:11" ht="15" customHeight="1">
      <c r="A424" s="232">
        <v>128</v>
      </c>
      <c r="B424" s="269" t="s">
        <v>450</v>
      </c>
      <c r="C424" s="235" t="s">
        <v>237</v>
      </c>
      <c r="D424" s="236" t="s">
        <v>239</v>
      </c>
      <c r="E424" s="133"/>
      <c r="F424" s="180" t="s">
        <v>240</v>
      </c>
      <c r="G424" s="238"/>
      <c r="H424" s="160">
        <v>1</v>
      </c>
      <c r="I424" s="8">
        <v>100</v>
      </c>
      <c r="J424" s="205" t="str">
        <f t="shared" si="13"/>
        <v>SME128</v>
      </c>
      <c r="K424" s="115"/>
    </row>
    <row r="425" spans="1:11" ht="15" customHeight="1">
      <c r="A425" s="232">
        <v>123</v>
      </c>
      <c r="B425" s="137" t="s">
        <v>451</v>
      </c>
      <c r="C425" s="235" t="s">
        <v>237</v>
      </c>
      <c r="D425" s="236" t="s">
        <v>253</v>
      </c>
      <c r="E425" s="133">
        <v>700</v>
      </c>
      <c r="F425" s="180" t="s">
        <v>240</v>
      </c>
      <c r="G425" s="238">
        <v>7</v>
      </c>
      <c r="H425" s="160">
        <v>100</v>
      </c>
      <c r="I425" s="8">
        <v>1</v>
      </c>
      <c r="J425" s="205" t="str">
        <f t="shared" si="13"/>
        <v>SME123</v>
      </c>
      <c r="K425" s="115"/>
    </row>
    <row r="426" spans="1:11" ht="15" customHeight="1">
      <c r="A426" s="232">
        <v>124</v>
      </c>
      <c r="B426" s="137" t="s">
        <v>452</v>
      </c>
      <c r="C426" s="235" t="s">
        <v>237</v>
      </c>
      <c r="D426" s="236" t="s">
        <v>253</v>
      </c>
      <c r="E426" s="133">
        <v>1100</v>
      </c>
      <c r="F426" s="180" t="s">
        <v>240</v>
      </c>
      <c r="G426" s="238">
        <v>11</v>
      </c>
      <c r="H426" s="160">
        <v>100</v>
      </c>
      <c r="I426" s="8">
        <v>1</v>
      </c>
      <c r="J426" s="205" t="str">
        <f t="shared" si="13"/>
        <v>SME124</v>
      </c>
      <c r="K426" s="115"/>
    </row>
    <row r="427" spans="1:11" ht="15" customHeight="1">
      <c r="A427" s="232">
        <v>125</v>
      </c>
      <c r="B427" s="137" t="s">
        <v>453</v>
      </c>
      <c r="C427" s="235" t="s">
        <v>237</v>
      </c>
      <c r="D427" s="236" t="s">
        <v>240</v>
      </c>
      <c r="E427" s="133">
        <v>1000</v>
      </c>
      <c r="F427" s="180" t="s">
        <v>240</v>
      </c>
      <c r="G427" s="238">
        <v>1000</v>
      </c>
      <c r="H427" s="160">
        <v>1</v>
      </c>
      <c r="I427" s="8">
        <v>1</v>
      </c>
      <c r="J427" s="205" t="str">
        <f t="shared" si="13"/>
        <v>SME125</v>
      </c>
      <c r="K427" s="115"/>
    </row>
    <row r="428" spans="1:11" ht="15" customHeight="1">
      <c r="A428" s="232">
        <v>126</v>
      </c>
      <c r="B428" s="137" t="s">
        <v>454</v>
      </c>
      <c r="C428" s="235" t="s">
        <v>237</v>
      </c>
      <c r="D428" s="236" t="s">
        <v>239</v>
      </c>
      <c r="E428" s="133">
        <v>700</v>
      </c>
      <c r="F428" s="180" t="s">
        <v>240</v>
      </c>
      <c r="G428" s="238">
        <v>7</v>
      </c>
      <c r="H428" s="160">
        <v>100</v>
      </c>
      <c r="I428" s="8">
        <v>1</v>
      </c>
      <c r="J428" s="205" t="str">
        <f t="shared" si="13"/>
        <v>SME126</v>
      </c>
      <c r="K428" s="115"/>
    </row>
    <row r="429" spans="1:11" ht="15" customHeight="1">
      <c r="A429" s="232">
        <v>127</v>
      </c>
      <c r="B429" s="137" t="s">
        <v>455</v>
      </c>
      <c r="C429" s="235" t="s">
        <v>237</v>
      </c>
      <c r="D429" s="236" t="s">
        <v>239</v>
      </c>
      <c r="E429" s="133">
        <v>84</v>
      </c>
      <c r="F429" s="180" t="s">
        <v>240</v>
      </c>
      <c r="G429" s="238">
        <v>84</v>
      </c>
      <c r="H429" s="160">
        <v>1</v>
      </c>
      <c r="I429" s="8">
        <v>1</v>
      </c>
      <c r="J429" s="205" t="str">
        <f t="shared" si="13"/>
        <v>SME127</v>
      </c>
      <c r="K429" s="115"/>
    </row>
    <row r="430" spans="1:11" ht="15" customHeight="1">
      <c r="A430" s="232">
        <v>128</v>
      </c>
      <c r="B430" s="137" t="s">
        <v>456</v>
      </c>
      <c r="C430" s="235" t="s">
        <v>237</v>
      </c>
      <c r="D430" s="236" t="s">
        <v>239</v>
      </c>
      <c r="E430" s="133">
        <v>10780</v>
      </c>
      <c r="F430" s="180" t="s">
        <v>256</v>
      </c>
      <c r="G430" s="238">
        <v>0.77</v>
      </c>
      <c r="H430" s="160">
        <v>140</v>
      </c>
      <c r="I430" s="8">
        <v>100</v>
      </c>
      <c r="J430" s="205" t="str">
        <f t="shared" si="13"/>
        <v>SME128</v>
      </c>
      <c r="K430" s="115"/>
    </row>
    <row r="431" spans="1:11" ht="15" customHeight="1">
      <c r="B431"/>
      <c r="C431"/>
      <c r="D431"/>
      <c r="E431"/>
      <c r="F431" s="176"/>
      <c r="H431"/>
      <c r="I431"/>
    </row>
    <row r="432" spans="1:11" ht="15" customHeight="1">
      <c r="B432"/>
      <c r="C432"/>
      <c r="D432"/>
      <c r="E432"/>
      <c r="F432" s="176"/>
      <c r="H432"/>
      <c r="I432"/>
    </row>
    <row r="433" spans="6:6" customFormat="1" ht="15" customHeight="1">
      <c r="F433" s="176"/>
    </row>
    <row r="434" spans="6:6" customFormat="1" ht="15" customHeight="1">
      <c r="F434" s="176"/>
    </row>
    <row r="435" spans="6:6" customFormat="1" ht="15" customHeight="1">
      <c r="F435" s="176"/>
    </row>
    <row r="436" spans="6:6" customFormat="1" ht="15" customHeight="1">
      <c r="F436" s="176"/>
    </row>
    <row r="437" spans="6:6" customFormat="1" ht="15" customHeight="1">
      <c r="F437" s="176"/>
    </row>
    <row r="438" spans="6:6" customFormat="1" ht="15" customHeight="1">
      <c r="F438" s="176"/>
    </row>
    <row r="439" spans="6:6" customFormat="1" ht="15" customHeight="1">
      <c r="F439" s="176"/>
    </row>
    <row r="440" spans="6:6" customFormat="1" ht="15" customHeight="1">
      <c r="F440" s="176"/>
    </row>
    <row r="441" spans="6:6" customFormat="1" ht="15" customHeight="1">
      <c r="F441" s="176"/>
    </row>
    <row r="442" spans="6:6" customFormat="1" ht="15" customHeight="1">
      <c r="F442" s="176"/>
    </row>
    <row r="443" spans="6:6" customFormat="1" ht="15" customHeight="1">
      <c r="F443" s="176"/>
    </row>
    <row r="444" spans="6:6" customFormat="1" ht="15" customHeight="1">
      <c r="F444" s="176"/>
    </row>
    <row r="445" spans="6:6" customFormat="1" ht="15" customHeight="1">
      <c r="F445" s="176"/>
    </row>
    <row r="446" spans="6:6" customFormat="1" ht="15" customHeight="1">
      <c r="F446" s="176"/>
    </row>
    <row r="447" spans="6:6" customFormat="1" ht="15" customHeight="1">
      <c r="F447" s="176"/>
    </row>
    <row r="448" spans="6:6" customFormat="1" ht="15" customHeight="1">
      <c r="F448" s="176"/>
    </row>
    <row r="449" spans="2:9" ht="15" customHeight="1">
      <c r="B449"/>
      <c r="C449"/>
      <c r="D449"/>
      <c r="E449"/>
      <c r="F449" s="176"/>
      <c r="H449"/>
      <c r="I449"/>
    </row>
    <row r="450" spans="2:9" ht="15" customHeight="1">
      <c r="B450"/>
      <c r="C450"/>
      <c r="D450"/>
      <c r="E450"/>
      <c r="F450" s="176"/>
      <c r="H450"/>
      <c r="I450"/>
    </row>
    <row r="451" spans="2:9" ht="15" customHeight="1">
      <c r="B451"/>
      <c r="C451"/>
      <c r="D451"/>
      <c r="E451"/>
      <c r="F451" s="176"/>
      <c r="H451"/>
      <c r="I451"/>
    </row>
    <row r="452" spans="2:9" ht="15" customHeight="1">
      <c r="B452"/>
      <c r="C452"/>
      <c r="D452"/>
      <c r="E452"/>
      <c r="F452" s="176"/>
      <c r="H452"/>
      <c r="I452"/>
    </row>
    <row r="453" spans="2:9" ht="15" customHeight="1">
      <c r="B453"/>
      <c r="C453"/>
      <c r="D453"/>
      <c r="E453"/>
      <c r="F453" s="176"/>
      <c r="H453"/>
      <c r="I453"/>
    </row>
    <row r="454" spans="2:9" ht="15" customHeight="1">
      <c r="B454"/>
      <c r="C454"/>
      <c r="D454"/>
      <c r="E454"/>
      <c r="F454" s="176"/>
      <c r="H454"/>
      <c r="I454"/>
    </row>
    <row r="455" spans="2:9" ht="15" customHeight="1">
      <c r="B455"/>
      <c r="C455"/>
      <c r="D455"/>
      <c r="E455"/>
      <c r="F455" s="176"/>
      <c r="H455"/>
      <c r="I455"/>
    </row>
    <row r="456" spans="2:9" ht="15" customHeight="1">
      <c r="B456"/>
      <c r="C456"/>
      <c r="D456"/>
      <c r="E456"/>
      <c r="F456" s="176"/>
      <c r="H456"/>
      <c r="I456"/>
    </row>
    <row r="457" spans="2:9" ht="15" customHeight="1">
      <c r="B457"/>
      <c r="C457"/>
      <c r="D457"/>
      <c r="E457"/>
      <c r="F457" s="176"/>
      <c r="H457"/>
      <c r="I457"/>
    </row>
    <row r="458" spans="2:9" ht="15" customHeight="1">
      <c r="B458"/>
      <c r="C458"/>
      <c r="D458"/>
      <c r="E458"/>
      <c r="F458" s="176"/>
      <c r="H458"/>
      <c r="I458"/>
    </row>
    <row r="459" spans="2:9" ht="15" customHeight="1">
      <c r="B459"/>
      <c r="C459"/>
      <c r="D459"/>
      <c r="E459"/>
      <c r="F459" s="176"/>
      <c r="H459"/>
      <c r="I459"/>
    </row>
    <row r="460" spans="2:9" ht="15" customHeight="1">
      <c r="B460"/>
      <c r="C460"/>
      <c r="D460"/>
      <c r="E460"/>
      <c r="F460" s="176"/>
      <c r="H460"/>
      <c r="I460"/>
    </row>
    <row r="461" spans="2:9" ht="15" customHeight="1">
      <c r="B461"/>
      <c r="C461"/>
      <c r="D461"/>
      <c r="E461"/>
      <c r="F461" s="176"/>
      <c r="H461"/>
      <c r="I461"/>
    </row>
    <row r="462" spans="2:9" ht="15" customHeight="1">
      <c r="B462"/>
      <c r="C462"/>
      <c r="D462"/>
      <c r="E462"/>
      <c r="F462" s="176"/>
      <c r="H462"/>
      <c r="I462"/>
    </row>
    <row r="463" spans="2:9" ht="15" customHeight="1">
      <c r="C463"/>
      <c r="D463"/>
      <c r="E463"/>
      <c r="F463" s="176"/>
      <c r="H463"/>
      <c r="I463"/>
    </row>
    <row r="464" spans="2:9" ht="15" customHeight="1">
      <c r="B464"/>
      <c r="C464"/>
      <c r="D464"/>
      <c r="E464"/>
      <c r="F464" s="176"/>
      <c r="H464"/>
      <c r="I464"/>
    </row>
    <row r="465" spans="6:6" customFormat="1" ht="15" customHeight="1">
      <c r="F465" s="176"/>
    </row>
    <row r="466" spans="6:6" customFormat="1" ht="15" customHeight="1">
      <c r="F466" s="176"/>
    </row>
    <row r="467" spans="6:6" customFormat="1" ht="15" customHeight="1">
      <c r="F467" s="176"/>
    </row>
    <row r="468" spans="6:6" customFormat="1" ht="15" customHeight="1">
      <c r="F468" s="176"/>
    </row>
    <row r="469" spans="6:6" customFormat="1" ht="15" customHeight="1">
      <c r="F469" s="176"/>
    </row>
    <row r="470" spans="6:6" customFormat="1" ht="15" customHeight="1">
      <c r="F470" s="176"/>
    </row>
    <row r="471" spans="6:6" customFormat="1" ht="15" customHeight="1">
      <c r="F471" s="176"/>
    </row>
    <row r="472" spans="6:6" customFormat="1" ht="15" customHeight="1">
      <c r="F472" s="176"/>
    </row>
    <row r="473" spans="6:6" customFormat="1" ht="15" customHeight="1">
      <c r="F473" s="176"/>
    </row>
    <row r="474" spans="6:6" customFormat="1" ht="15" customHeight="1">
      <c r="F474" s="176"/>
    </row>
    <row r="475" spans="6:6" customFormat="1" ht="15" customHeight="1">
      <c r="F475" s="176"/>
    </row>
    <row r="476" spans="6:6" customFormat="1" ht="15" customHeight="1">
      <c r="F476" s="176"/>
    </row>
    <row r="477" spans="6:6" customFormat="1" ht="15" customHeight="1">
      <c r="F477" s="176"/>
    </row>
    <row r="478" spans="6:6" customFormat="1" ht="15" customHeight="1">
      <c r="F478" s="176"/>
    </row>
    <row r="479" spans="6:6" customFormat="1" ht="15" customHeight="1">
      <c r="F479" s="176"/>
    </row>
    <row r="480" spans="6:6" customFormat="1" ht="15" customHeight="1">
      <c r="F480" s="176"/>
    </row>
    <row r="481" spans="6:6" customFormat="1" ht="15" customHeight="1">
      <c r="F481" s="176"/>
    </row>
    <row r="482" spans="6:6" customFormat="1" ht="15" customHeight="1">
      <c r="F482" s="176"/>
    </row>
    <row r="483" spans="6:6" customFormat="1" ht="15" customHeight="1">
      <c r="F483" s="176"/>
    </row>
    <row r="484" spans="6:6" customFormat="1" ht="15" customHeight="1">
      <c r="F484" s="176"/>
    </row>
    <row r="485" spans="6:6" customFormat="1" ht="15" customHeight="1">
      <c r="F485" s="176"/>
    </row>
    <row r="486" spans="6:6" customFormat="1" ht="15" customHeight="1">
      <c r="F486" s="176"/>
    </row>
    <row r="487" spans="6:6" customFormat="1" ht="15" customHeight="1">
      <c r="F487" s="176"/>
    </row>
    <row r="488" spans="6:6" customFormat="1" ht="15" customHeight="1">
      <c r="F488" s="176"/>
    </row>
    <row r="489" spans="6:6" customFormat="1" ht="15" customHeight="1">
      <c r="F489" s="176"/>
    </row>
    <row r="490" spans="6:6" customFormat="1" ht="15" customHeight="1">
      <c r="F490" s="176"/>
    </row>
    <row r="491" spans="6:6" customFormat="1" ht="15" customHeight="1">
      <c r="F491" s="176"/>
    </row>
    <row r="492" spans="6:6" customFormat="1" ht="15" customHeight="1">
      <c r="F492" s="176"/>
    </row>
    <row r="493" spans="6:6" customFormat="1" ht="15" customHeight="1">
      <c r="F493" s="176"/>
    </row>
    <row r="494" spans="6:6" customFormat="1" ht="15" customHeight="1">
      <c r="F494" s="176"/>
    </row>
    <row r="495" spans="6:6" customFormat="1" ht="15" customHeight="1">
      <c r="F495" s="176"/>
    </row>
    <row r="496" spans="6:6" customFormat="1" ht="15" customHeight="1">
      <c r="F496" s="176"/>
    </row>
    <row r="497" spans="6:6" customFormat="1" ht="15" customHeight="1">
      <c r="F497" s="176"/>
    </row>
    <row r="498" spans="6:6" customFormat="1" ht="15" customHeight="1">
      <c r="F498" s="176"/>
    </row>
    <row r="499" spans="6:6" customFormat="1" ht="15" customHeight="1">
      <c r="F499" s="176"/>
    </row>
    <row r="500" spans="6:6" customFormat="1" ht="15" customHeight="1">
      <c r="F500" s="176"/>
    </row>
    <row r="501" spans="6:6" customFormat="1" ht="15" customHeight="1">
      <c r="F501" s="176"/>
    </row>
    <row r="502" spans="6:6" customFormat="1" ht="15" customHeight="1">
      <c r="F502" s="176"/>
    </row>
    <row r="503" spans="6:6" customFormat="1" ht="15" customHeight="1">
      <c r="F503" s="176"/>
    </row>
    <row r="504" spans="6:6" customFormat="1" ht="15" customHeight="1">
      <c r="F504" s="176"/>
    </row>
    <row r="505" spans="6:6" customFormat="1" ht="15" customHeight="1">
      <c r="F505" s="176"/>
    </row>
    <row r="506" spans="6:6" customFormat="1" ht="15" customHeight="1">
      <c r="F506" s="176"/>
    </row>
    <row r="507" spans="6:6" customFormat="1" ht="15" customHeight="1">
      <c r="F507" s="176"/>
    </row>
    <row r="508" spans="6:6" customFormat="1" ht="15" customHeight="1">
      <c r="F508" s="176"/>
    </row>
    <row r="509" spans="6:6" customFormat="1" ht="15" customHeight="1">
      <c r="F509" s="176"/>
    </row>
    <row r="510" spans="6:6" customFormat="1" ht="15" customHeight="1">
      <c r="F510" s="176"/>
    </row>
    <row r="511" spans="6:6" customFormat="1" ht="15" customHeight="1">
      <c r="F511" s="176"/>
    </row>
    <row r="512" spans="6:6" customFormat="1" ht="15" customHeight="1">
      <c r="F512" s="176"/>
    </row>
    <row r="513" spans="6:6" customFormat="1" ht="15" customHeight="1">
      <c r="F513" s="176"/>
    </row>
    <row r="514" spans="6:6" customFormat="1" ht="15" customHeight="1">
      <c r="F514" s="176"/>
    </row>
    <row r="515" spans="6:6" customFormat="1" ht="15" customHeight="1">
      <c r="F515" s="176"/>
    </row>
    <row r="516" spans="6:6" customFormat="1" ht="15" customHeight="1">
      <c r="F516" s="176"/>
    </row>
    <row r="517" spans="6:6" customFormat="1" ht="15" customHeight="1">
      <c r="F517" s="176"/>
    </row>
    <row r="518" spans="6:6" customFormat="1" ht="15" customHeight="1">
      <c r="F518" s="176"/>
    </row>
    <row r="519" spans="6:6" customFormat="1" ht="15" customHeight="1">
      <c r="F519" s="176"/>
    </row>
    <row r="520" spans="6:6" customFormat="1" ht="15" customHeight="1">
      <c r="F520" s="176"/>
    </row>
    <row r="521" spans="6:6" customFormat="1" ht="15" customHeight="1">
      <c r="F521" s="176"/>
    </row>
    <row r="522" spans="6:6" customFormat="1" ht="15" customHeight="1">
      <c r="F522" s="176"/>
    </row>
    <row r="523" spans="6:6" customFormat="1" ht="15" customHeight="1">
      <c r="F523" s="176"/>
    </row>
    <row r="524" spans="6:6" customFormat="1" ht="15" customHeight="1">
      <c r="F524" s="176"/>
    </row>
    <row r="525" spans="6:6" customFormat="1" ht="15" customHeight="1">
      <c r="F525" s="176"/>
    </row>
    <row r="526" spans="6:6" customFormat="1" ht="15" customHeight="1">
      <c r="F526" s="176"/>
    </row>
    <row r="527" spans="6:6" customFormat="1" ht="15" customHeight="1">
      <c r="F527" s="176"/>
    </row>
    <row r="528" spans="6:6" customFormat="1" ht="15" customHeight="1">
      <c r="F528" s="176"/>
    </row>
    <row r="529" spans="6:6" customFormat="1" ht="15" customHeight="1">
      <c r="F529" s="176"/>
    </row>
    <row r="530" spans="6:6" customFormat="1" ht="15" customHeight="1">
      <c r="F530" s="176"/>
    </row>
    <row r="531" spans="6:6" customFormat="1" ht="15" customHeight="1">
      <c r="F531" s="176"/>
    </row>
    <row r="532" spans="6:6" customFormat="1" ht="15" customHeight="1">
      <c r="F532" s="176"/>
    </row>
    <row r="533" spans="6:6" customFormat="1" ht="15" customHeight="1">
      <c r="F533" s="176"/>
    </row>
    <row r="534" spans="6:6" customFormat="1" ht="15" customHeight="1">
      <c r="F534" s="176"/>
    </row>
    <row r="535" spans="6:6" customFormat="1" ht="15" customHeight="1">
      <c r="F535" s="176"/>
    </row>
    <row r="536" spans="6:6" customFormat="1" ht="15" customHeight="1">
      <c r="F536" s="176"/>
    </row>
    <row r="537" spans="6:6" customFormat="1" ht="15" customHeight="1">
      <c r="F537" s="176"/>
    </row>
    <row r="538" spans="6:6" customFormat="1" ht="15" customHeight="1">
      <c r="F538" s="176"/>
    </row>
    <row r="539" spans="6:6" customFormat="1" ht="15" customHeight="1">
      <c r="F539" s="176"/>
    </row>
    <row r="540" spans="6:6" customFormat="1" ht="15" customHeight="1">
      <c r="F540" s="176"/>
    </row>
    <row r="541" spans="6:6" customFormat="1" ht="15" customHeight="1">
      <c r="F541" s="176"/>
    </row>
    <row r="542" spans="6:6" customFormat="1" ht="15" customHeight="1">
      <c r="F542" s="176"/>
    </row>
    <row r="543" spans="6:6" customFormat="1" ht="15" customHeight="1">
      <c r="F543" s="176"/>
    </row>
    <row r="544" spans="6:6" customFormat="1" ht="15" customHeight="1">
      <c r="F544" s="176"/>
    </row>
    <row r="545" spans="6:6" customFormat="1" ht="15" customHeight="1">
      <c r="F545" s="176"/>
    </row>
    <row r="546" spans="6:6" customFormat="1" ht="15" customHeight="1">
      <c r="F546" s="176"/>
    </row>
    <row r="547" spans="6:6" customFormat="1" ht="15" customHeight="1">
      <c r="F547" s="176"/>
    </row>
    <row r="548" spans="6:6" customFormat="1" ht="15" customHeight="1">
      <c r="F548" s="176"/>
    </row>
    <row r="549" spans="6:6" customFormat="1" ht="15" customHeight="1">
      <c r="F549" s="176"/>
    </row>
    <row r="550" spans="6:6" customFormat="1" ht="15" customHeight="1">
      <c r="F550" s="176"/>
    </row>
    <row r="551" spans="6:6" customFormat="1" ht="15" customHeight="1">
      <c r="F551" s="176"/>
    </row>
    <row r="552" spans="6:6" customFormat="1" ht="15" customHeight="1">
      <c r="F552" s="176"/>
    </row>
    <row r="553" spans="6:6" customFormat="1" ht="15" customHeight="1">
      <c r="F553" s="176"/>
    </row>
    <row r="554" spans="6:6" customFormat="1" ht="15" customHeight="1">
      <c r="F554" s="176"/>
    </row>
    <row r="555" spans="6:6" customFormat="1" ht="15" customHeight="1">
      <c r="F555" s="176"/>
    </row>
    <row r="556" spans="6:6" customFormat="1" ht="15" customHeight="1">
      <c r="F556" s="176"/>
    </row>
    <row r="557" spans="6:6" customFormat="1" ht="15" customHeight="1">
      <c r="F557" s="176"/>
    </row>
    <row r="558" spans="6:6" customFormat="1" ht="15" customHeight="1">
      <c r="F558" s="176"/>
    </row>
    <row r="559" spans="6:6" customFormat="1" ht="15" customHeight="1">
      <c r="F559" s="176"/>
    </row>
    <row r="560" spans="6:6" customFormat="1" ht="15" customHeight="1">
      <c r="F560" s="176"/>
    </row>
    <row r="561" spans="6:6" customFormat="1" ht="15" customHeight="1">
      <c r="F561" s="176"/>
    </row>
    <row r="562" spans="6:6" customFormat="1" ht="15" customHeight="1">
      <c r="F562" s="176"/>
    </row>
    <row r="563" spans="6:6" customFormat="1" ht="15" customHeight="1">
      <c r="F563" s="176"/>
    </row>
    <row r="564" spans="6:6" customFormat="1" ht="15" customHeight="1">
      <c r="F564" s="176"/>
    </row>
    <row r="565" spans="6:6" customFormat="1" ht="15" customHeight="1">
      <c r="F565" s="176"/>
    </row>
    <row r="566" spans="6:6" customFormat="1" ht="17.25" customHeight="1">
      <c r="F566" s="176"/>
    </row>
    <row r="567" spans="6:6" customFormat="1" ht="15" customHeight="1">
      <c r="F567" s="176"/>
    </row>
    <row r="568" spans="6:6" customFormat="1" ht="27.75" customHeight="1">
      <c r="F568" s="176"/>
    </row>
    <row r="569" spans="6:6" customFormat="1">
      <c r="F569" s="176"/>
    </row>
    <row r="570" spans="6:6" customFormat="1" ht="15" customHeight="1">
      <c r="F570" s="176"/>
    </row>
    <row r="571" spans="6:6" customFormat="1" ht="15" customHeight="1">
      <c r="F571" s="176"/>
    </row>
    <row r="572" spans="6:6" customFormat="1" ht="15" customHeight="1">
      <c r="F572" s="176"/>
    </row>
    <row r="573" spans="6:6" customFormat="1" ht="15" customHeight="1">
      <c r="F573" s="176"/>
    </row>
    <row r="574" spans="6:6" customFormat="1" ht="15" customHeight="1">
      <c r="F574" s="176"/>
    </row>
    <row r="575" spans="6:6" customFormat="1" ht="15" customHeight="1">
      <c r="F575" s="176"/>
    </row>
    <row r="576" spans="6:6" customFormat="1" ht="15" customHeight="1">
      <c r="F576" s="176"/>
    </row>
    <row r="577" spans="6:6" customFormat="1" ht="15" customHeight="1">
      <c r="F577" s="176"/>
    </row>
    <row r="578" spans="6:6" customFormat="1" ht="15" customHeight="1">
      <c r="F578" s="176"/>
    </row>
    <row r="579" spans="6:6" customFormat="1" ht="15" customHeight="1">
      <c r="F579" s="176"/>
    </row>
    <row r="580" spans="6:6" customFormat="1" ht="15" customHeight="1">
      <c r="F580" s="176"/>
    </row>
    <row r="581" spans="6:6" customFormat="1" ht="15" customHeight="1">
      <c r="F581" s="176"/>
    </row>
    <row r="582" spans="6:6" customFormat="1" ht="15" customHeight="1">
      <c r="F582" s="176"/>
    </row>
    <row r="583" spans="6:6" customFormat="1" ht="15" customHeight="1">
      <c r="F583" s="176"/>
    </row>
    <row r="584" spans="6:6" customFormat="1" ht="15" customHeight="1">
      <c r="F584" s="176"/>
    </row>
    <row r="585" spans="6:6" customFormat="1" ht="15" customHeight="1">
      <c r="F585" s="176"/>
    </row>
    <row r="586" spans="6:6" customFormat="1" ht="15" customHeight="1">
      <c r="F586" s="176"/>
    </row>
    <row r="587" spans="6:6" customFormat="1" ht="15" customHeight="1">
      <c r="F587" s="176"/>
    </row>
    <row r="588" spans="6:6" customFormat="1" ht="15" customHeight="1">
      <c r="F588" s="176"/>
    </row>
    <row r="589" spans="6:6" customFormat="1" ht="15" customHeight="1">
      <c r="F589" s="176"/>
    </row>
    <row r="590" spans="6:6" customFormat="1" ht="15" customHeight="1">
      <c r="F590" s="176"/>
    </row>
    <row r="591" spans="6:6" customFormat="1" ht="15" customHeight="1">
      <c r="F591" s="176"/>
    </row>
    <row r="592" spans="6:6" customFormat="1" ht="15" customHeight="1">
      <c r="F592" s="176"/>
    </row>
    <row r="593" spans="6:6" customFormat="1" ht="15" customHeight="1">
      <c r="F593" s="176"/>
    </row>
    <row r="594" spans="6:6" customFormat="1" ht="15" customHeight="1">
      <c r="F594" s="176"/>
    </row>
    <row r="595" spans="6:6" customFormat="1" ht="15" customHeight="1">
      <c r="F595" s="176"/>
    </row>
    <row r="596" spans="6:6" customFormat="1" ht="15" customHeight="1">
      <c r="F596" s="176"/>
    </row>
    <row r="597" spans="6:6" customFormat="1" ht="15" customHeight="1">
      <c r="F597" s="176"/>
    </row>
    <row r="598" spans="6:6" customFormat="1" ht="15" customHeight="1">
      <c r="F598" s="176"/>
    </row>
    <row r="599" spans="6:6" customFormat="1" ht="15" customHeight="1">
      <c r="F599" s="176"/>
    </row>
    <row r="600" spans="6:6" customFormat="1" ht="15" customHeight="1">
      <c r="F600" s="176"/>
    </row>
    <row r="601" spans="6:6" customFormat="1" ht="15" customHeight="1">
      <c r="F601" s="176"/>
    </row>
    <row r="602" spans="6:6" customFormat="1" ht="15" customHeight="1">
      <c r="F602" s="176"/>
    </row>
    <row r="603" spans="6:6" customFormat="1" ht="15" customHeight="1">
      <c r="F603" s="176"/>
    </row>
    <row r="604" spans="6:6" customFormat="1" ht="15" customHeight="1">
      <c r="F604" s="176"/>
    </row>
    <row r="605" spans="6:6" customFormat="1" ht="15" customHeight="1">
      <c r="F605" s="176"/>
    </row>
    <row r="606" spans="6:6" customFormat="1" ht="15" customHeight="1">
      <c r="F606" s="176"/>
    </row>
    <row r="607" spans="6:6" customFormat="1" ht="15" customHeight="1">
      <c r="F607" s="176"/>
    </row>
    <row r="608" spans="6:6" customFormat="1" ht="15" customHeight="1">
      <c r="F608" s="176"/>
    </row>
    <row r="609" spans="1:11" ht="15" customHeight="1">
      <c r="B609"/>
      <c r="C609"/>
      <c r="D609"/>
      <c r="E609"/>
      <c r="F609" s="176"/>
      <c r="H609"/>
      <c r="I609"/>
    </row>
    <row r="610" spans="1:11" ht="15" customHeight="1">
      <c r="A610" s="75"/>
      <c r="B610" s="245" t="s">
        <v>120</v>
      </c>
      <c r="C610" s="75"/>
      <c r="D610" s="75"/>
      <c r="E610" s="75"/>
      <c r="F610" s="177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6"/>
      <c r="H611"/>
      <c r="I611"/>
    </row>
    <row r="612" spans="1:11" ht="30.75" customHeight="1">
      <c r="A612" s="109" t="s">
        <v>90</v>
      </c>
      <c r="B612" s="281">
        <f>SUBTOTAL(3,(B614:B638))</f>
        <v>25</v>
      </c>
      <c r="C612" s="489"/>
      <c r="D612" s="489"/>
      <c r="E612"/>
      <c r="F612" s="176"/>
      <c r="H612"/>
      <c r="I612"/>
    </row>
    <row r="613" spans="1:11" ht="15" customHeight="1">
      <c r="A613" s="113" t="s">
        <v>72</v>
      </c>
      <c r="B613" s="120" t="s">
        <v>92</v>
      </c>
      <c r="C613" s="114" t="s">
        <v>93</v>
      </c>
      <c r="D613" s="98" t="s">
        <v>94</v>
      </c>
      <c r="E613" s="67" t="s">
        <v>95</v>
      </c>
      <c r="F613" s="174" t="s">
        <v>96</v>
      </c>
      <c r="G613" s="69" t="s">
        <v>97</v>
      </c>
      <c r="H613" s="70" t="s">
        <v>98</v>
      </c>
      <c r="I613" s="70" t="s">
        <v>99</v>
      </c>
      <c r="J613" s="276" t="s">
        <v>100</v>
      </c>
      <c r="K613" s="277" t="s">
        <v>101</v>
      </c>
    </row>
    <row r="614" spans="1:11" ht="25.5" customHeight="1">
      <c r="A614" s="41">
        <v>1</v>
      </c>
      <c r="B614" s="137" t="s">
        <v>457</v>
      </c>
      <c r="C614" s="204" t="s">
        <v>26</v>
      </c>
      <c r="D614" s="48" t="s">
        <v>458</v>
      </c>
      <c r="E614" s="43">
        <v>380</v>
      </c>
      <c r="F614" s="175" t="s">
        <v>458</v>
      </c>
      <c r="G614" s="9">
        <f>IF(BD!$E614="","",(E614/(H614*I614)))</f>
        <v>380</v>
      </c>
      <c r="H614" s="8">
        <v>1</v>
      </c>
      <c r="I614" s="8">
        <v>1</v>
      </c>
      <c r="J614" s="205" t="str">
        <f t="shared" ref="J614:J638" si="14">CONCATENATE(LEFT(C614,1),"_",TEXT(A614,"000"))</f>
        <v>C_001</v>
      </c>
      <c r="K614" s="115"/>
    </row>
    <row r="615" spans="1:11">
      <c r="A615" s="41">
        <f t="shared" ref="A615:A638" si="15">A614+1</f>
        <v>2</v>
      </c>
      <c r="B615" s="138" t="s">
        <v>459</v>
      </c>
      <c r="C615" s="204" t="s">
        <v>26</v>
      </c>
      <c r="D615" s="50" t="s">
        <v>458</v>
      </c>
      <c r="E615" s="52">
        <v>848.47</v>
      </c>
      <c r="F615" s="51" t="s">
        <v>458</v>
      </c>
      <c r="G615" s="9">
        <f>IF(BD!$E617="","",(E615/(H615*I615)))</f>
        <v>848.47</v>
      </c>
      <c r="H615" s="8">
        <v>1</v>
      </c>
      <c r="I615" s="8">
        <v>1</v>
      </c>
      <c r="J615" s="205" t="str">
        <f t="shared" si="14"/>
        <v>C_002</v>
      </c>
      <c r="K615" s="115"/>
    </row>
    <row r="616" spans="1:11" ht="15" customHeight="1">
      <c r="A616" s="41">
        <f t="shared" si="15"/>
        <v>3</v>
      </c>
      <c r="B616" s="269" t="s">
        <v>460</v>
      </c>
      <c r="C616" s="204" t="s">
        <v>26</v>
      </c>
      <c r="D616" s="48" t="s">
        <v>461</v>
      </c>
      <c r="E616" s="43"/>
      <c r="F616" s="175" t="s">
        <v>461</v>
      </c>
      <c r="G616" s="9">
        <f>IF(BD!$E638="","",(E616/(H616*I616)))</f>
        <v>0</v>
      </c>
      <c r="H616" s="8">
        <v>1</v>
      </c>
      <c r="I616" s="8">
        <v>1</v>
      </c>
      <c r="J616" s="205" t="str">
        <f t="shared" si="14"/>
        <v>C_003</v>
      </c>
      <c r="K616" s="115"/>
    </row>
    <row r="617" spans="1:11" ht="15" customHeight="1">
      <c r="A617" s="41">
        <f t="shared" si="15"/>
        <v>4</v>
      </c>
      <c r="B617" s="137" t="s">
        <v>462</v>
      </c>
      <c r="C617" s="204" t="s">
        <v>26</v>
      </c>
      <c r="D617" s="50" t="s">
        <v>458</v>
      </c>
      <c r="E617" s="43">
        <v>815</v>
      </c>
      <c r="F617" s="175" t="s">
        <v>458</v>
      </c>
      <c r="G617" s="9" t="str">
        <f>IF(BD!$E616="","",(E617/(H617*I617)))</f>
        <v/>
      </c>
      <c r="H617" s="8">
        <v>1</v>
      </c>
      <c r="I617" s="8">
        <v>1</v>
      </c>
      <c r="J617" s="205" t="str">
        <f t="shared" si="14"/>
        <v>C_004</v>
      </c>
      <c r="K617" s="115"/>
    </row>
    <row r="618" spans="1:11" ht="15" customHeight="1">
      <c r="A618" s="41">
        <f t="shared" si="15"/>
        <v>5</v>
      </c>
      <c r="B618" s="137" t="s">
        <v>463</v>
      </c>
      <c r="C618" s="204" t="s">
        <v>26</v>
      </c>
      <c r="D618" s="50" t="s">
        <v>458</v>
      </c>
      <c r="E618" s="43">
        <v>623.66666666666663</v>
      </c>
      <c r="F618" s="175" t="s">
        <v>458</v>
      </c>
      <c r="G618" s="9">
        <f>IF(BD!$E617="","",(E618/(H618*I618)))</f>
        <v>623.66666666666663</v>
      </c>
      <c r="H618" s="8">
        <v>1</v>
      </c>
      <c r="I618" s="8">
        <v>1</v>
      </c>
      <c r="J618" s="205" t="str">
        <f t="shared" si="14"/>
        <v>C_005</v>
      </c>
      <c r="K618" s="115"/>
    </row>
    <row r="619" spans="1:11" ht="15" customHeight="1">
      <c r="A619" s="41">
        <f t="shared" si="15"/>
        <v>6</v>
      </c>
      <c r="B619" s="137" t="s">
        <v>464</v>
      </c>
      <c r="C619" s="204" t="s">
        <v>26</v>
      </c>
      <c r="D619" s="48" t="s">
        <v>458</v>
      </c>
      <c r="E619" s="43">
        <v>698.53</v>
      </c>
      <c r="F619" s="175" t="s">
        <v>458</v>
      </c>
      <c r="G619" s="9">
        <f>IF(BD!$E618="","",(E619/(H619*I619)))</f>
        <v>698.53</v>
      </c>
      <c r="H619" s="8">
        <v>1</v>
      </c>
      <c r="I619" s="8">
        <v>1</v>
      </c>
      <c r="J619" s="205" t="str">
        <f t="shared" si="14"/>
        <v>C_006</v>
      </c>
      <c r="K619" s="115"/>
    </row>
    <row r="620" spans="1:11" ht="15" customHeight="1">
      <c r="A620" s="41">
        <f t="shared" si="15"/>
        <v>7</v>
      </c>
      <c r="B620" s="137" t="s">
        <v>465</v>
      </c>
      <c r="C620" s="204" t="s">
        <v>26</v>
      </c>
      <c r="D620" s="48" t="s">
        <v>458</v>
      </c>
      <c r="E620" s="43">
        <v>390.66666666666669</v>
      </c>
      <c r="F620" s="175" t="s">
        <v>458</v>
      </c>
      <c r="G620" s="9">
        <f>IF(BD!$E619="","",(E620/(H620*I620)))</f>
        <v>390.66666666666669</v>
      </c>
      <c r="H620" s="8">
        <v>1</v>
      </c>
      <c r="I620" s="8">
        <v>1</v>
      </c>
      <c r="J620" s="205" t="str">
        <f t="shared" si="14"/>
        <v>C_007</v>
      </c>
      <c r="K620" s="115"/>
    </row>
    <row r="621" spans="1:11" ht="15" customHeight="1">
      <c r="A621" s="41">
        <f t="shared" si="15"/>
        <v>8</v>
      </c>
      <c r="B621" s="137" t="s">
        <v>466</v>
      </c>
      <c r="C621" s="204" t="s">
        <v>26</v>
      </c>
      <c r="D621" s="48" t="s">
        <v>458</v>
      </c>
      <c r="E621" s="43">
        <v>477.19</v>
      </c>
      <c r="F621" s="51" t="s">
        <v>458</v>
      </c>
      <c r="G621" s="9">
        <f>IF(BD!$E620="","",(E621/(H621*I621)))</f>
        <v>477.19</v>
      </c>
      <c r="H621" s="8">
        <v>1</v>
      </c>
      <c r="I621" s="8">
        <v>1</v>
      </c>
      <c r="J621" s="205" t="str">
        <f t="shared" si="14"/>
        <v>C_008</v>
      </c>
      <c r="K621" s="115"/>
    </row>
    <row r="622" spans="1:11" ht="15" customHeight="1">
      <c r="A622" s="41">
        <f t="shared" si="15"/>
        <v>9</v>
      </c>
      <c r="B622" s="137" t="s">
        <v>467</v>
      </c>
      <c r="C622" s="204" t="s">
        <v>26</v>
      </c>
      <c r="D622" s="48" t="s">
        <v>458</v>
      </c>
      <c r="E622" s="43">
        <v>998.41</v>
      </c>
      <c r="F622" s="175" t="s">
        <v>458</v>
      </c>
      <c r="G622" s="9">
        <f>IF(BD!$E621="","",(E622/(H622*I622)))</f>
        <v>998.41</v>
      </c>
      <c r="H622" s="8">
        <v>1</v>
      </c>
      <c r="I622" s="8">
        <v>1</v>
      </c>
      <c r="J622" s="205" t="str">
        <f t="shared" si="14"/>
        <v>C_009</v>
      </c>
      <c r="K622" s="115"/>
    </row>
    <row r="623" spans="1:11" ht="15" customHeight="1">
      <c r="A623" s="41">
        <f t="shared" si="15"/>
        <v>10</v>
      </c>
      <c r="B623" s="137" t="s">
        <v>468</v>
      </c>
      <c r="C623" s="204" t="s">
        <v>26</v>
      </c>
      <c r="D623" s="48" t="s">
        <v>458</v>
      </c>
      <c r="E623" s="43">
        <v>898.44999999999993</v>
      </c>
      <c r="F623" s="175" t="s">
        <v>458</v>
      </c>
      <c r="G623" s="9">
        <f>IF(BD!$E622="","",(E623/(H623*I623)))</f>
        <v>898.44999999999993</v>
      </c>
      <c r="H623" s="8">
        <v>1</v>
      </c>
      <c r="I623" s="8">
        <v>1</v>
      </c>
      <c r="J623" s="205" t="str">
        <f t="shared" si="14"/>
        <v>C_010</v>
      </c>
      <c r="K623" s="115"/>
    </row>
    <row r="624" spans="1:11" ht="15" customHeight="1">
      <c r="A624" s="41">
        <f t="shared" si="15"/>
        <v>11</v>
      </c>
      <c r="B624" s="137" t="s">
        <v>469</v>
      </c>
      <c r="C624" s="204" t="s">
        <v>26</v>
      </c>
      <c r="D624" s="200" t="s">
        <v>458</v>
      </c>
      <c r="E624" s="202">
        <v>1500</v>
      </c>
      <c r="F624" s="164" t="s">
        <v>458</v>
      </c>
      <c r="G624" s="9">
        <f>IF(BD!$E623="","",(E624/(H624*I624)))</f>
        <v>1500</v>
      </c>
      <c r="H624" s="165">
        <v>1</v>
      </c>
      <c r="I624" s="165">
        <v>1</v>
      </c>
      <c r="J624" s="115" t="str">
        <f t="shared" si="14"/>
        <v>C_011</v>
      </c>
      <c r="K624" s="115"/>
    </row>
    <row r="625" spans="1:11" ht="15" customHeight="1">
      <c r="A625" s="41">
        <f t="shared" si="15"/>
        <v>12</v>
      </c>
      <c r="B625" s="38" t="s">
        <v>470</v>
      </c>
      <c r="C625" s="204" t="s">
        <v>26</v>
      </c>
      <c r="D625" s="48" t="s">
        <v>458</v>
      </c>
      <c r="E625" s="201">
        <v>53371.5</v>
      </c>
      <c r="F625" s="51" t="s">
        <v>458</v>
      </c>
      <c r="G625" s="9">
        <f>IF(BD!$E624="","",(E625/(H625*I625)))</f>
        <v>53371.5</v>
      </c>
      <c r="H625" s="8">
        <v>1</v>
      </c>
      <c r="I625" s="8">
        <v>1</v>
      </c>
      <c r="J625" s="205" t="str">
        <f t="shared" si="14"/>
        <v>C_012</v>
      </c>
      <c r="K625" s="115"/>
    </row>
    <row r="626" spans="1:11" ht="15" customHeight="1">
      <c r="A626" s="41">
        <f t="shared" si="15"/>
        <v>13</v>
      </c>
      <c r="B626" s="137" t="s">
        <v>471</v>
      </c>
      <c r="C626" s="204" t="s">
        <v>26</v>
      </c>
      <c r="D626" s="48" t="s">
        <v>458</v>
      </c>
      <c r="E626" s="43">
        <v>897.26</v>
      </c>
      <c r="F626" s="175" t="s">
        <v>458</v>
      </c>
      <c r="G626" s="9">
        <f>IF(BD!$E625="","",(E626/(H626*I626)))</f>
        <v>897.26</v>
      </c>
      <c r="H626" s="8">
        <v>1</v>
      </c>
      <c r="I626" s="8">
        <v>1</v>
      </c>
      <c r="J626" s="205" t="str">
        <f t="shared" si="14"/>
        <v>C_013</v>
      </c>
      <c r="K626" s="115"/>
    </row>
    <row r="627" spans="1:11" ht="15" customHeight="1">
      <c r="A627" s="41">
        <f t="shared" si="15"/>
        <v>14</v>
      </c>
      <c r="B627" s="137" t="s">
        <v>472</v>
      </c>
      <c r="C627" s="204" t="s">
        <v>26</v>
      </c>
      <c r="D627" s="53" t="s">
        <v>458</v>
      </c>
      <c r="E627" s="43">
        <v>1673.3335</v>
      </c>
      <c r="F627" s="175" t="s">
        <v>458</v>
      </c>
      <c r="G627" s="9">
        <f>IF(BD!$E626="","",(E627/(H627*I627)))</f>
        <v>1673.3335</v>
      </c>
      <c r="H627" s="8">
        <v>1</v>
      </c>
      <c r="I627" s="8">
        <v>1</v>
      </c>
      <c r="J627" s="205" t="str">
        <f t="shared" si="14"/>
        <v>C_014</v>
      </c>
      <c r="K627" s="115"/>
    </row>
    <row r="628" spans="1:11" ht="15" customHeight="1">
      <c r="A628" s="41">
        <f t="shared" si="15"/>
        <v>15</v>
      </c>
      <c r="B628" s="138" t="s">
        <v>473</v>
      </c>
      <c r="C628" s="204" t="s">
        <v>26</v>
      </c>
      <c r="D628" s="50" t="s">
        <v>458</v>
      </c>
      <c r="E628" s="45">
        <v>250</v>
      </c>
      <c r="F628" s="51" t="s">
        <v>458</v>
      </c>
      <c r="G628" s="9">
        <f>IF(BD!$E627="","",(E628/(H628*I628)))</f>
        <v>250</v>
      </c>
      <c r="H628" s="8">
        <v>1</v>
      </c>
      <c r="I628" s="8">
        <v>1</v>
      </c>
      <c r="J628" s="205" t="str">
        <f t="shared" si="14"/>
        <v>C_015</v>
      </c>
      <c r="K628" s="115"/>
    </row>
    <row r="629" spans="1:11" ht="15" customHeight="1">
      <c r="A629" s="41">
        <f t="shared" si="15"/>
        <v>16</v>
      </c>
      <c r="B629" s="138" t="s">
        <v>474</v>
      </c>
      <c r="C629" s="204" t="s">
        <v>26</v>
      </c>
      <c r="D629" s="50" t="s">
        <v>458</v>
      </c>
      <c r="E629" s="52">
        <v>898.45</v>
      </c>
      <c r="F629" s="51" t="s">
        <v>458</v>
      </c>
      <c r="G629" s="9">
        <f>IF(BD!$E628="","",(E629/(H629*I629)))</f>
        <v>898.45</v>
      </c>
      <c r="H629" s="8">
        <v>1</v>
      </c>
      <c r="I629" s="8">
        <v>1</v>
      </c>
      <c r="J629" s="205" t="str">
        <f t="shared" si="14"/>
        <v>C_016</v>
      </c>
      <c r="K629" s="115"/>
    </row>
    <row r="630" spans="1:11" ht="15" customHeight="1">
      <c r="A630" s="41">
        <f t="shared" si="15"/>
        <v>17</v>
      </c>
      <c r="B630" s="139" t="s">
        <v>475</v>
      </c>
      <c r="C630" s="204" t="s">
        <v>26</v>
      </c>
      <c r="D630" s="199" t="s">
        <v>458</v>
      </c>
      <c r="E630" s="136">
        <v>898.45</v>
      </c>
      <c r="F630" s="51" t="s">
        <v>458</v>
      </c>
      <c r="G630" s="9">
        <f>IF(BD!$E629="","",(E630/(H630*I630)))</f>
        <v>898.45</v>
      </c>
      <c r="H630" s="8">
        <v>1</v>
      </c>
      <c r="I630" s="8">
        <v>1</v>
      </c>
      <c r="J630" s="205" t="str">
        <f t="shared" si="14"/>
        <v>C_017</v>
      </c>
      <c r="K630" s="115"/>
    </row>
    <row r="631" spans="1:11" ht="15" customHeight="1">
      <c r="A631" s="41">
        <f t="shared" si="15"/>
        <v>18</v>
      </c>
      <c r="B631" s="139" t="s">
        <v>476</v>
      </c>
      <c r="C631" s="204" t="s">
        <v>26</v>
      </c>
      <c r="D631" s="199" t="s">
        <v>458</v>
      </c>
      <c r="E631" s="136">
        <v>549.78</v>
      </c>
      <c r="F631" s="51" t="s">
        <v>458</v>
      </c>
      <c r="G631" s="9">
        <f>IF(BD!$E630="","",(E631/(H631*I631)))</f>
        <v>549.78</v>
      </c>
      <c r="H631" s="8">
        <v>1</v>
      </c>
      <c r="I631" s="8">
        <v>1</v>
      </c>
      <c r="J631" s="205" t="str">
        <f t="shared" si="14"/>
        <v>C_018</v>
      </c>
      <c r="K631" s="115"/>
    </row>
    <row r="632" spans="1:11" ht="15" customHeight="1">
      <c r="A632" s="41">
        <f t="shared" si="15"/>
        <v>19</v>
      </c>
      <c r="B632" s="139" t="s">
        <v>477</v>
      </c>
      <c r="C632" s="204" t="s">
        <v>26</v>
      </c>
      <c r="D632" s="199" t="s">
        <v>458</v>
      </c>
      <c r="E632" s="203">
        <v>357</v>
      </c>
      <c r="F632" s="51" t="s">
        <v>458</v>
      </c>
      <c r="G632" s="9">
        <f>IF(BD!$E631="","",(E632/(H632*I632)))</f>
        <v>357</v>
      </c>
      <c r="H632" s="8">
        <v>1</v>
      </c>
      <c r="I632" s="8">
        <v>1</v>
      </c>
      <c r="J632" s="205" t="str">
        <f t="shared" si="14"/>
        <v>C_019</v>
      </c>
      <c r="K632" s="115"/>
    </row>
    <row r="633" spans="1:11" ht="15" customHeight="1">
      <c r="A633" s="41">
        <f t="shared" si="15"/>
        <v>20</v>
      </c>
      <c r="B633" s="139" t="s">
        <v>478</v>
      </c>
      <c r="C633" s="204" t="s">
        <v>26</v>
      </c>
      <c r="D633" s="199" t="s">
        <v>458</v>
      </c>
      <c r="E633" s="136">
        <v>998.41</v>
      </c>
      <c r="F633" s="51" t="s">
        <v>458</v>
      </c>
      <c r="G633" s="9">
        <f>IF(BD!$E632="","",(E633/(H633*I633)))</f>
        <v>998.41</v>
      </c>
      <c r="H633" s="8">
        <v>1</v>
      </c>
      <c r="I633" s="8">
        <v>1</v>
      </c>
      <c r="J633" s="205" t="str">
        <f t="shared" si="14"/>
        <v>C_020</v>
      </c>
      <c r="K633" s="115"/>
    </row>
    <row r="634" spans="1:11" ht="15" customHeight="1">
      <c r="A634" s="41">
        <f t="shared" si="15"/>
        <v>21</v>
      </c>
      <c r="B634" s="139" t="s">
        <v>479</v>
      </c>
      <c r="C634" s="204" t="s">
        <v>26</v>
      </c>
      <c r="D634" s="135" t="s">
        <v>458</v>
      </c>
      <c r="E634" s="136">
        <v>898.45</v>
      </c>
      <c r="F634" s="54" t="s">
        <v>458</v>
      </c>
      <c r="G634" s="9">
        <f>IF(BD!$E633="","",(E634/(H634*I634)))</f>
        <v>898.45</v>
      </c>
      <c r="H634" s="8">
        <v>1</v>
      </c>
      <c r="I634" s="8">
        <v>1</v>
      </c>
      <c r="J634" s="205" t="str">
        <f t="shared" si="14"/>
        <v>C_021</v>
      </c>
      <c r="K634" s="115"/>
    </row>
    <row r="635" spans="1:11" ht="15" customHeight="1">
      <c r="A635" s="41">
        <f t="shared" si="15"/>
        <v>22</v>
      </c>
      <c r="B635" s="139" t="s">
        <v>480</v>
      </c>
      <c r="C635" s="204" t="s">
        <v>26</v>
      </c>
      <c r="D635" s="162" t="s">
        <v>458</v>
      </c>
      <c r="E635" s="163">
        <v>1200</v>
      </c>
      <c r="F635" s="164" t="s">
        <v>458</v>
      </c>
      <c r="G635" s="9">
        <f>IF(BD!$E634="","",(E635/(H635*I635)))</f>
        <v>1200</v>
      </c>
      <c r="H635" s="165">
        <v>1</v>
      </c>
      <c r="I635" s="165">
        <v>1</v>
      </c>
      <c r="J635" s="115" t="str">
        <f t="shared" si="14"/>
        <v>C_022</v>
      </c>
      <c r="K635" s="115"/>
    </row>
    <row r="636" spans="1:11" ht="15" customHeight="1">
      <c r="A636" s="41">
        <f t="shared" si="15"/>
        <v>23</v>
      </c>
      <c r="B636" s="140" t="s">
        <v>481</v>
      </c>
      <c r="C636" s="204" t="s">
        <v>26</v>
      </c>
      <c r="D636" s="135" t="s">
        <v>458</v>
      </c>
      <c r="E636" s="133">
        <v>1217</v>
      </c>
      <c r="F636" s="175" t="s">
        <v>458</v>
      </c>
      <c r="G636" s="9">
        <f>IF(BD!$E635="","",(E636/(H636*I636)))</f>
        <v>1217</v>
      </c>
      <c r="H636" s="8">
        <v>1</v>
      </c>
      <c r="I636" s="8">
        <v>1</v>
      </c>
      <c r="J636" s="205" t="str">
        <f t="shared" si="14"/>
        <v>C_023</v>
      </c>
      <c r="K636" s="115"/>
    </row>
    <row r="637" spans="1:11" ht="15" customHeight="1">
      <c r="A637" s="41">
        <f t="shared" si="15"/>
        <v>24</v>
      </c>
      <c r="B637" s="137" t="s">
        <v>482</v>
      </c>
      <c r="C637" s="204" t="s">
        <v>26</v>
      </c>
      <c r="D637" s="48" t="s">
        <v>483</v>
      </c>
      <c r="E637" s="43">
        <v>0</v>
      </c>
      <c r="F637" s="175" t="s">
        <v>483</v>
      </c>
      <c r="G637" s="9">
        <f>IF(BD!$E637="","",(E637/(H637*I637)))</f>
        <v>0</v>
      </c>
      <c r="H637" s="8">
        <v>1</v>
      </c>
      <c r="I637" s="8">
        <v>1</v>
      </c>
      <c r="J637" s="205" t="str">
        <f t="shared" si="14"/>
        <v>C_024</v>
      </c>
      <c r="K637" s="115"/>
    </row>
    <row r="638" spans="1:11" ht="15" customHeight="1">
      <c r="A638" s="41">
        <f t="shared" si="15"/>
        <v>25</v>
      </c>
      <c r="B638" s="138" t="s">
        <v>27</v>
      </c>
      <c r="C638" s="204" t="s">
        <v>26</v>
      </c>
      <c r="D638" s="53" t="s">
        <v>458</v>
      </c>
      <c r="E638" s="52">
        <v>759.22</v>
      </c>
      <c r="F638" s="51" t="s">
        <v>458</v>
      </c>
      <c r="G638" s="9">
        <f>IF(BD!$E636="","",(E638/(H638*I638)))</f>
        <v>759.22</v>
      </c>
      <c r="H638" s="8">
        <v>1</v>
      </c>
      <c r="I638" s="8">
        <v>1</v>
      </c>
      <c r="J638" s="205" t="str">
        <f t="shared" si="14"/>
        <v>C_025</v>
      </c>
      <c r="K638" s="115"/>
    </row>
    <row r="639" spans="1:11" ht="15" customHeight="1">
      <c r="A639" s="1"/>
      <c r="B639" s="1"/>
      <c r="D639"/>
      <c r="E639"/>
      <c r="F639" s="176"/>
      <c r="H639"/>
      <c r="I639"/>
    </row>
    <row r="640" spans="1:11" ht="15" customHeight="1">
      <c r="A640" s="1"/>
      <c r="B640" s="1"/>
      <c r="D640"/>
      <c r="E640"/>
      <c r="F640" s="176"/>
      <c r="H640"/>
      <c r="I640"/>
    </row>
    <row r="641" spans="1:10" ht="15" customHeight="1">
      <c r="A641" s="1"/>
      <c r="B641" s="1"/>
      <c r="D641"/>
      <c r="E641"/>
      <c r="F641" s="176"/>
      <c r="H641"/>
      <c r="I641"/>
    </row>
    <row r="642" spans="1:10" ht="15" customHeight="1">
      <c r="A642" s="1"/>
      <c r="B642" s="1"/>
      <c r="D642"/>
      <c r="E642"/>
      <c r="F642" s="176"/>
      <c r="H642"/>
      <c r="I642"/>
    </row>
    <row r="643" spans="1:10" ht="15" customHeight="1">
      <c r="A643" s="1"/>
      <c r="B643" s="1"/>
      <c r="D643"/>
      <c r="E643"/>
      <c r="F643" s="176"/>
      <c r="H643"/>
      <c r="I643"/>
    </row>
    <row r="644" spans="1:10" ht="15" customHeight="1">
      <c r="A644" s="1"/>
      <c r="B644" s="1"/>
      <c r="D644"/>
      <c r="E644"/>
      <c r="F644" s="176"/>
      <c r="H644"/>
      <c r="I644"/>
    </row>
    <row r="645" spans="1:10" ht="15" customHeight="1">
      <c r="A645" s="1"/>
      <c r="B645" s="1"/>
      <c r="D645"/>
      <c r="E645"/>
      <c r="F645" s="176"/>
      <c r="H645"/>
      <c r="I645"/>
    </row>
    <row r="646" spans="1:10" ht="15" customHeight="1">
      <c r="A646" s="1"/>
      <c r="B646" s="1"/>
      <c r="D646"/>
      <c r="E646"/>
      <c r="F646" s="176"/>
      <c r="H646"/>
      <c r="I646"/>
    </row>
    <row r="647" spans="1:10" ht="15" customHeight="1">
      <c r="A647" s="1"/>
      <c r="B647" s="1"/>
      <c r="D647"/>
      <c r="E647"/>
      <c r="F647" s="176"/>
      <c r="H647"/>
      <c r="I647"/>
    </row>
    <row r="648" spans="1:10" ht="15" customHeight="1">
      <c r="A648" s="1"/>
      <c r="B648" s="1"/>
      <c r="D648"/>
      <c r="E648"/>
      <c r="F648" s="176"/>
      <c r="H648"/>
      <c r="I648"/>
    </row>
    <row r="649" spans="1:10" ht="15" customHeight="1">
      <c r="A649" s="1"/>
      <c r="B649" s="1"/>
      <c r="D649"/>
      <c r="E649"/>
      <c r="F649" s="176"/>
      <c r="H649"/>
      <c r="I649"/>
    </row>
    <row r="650" spans="1:10" ht="15" customHeight="1">
      <c r="A650" s="1"/>
      <c r="B650" s="1"/>
      <c r="D650"/>
      <c r="E650"/>
      <c r="F650" s="176"/>
      <c r="H650"/>
      <c r="I650"/>
    </row>
    <row r="651" spans="1:10" ht="15" customHeight="1">
      <c r="A651" s="1"/>
      <c r="B651" s="1"/>
      <c r="D651"/>
      <c r="E651"/>
      <c r="F651" s="176"/>
      <c r="H651"/>
      <c r="I651"/>
    </row>
    <row r="652" spans="1:10" ht="15" customHeight="1">
      <c r="A652" s="1"/>
      <c r="B652" s="1"/>
      <c r="D652"/>
      <c r="E652"/>
      <c r="F652" s="176"/>
      <c r="H652"/>
      <c r="I652"/>
    </row>
    <row r="653" spans="1:10" ht="15" customHeight="1">
      <c r="A653" s="1"/>
      <c r="B653" s="1"/>
      <c r="D653"/>
      <c r="E653"/>
      <c r="F653" s="176"/>
      <c r="H653"/>
      <c r="I653"/>
    </row>
    <row r="654" spans="1:10" ht="15" customHeight="1">
      <c r="A654" s="1"/>
      <c r="B654" s="1"/>
      <c r="D654"/>
      <c r="E654"/>
      <c r="F654" s="176"/>
      <c r="H654"/>
      <c r="I654"/>
    </row>
    <row r="655" spans="1:10" ht="15" customHeight="1">
      <c r="A655" s="1"/>
      <c r="B655" s="1"/>
      <c r="D655"/>
      <c r="E655"/>
      <c r="F655" s="176"/>
      <c r="H655"/>
      <c r="I655"/>
    </row>
    <row r="656" spans="1:10" ht="15" customHeight="1">
      <c r="A656" s="75"/>
      <c r="B656" s="76" t="s">
        <v>120</v>
      </c>
      <c r="C656" s="75"/>
      <c r="D656" s="75"/>
      <c r="E656" s="75"/>
      <c r="F656" s="177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6"/>
      <c r="H657"/>
      <c r="I657"/>
    </row>
    <row r="658" spans="1:11" ht="21.75" customHeight="1">
      <c r="A658" s="121" t="s">
        <v>90</v>
      </c>
      <c r="B658" s="246">
        <f>SUBTOTAL(3,(B660:B1080))</f>
        <v>421</v>
      </c>
      <c r="C658" s="490"/>
      <c r="D658" s="491"/>
      <c r="E658"/>
      <c r="F658" s="176"/>
      <c r="H658"/>
      <c r="I658"/>
    </row>
    <row r="659" spans="1:11" ht="15" customHeight="1">
      <c r="A659" s="71" t="s">
        <v>72</v>
      </c>
      <c r="B659" s="166" t="s">
        <v>92</v>
      </c>
      <c r="C659" s="64" t="s">
        <v>93</v>
      </c>
      <c r="D659" s="65" t="s">
        <v>94</v>
      </c>
      <c r="E659" s="67" t="s">
        <v>95</v>
      </c>
      <c r="F659" s="174" t="s">
        <v>96</v>
      </c>
      <c r="G659" s="69" t="s">
        <v>97</v>
      </c>
      <c r="H659" s="70" t="s">
        <v>98</v>
      </c>
      <c r="I659" s="167" t="s">
        <v>99</v>
      </c>
      <c r="J659" s="276" t="s">
        <v>100</v>
      </c>
      <c r="K659" s="277" t="s">
        <v>101</v>
      </c>
    </row>
    <row r="660" spans="1:11" ht="15" customHeight="1">
      <c r="A660" s="41">
        <v>1</v>
      </c>
      <c r="B660" s="218" t="s">
        <v>484</v>
      </c>
      <c r="C660" s="204" t="s">
        <v>44</v>
      </c>
      <c r="D660" s="48" t="s">
        <v>109</v>
      </c>
      <c r="E660" s="43">
        <v>304.64</v>
      </c>
      <c r="F660" s="175" t="s">
        <v>109</v>
      </c>
      <c r="G660" s="9">
        <f>IF(Tabla9[[#This Row],[Precio
Unidad de Compra ( $)]]="","",(E660/(H660*I660)))</f>
        <v>304.64</v>
      </c>
      <c r="H660" s="8">
        <v>1</v>
      </c>
      <c r="I660" s="168">
        <v>1</v>
      </c>
      <c r="J660" s="205" t="str">
        <f t="shared" ref="J660:J723" si="16">IFERROR(CONCATENATE(LEFT(C660,1),"_",TEXT(A660,"000")),"")</f>
        <v>H_001</v>
      </c>
      <c r="K660" s="115"/>
    </row>
    <row r="661" spans="1:11" ht="15" customHeight="1">
      <c r="A661" s="41">
        <f t="shared" ref="A661:A724" si="17">A660+1</f>
        <v>2</v>
      </c>
      <c r="B661" s="218" t="s">
        <v>485</v>
      </c>
      <c r="C661" s="204" t="s">
        <v>44</v>
      </c>
      <c r="D661" s="48" t="s">
        <v>109</v>
      </c>
      <c r="E661" s="55">
        <v>3356</v>
      </c>
      <c r="F661" s="181" t="s">
        <v>109</v>
      </c>
      <c r="G661" s="9">
        <f>IF(Tabla9[[#This Row],[Precio
Unidad de Compra ( $)]]="","",(E661/(H661*I661)))</f>
        <v>3356</v>
      </c>
      <c r="H661" s="8">
        <v>1</v>
      </c>
      <c r="I661" s="168">
        <v>1</v>
      </c>
      <c r="J661" s="205" t="str">
        <f t="shared" si="16"/>
        <v>H_002</v>
      </c>
      <c r="K661" s="115"/>
    </row>
    <row r="662" spans="1:11" ht="15" customHeight="1">
      <c r="A662" s="41">
        <f t="shared" si="17"/>
        <v>3</v>
      </c>
      <c r="B662" s="218" t="s">
        <v>486</v>
      </c>
      <c r="C662" s="204" t="s">
        <v>44</v>
      </c>
      <c r="D662" s="48" t="s">
        <v>109</v>
      </c>
      <c r="E662" s="55">
        <v>304.64</v>
      </c>
      <c r="F662" s="181" t="s">
        <v>109</v>
      </c>
      <c r="G662" s="9">
        <f>IF(Tabla9[[#This Row],[Precio
Unidad de Compra ( $)]]="","",(E662/(H662*I662)))</f>
        <v>304.64</v>
      </c>
      <c r="H662" s="8">
        <v>1</v>
      </c>
      <c r="I662" s="168">
        <v>1</v>
      </c>
      <c r="J662" s="205" t="str">
        <f t="shared" si="16"/>
        <v>H_003</v>
      </c>
      <c r="K662" s="115"/>
    </row>
    <row r="663" spans="1:11" ht="15" customHeight="1">
      <c r="A663" s="41">
        <f t="shared" si="17"/>
        <v>4</v>
      </c>
      <c r="B663" s="218" t="s">
        <v>487</v>
      </c>
      <c r="C663" s="204" t="s">
        <v>44</v>
      </c>
      <c r="D663" s="48" t="s">
        <v>109</v>
      </c>
      <c r="E663" s="43">
        <v>304.64</v>
      </c>
      <c r="F663" s="175" t="s">
        <v>109</v>
      </c>
      <c r="G663" s="9">
        <f>IF(Tabla9[[#This Row],[Precio
Unidad de Compra ( $)]]="","",(E663/(H663*I663)))</f>
        <v>304.64</v>
      </c>
      <c r="H663" s="8">
        <v>1</v>
      </c>
      <c r="I663" s="168">
        <v>1</v>
      </c>
      <c r="J663" s="205" t="str">
        <f t="shared" si="16"/>
        <v>H_004</v>
      </c>
      <c r="K663" s="115"/>
    </row>
    <row r="664" spans="1:11" ht="15" customHeight="1">
      <c r="A664" s="41">
        <f t="shared" si="17"/>
        <v>5</v>
      </c>
      <c r="B664" s="218" t="s">
        <v>488</v>
      </c>
      <c r="C664" s="204" t="s">
        <v>44</v>
      </c>
      <c r="D664" s="48" t="s">
        <v>109</v>
      </c>
      <c r="E664" s="55">
        <v>304.64</v>
      </c>
      <c r="F664" s="181" t="s">
        <v>109</v>
      </c>
      <c r="G664" s="9">
        <f>IF(Tabla9[[#This Row],[Precio
Unidad de Compra ( $)]]="","",(E664/(H664*I664)))</f>
        <v>304.64</v>
      </c>
      <c r="H664" s="8">
        <v>1</v>
      </c>
      <c r="I664" s="168">
        <v>1</v>
      </c>
      <c r="J664" s="205" t="str">
        <f t="shared" si="16"/>
        <v>H_005</v>
      </c>
      <c r="K664" s="115"/>
    </row>
    <row r="665" spans="1:11" ht="15" customHeight="1">
      <c r="A665" s="41">
        <f t="shared" si="17"/>
        <v>6</v>
      </c>
      <c r="B665" s="218" t="s">
        <v>489</v>
      </c>
      <c r="C665" s="204" t="s">
        <v>44</v>
      </c>
      <c r="D665" s="48" t="s">
        <v>109</v>
      </c>
      <c r="E665" s="43">
        <v>304.64</v>
      </c>
      <c r="F665" s="175" t="s">
        <v>109</v>
      </c>
      <c r="G665" s="9">
        <f>IF(Tabla9[[#This Row],[Precio
Unidad de Compra ( $)]]="","",(E665/(H665*I665)))</f>
        <v>304.64</v>
      </c>
      <c r="H665" s="8">
        <v>1</v>
      </c>
      <c r="I665" s="168">
        <v>1</v>
      </c>
      <c r="J665" s="205" t="str">
        <f t="shared" si="16"/>
        <v>H_006</v>
      </c>
      <c r="K665" s="115"/>
    </row>
    <row r="666" spans="1:11" ht="15" customHeight="1">
      <c r="A666" s="41">
        <f t="shared" si="17"/>
        <v>7</v>
      </c>
      <c r="B666" s="218" t="s">
        <v>490</v>
      </c>
      <c r="C666" s="204" t="s">
        <v>44</v>
      </c>
      <c r="D666" s="48" t="s">
        <v>109</v>
      </c>
      <c r="E666" s="55">
        <v>304.64</v>
      </c>
      <c r="F666" s="181" t="s">
        <v>109</v>
      </c>
      <c r="G666" s="9">
        <f>IF(Tabla9[[#This Row],[Precio
Unidad de Compra ( $)]]="","",(E666/(H666*I666)))</f>
        <v>304.64</v>
      </c>
      <c r="H666" s="8">
        <v>1</v>
      </c>
      <c r="I666" s="168">
        <v>1</v>
      </c>
      <c r="J666" s="205" t="str">
        <f t="shared" si="16"/>
        <v>H_007</v>
      </c>
      <c r="K666" s="115"/>
    </row>
    <row r="667" spans="1:11" ht="15" customHeight="1">
      <c r="A667" s="41">
        <f t="shared" si="17"/>
        <v>8</v>
      </c>
      <c r="B667" s="218" t="s">
        <v>491</v>
      </c>
      <c r="C667" s="204" t="s">
        <v>44</v>
      </c>
      <c r="D667" s="48" t="s">
        <v>109</v>
      </c>
      <c r="E667" s="43">
        <v>304.64</v>
      </c>
      <c r="F667" s="175" t="s">
        <v>109</v>
      </c>
      <c r="G667" s="9">
        <f>IF(Tabla9[[#This Row],[Precio
Unidad de Compra ( $)]]="","",(E667/(H667*I667)))</f>
        <v>304.64</v>
      </c>
      <c r="H667" s="8">
        <v>1</v>
      </c>
      <c r="I667" s="168">
        <v>1</v>
      </c>
      <c r="J667" s="205" t="str">
        <f t="shared" si="16"/>
        <v>H_008</v>
      </c>
      <c r="K667" s="115"/>
    </row>
    <row r="668" spans="1:11" ht="15" customHeight="1">
      <c r="A668" s="41">
        <f t="shared" si="17"/>
        <v>9</v>
      </c>
      <c r="B668" s="36" t="s">
        <v>492</v>
      </c>
      <c r="C668" s="204" t="s">
        <v>44</v>
      </c>
      <c r="D668" s="48" t="s">
        <v>109</v>
      </c>
      <c r="E668" s="43">
        <v>304.64</v>
      </c>
      <c r="F668" s="175" t="s">
        <v>109</v>
      </c>
      <c r="G668" s="9">
        <f>IF(Tabla9[[#This Row],[Precio
Unidad de Compra ( $)]]="","",(E668/(H668*I668)))</f>
        <v>304.64</v>
      </c>
      <c r="H668" s="8">
        <v>1</v>
      </c>
      <c r="I668" s="168">
        <v>1</v>
      </c>
      <c r="J668" s="205" t="str">
        <f t="shared" si="16"/>
        <v>H_009</v>
      </c>
      <c r="K668" s="115"/>
    </row>
    <row r="669" spans="1:11" ht="15" customHeight="1">
      <c r="A669" s="41">
        <f t="shared" si="17"/>
        <v>10</v>
      </c>
      <c r="B669" s="36" t="s">
        <v>493</v>
      </c>
      <c r="C669" s="204" t="s">
        <v>44</v>
      </c>
      <c r="D669" s="48" t="s">
        <v>109</v>
      </c>
      <c r="E669" s="55">
        <v>304.64</v>
      </c>
      <c r="F669" s="181" t="s">
        <v>109</v>
      </c>
      <c r="G669" s="9">
        <f>IF(Tabla9[[#This Row],[Precio
Unidad de Compra ( $)]]="","",(E669/(H669*I669)))</f>
        <v>304.64</v>
      </c>
      <c r="H669" s="8">
        <v>1</v>
      </c>
      <c r="I669" s="168">
        <v>1</v>
      </c>
      <c r="J669" s="205" t="str">
        <f t="shared" si="16"/>
        <v>H_010</v>
      </c>
      <c r="K669" s="115"/>
    </row>
    <row r="670" spans="1:11" ht="15" customHeight="1">
      <c r="A670" s="41">
        <f t="shared" si="17"/>
        <v>11</v>
      </c>
      <c r="B670" s="36" t="s">
        <v>494</v>
      </c>
      <c r="C670" s="204" t="s">
        <v>44</v>
      </c>
      <c r="D670" s="48" t="s">
        <v>109</v>
      </c>
      <c r="E670" s="43">
        <v>2400</v>
      </c>
      <c r="F670" s="175" t="s">
        <v>109</v>
      </c>
      <c r="G670" s="9">
        <f>IF(Tabla9[[#This Row],[Precio
Unidad de Compra ( $)]]="","",(E670/(H670*I670)))</f>
        <v>2400</v>
      </c>
      <c r="H670" s="8">
        <v>1</v>
      </c>
      <c r="I670" s="168">
        <v>1</v>
      </c>
      <c r="J670" s="205" t="str">
        <f t="shared" si="16"/>
        <v>H_011</v>
      </c>
      <c r="K670" s="115"/>
    </row>
    <row r="671" spans="1:11" ht="15" customHeight="1">
      <c r="A671" s="41">
        <f t="shared" si="17"/>
        <v>12</v>
      </c>
      <c r="B671" s="36" t="s">
        <v>495</v>
      </c>
      <c r="C671" s="204" t="s">
        <v>44</v>
      </c>
      <c r="D671" s="48" t="s">
        <v>109</v>
      </c>
      <c r="E671" s="43">
        <v>2400</v>
      </c>
      <c r="F671" s="175" t="s">
        <v>109</v>
      </c>
      <c r="G671" s="9">
        <f>IF(Tabla9[[#This Row],[Precio
Unidad de Compra ( $)]]="","",(E671/(H671*I671)))</f>
        <v>2400</v>
      </c>
      <c r="H671" s="8">
        <v>1</v>
      </c>
      <c r="I671" s="168">
        <v>1</v>
      </c>
      <c r="J671" s="205" t="str">
        <f t="shared" si="16"/>
        <v>H_012</v>
      </c>
      <c r="K671" s="115"/>
    </row>
    <row r="672" spans="1:11" ht="15" customHeight="1">
      <c r="A672" s="41">
        <f t="shared" si="17"/>
        <v>13</v>
      </c>
      <c r="B672" s="36" t="s">
        <v>496</v>
      </c>
      <c r="C672" s="204" t="s">
        <v>44</v>
      </c>
      <c r="D672" s="48" t="s">
        <v>109</v>
      </c>
      <c r="E672" s="43">
        <v>2400</v>
      </c>
      <c r="F672" s="175" t="s">
        <v>109</v>
      </c>
      <c r="G672" s="9">
        <f>IF(Tabla9[[#This Row],[Precio
Unidad de Compra ( $)]]="","",(E672/(H672*I672)))</f>
        <v>2400</v>
      </c>
      <c r="H672" s="8">
        <v>1</v>
      </c>
      <c r="I672" s="168">
        <v>1</v>
      </c>
      <c r="J672" s="205" t="str">
        <f t="shared" si="16"/>
        <v>H_013</v>
      </c>
      <c r="K672" s="115"/>
    </row>
    <row r="673" spans="1:11" ht="15" customHeight="1">
      <c r="A673" s="41">
        <f t="shared" si="17"/>
        <v>14</v>
      </c>
      <c r="B673" s="36" t="s">
        <v>497</v>
      </c>
      <c r="C673" s="204" t="s">
        <v>44</v>
      </c>
      <c r="D673" s="48" t="s">
        <v>109</v>
      </c>
      <c r="E673" s="43">
        <v>2400</v>
      </c>
      <c r="F673" s="175" t="s">
        <v>109</v>
      </c>
      <c r="G673" s="9">
        <f>IF(Tabla9[[#This Row],[Precio
Unidad de Compra ( $)]]="","",(E673/(H673*I673)))</f>
        <v>2400</v>
      </c>
      <c r="H673" s="8">
        <v>1</v>
      </c>
      <c r="I673" s="168">
        <v>1</v>
      </c>
      <c r="J673" s="205" t="str">
        <f t="shared" si="16"/>
        <v>H_014</v>
      </c>
      <c r="K673" s="115"/>
    </row>
    <row r="674" spans="1:11" ht="15" customHeight="1">
      <c r="A674" s="41">
        <f t="shared" si="17"/>
        <v>15</v>
      </c>
      <c r="B674" s="36" t="s">
        <v>498</v>
      </c>
      <c r="C674" s="204" t="s">
        <v>44</v>
      </c>
      <c r="D674" s="48" t="s">
        <v>109</v>
      </c>
      <c r="E674" s="43">
        <v>2400</v>
      </c>
      <c r="F674" s="175" t="s">
        <v>109</v>
      </c>
      <c r="G674" s="9">
        <f>IF(Tabla9[[#This Row],[Precio
Unidad de Compra ( $)]]="","",(E674/(H674*I674)))</f>
        <v>2400</v>
      </c>
      <c r="H674" s="8">
        <v>1</v>
      </c>
      <c r="I674" s="168">
        <v>1</v>
      </c>
      <c r="J674" s="205" t="str">
        <f t="shared" si="16"/>
        <v>H_015</v>
      </c>
      <c r="K674" s="115"/>
    </row>
    <row r="675" spans="1:11" ht="15" customHeight="1">
      <c r="A675" s="41">
        <f t="shared" si="17"/>
        <v>16</v>
      </c>
      <c r="B675" s="36" t="s">
        <v>499</v>
      </c>
      <c r="C675" s="204" t="s">
        <v>44</v>
      </c>
      <c r="D675" s="48" t="s">
        <v>109</v>
      </c>
      <c r="E675" s="43">
        <v>2400</v>
      </c>
      <c r="F675" s="175" t="s">
        <v>109</v>
      </c>
      <c r="G675" s="9">
        <f>IF(Tabla9[[#This Row],[Precio
Unidad de Compra ( $)]]="","",(E675/(H675*I675)))</f>
        <v>2400</v>
      </c>
      <c r="H675" s="8">
        <v>1</v>
      </c>
      <c r="I675" s="168">
        <v>1</v>
      </c>
      <c r="J675" s="205" t="str">
        <f t="shared" si="16"/>
        <v>H_016</v>
      </c>
      <c r="K675" s="115"/>
    </row>
    <row r="676" spans="1:11" ht="15" customHeight="1">
      <c r="A676" s="41">
        <f t="shared" si="17"/>
        <v>17</v>
      </c>
      <c r="B676" s="36" t="s">
        <v>500</v>
      </c>
      <c r="C676" s="204" t="s">
        <v>44</v>
      </c>
      <c r="D676" s="48" t="s">
        <v>109</v>
      </c>
      <c r="E676" s="43">
        <v>304.64</v>
      </c>
      <c r="F676" s="181" t="s">
        <v>109</v>
      </c>
      <c r="G676" s="9">
        <f>IF(Tabla9[[#This Row],[Precio
Unidad de Compra ( $)]]="","",(E676/(H676*I676)))</f>
        <v>304.64</v>
      </c>
      <c r="H676" s="8">
        <v>1</v>
      </c>
      <c r="I676" s="168">
        <v>1</v>
      </c>
      <c r="J676" s="205" t="str">
        <f t="shared" si="16"/>
        <v>H_017</v>
      </c>
      <c r="K676" s="115"/>
    </row>
    <row r="677" spans="1:11" ht="15" customHeight="1">
      <c r="A677" s="41">
        <f t="shared" si="17"/>
        <v>18</v>
      </c>
      <c r="B677" s="36" t="s">
        <v>501</v>
      </c>
      <c r="C677" s="204" t="s">
        <v>44</v>
      </c>
      <c r="D677" s="48" t="s">
        <v>109</v>
      </c>
      <c r="E677" s="43">
        <v>304.64</v>
      </c>
      <c r="F677" s="175" t="s">
        <v>109</v>
      </c>
      <c r="G677" s="9">
        <f>IF(Tabla9[[#This Row],[Precio
Unidad de Compra ( $)]]="","",(E677/(H677*I677)))</f>
        <v>304.64</v>
      </c>
      <c r="H677" s="8">
        <v>1</v>
      </c>
      <c r="I677" s="168">
        <v>1</v>
      </c>
      <c r="J677" s="205" t="str">
        <f t="shared" si="16"/>
        <v>H_018</v>
      </c>
      <c r="K677" s="115"/>
    </row>
    <row r="678" spans="1:11" ht="15" customHeight="1">
      <c r="A678" s="41">
        <f t="shared" si="17"/>
        <v>19</v>
      </c>
      <c r="B678" s="36" t="s">
        <v>502</v>
      </c>
      <c r="C678" s="204" t="s">
        <v>44</v>
      </c>
      <c r="D678" s="48" t="s">
        <v>109</v>
      </c>
      <c r="E678" s="43">
        <v>304.64</v>
      </c>
      <c r="F678" s="175" t="s">
        <v>109</v>
      </c>
      <c r="G678" s="9">
        <f>IF(Tabla9[[#This Row],[Precio
Unidad de Compra ( $)]]="","",(E678/(H678*I678)))</f>
        <v>304.64</v>
      </c>
      <c r="H678" s="8">
        <v>1</v>
      </c>
      <c r="I678" s="168">
        <v>1</v>
      </c>
      <c r="J678" s="205" t="str">
        <f t="shared" si="16"/>
        <v>H_019</v>
      </c>
      <c r="K678" s="115"/>
    </row>
    <row r="679" spans="1:11" ht="15" customHeight="1">
      <c r="A679" s="41">
        <f t="shared" si="17"/>
        <v>20</v>
      </c>
      <c r="B679" s="36" t="s">
        <v>503</v>
      </c>
      <c r="C679" s="204" t="s">
        <v>44</v>
      </c>
      <c r="D679" s="48" t="s">
        <v>109</v>
      </c>
      <c r="E679" s="43">
        <v>304.64</v>
      </c>
      <c r="F679" s="175" t="s">
        <v>109</v>
      </c>
      <c r="G679" s="9">
        <f>IF(Tabla9[[#This Row],[Precio
Unidad de Compra ( $)]]="","",(E679/(H679*I679)))</f>
        <v>304.64</v>
      </c>
      <c r="H679" s="8">
        <v>1</v>
      </c>
      <c r="I679" s="168">
        <v>1</v>
      </c>
      <c r="J679" s="205" t="str">
        <f t="shared" si="16"/>
        <v>H_020</v>
      </c>
      <c r="K679" s="115"/>
    </row>
    <row r="680" spans="1:11" ht="15" customHeight="1">
      <c r="A680" s="41">
        <f t="shared" si="17"/>
        <v>21</v>
      </c>
      <c r="B680" s="36" t="s">
        <v>504</v>
      </c>
      <c r="C680" s="204" t="s">
        <v>44</v>
      </c>
      <c r="D680" s="48" t="s">
        <v>109</v>
      </c>
      <c r="E680" s="43">
        <v>304.64</v>
      </c>
      <c r="F680" s="175" t="s">
        <v>109</v>
      </c>
      <c r="G680" s="9">
        <f>IF(Tabla9[[#This Row],[Precio
Unidad de Compra ( $)]]="","",(E680/(H680*I680)))</f>
        <v>304.64</v>
      </c>
      <c r="H680" s="8">
        <v>1</v>
      </c>
      <c r="I680" s="168">
        <v>1</v>
      </c>
      <c r="J680" s="205" t="str">
        <f t="shared" si="16"/>
        <v>H_021</v>
      </c>
      <c r="K680" s="115"/>
    </row>
    <row r="681" spans="1:11" ht="15" customHeight="1">
      <c r="A681" s="41">
        <f t="shared" si="17"/>
        <v>22</v>
      </c>
      <c r="B681" s="36" t="s">
        <v>505</v>
      </c>
      <c r="C681" s="204" t="s">
        <v>44</v>
      </c>
      <c r="D681" s="48" t="s">
        <v>109</v>
      </c>
      <c r="E681" s="55">
        <v>304.64</v>
      </c>
      <c r="F681" s="181" t="s">
        <v>109</v>
      </c>
      <c r="G681" s="9">
        <f>IF(Tabla9[[#This Row],[Precio
Unidad de Compra ( $)]]="","",(E681/(H681*I681)))</f>
        <v>304.64</v>
      </c>
      <c r="H681" s="8">
        <v>1</v>
      </c>
      <c r="I681" s="168">
        <v>1</v>
      </c>
      <c r="J681" s="205" t="str">
        <f t="shared" si="16"/>
        <v>H_022</v>
      </c>
      <c r="K681" s="115"/>
    </row>
    <row r="682" spans="1:11" ht="15" customHeight="1">
      <c r="A682" s="41">
        <f t="shared" si="17"/>
        <v>23</v>
      </c>
      <c r="B682" s="36" t="s">
        <v>506</v>
      </c>
      <c r="C682" s="204" t="s">
        <v>44</v>
      </c>
      <c r="D682" s="48" t="s">
        <v>109</v>
      </c>
      <c r="E682" s="43">
        <v>304.64</v>
      </c>
      <c r="F682" s="175" t="s">
        <v>109</v>
      </c>
      <c r="G682" s="9">
        <f>IF(Tabla9[[#This Row],[Precio
Unidad de Compra ( $)]]="","",(E682/(H682*I682)))</f>
        <v>304.64</v>
      </c>
      <c r="H682" s="8">
        <v>1</v>
      </c>
      <c r="I682" s="168">
        <v>1</v>
      </c>
      <c r="J682" s="205" t="str">
        <f t="shared" si="16"/>
        <v>H_023</v>
      </c>
      <c r="K682" s="115"/>
    </row>
    <row r="683" spans="1:11" ht="15" customHeight="1">
      <c r="A683" s="41">
        <f t="shared" si="17"/>
        <v>24</v>
      </c>
      <c r="B683" s="36" t="s">
        <v>507</v>
      </c>
      <c r="C683" s="204" t="s">
        <v>44</v>
      </c>
      <c r="D683" s="48" t="s">
        <v>109</v>
      </c>
      <c r="E683" s="43">
        <v>304.64</v>
      </c>
      <c r="F683" s="175" t="s">
        <v>109</v>
      </c>
      <c r="G683" s="9">
        <f>IF(Tabla9[[#This Row],[Precio
Unidad de Compra ( $)]]="","",(E683/(H683*I683)))</f>
        <v>304.64</v>
      </c>
      <c r="H683" s="8">
        <v>1</v>
      </c>
      <c r="I683" s="168">
        <v>1</v>
      </c>
      <c r="J683" s="205" t="str">
        <f t="shared" si="16"/>
        <v>H_024</v>
      </c>
      <c r="K683" s="115"/>
    </row>
    <row r="684" spans="1:11" ht="15" customHeight="1">
      <c r="A684" s="41">
        <f t="shared" si="17"/>
        <v>25</v>
      </c>
      <c r="B684" s="36" t="s">
        <v>508</v>
      </c>
      <c r="C684" s="204" t="s">
        <v>44</v>
      </c>
      <c r="D684" s="48" t="s">
        <v>109</v>
      </c>
      <c r="E684" s="43">
        <v>304.64</v>
      </c>
      <c r="F684" s="175" t="s">
        <v>109</v>
      </c>
      <c r="G684" s="9">
        <f>IF(Tabla9[[#This Row],[Precio
Unidad de Compra ( $)]]="","",(E684/(H684*I684)))</f>
        <v>304.64</v>
      </c>
      <c r="H684" s="8">
        <v>1</v>
      </c>
      <c r="I684" s="168">
        <v>1</v>
      </c>
      <c r="J684" s="205" t="str">
        <f t="shared" si="16"/>
        <v>H_025</v>
      </c>
      <c r="K684" s="115"/>
    </row>
    <row r="685" spans="1:11" ht="15" customHeight="1">
      <c r="A685" s="41">
        <f t="shared" si="17"/>
        <v>26</v>
      </c>
      <c r="B685" s="36" t="s">
        <v>509</v>
      </c>
      <c r="C685" s="204" t="s">
        <v>44</v>
      </c>
      <c r="D685" s="48" t="s">
        <v>109</v>
      </c>
      <c r="E685" s="43">
        <v>304.64</v>
      </c>
      <c r="F685" s="175" t="s">
        <v>109</v>
      </c>
      <c r="G685" s="9">
        <f>IF(Tabla9[[#This Row],[Precio
Unidad de Compra ( $)]]="","",(E685/(H685*I685)))</f>
        <v>304.64</v>
      </c>
      <c r="H685" s="8">
        <v>1</v>
      </c>
      <c r="I685" s="168">
        <v>1</v>
      </c>
      <c r="J685" s="205" t="str">
        <f t="shared" si="16"/>
        <v>H_026</v>
      </c>
      <c r="K685" s="115"/>
    </row>
    <row r="686" spans="1:11" ht="15" customHeight="1">
      <c r="A686" s="41">
        <f t="shared" si="17"/>
        <v>27</v>
      </c>
      <c r="B686" s="36" t="s">
        <v>510</v>
      </c>
      <c r="C686" s="204" t="s">
        <v>44</v>
      </c>
      <c r="D686" s="48" t="s">
        <v>109</v>
      </c>
      <c r="E686" s="43">
        <v>304.64</v>
      </c>
      <c r="F686" s="175" t="s">
        <v>109</v>
      </c>
      <c r="G686" s="9">
        <f>IF(Tabla9[[#This Row],[Precio
Unidad de Compra ( $)]]="","",(E686/(H686*I686)))</f>
        <v>304.64</v>
      </c>
      <c r="H686" s="8">
        <v>1</v>
      </c>
      <c r="I686" s="168">
        <v>1</v>
      </c>
      <c r="J686" s="205" t="str">
        <f t="shared" si="16"/>
        <v>H_027</v>
      </c>
      <c r="K686" s="115"/>
    </row>
    <row r="687" spans="1:11" ht="15" customHeight="1">
      <c r="A687" s="41">
        <f t="shared" si="17"/>
        <v>28</v>
      </c>
      <c r="B687" s="36" t="s">
        <v>511</v>
      </c>
      <c r="C687" s="204" t="s">
        <v>44</v>
      </c>
      <c r="D687" s="48" t="s">
        <v>109</v>
      </c>
      <c r="E687" s="43">
        <v>304.64</v>
      </c>
      <c r="F687" s="175" t="s">
        <v>109</v>
      </c>
      <c r="G687" s="9">
        <f>IF(Tabla9[[#This Row],[Precio
Unidad de Compra ( $)]]="","",(E687/(H687*I687)))</f>
        <v>304.64</v>
      </c>
      <c r="H687" s="8">
        <v>1</v>
      </c>
      <c r="I687" s="168">
        <v>1</v>
      </c>
      <c r="J687" s="205" t="str">
        <f t="shared" si="16"/>
        <v>H_028</v>
      </c>
      <c r="K687" s="115"/>
    </row>
    <row r="688" spans="1:11" ht="15" customHeight="1">
      <c r="A688" s="41">
        <f t="shared" si="17"/>
        <v>29</v>
      </c>
      <c r="B688" s="36" t="s">
        <v>512</v>
      </c>
      <c r="C688" s="204" t="s">
        <v>44</v>
      </c>
      <c r="D688" s="48" t="s">
        <v>109</v>
      </c>
      <c r="E688" s="43">
        <v>304.64</v>
      </c>
      <c r="F688" s="175" t="s">
        <v>109</v>
      </c>
      <c r="G688" s="9">
        <f>IF(Tabla9[[#This Row],[Precio
Unidad de Compra ( $)]]="","",(E688/(H688*I688)))</f>
        <v>304.64</v>
      </c>
      <c r="H688" s="8">
        <v>1</v>
      </c>
      <c r="I688" s="168">
        <v>1</v>
      </c>
      <c r="J688" s="205" t="str">
        <f t="shared" si="16"/>
        <v>H_029</v>
      </c>
      <c r="K688" s="115"/>
    </row>
    <row r="689" spans="1:11" ht="15" customHeight="1">
      <c r="A689" s="41">
        <f t="shared" si="17"/>
        <v>30</v>
      </c>
      <c r="B689" s="36" t="s">
        <v>513</v>
      </c>
      <c r="C689" s="204" t="s">
        <v>44</v>
      </c>
      <c r="D689" s="48" t="s">
        <v>109</v>
      </c>
      <c r="E689" s="43">
        <v>304.64</v>
      </c>
      <c r="F689" s="175" t="s">
        <v>109</v>
      </c>
      <c r="G689" s="9">
        <f>IF(Tabla9[[#This Row],[Precio
Unidad de Compra ( $)]]="","",(E689/(H689*I689)))</f>
        <v>304.64</v>
      </c>
      <c r="H689" s="8">
        <v>1</v>
      </c>
      <c r="I689" s="168">
        <v>1</v>
      </c>
      <c r="J689" s="205" t="str">
        <f t="shared" si="16"/>
        <v>H_030</v>
      </c>
      <c r="K689" s="115"/>
    </row>
    <row r="690" spans="1:11" ht="15" customHeight="1">
      <c r="A690" s="41">
        <f t="shared" si="17"/>
        <v>31</v>
      </c>
      <c r="B690" s="36" t="s">
        <v>514</v>
      </c>
      <c r="C690" s="204" t="s">
        <v>44</v>
      </c>
      <c r="D690" s="48" t="s">
        <v>109</v>
      </c>
      <c r="E690" s="55">
        <v>304.64</v>
      </c>
      <c r="F690" s="181" t="s">
        <v>109</v>
      </c>
      <c r="G690" s="9">
        <f>IF(Tabla9[[#This Row],[Precio
Unidad de Compra ( $)]]="","",(E690/(H690*I690)))</f>
        <v>304.64</v>
      </c>
      <c r="H690" s="8">
        <v>1</v>
      </c>
      <c r="I690" s="168">
        <v>1</v>
      </c>
      <c r="J690" s="205" t="str">
        <f t="shared" si="16"/>
        <v>H_031</v>
      </c>
      <c r="K690" s="115"/>
    </row>
    <row r="691" spans="1:11" ht="15" customHeight="1">
      <c r="A691" s="41">
        <f t="shared" si="17"/>
        <v>32</v>
      </c>
      <c r="B691" s="36" t="s">
        <v>515</v>
      </c>
      <c r="C691" s="204" t="s">
        <v>44</v>
      </c>
      <c r="D691" s="48" t="s">
        <v>109</v>
      </c>
      <c r="E691" s="43">
        <v>304.64</v>
      </c>
      <c r="F691" s="175" t="s">
        <v>109</v>
      </c>
      <c r="G691" s="9">
        <f>IF(Tabla9[[#This Row],[Precio
Unidad de Compra ( $)]]="","",(E691/(H691*I691)))</f>
        <v>304.64</v>
      </c>
      <c r="H691" s="8">
        <v>1</v>
      </c>
      <c r="I691" s="168">
        <v>1</v>
      </c>
      <c r="J691" s="205" t="str">
        <f t="shared" si="16"/>
        <v>H_032</v>
      </c>
      <c r="K691" s="115"/>
    </row>
    <row r="692" spans="1:11" ht="15" customHeight="1">
      <c r="A692" s="41">
        <f t="shared" si="17"/>
        <v>33</v>
      </c>
      <c r="B692" s="36" t="s">
        <v>516</v>
      </c>
      <c r="C692" s="204" t="s">
        <v>44</v>
      </c>
      <c r="D692" s="48" t="s">
        <v>109</v>
      </c>
      <c r="E692" s="43">
        <v>3356</v>
      </c>
      <c r="F692" s="175" t="s">
        <v>109</v>
      </c>
      <c r="G692" s="9">
        <f>IF(Tabla9[[#This Row],[Precio
Unidad de Compra ( $)]]="","",(E692/(H692*I692)))</f>
        <v>3356</v>
      </c>
      <c r="H692" s="8">
        <v>1</v>
      </c>
      <c r="I692" s="168">
        <v>1</v>
      </c>
      <c r="J692" s="205" t="str">
        <f t="shared" si="16"/>
        <v>H_033</v>
      </c>
      <c r="K692" s="115"/>
    </row>
    <row r="693" spans="1:11" ht="15" customHeight="1">
      <c r="A693" s="41">
        <f t="shared" si="17"/>
        <v>34</v>
      </c>
      <c r="B693" s="36" t="s">
        <v>517</v>
      </c>
      <c r="C693" s="204" t="s">
        <v>44</v>
      </c>
      <c r="D693" s="48" t="s">
        <v>109</v>
      </c>
      <c r="E693" s="43">
        <v>3356</v>
      </c>
      <c r="F693" s="175" t="s">
        <v>109</v>
      </c>
      <c r="G693" s="9">
        <f>IF(Tabla9[[#This Row],[Precio
Unidad de Compra ( $)]]="","",(E693/(H693*I693)))</f>
        <v>3356</v>
      </c>
      <c r="H693" s="8">
        <v>1</v>
      </c>
      <c r="I693" s="168">
        <v>1</v>
      </c>
      <c r="J693" s="205" t="str">
        <f t="shared" si="16"/>
        <v>H_034</v>
      </c>
      <c r="K693" s="115"/>
    </row>
    <row r="694" spans="1:11" ht="15" customHeight="1">
      <c r="A694" s="41">
        <f t="shared" si="17"/>
        <v>35</v>
      </c>
      <c r="B694" s="36" t="s">
        <v>518</v>
      </c>
      <c r="C694" s="204" t="s">
        <v>44</v>
      </c>
      <c r="D694" s="48" t="s">
        <v>109</v>
      </c>
      <c r="E694" s="43">
        <v>3356</v>
      </c>
      <c r="F694" s="175" t="s">
        <v>109</v>
      </c>
      <c r="G694" s="9">
        <f>IF(Tabla9[[#This Row],[Precio
Unidad de Compra ( $)]]="","",(E694/(H694*I694)))</f>
        <v>3356</v>
      </c>
      <c r="H694" s="8">
        <v>1</v>
      </c>
      <c r="I694" s="168">
        <v>1</v>
      </c>
      <c r="J694" s="205" t="str">
        <f t="shared" si="16"/>
        <v>H_035</v>
      </c>
      <c r="K694" s="115"/>
    </row>
    <row r="695" spans="1:11" ht="15" customHeight="1">
      <c r="A695" s="41">
        <f t="shared" si="17"/>
        <v>36</v>
      </c>
      <c r="B695" s="36" t="s">
        <v>519</v>
      </c>
      <c r="C695" s="204" t="s">
        <v>44</v>
      </c>
      <c r="D695" s="48" t="s">
        <v>109</v>
      </c>
      <c r="E695" s="43">
        <v>3356</v>
      </c>
      <c r="F695" s="175" t="s">
        <v>109</v>
      </c>
      <c r="G695" s="9">
        <f>IF(Tabla9[[#This Row],[Precio
Unidad de Compra ( $)]]="","",(E695/(H695*I695)))</f>
        <v>3356</v>
      </c>
      <c r="H695" s="8">
        <v>1</v>
      </c>
      <c r="I695" s="168">
        <v>1</v>
      </c>
      <c r="J695" s="205" t="str">
        <f t="shared" si="16"/>
        <v>H_036</v>
      </c>
      <c r="K695" s="115"/>
    </row>
    <row r="696" spans="1:11" ht="15" customHeight="1">
      <c r="A696" s="41">
        <f t="shared" si="17"/>
        <v>37</v>
      </c>
      <c r="B696" s="36" t="s">
        <v>520</v>
      </c>
      <c r="C696" s="204" t="s">
        <v>44</v>
      </c>
      <c r="D696" s="48" t="s">
        <v>109</v>
      </c>
      <c r="E696" s="43">
        <v>3356</v>
      </c>
      <c r="F696" s="175" t="s">
        <v>109</v>
      </c>
      <c r="G696" s="9">
        <f>IF(Tabla9[[#This Row],[Precio
Unidad de Compra ( $)]]="","",(E696/(H696*I696)))</f>
        <v>3356</v>
      </c>
      <c r="H696" s="8">
        <v>1</v>
      </c>
      <c r="I696" s="168">
        <v>1</v>
      </c>
      <c r="J696" s="205" t="str">
        <f t="shared" si="16"/>
        <v>H_037</v>
      </c>
      <c r="K696" s="115"/>
    </row>
    <row r="697" spans="1:11" ht="15" customHeight="1">
      <c r="A697" s="41">
        <f t="shared" si="17"/>
        <v>38</v>
      </c>
      <c r="B697" s="36" t="s">
        <v>521</v>
      </c>
      <c r="C697" s="204" t="s">
        <v>44</v>
      </c>
      <c r="D697" s="48" t="s">
        <v>109</v>
      </c>
      <c r="E697" s="43">
        <v>3356</v>
      </c>
      <c r="F697" s="175" t="s">
        <v>109</v>
      </c>
      <c r="G697" s="9">
        <f>IF(Tabla9[[#This Row],[Precio
Unidad de Compra ( $)]]="","",(E697/(H697*I697)))</f>
        <v>3356</v>
      </c>
      <c r="H697" s="8">
        <v>1</v>
      </c>
      <c r="I697" s="168">
        <v>1</v>
      </c>
      <c r="J697" s="205" t="str">
        <f t="shared" si="16"/>
        <v>H_038</v>
      </c>
      <c r="K697" s="115"/>
    </row>
    <row r="698" spans="1:11" ht="15" customHeight="1">
      <c r="A698" s="41">
        <f t="shared" si="17"/>
        <v>39</v>
      </c>
      <c r="B698" s="36" t="s">
        <v>522</v>
      </c>
      <c r="C698" s="204" t="s">
        <v>44</v>
      </c>
      <c r="D698" s="48" t="s">
        <v>109</v>
      </c>
      <c r="E698" s="43">
        <v>3356</v>
      </c>
      <c r="F698" s="175" t="s">
        <v>109</v>
      </c>
      <c r="G698" s="9">
        <f>IF(Tabla9[[#This Row],[Precio
Unidad de Compra ( $)]]="","",(E698/(H698*I698)))</f>
        <v>3356</v>
      </c>
      <c r="H698" s="8">
        <v>1</v>
      </c>
      <c r="I698" s="168">
        <v>1</v>
      </c>
      <c r="J698" s="205" t="str">
        <f t="shared" si="16"/>
        <v>H_039</v>
      </c>
      <c r="K698" s="115"/>
    </row>
    <row r="699" spans="1:11" ht="15" customHeight="1">
      <c r="A699" s="41">
        <f t="shared" si="17"/>
        <v>40</v>
      </c>
      <c r="B699" s="36" t="s">
        <v>523</v>
      </c>
      <c r="C699" s="204" t="s">
        <v>44</v>
      </c>
      <c r="D699" s="48" t="s">
        <v>109</v>
      </c>
      <c r="E699" s="43">
        <v>3356</v>
      </c>
      <c r="F699" s="175" t="s">
        <v>109</v>
      </c>
      <c r="G699" s="9">
        <f>IF(Tabla9[[#This Row],[Precio
Unidad de Compra ( $)]]="","",(E699/(H699*I699)))</f>
        <v>3356</v>
      </c>
      <c r="H699" s="8">
        <v>1</v>
      </c>
      <c r="I699" s="168">
        <v>1</v>
      </c>
      <c r="J699" s="205" t="str">
        <f t="shared" si="16"/>
        <v>H_040</v>
      </c>
      <c r="K699" s="115"/>
    </row>
    <row r="700" spans="1:11" ht="15" customHeight="1">
      <c r="A700" s="41">
        <f t="shared" si="17"/>
        <v>41</v>
      </c>
      <c r="B700" s="36" t="s">
        <v>524</v>
      </c>
      <c r="C700" s="204" t="s">
        <v>44</v>
      </c>
      <c r="D700" s="48" t="s">
        <v>109</v>
      </c>
      <c r="E700" s="43">
        <v>3356</v>
      </c>
      <c r="F700" s="175" t="s">
        <v>109</v>
      </c>
      <c r="G700" s="9">
        <f>IF(Tabla9[[#This Row],[Precio
Unidad de Compra ( $)]]="","",(E700/(H700*I700)))</f>
        <v>3356</v>
      </c>
      <c r="H700" s="8">
        <v>1</v>
      </c>
      <c r="I700" s="168">
        <v>1</v>
      </c>
      <c r="J700" s="205" t="str">
        <f t="shared" si="16"/>
        <v>H_041</v>
      </c>
      <c r="K700" s="115"/>
    </row>
    <row r="701" spans="1:11" ht="15" customHeight="1">
      <c r="A701" s="41">
        <f t="shared" si="17"/>
        <v>42</v>
      </c>
      <c r="B701" s="36" t="s">
        <v>525</v>
      </c>
      <c r="C701" s="204" t="s">
        <v>44</v>
      </c>
      <c r="D701" s="48" t="s">
        <v>109</v>
      </c>
      <c r="E701" s="43">
        <v>3356</v>
      </c>
      <c r="F701" s="175" t="s">
        <v>109</v>
      </c>
      <c r="G701" s="9">
        <f>IF(Tabla9[[#This Row],[Precio
Unidad de Compra ( $)]]="","",(E701/(H701*I701)))</f>
        <v>3356</v>
      </c>
      <c r="H701" s="8">
        <v>1</v>
      </c>
      <c r="I701" s="168">
        <v>1</v>
      </c>
      <c r="J701" s="205" t="str">
        <f t="shared" si="16"/>
        <v>H_042</v>
      </c>
      <c r="K701" s="115"/>
    </row>
    <row r="702" spans="1:11" ht="15" customHeight="1">
      <c r="A702" s="41">
        <f t="shared" si="17"/>
        <v>43</v>
      </c>
      <c r="B702" s="36" t="s">
        <v>526</v>
      </c>
      <c r="C702" s="204" t="s">
        <v>44</v>
      </c>
      <c r="D702" s="48" t="s">
        <v>109</v>
      </c>
      <c r="E702" s="43">
        <v>3356</v>
      </c>
      <c r="F702" s="175" t="s">
        <v>109</v>
      </c>
      <c r="G702" s="9">
        <f>IF(Tabla9[[#This Row],[Precio
Unidad de Compra ( $)]]="","",(E702/(H702*I702)))</f>
        <v>3356</v>
      </c>
      <c r="H702" s="8">
        <v>1</v>
      </c>
      <c r="I702" s="168">
        <v>1</v>
      </c>
      <c r="J702" s="205" t="str">
        <f t="shared" si="16"/>
        <v>H_043</v>
      </c>
      <c r="K702" s="115"/>
    </row>
    <row r="703" spans="1:11" ht="15" customHeight="1">
      <c r="A703" s="41">
        <f t="shared" si="17"/>
        <v>44</v>
      </c>
      <c r="B703" s="36" t="s">
        <v>527</v>
      </c>
      <c r="C703" s="204" t="s">
        <v>44</v>
      </c>
      <c r="D703" s="48" t="s">
        <v>109</v>
      </c>
      <c r="E703" s="43">
        <v>1537.48</v>
      </c>
      <c r="F703" s="175" t="s">
        <v>109</v>
      </c>
      <c r="G703" s="9">
        <f>IF(Tabla9[[#This Row],[Precio
Unidad de Compra ( $)]]="","",(E703/(H703*I703)))</f>
        <v>1537.48</v>
      </c>
      <c r="H703" s="8">
        <v>1</v>
      </c>
      <c r="I703" s="168">
        <v>1</v>
      </c>
      <c r="J703" s="205" t="str">
        <f t="shared" si="16"/>
        <v>H_044</v>
      </c>
      <c r="K703" s="115"/>
    </row>
    <row r="704" spans="1:11" ht="15" customHeight="1">
      <c r="A704" s="41">
        <f t="shared" si="17"/>
        <v>45</v>
      </c>
      <c r="B704" s="36" t="s">
        <v>528</v>
      </c>
      <c r="C704" s="204" t="s">
        <v>44</v>
      </c>
      <c r="D704" s="48" t="s">
        <v>109</v>
      </c>
      <c r="E704" s="55">
        <v>1537.48</v>
      </c>
      <c r="F704" s="175" t="s">
        <v>109</v>
      </c>
      <c r="G704" s="9">
        <f>IF(Tabla9[[#This Row],[Precio
Unidad de Compra ( $)]]="","",(E704/(H704*I704)))</f>
        <v>1537.48</v>
      </c>
      <c r="H704" s="8">
        <v>1</v>
      </c>
      <c r="I704" s="168">
        <v>1</v>
      </c>
      <c r="J704" s="205" t="str">
        <f t="shared" si="16"/>
        <v>H_045</v>
      </c>
      <c r="K704" s="115"/>
    </row>
    <row r="705" spans="1:11" ht="15" customHeight="1">
      <c r="A705" s="41">
        <f t="shared" si="17"/>
        <v>46</v>
      </c>
      <c r="B705" s="36" t="s">
        <v>529</v>
      </c>
      <c r="C705" s="204" t="s">
        <v>44</v>
      </c>
      <c r="D705" s="48" t="s">
        <v>109</v>
      </c>
      <c r="E705" s="43">
        <v>1537.48</v>
      </c>
      <c r="F705" s="175" t="s">
        <v>109</v>
      </c>
      <c r="G705" s="9">
        <f>IF(Tabla9[[#This Row],[Precio
Unidad de Compra ( $)]]="","",(E705/(H705*I705)))</f>
        <v>1537.48</v>
      </c>
      <c r="H705" s="8">
        <v>1</v>
      </c>
      <c r="I705" s="168">
        <v>1</v>
      </c>
      <c r="J705" s="205" t="str">
        <f t="shared" si="16"/>
        <v>H_046</v>
      </c>
      <c r="K705" s="115"/>
    </row>
    <row r="706" spans="1:11" ht="15" customHeight="1">
      <c r="A706" s="41">
        <f t="shared" si="17"/>
        <v>47</v>
      </c>
      <c r="B706" s="36" t="s">
        <v>530</v>
      </c>
      <c r="C706" s="204" t="s">
        <v>44</v>
      </c>
      <c r="D706" s="48" t="s">
        <v>109</v>
      </c>
      <c r="E706" s="43">
        <v>1537.48</v>
      </c>
      <c r="F706" s="175" t="s">
        <v>109</v>
      </c>
      <c r="G706" s="9">
        <f>IF(Tabla9[[#This Row],[Precio
Unidad de Compra ( $)]]="","",(E706/(H706*I706)))</f>
        <v>1537.48</v>
      </c>
      <c r="H706" s="8">
        <v>1</v>
      </c>
      <c r="I706" s="168">
        <v>1</v>
      </c>
      <c r="J706" s="205" t="str">
        <f t="shared" si="16"/>
        <v>H_047</v>
      </c>
      <c r="K706" s="115"/>
    </row>
    <row r="707" spans="1:11" ht="15" customHeight="1">
      <c r="A707" s="41">
        <f t="shared" si="17"/>
        <v>48</v>
      </c>
      <c r="B707" s="157" t="s">
        <v>531</v>
      </c>
      <c r="C707" s="204" t="s">
        <v>44</v>
      </c>
      <c r="D707" s="48" t="s">
        <v>109</v>
      </c>
      <c r="E707" s="55">
        <v>1537.48</v>
      </c>
      <c r="F707" s="181" t="s">
        <v>109</v>
      </c>
      <c r="G707" s="9">
        <f>IF(Tabla9[[#This Row],[Precio
Unidad de Compra ( $)]]="","",(E707/(H707*I707)))</f>
        <v>1537.48</v>
      </c>
      <c r="H707" s="8">
        <v>1</v>
      </c>
      <c r="I707" s="168">
        <v>1</v>
      </c>
      <c r="J707" s="205" t="str">
        <f t="shared" si="16"/>
        <v>H_048</v>
      </c>
      <c r="K707" s="115"/>
    </row>
    <row r="708" spans="1:11" ht="15" customHeight="1">
      <c r="A708" s="41">
        <f t="shared" si="17"/>
        <v>49</v>
      </c>
      <c r="B708" s="36" t="s">
        <v>532</v>
      </c>
      <c r="C708" s="204" t="s">
        <v>44</v>
      </c>
      <c r="D708" s="48" t="s">
        <v>109</v>
      </c>
      <c r="E708" s="55">
        <v>2727.48</v>
      </c>
      <c r="F708" s="175" t="s">
        <v>109</v>
      </c>
      <c r="G708" s="9">
        <f>IF(Tabla9[[#This Row],[Precio
Unidad de Compra ( $)]]="","",(E708/(H708*I708)))</f>
        <v>2727.48</v>
      </c>
      <c r="H708" s="8">
        <v>1</v>
      </c>
      <c r="I708" s="168">
        <v>1</v>
      </c>
      <c r="J708" s="205" t="str">
        <f t="shared" si="16"/>
        <v>H_049</v>
      </c>
      <c r="K708" s="115"/>
    </row>
    <row r="709" spans="1:11" ht="15" customHeight="1">
      <c r="A709" s="41">
        <f t="shared" si="17"/>
        <v>50</v>
      </c>
      <c r="B709" s="157" t="s">
        <v>533</v>
      </c>
      <c r="C709" s="204" t="s">
        <v>44</v>
      </c>
      <c r="D709" s="48" t="s">
        <v>109</v>
      </c>
      <c r="E709" s="55">
        <v>1537.48</v>
      </c>
      <c r="F709" s="181" t="s">
        <v>109</v>
      </c>
      <c r="G709" s="9">
        <f>IF(Tabla9[[#This Row],[Precio
Unidad de Compra ( $)]]="","",(E709/(H709*I709)))</f>
        <v>1537.48</v>
      </c>
      <c r="H709" s="8">
        <v>1</v>
      </c>
      <c r="I709" s="168">
        <v>1</v>
      </c>
      <c r="J709" s="205" t="str">
        <f t="shared" si="16"/>
        <v>H_050</v>
      </c>
      <c r="K709" s="115"/>
    </row>
    <row r="710" spans="1:11" ht="15" customHeight="1">
      <c r="A710" s="41">
        <f t="shared" si="17"/>
        <v>51</v>
      </c>
      <c r="B710" s="157" t="s">
        <v>534</v>
      </c>
      <c r="C710" s="204" t="s">
        <v>44</v>
      </c>
      <c r="D710" s="48" t="s">
        <v>109</v>
      </c>
      <c r="E710" s="55">
        <v>11057</v>
      </c>
      <c r="F710" s="181" t="s">
        <v>109</v>
      </c>
      <c r="G710" s="9">
        <f>IF(Tabla9[[#This Row],[Precio
Unidad de Compra ( $)]]="","",(E710/(H710*I710)))</f>
        <v>11057</v>
      </c>
      <c r="H710" s="8">
        <v>1</v>
      </c>
      <c r="I710" s="168">
        <v>1</v>
      </c>
      <c r="J710" s="205" t="str">
        <f t="shared" si="16"/>
        <v>H_051</v>
      </c>
      <c r="K710" s="115"/>
    </row>
    <row r="711" spans="1:11" ht="15" customHeight="1">
      <c r="A711" s="41">
        <f t="shared" si="17"/>
        <v>52</v>
      </c>
      <c r="B711" s="157" t="s">
        <v>535</v>
      </c>
      <c r="C711" s="204" t="s">
        <v>44</v>
      </c>
      <c r="D711" s="48" t="s">
        <v>109</v>
      </c>
      <c r="E711" s="55">
        <v>11057</v>
      </c>
      <c r="F711" s="181" t="s">
        <v>109</v>
      </c>
      <c r="G711" s="9">
        <f>IF(Tabla9[[#This Row],[Precio
Unidad de Compra ( $)]]="","",(E711/(H711*I711)))</f>
        <v>11057</v>
      </c>
      <c r="H711" s="8">
        <v>1</v>
      </c>
      <c r="I711" s="168">
        <v>1</v>
      </c>
      <c r="J711" s="205" t="str">
        <f t="shared" si="16"/>
        <v>H_052</v>
      </c>
      <c r="K711" s="115"/>
    </row>
    <row r="712" spans="1:11" ht="15" customHeight="1">
      <c r="A712" s="41">
        <f t="shared" si="17"/>
        <v>53</v>
      </c>
      <c r="B712" s="157" t="s">
        <v>536</v>
      </c>
      <c r="C712" s="204" t="s">
        <v>44</v>
      </c>
      <c r="D712" s="48" t="s">
        <v>109</v>
      </c>
      <c r="E712" s="55">
        <v>375</v>
      </c>
      <c r="F712" s="181" t="s">
        <v>109</v>
      </c>
      <c r="G712" s="9">
        <f>IF(Tabla9[[#This Row],[Precio
Unidad de Compra ( $)]]="","",(E712/(H712*I712)))</f>
        <v>375</v>
      </c>
      <c r="H712" s="8">
        <v>1</v>
      </c>
      <c r="I712" s="168">
        <v>1</v>
      </c>
      <c r="J712" s="205" t="str">
        <f t="shared" si="16"/>
        <v>H_053</v>
      </c>
      <c r="K712" s="115"/>
    </row>
    <row r="713" spans="1:11" ht="15" customHeight="1">
      <c r="A713" s="41">
        <f t="shared" si="17"/>
        <v>54</v>
      </c>
      <c r="B713" s="157" t="s">
        <v>537</v>
      </c>
      <c r="C713" s="204" t="s">
        <v>44</v>
      </c>
      <c r="D713" s="48" t="s">
        <v>109</v>
      </c>
      <c r="E713" s="55">
        <v>1006.6666666666666</v>
      </c>
      <c r="F713" s="181" t="s">
        <v>109</v>
      </c>
      <c r="G713" s="9">
        <f>IF(Tabla9[[#This Row],[Precio
Unidad de Compra ( $)]]="","",(E713/(H713*I713)))</f>
        <v>1006.6666666666666</v>
      </c>
      <c r="H713" s="8">
        <v>1</v>
      </c>
      <c r="I713" s="168">
        <v>1</v>
      </c>
      <c r="J713" s="205" t="str">
        <f t="shared" si="16"/>
        <v>H_054</v>
      </c>
      <c r="K713" s="115"/>
    </row>
    <row r="714" spans="1:11" ht="15" customHeight="1">
      <c r="A714" s="41">
        <f t="shared" si="17"/>
        <v>55</v>
      </c>
      <c r="B714" s="157" t="s">
        <v>538</v>
      </c>
      <c r="C714" s="204" t="s">
        <v>44</v>
      </c>
      <c r="D714" s="48" t="s">
        <v>109</v>
      </c>
      <c r="E714" s="55">
        <v>375</v>
      </c>
      <c r="F714" s="181" t="s">
        <v>109</v>
      </c>
      <c r="G714" s="9">
        <f>IF(Tabla9[[#This Row],[Precio
Unidad de Compra ( $)]]="","",(E714/(H714*I714)))</f>
        <v>375</v>
      </c>
      <c r="H714" s="8">
        <v>1</v>
      </c>
      <c r="I714" s="168">
        <v>1</v>
      </c>
      <c r="J714" s="205" t="str">
        <f t="shared" si="16"/>
        <v>H_055</v>
      </c>
      <c r="K714" s="115"/>
    </row>
    <row r="715" spans="1:11" ht="15" customHeight="1">
      <c r="A715" s="41">
        <f t="shared" si="17"/>
        <v>56</v>
      </c>
      <c r="B715" s="157" t="s">
        <v>539</v>
      </c>
      <c r="C715" s="204" t="s">
        <v>44</v>
      </c>
      <c r="D715" s="48" t="s">
        <v>109</v>
      </c>
      <c r="E715" s="55">
        <v>375</v>
      </c>
      <c r="F715" s="181" t="s">
        <v>109</v>
      </c>
      <c r="G715" s="9">
        <f>IF(Tabla9[[#This Row],[Precio
Unidad de Compra ( $)]]="","",(E715/(H715*I715)))</f>
        <v>375</v>
      </c>
      <c r="H715" s="8">
        <v>1</v>
      </c>
      <c r="I715" s="168">
        <v>1</v>
      </c>
      <c r="J715" s="205" t="str">
        <f t="shared" si="16"/>
        <v>H_056</v>
      </c>
      <c r="K715" s="115"/>
    </row>
    <row r="716" spans="1:11" ht="15" customHeight="1">
      <c r="A716" s="41">
        <f t="shared" si="17"/>
        <v>57</v>
      </c>
      <c r="B716" s="157" t="s">
        <v>540</v>
      </c>
      <c r="C716" s="204" t="s">
        <v>44</v>
      </c>
      <c r="D716" s="48" t="s">
        <v>109</v>
      </c>
      <c r="E716" s="55">
        <v>177.31</v>
      </c>
      <c r="F716" s="181" t="s">
        <v>109</v>
      </c>
      <c r="G716" s="9">
        <f>IF(Tabla9[[#This Row],[Precio
Unidad de Compra ( $)]]="","",(E716/(H716*I716)))</f>
        <v>177.31</v>
      </c>
      <c r="H716" s="8">
        <v>1</v>
      </c>
      <c r="I716" s="168">
        <v>1</v>
      </c>
      <c r="J716" s="205" t="str">
        <f t="shared" si="16"/>
        <v>H_057</v>
      </c>
      <c r="K716" s="115"/>
    </row>
    <row r="717" spans="1:11" ht="15" customHeight="1">
      <c r="A717" s="41">
        <f t="shared" si="17"/>
        <v>58</v>
      </c>
      <c r="B717" s="157" t="s">
        <v>541</v>
      </c>
      <c r="C717" s="204" t="s">
        <v>44</v>
      </c>
      <c r="D717" s="48" t="s">
        <v>109</v>
      </c>
      <c r="E717" s="55">
        <v>177.31</v>
      </c>
      <c r="F717" s="181" t="s">
        <v>109</v>
      </c>
      <c r="G717" s="9">
        <f>IF(Tabla9[[#This Row],[Precio
Unidad de Compra ( $)]]="","",(E717/(H717*I717)))</f>
        <v>177.31</v>
      </c>
      <c r="H717" s="8">
        <v>1</v>
      </c>
      <c r="I717" s="168">
        <v>1</v>
      </c>
      <c r="J717" s="205" t="str">
        <f t="shared" si="16"/>
        <v>H_058</v>
      </c>
      <c r="K717" s="115"/>
    </row>
    <row r="718" spans="1:11" ht="15" customHeight="1">
      <c r="A718" s="41">
        <f t="shared" si="17"/>
        <v>59</v>
      </c>
      <c r="B718" s="157" t="s">
        <v>542</v>
      </c>
      <c r="C718" s="204" t="s">
        <v>44</v>
      </c>
      <c r="D718" s="48" t="s">
        <v>109</v>
      </c>
      <c r="E718" s="55">
        <v>177.31</v>
      </c>
      <c r="F718" s="181" t="s">
        <v>109</v>
      </c>
      <c r="G718" s="9">
        <f>IF(Tabla9[[#This Row],[Precio
Unidad de Compra ( $)]]="","",(E718/(H718*I718)))</f>
        <v>177.31</v>
      </c>
      <c r="H718" s="8">
        <v>1</v>
      </c>
      <c r="I718" s="168">
        <v>1</v>
      </c>
      <c r="J718" s="205" t="str">
        <f t="shared" si="16"/>
        <v>H_059</v>
      </c>
      <c r="K718" s="115"/>
    </row>
    <row r="719" spans="1:11" ht="15" customHeight="1">
      <c r="A719" s="41">
        <f t="shared" si="17"/>
        <v>60</v>
      </c>
      <c r="B719" s="157" t="s">
        <v>543</v>
      </c>
      <c r="C719" s="204" t="s">
        <v>44</v>
      </c>
      <c r="D719" s="48" t="s">
        <v>109</v>
      </c>
      <c r="E719" s="55">
        <v>177.31</v>
      </c>
      <c r="F719" s="181" t="s">
        <v>109</v>
      </c>
      <c r="G719" s="9">
        <f>IF(Tabla9[[#This Row],[Precio
Unidad de Compra ( $)]]="","",(E719/(H719*I719)))</f>
        <v>177.31</v>
      </c>
      <c r="H719" s="8">
        <v>1</v>
      </c>
      <c r="I719" s="168">
        <v>1</v>
      </c>
      <c r="J719" s="205" t="str">
        <f t="shared" si="16"/>
        <v>H_060</v>
      </c>
      <c r="K719" s="115"/>
    </row>
    <row r="720" spans="1:11" ht="15" customHeight="1">
      <c r="A720" s="41">
        <f t="shared" si="17"/>
        <v>61</v>
      </c>
      <c r="B720" s="169" t="s">
        <v>544</v>
      </c>
      <c r="C720" s="204" t="s">
        <v>44</v>
      </c>
      <c r="D720" s="48" t="s">
        <v>109</v>
      </c>
      <c r="E720" s="43">
        <v>1280.44</v>
      </c>
      <c r="F720" s="175" t="s">
        <v>240</v>
      </c>
      <c r="G720" s="9">
        <f>IF(Tabla9[[#This Row],[Precio
Unidad de Compra ( $)]]="","",(E720/(H720*I720)))</f>
        <v>1280.44</v>
      </c>
      <c r="H720" s="8">
        <v>1</v>
      </c>
      <c r="I720" s="168">
        <v>1</v>
      </c>
      <c r="J720" s="205" t="str">
        <f t="shared" si="16"/>
        <v>H_061</v>
      </c>
      <c r="K720" s="115"/>
    </row>
    <row r="721" spans="1:11" ht="15" customHeight="1">
      <c r="A721" s="41">
        <f t="shared" si="17"/>
        <v>62</v>
      </c>
      <c r="B721" s="36" t="s">
        <v>545</v>
      </c>
      <c r="C721" s="204" t="s">
        <v>44</v>
      </c>
      <c r="D721" s="48" t="s">
        <v>109</v>
      </c>
      <c r="E721" s="55">
        <v>1280.44</v>
      </c>
      <c r="F721" s="175" t="s">
        <v>109</v>
      </c>
      <c r="G721" s="9">
        <f>IF(Tabla9[[#This Row],[Precio
Unidad de Compra ( $)]]="","",(E721/(H721*I721)))</f>
        <v>1280.44</v>
      </c>
      <c r="H721" s="8">
        <v>1</v>
      </c>
      <c r="I721" s="168">
        <v>1</v>
      </c>
      <c r="J721" s="205" t="str">
        <f t="shared" si="16"/>
        <v>H_062</v>
      </c>
      <c r="K721" s="115"/>
    </row>
    <row r="722" spans="1:11" ht="15" customHeight="1">
      <c r="A722" s="41">
        <f t="shared" si="17"/>
        <v>63</v>
      </c>
      <c r="B722" s="36" t="s">
        <v>546</v>
      </c>
      <c r="C722" s="204" t="s">
        <v>44</v>
      </c>
      <c r="D722" s="48" t="s">
        <v>109</v>
      </c>
      <c r="E722" s="43">
        <v>1280.44</v>
      </c>
      <c r="F722" s="175" t="s">
        <v>240</v>
      </c>
      <c r="G722" s="9">
        <f>IF(Tabla9[[#This Row],[Precio
Unidad de Compra ( $)]]="","",(E722/(H722*I722)))</f>
        <v>1280.44</v>
      </c>
      <c r="H722" s="8">
        <v>1</v>
      </c>
      <c r="I722" s="168">
        <v>1</v>
      </c>
      <c r="J722" s="205" t="str">
        <f t="shared" si="16"/>
        <v>H_063</v>
      </c>
      <c r="K722" s="115"/>
    </row>
    <row r="723" spans="1:11" ht="15" customHeight="1">
      <c r="A723" s="41">
        <f t="shared" si="17"/>
        <v>64</v>
      </c>
      <c r="B723" s="36" t="s">
        <v>547</v>
      </c>
      <c r="C723" s="204" t="s">
        <v>44</v>
      </c>
      <c r="D723" s="48" t="s">
        <v>109</v>
      </c>
      <c r="E723" s="43">
        <v>1280.44</v>
      </c>
      <c r="F723" s="175" t="s">
        <v>240</v>
      </c>
      <c r="G723" s="9">
        <f>IF(Tabla9[[#This Row],[Precio
Unidad de Compra ( $)]]="","",(E723/(H723*I723)))</f>
        <v>1280.44</v>
      </c>
      <c r="H723" s="8">
        <v>1</v>
      </c>
      <c r="I723" s="168">
        <v>1</v>
      </c>
      <c r="J723" s="205" t="str">
        <f t="shared" si="16"/>
        <v>H_064</v>
      </c>
      <c r="K723" s="115"/>
    </row>
    <row r="724" spans="1:11" ht="15" customHeight="1">
      <c r="A724" s="41">
        <f t="shared" si="17"/>
        <v>65</v>
      </c>
      <c r="B724" s="36" t="s">
        <v>548</v>
      </c>
      <c r="C724" s="204" t="s">
        <v>44</v>
      </c>
      <c r="D724" s="48" t="s">
        <v>109</v>
      </c>
      <c r="E724" s="43">
        <v>1280.44</v>
      </c>
      <c r="F724" s="175" t="s">
        <v>240</v>
      </c>
      <c r="G724" s="9">
        <f>IF(Tabla9[[#This Row],[Precio
Unidad de Compra ( $)]]="","",(E724/(H724*I724)))</f>
        <v>1280.44</v>
      </c>
      <c r="H724" s="8">
        <v>1</v>
      </c>
      <c r="I724" s="168">
        <v>1</v>
      </c>
      <c r="J724" s="205" t="str">
        <f t="shared" ref="J724:J787" si="18">IFERROR(CONCATENATE(LEFT(C724,1),"_",TEXT(A724,"000")),"")</f>
        <v>H_065</v>
      </c>
      <c r="K724" s="115"/>
    </row>
    <row r="725" spans="1:11" ht="15" customHeight="1">
      <c r="A725" s="41">
        <f t="shared" ref="A725:A788" si="19">A724+1</f>
        <v>66</v>
      </c>
      <c r="B725" s="36" t="s">
        <v>549</v>
      </c>
      <c r="C725" s="204" t="s">
        <v>44</v>
      </c>
      <c r="D725" s="48" t="s">
        <v>109</v>
      </c>
      <c r="E725" s="55">
        <v>1280.44</v>
      </c>
      <c r="F725" s="175" t="s">
        <v>109</v>
      </c>
      <c r="G725" s="9">
        <f>IF(Tabla9[[#This Row],[Precio
Unidad de Compra ( $)]]="","",(E725/(H725*I725)))</f>
        <v>1280.44</v>
      </c>
      <c r="H725" s="8">
        <v>1</v>
      </c>
      <c r="I725" s="168">
        <v>1</v>
      </c>
      <c r="J725" s="205" t="str">
        <f t="shared" si="18"/>
        <v>H_066</v>
      </c>
      <c r="K725" s="115"/>
    </row>
    <row r="726" spans="1:11" ht="15" customHeight="1">
      <c r="A726" s="41">
        <f t="shared" si="19"/>
        <v>67</v>
      </c>
      <c r="B726" s="169" t="s">
        <v>550</v>
      </c>
      <c r="C726" s="204" t="s">
        <v>44</v>
      </c>
      <c r="D726" s="48" t="s">
        <v>109</v>
      </c>
      <c r="E726" s="43">
        <v>1280.44</v>
      </c>
      <c r="F726" s="175" t="s">
        <v>240</v>
      </c>
      <c r="G726" s="9">
        <f>IF(Tabla9[[#This Row],[Precio
Unidad de Compra ( $)]]="","",(E726/(H726*I726)))</f>
        <v>1280.44</v>
      </c>
      <c r="H726" s="8">
        <v>1</v>
      </c>
      <c r="I726" s="168">
        <v>1</v>
      </c>
      <c r="J726" s="205" t="str">
        <f t="shared" si="18"/>
        <v>H_067</v>
      </c>
      <c r="K726" s="115"/>
    </row>
    <row r="727" spans="1:11" ht="15" customHeight="1">
      <c r="A727" s="41">
        <f t="shared" si="19"/>
        <v>68</v>
      </c>
      <c r="B727" s="157" t="s">
        <v>551</v>
      </c>
      <c r="C727" s="204" t="s">
        <v>44</v>
      </c>
      <c r="D727" s="48" t="s">
        <v>109</v>
      </c>
      <c r="E727" s="55">
        <v>14750</v>
      </c>
      <c r="F727" s="181" t="s">
        <v>109</v>
      </c>
      <c r="G727" s="9">
        <f>IF(Tabla9[[#This Row],[Precio
Unidad de Compra ( $)]]="","",(E727/(H727*I727)))</f>
        <v>14750</v>
      </c>
      <c r="H727" s="8">
        <v>1</v>
      </c>
      <c r="I727" s="168">
        <v>1</v>
      </c>
      <c r="J727" s="205" t="str">
        <f t="shared" si="18"/>
        <v>H_068</v>
      </c>
      <c r="K727" s="115"/>
    </row>
    <row r="728" spans="1:11" ht="15" customHeight="1">
      <c r="A728" s="41">
        <f t="shared" si="19"/>
        <v>69</v>
      </c>
      <c r="B728" s="157" t="s">
        <v>552</v>
      </c>
      <c r="C728" s="204" t="s">
        <v>44</v>
      </c>
      <c r="D728" s="48" t="s">
        <v>109</v>
      </c>
      <c r="E728" s="55">
        <v>14750</v>
      </c>
      <c r="F728" s="181" t="s">
        <v>109</v>
      </c>
      <c r="G728" s="9">
        <f>IF(Tabla9[[#This Row],[Precio
Unidad de Compra ( $)]]="","",(E728/(H728*I728)))</f>
        <v>14750</v>
      </c>
      <c r="H728" s="8">
        <v>1</v>
      </c>
      <c r="I728" s="168">
        <v>1</v>
      </c>
      <c r="J728" s="205" t="str">
        <f t="shared" si="18"/>
        <v>H_069</v>
      </c>
      <c r="K728" s="115"/>
    </row>
    <row r="729" spans="1:11" ht="15" customHeight="1">
      <c r="A729" s="41">
        <f t="shared" si="19"/>
        <v>70</v>
      </c>
      <c r="B729" s="157" t="s">
        <v>553</v>
      </c>
      <c r="C729" s="204" t="s">
        <v>44</v>
      </c>
      <c r="D729" s="48" t="s">
        <v>109</v>
      </c>
      <c r="E729" s="55">
        <v>4799.2700000000004</v>
      </c>
      <c r="F729" s="181" t="s">
        <v>109</v>
      </c>
      <c r="G729" s="9">
        <f>IF(Tabla9[[#This Row],[Precio
Unidad de Compra ( $)]]="","",(E729/(H729*I729)))</f>
        <v>4799.2700000000004</v>
      </c>
      <c r="H729" s="8">
        <v>1</v>
      </c>
      <c r="I729" s="168">
        <v>1</v>
      </c>
      <c r="J729" s="205" t="str">
        <f t="shared" si="18"/>
        <v>H_070</v>
      </c>
      <c r="K729" s="115"/>
    </row>
    <row r="730" spans="1:11" ht="15" customHeight="1">
      <c r="A730" s="41">
        <f t="shared" si="19"/>
        <v>71</v>
      </c>
      <c r="B730" s="157" t="s">
        <v>554</v>
      </c>
      <c r="C730" s="204" t="s">
        <v>44</v>
      </c>
      <c r="D730" s="48" t="s">
        <v>109</v>
      </c>
      <c r="E730" s="55">
        <v>4799.2700000000004</v>
      </c>
      <c r="F730" s="181" t="s">
        <v>109</v>
      </c>
      <c r="G730" s="9">
        <f>IF(Tabla9[[#This Row],[Precio
Unidad de Compra ( $)]]="","",(E730/(H730*I730)))</f>
        <v>4799.2700000000004</v>
      </c>
      <c r="H730" s="8">
        <v>1</v>
      </c>
      <c r="I730" s="168">
        <v>1</v>
      </c>
      <c r="J730" s="205" t="str">
        <f t="shared" si="18"/>
        <v>H_071</v>
      </c>
      <c r="K730" s="115"/>
    </row>
    <row r="731" spans="1:11" ht="15" customHeight="1">
      <c r="A731" s="41">
        <f t="shared" si="19"/>
        <v>72</v>
      </c>
      <c r="B731" s="157" t="s">
        <v>555</v>
      </c>
      <c r="C731" s="204" t="s">
        <v>44</v>
      </c>
      <c r="D731" s="48" t="s">
        <v>109</v>
      </c>
      <c r="E731" s="55">
        <v>1000</v>
      </c>
      <c r="F731" s="181" t="s">
        <v>109</v>
      </c>
      <c r="G731" s="9">
        <f>IF(Tabla9[[#This Row],[Precio
Unidad de Compra ( $)]]="","",(E731/(H731*I731)))</f>
        <v>1000</v>
      </c>
      <c r="H731" s="8">
        <v>1</v>
      </c>
      <c r="I731" s="168">
        <v>1</v>
      </c>
      <c r="J731" s="205" t="str">
        <f t="shared" si="18"/>
        <v>H_072</v>
      </c>
      <c r="K731" s="115"/>
    </row>
    <row r="732" spans="1:11" ht="15" customHeight="1">
      <c r="A732" s="41">
        <f t="shared" si="19"/>
        <v>73</v>
      </c>
      <c r="B732" s="157" t="s">
        <v>556</v>
      </c>
      <c r="C732" s="204" t="s">
        <v>44</v>
      </c>
      <c r="D732" s="48" t="s">
        <v>109</v>
      </c>
      <c r="E732" s="55">
        <v>1000</v>
      </c>
      <c r="F732" s="181" t="s">
        <v>109</v>
      </c>
      <c r="G732" s="9">
        <f>IF(Tabla9[[#This Row],[Precio
Unidad de Compra ( $)]]="","",(E732/(H732*I732)))</f>
        <v>1000</v>
      </c>
      <c r="H732" s="8">
        <v>1</v>
      </c>
      <c r="I732" s="168">
        <v>1</v>
      </c>
      <c r="J732" s="205" t="str">
        <f t="shared" si="18"/>
        <v>H_073</v>
      </c>
      <c r="K732" s="115"/>
    </row>
    <row r="733" spans="1:11" ht="15" customHeight="1">
      <c r="A733" s="41">
        <f t="shared" si="19"/>
        <v>74</v>
      </c>
      <c r="B733" s="157" t="s">
        <v>557</v>
      </c>
      <c r="C733" s="204" t="s">
        <v>44</v>
      </c>
      <c r="D733" s="48" t="s">
        <v>109</v>
      </c>
      <c r="E733" s="55">
        <v>6957.9299999999994</v>
      </c>
      <c r="F733" s="181" t="s">
        <v>109</v>
      </c>
      <c r="G733" s="9">
        <f>IF(Tabla9[[#This Row],[Precio
Unidad de Compra ( $)]]="","",(E733/(H733*I733)))</f>
        <v>6957.9299999999994</v>
      </c>
      <c r="H733" s="8">
        <v>1</v>
      </c>
      <c r="I733" s="168">
        <v>1</v>
      </c>
      <c r="J733" s="205" t="str">
        <f t="shared" si="18"/>
        <v>H_074</v>
      </c>
      <c r="K733" s="115"/>
    </row>
    <row r="734" spans="1:11" ht="15" customHeight="1">
      <c r="A734" s="41">
        <f t="shared" si="19"/>
        <v>75</v>
      </c>
      <c r="B734" s="157" t="s">
        <v>558</v>
      </c>
      <c r="C734" s="204" t="s">
        <v>44</v>
      </c>
      <c r="D734" s="48" t="s">
        <v>109</v>
      </c>
      <c r="E734" s="55">
        <v>6957.9299999999994</v>
      </c>
      <c r="F734" s="181" t="s">
        <v>109</v>
      </c>
      <c r="G734" s="9">
        <f>IF(Tabla9[[#This Row],[Precio
Unidad de Compra ( $)]]="","",(E734/(H734*I734)))</f>
        <v>6957.9299999999994</v>
      </c>
      <c r="H734" s="8">
        <v>1</v>
      </c>
      <c r="I734" s="168">
        <v>1</v>
      </c>
      <c r="J734" s="205" t="str">
        <f t="shared" si="18"/>
        <v>H_075</v>
      </c>
      <c r="K734" s="115"/>
    </row>
    <row r="735" spans="1:11" ht="15" customHeight="1">
      <c r="A735" s="41">
        <f t="shared" si="19"/>
        <v>76</v>
      </c>
      <c r="B735" s="157" t="s">
        <v>559</v>
      </c>
      <c r="C735" s="204" t="s">
        <v>44</v>
      </c>
      <c r="D735" s="48" t="s">
        <v>109</v>
      </c>
      <c r="E735" s="55">
        <v>6957.9299999999994</v>
      </c>
      <c r="F735" s="181" t="s">
        <v>109</v>
      </c>
      <c r="G735" s="9">
        <f>IF(Tabla9[[#This Row],[Precio
Unidad de Compra ( $)]]="","",(E735/(H735*I735)))</f>
        <v>6957.9299999999994</v>
      </c>
      <c r="H735" s="8">
        <v>1</v>
      </c>
      <c r="I735" s="168">
        <v>1</v>
      </c>
      <c r="J735" s="205" t="str">
        <f t="shared" si="18"/>
        <v>H_076</v>
      </c>
      <c r="K735" s="115"/>
    </row>
    <row r="736" spans="1:11" ht="15" customHeight="1">
      <c r="A736" s="41">
        <f t="shared" si="19"/>
        <v>77</v>
      </c>
      <c r="B736" s="157" t="s">
        <v>560</v>
      </c>
      <c r="C736" s="204" t="s">
        <v>44</v>
      </c>
      <c r="D736" s="48" t="s">
        <v>109</v>
      </c>
      <c r="E736" s="55">
        <v>6957.9299999999994</v>
      </c>
      <c r="F736" s="181" t="s">
        <v>109</v>
      </c>
      <c r="G736" s="9">
        <f>IF(Tabla9[[#This Row],[Precio
Unidad de Compra ( $)]]="","",(E736/(H736*I736)))</f>
        <v>6957.9299999999994</v>
      </c>
      <c r="H736" s="8">
        <v>1</v>
      </c>
      <c r="I736" s="168">
        <v>1</v>
      </c>
      <c r="J736" s="205" t="str">
        <f t="shared" si="18"/>
        <v>H_077</v>
      </c>
      <c r="K736" s="115"/>
    </row>
    <row r="737" spans="1:11" ht="15" customHeight="1">
      <c r="A737" s="41">
        <f t="shared" si="19"/>
        <v>78</v>
      </c>
      <c r="B737" s="157" t="s">
        <v>561</v>
      </c>
      <c r="C737" s="204" t="s">
        <v>44</v>
      </c>
      <c r="D737" s="48" t="s">
        <v>109</v>
      </c>
      <c r="E737" s="55">
        <v>6957.9299999999994</v>
      </c>
      <c r="F737" s="181" t="s">
        <v>109</v>
      </c>
      <c r="G737" s="9">
        <f>IF(Tabla9[[#This Row],[Precio
Unidad de Compra ( $)]]="","",(E737/(H737*I737)))</f>
        <v>6957.9299999999994</v>
      </c>
      <c r="H737" s="8">
        <v>1</v>
      </c>
      <c r="I737" s="168">
        <v>1</v>
      </c>
      <c r="J737" s="205" t="str">
        <f t="shared" si="18"/>
        <v>H_078</v>
      </c>
      <c r="K737" s="115"/>
    </row>
    <row r="738" spans="1:11" ht="15" customHeight="1">
      <c r="A738" s="41">
        <f t="shared" si="19"/>
        <v>79</v>
      </c>
      <c r="B738" s="157" t="s">
        <v>562</v>
      </c>
      <c r="C738" s="204" t="s">
        <v>44</v>
      </c>
      <c r="D738" s="48" t="s">
        <v>109</v>
      </c>
      <c r="E738" s="55">
        <v>6957.9299999999994</v>
      </c>
      <c r="F738" s="181" t="s">
        <v>109</v>
      </c>
      <c r="G738" s="9">
        <f>IF(Tabla9[[#This Row],[Precio
Unidad de Compra ( $)]]="","",(E738/(H738*I738)))</f>
        <v>6957.9299999999994</v>
      </c>
      <c r="H738" s="8">
        <v>1</v>
      </c>
      <c r="I738" s="168">
        <v>1</v>
      </c>
      <c r="J738" s="205" t="str">
        <f t="shared" si="18"/>
        <v>H_079</v>
      </c>
      <c r="K738" s="115"/>
    </row>
    <row r="739" spans="1:11" ht="15" customHeight="1">
      <c r="A739" s="41">
        <f t="shared" si="19"/>
        <v>80</v>
      </c>
      <c r="B739" s="157" t="s">
        <v>563</v>
      </c>
      <c r="C739" s="204" t="s">
        <v>44</v>
      </c>
      <c r="D739" s="48" t="s">
        <v>109</v>
      </c>
      <c r="E739" s="55">
        <v>6957.9299999999994</v>
      </c>
      <c r="F739" s="181" t="s">
        <v>109</v>
      </c>
      <c r="G739" s="9">
        <f>IF(Tabla9[[#This Row],[Precio
Unidad de Compra ( $)]]="","",(E739/(H739*I739)))</f>
        <v>6957.9299999999994</v>
      </c>
      <c r="H739" s="8">
        <v>1</v>
      </c>
      <c r="I739" s="168">
        <v>1</v>
      </c>
      <c r="J739" s="205" t="str">
        <f t="shared" si="18"/>
        <v>H_080</v>
      </c>
      <c r="K739" s="115"/>
    </row>
    <row r="740" spans="1:11" ht="15" customHeight="1">
      <c r="A740" s="41">
        <f t="shared" si="19"/>
        <v>81</v>
      </c>
      <c r="B740" s="157" t="s">
        <v>564</v>
      </c>
      <c r="C740" s="204" t="s">
        <v>44</v>
      </c>
      <c r="D740" s="48" t="s">
        <v>109</v>
      </c>
      <c r="E740" s="55">
        <v>6957.9299999999994</v>
      </c>
      <c r="F740" s="181" t="s">
        <v>109</v>
      </c>
      <c r="G740" s="9">
        <f>IF(Tabla9[[#This Row],[Precio
Unidad de Compra ( $)]]="","",(E740/(H740*I740)))</f>
        <v>6957.9299999999994</v>
      </c>
      <c r="H740" s="8">
        <v>1</v>
      </c>
      <c r="I740" s="168">
        <v>1</v>
      </c>
      <c r="J740" s="205" t="str">
        <f t="shared" si="18"/>
        <v>H_081</v>
      </c>
      <c r="K740" s="115"/>
    </row>
    <row r="741" spans="1:11" ht="15" customHeight="1">
      <c r="A741" s="41">
        <f t="shared" si="19"/>
        <v>82</v>
      </c>
      <c r="B741" s="157" t="s">
        <v>565</v>
      </c>
      <c r="C741" s="204" t="s">
        <v>44</v>
      </c>
      <c r="D741" s="48" t="s">
        <v>109</v>
      </c>
      <c r="E741" s="55">
        <v>6957.9299999999994</v>
      </c>
      <c r="F741" s="181" t="s">
        <v>109</v>
      </c>
      <c r="G741" s="9">
        <f>IF(Tabla9[[#This Row],[Precio
Unidad de Compra ( $)]]="","",(E741/(H741*I741)))</f>
        <v>6957.9299999999994</v>
      </c>
      <c r="H741" s="8">
        <v>1</v>
      </c>
      <c r="I741" s="168">
        <v>1</v>
      </c>
      <c r="J741" s="205" t="str">
        <f t="shared" si="18"/>
        <v>H_082</v>
      </c>
      <c r="K741" s="115"/>
    </row>
    <row r="742" spans="1:11" ht="15" customHeight="1">
      <c r="A742" s="41">
        <f t="shared" si="19"/>
        <v>83</v>
      </c>
      <c r="B742" s="157" t="s">
        <v>566</v>
      </c>
      <c r="C742" s="204" t="s">
        <v>44</v>
      </c>
      <c r="D742" s="48" t="s">
        <v>109</v>
      </c>
      <c r="E742" s="55">
        <v>6957.9299999999994</v>
      </c>
      <c r="F742" s="181" t="s">
        <v>109</v>
      </c>
      <c r="G742" s="9">
        <f>IF(Tabla9[[#This Row],[Precio
Unidad de Compra ( $)]]="","",(E742/(H742*I742)))</f>
        <v>6957.9299999999994</v>
      </c>
      <c r="H742" s="8">
        <v>1</v>
      </c>
      <c r="I742" s="168">
        <v>1</v>
      </c>
      <c r="J742" s="205" t="str">
        <f t="shared" si="18"/>
        <v>H_083</v>
      </c>
      <c r="K742" s="115"/>
    </row>
    <row r="743" spans="1:11" ht="15" customHeight="1">
      <c r="A743" s="41">
        <f t="shared" si="19"/>
        <v>84</v>
      </c>
      <c r="B743" s="157" t="s">
        <v>567</v>
      </c>
      <c r="C743" s="204" t="s">
        <v>44</v>
      </c>
      <c r="D743" s="48" t="s">
        <v>109</v>
      </c>
      <c r="E743" s="55">
        <v>6957.9299999999994</v>
      </c>
      <c r="F743" s="181" t="s">
        <v>109</v>
      </c>
      <c r="G743" s="9">
        <f>IF(Tabla9[[#This Row],[Precio
Unidad de Compra ( $)]]="","",(E743/(H743*I743)))</f>
        <v>6957.9299999999994</v>
      </c>
      <c r="H743" s="8">
        <v>1</v>
      </c>
      <c r="I743" s="168">
        <v>1</v>
      </c>
      <c r="J743" s="205" t="str">
        <f t="shared" si="18"/>
        <v>H_084</v>
      </c>
      <c r="K743" s="115"/>
    </row>
    <row r="744" spans="1:11" ht="15" customHeight="1">
      <c r="A744" s="41">
        <f t="shared" si="19"/>
        <v>85</v>
      </c>
      <c r="B744" s="157" t="s">
        <v>568</v>
      </c>
      <c r="C744" s="204" t="s">
        <v>44</v>
      </c>
      <c r="D744" s="48" t="s">
        <v>109</v>
      </c>
      <c r="E744" s="55">
        <v>6957.9299999999994</v>
      </c>
      <c r="F744" s="181" t="s">
        <v>109</v>
      </c>
      <c r="G744" s="9">
        <f>IF(Tabla9[[#This Row],[Precio
Unidad de Compra ( $)]]="","",(E744/(H744*I744)))</f>
        <v>6957.9299999999994</v>
      </c>
      <c r="H744" s="8">
        <v>1</v>
      </c>
      <c r="I744" s="168">
        <v>1</v>
      </c>
      <c r="J744" s="205" t="str">
        <f t="shared" si="18"/>
        <v>H_085</v>
      </c>
      <c r="K744" s="115"/>
    </row>
    <row r="745" spans="1:11" ht="15" customHeight="1">
      <c r="A745" s="41">
        <f t="shared" si="19"/>
        <v>86</v>
      </c>
      <c r="B745" s="36" t="s">
        <v>569</v>
      </c>
      <c r="C745" s="204" t="s">
        <v>44</v>
      </c>
      <c r="D745" s="48" t="s">
        <v>109</v>
      </c>
      <c r="E745" s="43">
        <v>3700</v>
      </c>
      <c r="F745" s="175" t="s">
        <v>109</v>
      </c>
      <c r="G745" s="9">
        <f>IF(Tabla9[[#This Row],[Precio
Unidad de Compra ( $)]]="","",(E745/(H745*I745)))</f>
        <v>3700</v>
      </c>
      <c r="H745" s="8">
        <v>1</v>
      </c>
      <c r="I745" s="168">
        <v>1</v>
      </c>
      <c r="J745" s="205" t="str">
        <f t="shared" si="18"/>
        <v>H_086</v>
      </c>
      <c r="K745" s="115"/>
    </row>
    <row r="746" spans="1:11" ht="15" customHeight="1">
      <c r="A746" s="41">
        <f t="shared" si="19"/>
        <v>87</v>
      </c>
      <c r="B746" s="36" t="s">
        <v>570</v>
      </c>
      <c r="C746" s="204" t="s">
        <v>44</v>
      </c>
      <c r="D746" s="48" t="s">
        <v>109</v>
      </c>
      <c r="E746" s="43">
        <v>3700</v>
      </c>
      <c r="F746" s="175" t="s">
        <v>109</v>
      </c>
      <c r="G746" s="9">
        <f>IF(Tabla9[[#This Row],[Precio
Unidad de Compra ( $)]]="","",(E746/(H746*I746)))</f>
        <v>3700</v>
      </c>
      <c r="H746" s="8">
        <v>1</v>
      </c>
      <c r="I746" s="168">
        <v>1</v>
      </c>
      <c r="J746" s="205" t="str">
        <f t="shared" si="18"/>
        <v>H_087</v>
      </c>
      <c r="K746" s="115"/>
    </row>
    <row r="747" spans="1:11" ht="15" customHeight="1">
      <c r="A747" s="41">
        <f t="shared" si="19"/>
        <v>88</v>
      </c>
      <c r="B747" s="157" t="s">
        <v>571</v>
      </c>
      <c r="C747" s="204" t="s">
        <v>44</v>
      </c>
      <c r="D747" s="48" t="s">
        <v>109</v>
      </c>
      <c r="E747" s="55">
        <v>1200</v>
      </c>
      <c r="F747" s="181" t="s">
        <v>109</v>
      </c>
      <c r="G747" s="9">
        <f>IF(Tabla9[[#This Row],[Precio
Unidad de Compra ( $)]]="","",(E747/(H747*I747)))</f>
        <v>1200</v>
      </c>
      <c r="H747" s="8">
        <v>1</v>
      </c>
      <c r="I747" s="168">
        <v>1</v>
      </c>
      <c r="J747" s="205" t="str">
        <f t="shared" si="18"/>
        <v>H_088</v>
      </c>
      <c r="K747" s="115"/>
    </row>
    <row r="748" spans="1:11" ht="15" customHeight="1">
      <c r="A748" s="41">
        <f t="shared" si="19"/>
        <v>89</v>
      </c>
      <c r="B748" s="157" t="s">
        <v>572</v>
      </c>
      <c r="C748" s="204" t="s">
        <v>44</v>
      </c>
      <c r="D748" s="48" t="s">
        <v>109</v>
      </c>
      <c r="E748" s="55">
        <v>1200</v>
      </c>
      <c r="F748" s="181" t="s">
        <v>109</v>
      </c>
      <c r="G748" s="9">
        <f>IF(Tabla9[[#This Row],[Precio
Unidad de Compra ( $)]]="","",(E748/(H748*I748)))</f>
        <v>1200</v>
      </c>
      <c r="H748" s="8">
        <v>1</v>
      </c>
      <c r="I748" s="168">
        <v>1</v>
      </c>
      <c r="J748" s="205" t="str">
        <f t="shared" si="18"/>
        <v>H_089</v>
      </c>
      <c r="K748" s="115"/>
    </row>
    <row r="749" spans="1:11" ht="15" customHeight="1">
      <c r="A749" s="41">
        <f t="shared" si="19"/>
        <v>90</v>
      </c>
      <c r="B749" s="157" t="s">
        <v>573</v>
      </c>
      <c r="C749" s="204" t="s">
        <v>44</v>
      </c>
      <c r="D749" s="48" t="s">
        <v>109</v>
      </c>
      <c r="E749" s="55">
        <v>1200</v>
      </c>
      <c r="F749" s="181" t="s">
        <v>109</v>
      </c>
      <c r="G749" s="9">
        <f>IF(Tabla9[[#This Row],[Precio
Unidad de Compra ( $)]]="","",(E749/(H749*I749)))</f>
        <v>1200</v>
      </c>
      <c r="H749" s="8">
        <v>1</v>
      </c>
      <c r="I749" s="168">
        <v>1</v>
      </c>
      <c r="J749" s="205" t="str">
        <f t="shared" si="18"/>
        <v>H_090</v>
      </c>
      <c r="K749" s="115"/>
    </row>
    <row r="750" spans="1:11" ht="15" customHeight="1">
      <c r="A750" s="41">
        <f t="shared" si="19"/>
        <v>91</v>
      </c>
      <c r="B750" s="157" t="s">
        <v>574</v>
      </c>
      <c r="C750" s="204" t="s">
        <v>44</v>
      </c>
      <c r="D750" s="48" t="s">
        <v>109</v>
      </c>
      <c r="E750" s="55">
        <v>1200</v>
      </c>
      <c r="F750" s="181" t="s">
        <v>109</v>
      </c>
      <c r="G750" s="9">
        <f>IF(Tabla9[[#This Row],[Precio
Unidad de Compra ( $)]]="","",(E750/(H750*I750)))</f>
        <v>1200</v>
      </c>
      <c r="H750" s="8">
        <v>1</v>
      </c>
      <c r="I750" s="168">
        <v>1</v>
      </c>
      <c r="J750" s="205" t="str">
        <f t="shared" si="18"/>
        <v>H_091</v>
      </c>
      <c r="K750" s="115"/>
    </row>
    <row r="751" spans="1:11" ht="15" customHeight="1">
      <c r="A751" s="41">
        <f t="shared" si="19"/>
        <v>92</v>
      </c>
      <c r="B751" s="157" t="s">
        <v>575</v>
      </c>
      <c r="C751" s="204" t="s">
        <v>44</v>
      </c>
      <c r="D751" s="48" t="s">
        <v>109</v>
      </c>
      <c r="E751" s="55">
        <v>1200</v>
      </c>
      <c r="F751" s="181" t="s">
        <v>109</v>
      </c>
      <c r="G751" s="9">
        <f>IF(Tabla9[[#This Row],[Precio
Unidad de Compra ( $)]]="","",(E751/(H751*I751)))</f>
        <v>1200</v>
      </c>
      <c r="H751" s="8">
        <v>1</v>
      </c>
      <c r="I751" s="168">
        <v>1</v>
      </c>
      <c r="J751" s="205" t="str">
        <f t="shared" si="18"/>
        <v>H_092</v>
      </c>
      <c r="K751" s="115"/>
    </row>
    <row r="752" spans="1:11" ht="15" customHeight="1">
      <c r="A752" s="41">
        <f t="shared" si="19"/>
        <v>93</v>
      </c>
      <c r="B752" s="157" t="s">
        <v>576</v>
      </c>
      <c r="C752" s="204" t="s">
        <v>44</v>
      </c>
      <c r="D752" s="48" t="s">
        <v>109</v>
      </c>
      <c r="E752" s="55">
        <v>873.94</v>
      </c>
      <c r="F752" s="181" t="s">
        <v>109</v>
      </c>
      <c r="G752" s="9">
        <f>IF(Tabla9[[#This Row],[Precio
Unidad de Compra ( $)]]="","",(E752/(H752*I752)))</f>
        <v>873.94</v>
      </c>
      <c r="H752" s="8">
        <v>1</v>
      </c>
      <c r="I752" s="168">
        <v>1</v>
      </c>
      <c r="J752" s="205" t="str">
        <f t="shared" si="18"/>
        <v>H_093</v>
      </c>
      <c r="K752" s="115"/>
    </row>
    <row r="753" spans="1:11" ht="15" customHeight="1">
      <c r="A753" s="41">
        <f t="shared" si="19"/>
        <v>94</v>
      </c>
      <c r="B753" s="157" t="s">
        <v>577</v>
      </c>
      <c r="C753" s="204" t="s">
        <v>44</v>
      </c>
      <c r="D753" s="48" t="s">
        <v>109</v>
      </c>
      <c r="E753" s="55">
        <v>873.94</v>
      </c>
      <c r="F753" s="181" t="s">
        <v>109</v>
      </c>
      <c r="G753" s="9">
        <f>IF(Tabla9[[#This Row],[Precio
Unidad de Compra ( $)]]="","",(E753/(H753*I753)))</f>
        <v>873.94</v>
      </c>
      <c r="H753" s="8">
        <v>1</v>
      </c>
      <c r="I753" s="168">
        <v>1</v>
      </c>
      <c r="J753" s="205" t="str">
        <f t="shared" si="18"/>
        <v>H_094</v>
      </c>
      <c r="K753" s="115"/>
    </row>
    <row r="754" spans="1:11" ht="15" customHeight="1">
      <c r="A754" s="41">
        <f t="shared" si="19"/>
        <v>95</v>
      </c>
      <c r="B754" s="157" t="s">
        <v>578</v>
      </c>
      <c r="C754" s="204" t="s">
        <v>44</v>
      </c>
      <c r="D754" s="48" t="s">
        <v>109</v>
      </c>
      <c r="E754" s="55">
        <v>873.94</v>
      </c>
      <c r="F754" s="181" t="s">
        <v>109</v>
      </c>
      <c r="G754" s="9">
        <f>IF(Tabla9[[#This Row],[Precio
Unidad de Compra ( $)]]="","",(E754/(H754*I754)))</f>
        <v>873.94</v>
      </c>
      <c r="H754" s="8">
        <v>1</v>
      </c>
      <c r="I754" s="168">
        <v>1</v>
      </c>
      <c r="J754" s="205" t="str">
        <f t="shared" si="18"/>
        <v>H_095</v>
      </c>
      <c r="K754" s="115"/>
    </row>
    <row r="755" spans="1:11" ht="15" customHeight="1">
      <c r="A755" s="41">
        <f t="shared" si="19"/>
        <v>96</v>
      </c>
      <c r="B755" s="157" t="s">
        <v>579</v>
      </c>
      <c r="C755" s="204" t="s">
        <v>44</v>
      </c>
      <c r="D755" s="48" t="s">
        <v>109</v>
      </c>
      <c r="E755" s="55">
        <v>1173.3399999999999</v>
      </c>
      <c r="F755" s="181" t="s">
        <v>109</v>
      </c>
      <c r="G755" s="9">
        <f>IF(Tabla9[[#This Row],[Precio
Unidad de Compra ( $)]]="","",(E755/(H755*I755)))</f>
        <v>1173.3399999999999</v>
      </c>
      <c r="H755" s="8">
        <v>1</v>
      </c>
      <c r="I755" s="168">
        <v>1</v>
      </c>
      <c r="J755" s="205" t="str">
        <f t="shared" si="18"/>
        <v>H_096</v>
      </c>
      <c r="K755" s="115"/>
    </row>
    <row r="756" spans="1:11" ht="15" customHeight="1">
      <c r="A756" s="41">
        <f t="shared" si="19"/>
        <v>97</v>
      </c>
      <c r="B756" s="157" t="s">
        <v>580</v>
      </c>
      <c r="C756" s="204" t="s">
        <v>44</v>
      </c>
      <c r="D756" s="48" t="s">
        <v>109</v>
      </c>
      <c r="E756" s="55">
        <v>998.41</v>
      </c>
      <c r="F756" s="181" t="s">
        <v>109</v>
      </c>
      <c r="G756" s="9">
        <f>IF(Tabla9[[#This Row],[Precio
Unidad de Compra ( $)]]="","",(E756/(H756*I756)))</f>
        <v>998.41</v>
      </c>
      <c r="H756" s="8">
        <v>1</v>
      </c>
      <c r="I756" s="168">
        <v>1</v>
      </c>
      <c r="J756" s="205" t="str">
        <f t="shared" si="18"/>
        <v>H_097</v>
      </c>
      <c r="K756" s="115"/>
    </row>
    <row r="757" spans="1:11" ht="15" customHeight="1">
      <c r="A757" s="41">
        <f t="shared" si="19"/>
        <v>98</v>
      </c>
      <c r="B757" s="157" t="s">
        <v>581</v>
      </c>
      <c r="C757" s="204" t="s">
        <v>44</v>
      </c>
      <c r="D757" s="48" t="s">
        <v>109</v>
      </c>
      <c r="E757" s="55">
        <v>998.41</v>
      </c>
      <c r="F757" s="181" t="s">
        <v>109</v>
      </c>
      <c r="G757" s="9">
        <f>IF(Tabla9[[#This Row],[Precio
Unidad de Compra ( $)]]="","",(E757/(H757*I757)))</f>
        <v>998.41</v>
      </c>
      <c r="H757" s="8">
        <v>1</v>
      </c>
      <c r="I757" s="168">
        <v>1</v>
      </c>
      <c r="J757" s="205" t="str">
        <f t="shared" si="18"/>
        <v>H_098</v>
      </c>
      <c r="K757" s="115"/>
    </row>
    <row r="758" spans="1:11" ht="15" customHeight="1">
      <c r="A758" s="41">
        <f t="shared" si="19"/>
        <v>99</v>
      </c>
      <c r="B758" s="157" t="s">
        <v>582</v>
      </c>
      <c r="C758" s="204" t="s">
        <v>44</v>
      </c>
      <c r="D758" s="48" t="s">
        <v>109</v>
      </c>
      <c r="E758" s="55">
        <v>998.41</v>
      </c>
      <c r="F758" s="181" t="s">
        <v>109</v>
      </c>
      <c r="G758" s="9">
        <f>IF(Tabla9[[#This Row],[Precio
Unidad de Compra ( $)]]="","",(E758/(H758*I758)))</f>
        <v>998.41</v>
      </c>
      <c r="H758" s="8">
        <v>1</v>
      </c>
      <c r="I758" s="168">
        <v>1</v>
      </c>
      <c r="J758" s="205" t="str">
        <f t="shared" si="18"/>
        <v>H_099</v>
      </c>
      <c r="K758" s="115"/>
    </row>
    <row r="759" spans="1:11" ht="15" customHeight="1">
      <c r="A759" s="41">
        <f t="shared" si="19"/>
        <v>100</v>
      </c>
      <c r="B759" s="157" t="s">
        <v>583</v>
      </c>
      <c r="C759" s="204" t="s">
        <v>44</v>
      </c>
      <c r="D759" s="48" t="s">
        <v>109</v>
      </c>
      <c r="E759" s="55">
        <v>998.41</v>
      </c>
      <c r="F759" s="181" t="s">
        <v>109</v>
      </c>
      <c r="G759" s="9">
        <f>IF(Tabla9[[#This Row],[Precio
Unidad de Compra ( $)]]="","",(E759/(H759*I759)))</f>
        <v>998.41</v>
      </c>
      <c r="H759" s="8">
        <v>1</v>
      </c>
      <c r="I759" s="168">
        <v>1</v>
      </c>
      <c r="J759" s="205" t="str">
        <f t="shared" si="18"/>
        <v>H_100</v>
      </c>
      <c r="K759" s="115"/>
    </row>
    <row r="760" spans="1:11" ht="15" customHeight="1">
      <c r="A760" s="41">
        <f t="shared" si="19"/>
        <v>101</v>
      </c>
      <c r="B760" s="157" t="s">
        <v>584</v>
      </c>
      <c r="C760" s="204" t="s">
        <v>44</v>
      </c>
      <c r="D760" s="48" t="s">
        <v>109</v>
      </c>
      <c r="E760" s="55">
        <v>1173.3399999999999</v>
      </c>
      <c r="F760" s="181" t="s">
        <v>109</v>
      </c>
      <c r="G760" s="9">
        <f>IF(Tabla9[[#This Row],[Precio
Unidad de Compra ( $)]]="","",(E760/(H760*I760)))</f>
        <v>1173.3399999999999</v>
      </c>
      <c r="H760" s="8">
        <v>1</v>
      </c>
      <c r="I760" s="168">
        <v>1</v>
      </c>
      <c r="J760" s="205" t="str">
        <f t="shared" si="18"/>
        <v>H_101</v>
      </c>
      <c r="K760" s="115"/>
    </row>
    <row r="761" spans="1:11" ht="15" customHeight="1">
      <c r="A761" s="41">
        <f t="shared" si="19"/>
        <v>102</v>
      </c>
      <c r="B761" s="157" t="s">
        <v>585</v>
      </c>
      <c r="C761" s="204" t="s">
        <v>44</v>
      </c>
      <c r="D761" s="48" t="s">
        <v>109</v>
      </c>
      <c r="E761" s="55">
        <v>998.41</v>
      </c>
      <c r="F761" s="181" t="s">
        <v>109</v>
      </c>
      <c r="G761" s="9">
        <f>IF(Tabla9[[#This Row],[Precio
Unidad de Compra ( $)]]="","",(E761/(H761*I761)))</f>
        <v>998.41</v>
      </c>
      <c r="H761" s="8">
        <v>1</v>
      </c>
      <c r="I761" s="168">
        <v>1</v>
      </c>
      <c r="J761" s="205" t="str">
        <f t="shared" si="18"/>
        <v>H_102</v>
      </c>
      <c r="K761" s="115"/>
    </row>
    <row r="762" spans="1:11" ht="15" customHeight="1">
      <c r="A762" s="41">
        <f t="shared" si="19"/>
        <v>103</v>
      </c>
      <c r="B762" s="157" t="s">
        <v>586</v>
      </c>
      <c r="C762" s="204" t="s">
        <v>44</v>
      </c>
      <c r="D762" s="48" t="s">
        <v>109</v>
      </c>
      <c r="E762" s="55">
        <v>998.41</v>
      </c>
      <c r="F762" s="181" t="s">
        <v>109</v>
      </c>
      <c r="G762" s="9">
        <f>IF(Tabla9[[#This Row],[Precio
Unidad de Compra ( $)]]="","",(E762/(H762*I762)))</f>
        <v>998.41</v>
      </c>
      <c r="H762" s="8">
        <v>1</v>
      </c>
      <c r="I762" s="168">
        <v>1</v>
      </c>
      <c r="J762" s="205" t="str">
        <f t="shared" si="18"/>
        <v>H_103</v>
      </c>
      <c r="K762" s="115"/>
    </row>
    <row r="763" spans="1:11" ht="15" customHeight="1">
      <c r="A763" s="41">
        <f t="shared" si="19"/>
        <v>104</v>
      </c>
      <c r="B763" s="157" t="s">
        <v>587</v>
      </c>
      <c r="C763" s="204" t="s">
        <v>44</v>
      </c>
      <c r="D763" s="48" t="s">
        <v>109</v>
      </c>
      <c r="E763" s="55">
        <v>1173.3399999999999</v>
      </c>
      <c r="F763" s="181" t="s">
        <v>109</v>
      </c>
      <c r="G763" s="9">
        <f>IF(Tabla9[[#This Row],[Precio
Unidad de Compra ( $)]]="","",(E763/(H763*I763)))</f>
        <v>1173.3399999999999</v>
      </c>
      <c r="H763" s="8">
        <v>1</v>
      </c>
      <c r="I763" s="168">
        <v>1</v>
      </c>
      <c r="J763" s="205" t="str">
        <f t="shared" si="18"/>
        <v>H_104</v>
      </c>
      <c r="K763" s="115"/>
    </row>
    <row r="764" spans="1:11" ht="15" customHeight="1">
      <c r="A764" s="41">
        <f t="shared" si="19"/>
        <v>105</v>
      </c>
      <c r="B764" s="157" t="s">
        <v>588</v>
      </c>
      <c r="C764" s="204" t="s">
        <v>44</v>
      </c>
      <c r="D764" s="48" t="s">
        <v>109</v>
      </c>
      <c r="E764" s="55">
        <v>998.41</v>
      </c>
      <c r="F764" s="181" t="s">
        <v>109</v>
      </c>
      <c r="G764" s="9">
        <f>IF(Tabla9[[#This Row],[Precio
Unidad de Compra ( $)]]="","",(E764/(H764*I764)))</f>
        <v>998.41</v>
      </c>
      <c r="H764" s="8">
        <v>1</v>
      </c>
      <c r="I764" s="168">
        <v>1</v>
      </c>
      <c r="J764" s="205" t="str">
        <f t="shared" si="18"/>
        <v>H_105</v>
      </c>
      <c r="K764" s="115"/>
    </row>
    <row r="765" spans="1:11" ht="15" customHeight="1">
      <c r="A765" s="41">
        <f t="shared" si="19"/>
        <v>106</v>
      </c>
      <c r="B765" s="157" t="s">
        <v>589</v>
      </c>
      <c r="C765" s="204" t="s">
        <v>44</v>
      </c>
      <c r="D765" s="48" t="s">
        <v>109</v>
      </c>
      <c r="E765" s="55">
        <v>998.41</v>
      </c>
      <c r="F765" s="181" t="s">
        <v>109</v>
      </c>
      <c r="G765" s="9">
        <f>IF(Tabla9[[#This Row],[Precio
Unidad de Compra ( $)]]="","",(E765/(H765*I765)))</f>
        <v>998.41</v>
      </c>
      <c r="H765" s="8">
        <v>1</v>
      </c>
      <c r="I765" s="168">
        <v>1</v>
      </c>
      <c r="J765" s="205" t="str">
        <f t="shared" si="18"/>
        <v>H_106</v>
      </c>
      <c r="K765" s="115"/>
    </row>
    <row r="766" spans="1:11" ht="15" customHeight="1">
      <c r="A766" s="41">
        <f t="shared" si="19"/>
        <v>107</v>
      </c>
      <c r="B766" s="157" t="s">
        <v>590</v>
      </c>
      <c r="C766" s="204" t="s">
        <v>44</v>
      </c>
      <c r="D766" s="48" t="s">
        <v>109</v>
      </c>
      <c r="E766" s="55">
        <v>1018.64</v>
      </c>
      <c r="F766" s="181" t="s">
        <v>109</v>
      </c>
      <c r="G766" s="9">
        <f>IF(Tabla9[[#This Row],[Precio
Unidad de Compra ( $)]]="","",(E766/(H766*I766)))</f>
        <v>1018.64</v>
      </c>
      <c r="H766" s="8">
        <v>1</v>
      </c>
      <c r="I766" s="168">
        <v>1</v>
      </c>
      <c r="J766" s="205" t="str">
        <f t="shared" si="18"/>
        <v>H_107</v>
      </c>
      <c r="K766" s="115"/>
    </row>
    <row r="767" spans="1:11" ht="15" customHeight="1">
      <c r="A767" s="41">
        <f t="shared" si="19"/>
        <v>108</v>
      </c>
      <c r="B767" s="157" t="s">
        <v>591</v>
      </c>
      <c r="C767" s="204" t="s">
        <v>44</v>
      </c>
      <c r="D767" s="48" t="s">
        <v>109</v>
      </c>
      <c r="E767" s="55">
        <v>1173.3399999999999</v>
      </c>
      <c r="F767" s="181" t="s">
        <v>109</v>
      </c>
      <c r="G767" s="9">
        <f>IF(Tabla9[[#This Row],[Precio
Unidad de Compra ( $)]]="","",(E767/(H767*I767)))</f>
        <v>1173.3399999999999</v>
      </c>
      <c r="H767" s="8">
        <v>1</v>
      </c>
      <c r="I767" s="168">
        <v>1</v>
      </c>
      <c r="J767" s="205" t="str">
        <f t="shared" si="18"/>
        <v>H_108</v>
      </c>
      <c r="K767" s="115"/>
    </row>
    <row r="768" spans="1:11" ht="15" customHeight="1">
      <c r="A768" s="41">
        <f t="shared" si="19"/>
        <v>109</v>
      </c>
      <c r="B768" s="157" t="s">
        <v>592</v>
      </c>
      <c r="C768" s="204" t="s">
        <v>44</v>
      </c>
      <c r="D768" s="48" t="s">
        <v>109</v>
      </c>
      <c r="E768" s="55">
        <v>1173.3399999999999</v>
      </c>
      <c r="F768" s="181" t="s">
        <v>109</v>
      </c>
      <c r="G768" s="9">
        <f>IF(Tabla9[[#This Row],[Precio
Unidad de Compra ( $)]]="","",(E768/(H768*I768)))</f>
        <v>1173.3399999999999</v>
      </c>
      <c r="H768" s="8">
        <v>1</v>
      </c>
      <c r="I768" s="168">
        <v>1</v>
      </c>
      <c r="J768" s="205" t="str">
        <f t="shared" si="18"/>
        <v>H_109</v>
      </c>
      <c r="K768" s="115"/>
    </row>
    <row r="769" spans="1:11" ht="15" customHeight="1">
      <c r="A769" s="41">
        <f t="shared" si="19"/>
        <v>110</v>
      </c>
      <c r="B769" s="157" t="s">
        <v>593</v>
      </c>
      <c r="C769" s="204" t="s">
        <v>44</v>
      </c>
      <c r="D769" s="48" t="s">
        <v>109</v>
      </c>
      <c r="E769" s="55">
        <v>1018.64</v>
      </c>
      <c r="F769" s="181" t="s">
        <v>109</v>
      </c>
      <c r="G769" s="9">
        <f>IF(Tabla9[[#This Row],[Precio
Unidad de Compra ( $)]]="","",(E769/(H769*I769)))</f>
        <v>1018.64</v>
      </c>
      <c r="H769" s="8">
        <v>1</v>
      </c>
      <c r="I769" s="168">
        <v>1</v>
      </c>
      <c r="J769" s="205" t="str">
        <f t="shared" si="18"/>
        <v>H_110</v>
      </c>
      <c r="K769" s="115"/>
    </row>
    <row r="770" spans="1:11" ht="15" customHeight="1">
      <c r="A770" s="41">
        <f t="shared" si="19"/>
        <v>111</v>
      </c>
      <c r="B770" s="157" t="s">
        <v>594</v>
      </c>
      <c r="C770" s="204" t="s">
        <v>44</v>
      </c>
      <c r="D770" s="48" t="s">
        <v>109</v>
      </c>
      <c r="E770" s="55">
        <v>1018.64</v>
      </c>
      <c r="F770" s="181" t="s">
        <v>109</v>
      </c>
      <c r="G770" s="9">
        <f>IF(Tabla9[[#This Row],[Precio
Unidad de Compra ( $)]]="","",(E770/(H770*I770)))</f>
        <v>1018.64</v>
      </c>
      <c r="H770" s="8">
        <v>1</v>
      </c>
      <c r="I770" s="168">
        <v>1</v>
      </c>
      <c r="J770" s="205" t="str">
        <f t="shared" si="18"/>
        <v>H_111</v>
      </c>
      <c r="K770" s="115"/>
    </row>
    <row r="771" spans="1:11" ht="15" customHeight="1">
      <c r="A771" s="41">
        <f t="shared" si="19"/>
        <v>112</v>
      </c>
      <c r="B771" s="157" t="s">
        <v>595</v>
      </c>
      <c r="C771" s="204" t="s">
        <v>44</v>
      </c>
      <c r="D771" s="48" t="s">
        <v>109</v>
      </c>
      <c r="E771" s="55">
        <v>2746.52</v>
      </c>
      <c r="F771" s="181" t="s">
        <v>109</v>
      </c>
      <c r="G771" s="9">
        <f>IF(Tabla9[[#This Row],[Precio
Unidad de Compra ( $)]]="","",(E771/(H771*I771)))</f>
        <v>2746.52</v>
      </c>
      <c r="H771" s="8">
        <v>1</v>
      </c>
      <c r="I771" s="168">
        <v>1</v>
      </c>
      <c r="J771" s="205" t="str">
        <f t="shared" si="18"/>
        <v>H_112</v>
      </c>
      <c r="K771" s="115"/>
    </row>
    <row r="772" spans="1:11" ht="15" customHeight="1">
      <c r="A772" s="41">
        <f t="shared" si="19"/>
        <v>113</v>
      </c>
      <c r="B772" s="157" t="s">
        <v>596</v>
      </c>
      <c r="C772" s="204" t="s">
        <v>44</v>
      </c>
      <c r="D772" s="48" t="s">
        <v>109</v>
      </c>
      <c r="E772" s="55">
        <v>1173.3399999999999</v>
      </c>
      <c r="F772" s="181" t="s">
        <v>109</v>
      </c>
      <c r="G772" s="9">
        <f>IF(Tabla9[[#This Row],[Precio
Unidad de Compra ( $)]]="","",(E772/(H772*I772)))</f>
        <v>1173.3399999999999</v>
      </c>
      <c r="H772" s="8">
        <v>1</v>
      </c>
      <c r="I772" s="168">
        <v>1</v>
      </c>
      <c r="J772" s="205" t="str">
        <f t="shared" si="18"/>
        <v>H_113</v>
      </c>
      <c r="K772" s="115"/>
    </row>
    <row r="773" spans="1:11" ht="15" customHeight="1">
      <c r="A773" s="41">
        <f t="shared" si="19"/>
        <v>114</v>
      </c>
      <c r="B773" s="157" t="s">
        <v>597</v>
      </c>
      <c r="C773" s="204" t="s">
        <v>44</v>
      </c>
      <c r="D773" s="48" t="s">
        <v>109</v>
      </c>
      <c r="E773" s="55">
        <v>1173.3399999999999</v>
      </c>
      <c r="F773" s="181" t="s">
        <v>109</v>
      </c>
      <c r="G773" s="9">
        <f>IF(Tabla9[[#This Row],[Precio
Unidad de Compra ( $)]]="","",(E773/(H773*I773)))</f>
        <v>1173.3399999999999</v>
      </c>
      <c r="H773" s="8">
        <v>1</v>
      </c>
      <c r="I773" s="168">
        <v>1</v>
      </c>
      <c r="J773" s="205" t="str">
        <f t="shared" si="18"/>
        <v>H_114</v>
      </c>
      <c r="K773" s="115"/>
    </row>
    <row r="774" spans="1:11" ht="15" customHeight="1">
      <c r="A774" s="41">
        <f t="shared" si="19"/>
        <v>115</v>
      </c>
      <c r="B774" s="157" t="s">
        <v>598</v>
      </c>
      <c r="C774" s="204" t="s">
        <v>44</v>
      </c>
      <c r="D774" s="48" t="s">
        <v>109</v>
      </c>
      <c r="E774" s="55">
        <v>1173.3399999999999</v>
      </c>
      <c r="F774" s="181" t="s">
        <v>109</v>
      </c>
      <c r="G774" s="9">
        <f>IF(Tabla9[[#This Row],[Precio
Unidad de Compra ( $)]]="","",(E774/(H774*I774)))</f>
        <v>1173.3399999999999</v>
      </c>
      <c r="H774" s="8">
        <v>1</v>
      </c>
      <c r="I774" s="168">
        <v>1</v>
      </c>
      <c r="J774" s="205" t="str">
        <f t="shared" si="18"/>
        <v>H_115</v>
      </c>
      <c r="K774" s="115"/>
    </row>
    <row r="775" spans="1:11" ht="15" customHeight="1">
      <c r="A775" s="41">
        <f t="shared" si="19"/>
        <v>116</v>
      </c>
      <c r="B775" s="157" t="s">
        <v>599</v>
      </c>
      <c r="C775" s="204" t="s">
        <v>44</v>
      </c>
      <c r="D775" s="48" t="s">
        <v>109</v>
      </c>
      <c r="E775" s="55">
        <v>1173.3399999999999</v>
      </c>
      <c r="F775" s="181" t="s">
        <v>109</v>
      </c>
      <c r="G775" s="9">
        <f>IF(Tabla9[[#This Row],[Precio
Unidad de Compra ( $)]]="","",(E775/(H775*I775)))</f>
        <v>1173.3399999999999</v>
      </c>
      <c r="H775" s="8">
        <v>1</v>
      </c>
      <c r="I775" s="168">
        <v>1</v>
      </c>
      <c r="J775" s="205" t="str">
        <f t="shared" si="18"/>
        <v>H_116</v>
      </c>
      <c r="K775" s="115"/>
    </row>
    <row r="776" spans="1:11" ht="15" customHeight="1">
      <c r="A776" s="41">
        <f t="shared" si="19"/>
        <v>117</v>
      </c>
      <c r="B776" s="157" t="s">
        <v>600</v>
      </c>
      <c r="C776" s="204" t="s">
        <v>44</v>
      </c>
      <c r="D776" s="48" t="s">
        <v>109</v>
      </c>
      <c r="E776" s="55">
        <v>1173.3399999999999</v>
      </c>
      <c r="F776" s="181" t="s">
        <v>109</v>
      </c>
      <c r="G776" s="9">
        <f>IF(Tabla9[[#This Row],[Precio
Unidad de Compra ( $)]]="","",(E776/(H776*I776)))</f>
        <v>1173.3399999999999</v>
      </c>
      <c r="H776" s="8">
        <v>1</v>
      </c>
      <c r="I776" s="168">
        <v>1</v>
      </c>
      <c r="J776" s="205" t="str">
        <f t="shared" si="18"/>
        <v>H_117</v>
      </c>
      <c r="K776" s="115"/>
    </row>
    <row r="777" spans="1:11" ht="15" customHeight="1">
      <c r="A777" s="41">
        <f t="shared" si="19"/>
        <v>118</v>
      </c>
      <c r="B777" s="157" t="s">
        <v>601</v>
      </c>
      <c r="C777" s="204" t="s">
        <v>44</v>
      </c>
      <c r="D777" s="48" t="s">
        <v>109</v>
      </c>
      <c r="E777" s="55">
        <v>1173.3399999999999</v>
      </c>
      <c r="F777" s="181" t="s">
        <v>109</v>
      </c>
      <c r="G777" s="9">
        <f>IF(Tabla9[[#This Row],[Precio
Unidad de Compra ( $)]]="","",(E777/(H777*I777)))</f>
        <v>1173.3399999999999</v>
      </c>
      <c r="H777" s="8">
        <v>1</v>
      </c>
      <c r="I777" s="168">
        <v>1</v>
      </c>
      <c r="J777" s="205" t="str">
        <f t="shared" si="18"/>
        <v>H_118</v>
      </c>
      <c r="K777" s="115"/>
    </row>
    <row r="778" spans="1:11" ht="15" customHeight="1">
      <c r="A778" s="41">
        <f t="shared" si="19"/>
        <v>119</v>
      </c>
      <c r="B778" s="157" t="s">
        <v>602</v>
      </c>
      <c r="C778" s="204" t="s">
        <v>44</v>
      </c>
      <c r="D778" s="48" t="s">
        <v>109</v>
      </c>
      <c r="E778" s="55">
        <v>1173.3399999999999</v>
      </c>
      <c r="F778" s="181" t="s">
        <v>109</v>
      </c>
      <c r="G778" s="9">
        <f>IF(Tabla9[[#This Row],[Precio
Unidad de Compra ( $)]]="","",(E778/(H778*I778)))</f>
        <v>1173.3399999999999</v>
      </c>
      <c r="H778" s="8">
        <v>1</v>
      </c>
      <c r="I778" s="168">
        <v>1</v>
      </c>
      <c r="J778" s="205" t="str">
        <f t="shared" si="18"/>
        <v>H_119</v>
      </c>
      <c r="K778" s="115"/>
    </row>
    <row r="779" spans="1:11" ht="15" customHeight="1">
      <c r="A779" s="41">
        <f t="shared" si="19"/>
        <v>120</v>
      </c>
      <c r="B779" s="157" t="s">
        <v>603</v>
      </c>
      <c r="C779" s="204" t="s">
        <v>44</v>
      </c>
      <c r="D779" s="48" t="s">
        <v>109</v>
      </c>
      <c r="E779" s="55">
        <v>1173.3399999999999</v>
      </c>
      <c r="F779" s="181" t="s">
        <v>109</v>
      </c>
      <c r="G779" s="9">
        <f>IF(Tabla9[[#This Row],[Precio
Unidad de Compra ( $)]]="","",(E779/(H779*I779)))</f>
        <v>1173.3399999999999</v>
      </c>
      <c r="H779" s="8">
        <v>1</v>
      </c>
      <c r="I779" s="168">
        <v>1</v>
      </c>
      <c r="J779" s="205" t="str">
        <f t="shared" si="18"/>
        <v>H_120</v>
      </c>
      <c r="K779" s="115"/>
    </row>
    <row r="780" spans="1:11" ht="15" customHeight="1">
      <c r="A780" s="41">
        <f t="shared" si="19"/>
        <v>121</v>
      </c>
      <c r="B780" s="157" t="s">
        <v>604</v>
      </c>
      <c r="C780" s="204" t="s">
        <v>44</v>
      </c>
      <c r="D780" s="48" t="s">
        <v>109</v>
      </c>
      <c r="E780" s="55">
        <v>1173.3399999999999</v>
      </c>
      <c r="F780" s="181" t="s">
        <v>109</v>
      </c>
      <c r="G780" s="9">
        <f>IF(Tabla9[[#This Row],[Precio
Unidad de Compra ( $)]]="","",(E780/(H780*I780)))</f>
        <v>1173.3399999999999</v>
      </c>
      <c r="H780" s="8">
        <v>1</v>
      </c>
      <c r="I780" s="168">
        <v>1</v>
      </c>
      <c r="J780" s="205" t="str">
        <f t="shared" si="18"/>
        <v>H_121</v>
      </c>
      <c r="K780" s="115"/>
    </row>
    <row r="781" spans="1:11" ht="15" customHeight="1">
      <c r="A781" s="41">
        <f t="shared" si="19"/>
        <v>122</v>
      </c>
      <c r="B781" s="36" t="s">
        <v>605</v>
      </c>
      <c r="C781" s="204" t="s">
        <v>44</v>
      </c>
      <c r="D781" s="48" t="s">
        <v>109</v>
      </c>
      <c r="E781" s="55">
        <v>2563</v>
      </c>
      <c r="F781" s="175" t="s">
        <v>109</v>
      </c>
      <c r="G781" s="9">
        <f>IF(Tabla9[[#This Row],[Precio
Unidad de Compra ( $)]]="","",(E781/(H781*I781)))</f>
        <v>2563</v>
      </c>
      <c r="H781" s="8">
        <v>1</v>
      </c>
      <c r="I781" s="168">
        <v>1</v>
      </c>
      <c r="J781" s="205" t="str">
        <f t="shared" si="18"/>
        <v>H_122</v>
      </c>
      <c r="K781" s="115"/>
    </row>
    <row r="782" spans="1:11" ht="15" customHeight="1">
      <c r="A782" s="41">
        <f t="shared" si="19"/>
        <v>123</v>
      </c>
      <c r="B782" s="36" t="s">
        <v>606</v>
      </c>
      <c r="C782" s="204" t="s">
        <v>44</v>
      </c>
      <c r="D782" s="48" t="s">
        <v>109</v>
      </c>
      <c r="E782" s="43">
        <v>2364.5299999999997</v>
      </c>
      <c r="F782" s="175" t="s">
        <v>109</v>
      </c>
      <c r="G782" s="9">
        <f>IF(Tabla9[[#This Row],[Precio
Unidad de Compra ( $)]]="","",(E782/(H782*I782)))</f>
        <v>2364.5299999999997</v>
      </c>
      <c r="H782" s="8">
        <v>1</v>
      </c>
      <c r="I782" s="168">
        <v>1</v>
      </c>
      <c r="J782" s="205" t="str">
        <f t="shared" si="18"/>
        <v>H_123</v>
      </c>
      <c r="K782" s="115"/>
    </row>
    <row r="783" spans="1:11" ht="15" customHeight="1">
      <c r="A783" s="41">
        <f t="shared" si="19"/>
        <v>124</v>
      </c>
      <c r="B783" s="36" t="s">
        <v>607</v>
      </c>
      <c r="C783" s="204" t="s">
        <v>44</v>
      </c>
      <c r="D783" s="48" t="s">
        <v>109</v>
      </c>
      <c r="E783" s="43">
        <v>2364.5299999999997</v>
      </c>
      <c r="F783" s="175" t="s">
        <v>109</v>
      </c>
      <c r="G783" s="9">
        <f>IF(Tabla9[[#This Row],[Precio
Unidad de Compra ( $)]]="","",(E783/(H783*I783)))</f>
        <v>2364.5299999999997</v>
      </c>
      <c r="H783" s="8">
        <v>1</v>
      </c>
      <c r="I783" s="168">
        <v>1</v>
      </c>
      <c r="J783" s="205" t="str">
        <f t="shared" si="18"/>
        <v>H_124</v>
      </c>
      <c r="K783" s="115"/>
    </row>
    <row r="784" spans="1:11" ht="15" customHeight="1">
      <c r="A784" s="41">
        <f t="shared" si="19"/>
        <v>125</v>
      </c>
      <c r="B784" s="36" t="s">
        <v>608</v>
      </c>
      <c r="C784" s="204" t="s">
        <v>44</v>
      </c>
      <c r="D784" s="48" t="s">
        <v>109</v>
      </c>
      <c r="E784" s="43">
        <v>2563</v>
      </c>
      <c r="F784" s="175" t="s">
        <v>109</v>
      </c>
      <c r="G784" s="9">
        <f>IF(Tabla9[[#This Row],[Precio
Unidad de Compra ( $)]]="","",(E784/(H784*I784)))</f>
        <v>2563</v>
      </c>
      <c r="H784" s="8">
        <v>1</v>
      </c>
      <c r="I784" s="168">
        <v>1</v>
      </c>
      <c r="J784" s="205" t="str">
        <f t="shared" si="18"/>
        <v>H_125</v>
      </c>
      <c r="K784" s="115"/>
    </row>
    <row r="785" spans="1:11" ht="15" customHeight="1">
      <c r="A785" s="41">
        <f t="shared" si="19"/>
        <v>126</v>
      </c>
      <c r="B785" s="36" t="s">
        <v>609</v>
      </c>
      <c r="C785" s="204" t="s">
        <v>44</v>
      </c>
      <c r="D785" s="48" t="s">
        <v>109</v>
      </c>
      <c r="E785" s="55">
        <v>2563</v>
      </c>
      <c r="F785" s="181" t="s">
        <v>109</v>
      </c>
      <c r="G785" s="9">
        <f>IF(Tabla9[[#This Row],[Precio
Unidad de Compra ( $)]]="","",(E785/(H785*I785)))</f>
        <v>2563</v>
      </c>
      <c r="H785" s="8">
        <v>1</v>
      </c>
      <c r="I785" s="168">
        <v>1</v>
      </c>
      <c r="J785" s="205" t="str">
        <f t="shared" si="18"/>
        <v>H_126</v>
      </c>
      <c r="K785" s="115"/>
    </row>
    <row r="786" spans="1:11" ht="15" customHeight="1">
      <c r="A786" s="41">
        <f t="shared" si="19"/>
        <v>127</v>
      </c>
      <c r="B786" s="36" t="s">
        <v>610</v>
      </c>
      <c r="C786" s="204" t="s">
        <v>44</v>
      </c>
      <c r="D786" s="48" t="s">
        <v>109</v>
      </c>
      <c r="E786" s="55">
        <v>2563</v>
      </c>
      <c r="F786" s="181" t="s">
        <v>109</v>
      </c>
      <c r="G786" s="9">
        <f>IF(Tabla9[[#This Row],[Precio
Unidad de Compra ( $)]]="","",(E786/(H786*I786)))</f>
        <v>2563</v>
      </c>
      <c r="H786" s="8">
        <v>1</v>
      </c>
      <c r="I786" s="168">
        <v>1</v>
      </c>
      <c r="J786" s="205" t="str">
        <f t="shared" si="18"/>
        <v>H_127</v>
      </c>
      <c r="K786" s="115"/>
    </row>
    <row r="787" spans="1:11" ht="15" customHeight="1">
      <c r="A787" s="41">
        <f t="shared" si="19"/>
        <v>128</v>
      </c>
      <c r="B787" s="36" t="s">
        <v>611</v>
      </c>
      <c r="C787" s="204" t="s">
        <v>44</v>
      </c>
      <c r="D787" s="48" t="s">
        <v>109</v>
      </c>
      <c r="E787" s="43">
        <v>2440.69</v>
      </c>
      <c r="F787" s="175" t="s">
        <v>109</v>
      </c>
      <c r="G787" s="9">
        <f>IF(Tabla9[[#This Row],[Precio
Unidad de Compra ( $)]]="","",(E787/(H787*I787)))</f>
        <v>2440.69</v>
      </c>
      <c r="H787" s="8">
        <v>1</v>
      </c>
      <c r="I787" s="168">
        <v>1</v>
      </c>
      <c r="J787" s="205" t="str">
        <f t="shared" si="18"/>
        <v>H_128</v>
      </c>
      <c r="K787" s="115"/>
    </row>
    <row r="788" spans="1:11" ht="15" customHeight="1">
      <c r="A788" s="41">
        <f t="shared" si="19"/>
        <v>129</v>
      </c>
      <c r="B788" s="36" t="s">
        <v>612</v>
      </c>
      <c r="C788" s="204" t="s">
        <v>44</v>
      </c>
      <c r="D788" s="48" t="s">
        <v>109</v>
      </c>
      <c r="E788" s="43">
        <v>2440.69</v>
      </c>
      <c r="F788" s="175" t="s">
        <v>109</v>
      </c>
      <c r="G788" s="9">
        <f>IF(Tabla9[[#This Row],[Precio
Unidad de Compra ( $)]]="","",(E788/(H788*I788)))</f>
        <v>2440.69</v>
      </c>
      <c r="H788" s="8">
        <v>1</v>
      </c>
      <c r="I788" s="168">
        <v>1</v>
      </c>
      <c r="J788" s="205" t="str">
        <f t="shared" ref="J788:J851" si="20">IFERROR(CONCATENATE(LEFT(C788,1),"_",TEXT(A788,"000")),"")</f>
        <v>H_129</v>
      </c>
      <c r="K788" s="115"/>
    </row>
    <row r="789" spans="1:11" ht="15" customHeight="1">
      <c r="A789" s="41">
        <f t="shared" ref="A789:A852" si="21">A788+1</f>
        <v>130</v>
      </c>
      <c r="B789" s="157" t="s">
        <v>613</v>
      </c>
      <c r="C789" s="204" t="s">
        <v>44</v>
      </c>
      <c r="D789" s="48" t="s">
        <v>109</v>
      </c>
      <c r="E789" s="55">
        <v>873.94</v>
      </c>
      <c r="F789" s="181" t="s">
        <v>109</v>
      </c>
      <c r="G789" s="9">
        <f>IF(Tabla9[[#This Row],[Precio
Unidad de Compra ( $)]]="","",(E789/(H789*I789)))</f>
        <v>873.94</v>
      </c>
      <c r="H789" s="8">
        <v>1</v>
      </c>
      <c r="I789" s="168">
        <v>1</v>
      </c>
      <c r="J789" s="205" t="str">
        <f t="shared" si="20"/>
        <v>H_130</v>
      </c>
      <c r="K789" s="115"/>
    </row>
    <row r="790" spans="1:11" ht="15" customHeight="1">
      <c r="A790" s="41">
        <f t="shared" si="21"/>
        <v>131</v>
      </c>
      <c r="B790" s="157" t="s">
        <v>614</v>
      </c>
      <c r="C790" s="204" t="s">
        <v>44</v>
      </c>
      <c r="D790" s="48" t="s">
        <v>109</v>
      </c>
      <c r="E790" s="55">
        <v>873.94</v>
      </c>
      <c r="F790" s="181" t="s">
        <v>109</v>
      </c>
      <c r="G790" s="9">
        <f>IF(Tabla9[[#This Row],[Precio
Unidad de Compra ( $)]]="","",(E790/(H790*I790)))</f>
        <v>873.94</v>
      </c>
      <c r="H790" s="8">
        <v>1</v>
      </c>
      <c r="I790" s="168">
        <v>1</v>
      </c>
      <c r="J790" s="205" t="str">
        <f t="shared" si="20"/>
        <v>H_131</v>
      </c>
      <c r="K790" s="115"/>
    </row>
    <row r="791" spans="1:11" ht="15" customHeight="1">
      <c r="A791" s="41">
        <f t="shared" si="21"/>
        <v>132</v>
      </c>
      <c r="B791" s="157" t="s">
        <v>615</v>
      </c>
      <c r="C791" s="204" t="s">
        <v>44</v>
      </c>
      <c r="D791" s="48" t="s">
        <v>109</v>
      </c>
      <c r="E791" s="55">
        <v>873.94</v>
      </c>
      <c r="F791" s="181" t="s">
        <v>109</v>
      </c>
      <c r="G791" s="9">
        <f>IF(Tabla9[[#This Row],[Precio
Unidad de Compra ( $)]]="","",(E791/(H791*I791)))</f>
        <v>873.94</v>
      </c>
      <c r="H791" s="8">
        <v>1</v>
      </c>
      <c r="I791" s="168">
        <v>1</v>
      </c>
      <c r="J791" s="205" t="str">
        <f t="shared" si="20"/>
        <v>H_132</v>
      </c>
      <c r="K791" s="115"/>
    </row>
    <row r="792" spans="1:11" ht="15" customHeight="1">
      <c r="A792" s="41">
        <f t="shared" si="21"/>
        <v>133</v>
      </c>
      <c r="B792" s="157" t="s">
        <v>616</v>
      </c>
      <c r="C792" s="204" t="s">
        <v>44</v>
      </c>
      <c r="D792" s="48" t="s">
        <v>109</v>
      </c>
      <c r="E792" s="55">
        <v>873.94</v>
      </c>
      <c r="F792" s="181" t="s">
        <v>109</v>
      </c>
      <c r="G792" s="9">
        <f>IF(Tabla9[[#This Row],[Precio
Unidad de Compra ( $)]]="","",(E792/(H792*I792)))</f>
        <v>873.94</v>
      </c>
      <c r="H792" s="8">
        <v>1</v>
      </c>
      <c r="I792" s="168">
        <v>1</v>
      </c>
      <c r="J792" s="205" t="str">
        <f t="shared" si="20"/>
        <v>H_133</v>
      </c>
      <c r="K792" s="115"/>
    </row>
    <row r="793" spans="1:11" ht="15" customHeight="1">
      <c r="A793" s="41">
        <f t="shared" si="21"/>
        <v>134</v>
      </c>
      <c r="B793" s="157" t="s">
        <v>617</v>
      </c>
      <c r="C793" s="204" t="s">
        <v>44</v>
      </c>
      <c r="D793" s="48" t="s">
        <v>109</v>
      </c>
      <c r="E793" s="55">
        <v>873.94</v>
      </c>
      <c r="F793" s="181" t="s">
        <v>109</v>
      </c>
      <c r="G793" s="9">
        <f>IF(Tabla9[[#This Row],[Precio
Unidad de Compra ( $)]]="","",(E793/(H793*I793)))</f>
        <v>873.94</v>
      </c>
      <c r="H793" s="8">
        <v>1</v>
      </c>
      <c r="I793" s="168">
        <v>1</v>
      </c>
      <c r="J793" s="205" t="str">
        <f t="shared" si="20"/>
        <v>H_134</v>
      </c>
      <c r="K793" s="115"/>
    </row>
    <row r="794" spans="1:11" ht="15" customHeight="1">
      <c r="A794" s="41">
        <f t="shared" si="21"/>
        <v>135</v>
      </c>
      <c r="B794" s="157" t="s">
        <v>618</v>
      </c>
      <c r="C794" s="204" t="s">
        <v>44</v>
      </c>
      <c r="D794" s="48" t="s">
        <v>109</v>
      </c>
      <c r="E794" s="55">
        <v>1547</v>
      </c>
      <c r="F794" s="181" t="s">
        <v>109</v>
      </c>
      <c r="G794" s="9">
        <f>IF(Tabla9[[#This Row],[Precio
Unidad de Compra ( $)]]="","",(E794/(H794*I794)))</f>
        <v>1547</v>
      </c>
      <c r="H794" s="8">
        <v>1</v>
      </c>
      <c r="I794" s="168">
        <v>1</v>
      </c>
      <c r="J794" s="205" t="str">
        <f t="shared" si="20"/>
        <v>H_135</v>
      </c>
      <c r="K794" s="115"/>
    </row>
    <row r="795" spans="1:11" ht="15" customHeight="1">
      <c r="A795" s="41">
        <f t="shared" si="21"/>
        <v>136</v>
      </c>
      <c r="B795" s="157" t="s">
        <v>619</v>
      </c>
      <c r="C795" s="204" t="s">
        <v>44</v>
      </c>
      <c r="D795" s="48" t="s">
        <v>109</v>
      </c>
      <c r="E795" s="55">
        <v>1547</v>
      </c>
      <c r="F795" s="181" t="s">
        <v>109</v>
      </c>
      <c r="G795" s="9">
        <f>IF(Tabla9[[#This Row],[Precio
Unidad de Compra ( $)]]="","",(E795/(H795*I795)))</f>
        <v>1547</v>
      </c>
      <c r="H795" s="8">
        <v>1</v>
      </c>
      <c r="I795" s="168">
        <v>1</v>
      </c>
      <c r="J795" s="205" t="str">
        <f t="shared" si="20"/>
        <v>H_136</v>
      </c>
      <c r="K795" s="115"/>
    </row>
    <row r="796" spans="1:11" ht="15" customHeight="1">
      <c r="A796" s="41">
        <f t="shared" si="21"/>
        <v>137</v>
      </c>
      <c r="B796" s="157" t="s">
        <v>620</v>
      </c>
      <c r="C796" s="204" t="s">
        <v>44</v>
      </c>
      <c r="D796" s="48" t="s">
        <v>109</v>
      </c>
      <c r="E796" s="55">
        <v>1547</v>
      </c>
      <c r="F796" s="181" t="s">
        <v>109</v>
      </c>
      <c r="G796" s="9">
        <f>IF(Tabla9[[#This Row],[Precio
Unidad de Compra ( $)]]="","",(E796/(H796*I796)))</f>
        <v>1547</v>
      </c>
      <c r="H796" s="8">
        <v>1</v>
      </c>
      <c r="I796" s="168">
        <v>1</v>
      </c>
      <c r="J796" s="205" t="str">
        <f t="shared" si="20"/>
        <v>H_137</v>
      </c>
      <c r="K796" s="115"/>
    </row>
    <row r="797" spans="1:11" ht="15" customHeight="1">
      <c r="A797" s="41">
        <f t="shared" si="21"/>
        <v>138</v>
      </c>
      <c r="B797" s="157" t="s">
        <v>621</v>
      </c>
      <c r="C797" s="204" t="s">
        <v>44</v>
      </c>
      <c r="D797" s="48" t="s">
        <v>109</v>
      </c>
      <c r="E797" s="55">
        <v>1850</v>
      </c>
      <c r="F797" s="181" t="s">
        <v>109</v>
      </c>
      <c r="G797" s="9">
        <f>IF(Tabla9[[#This Row],[Precio
Unidad de Compra ( $)]]="","",(E797/(H797*I797)))</f>
        <v>1850</v>
      </c>
      <c r="H797" s="8">
        <v>1</v>
      </c>
      <c r="I797" s="168">
        <v>1</v>
      </c>
      <c r="J797" s="205" t="str">
        <f t="shared" si="20"/>
        <v>H_138</v>
      </c>
      <c r="K797" s="115"/>
    </row>
    <row r="798" spans="1:11" ht="15" customHeight="1">
      <c r="A798" s="41">
        <f t="shared" si="21"/>
        <v>139</v>
      </c>
      <c r="B798" s="157" t="s">
        <v>622</v>
      </c>
      <c r="C798" s="204" t="s">
        <v>44</v>
      </c>
      <c r="D798" s="48" t="s">
        <v>109</v>
      </c>
      <c r="E798" s="55">
        <v>1850</v>
      </c>
      <c r="F798" s="181" t="s">
        <v>109</v>
      </c>
      <c r="G798" s="9">
        <f>IF(Tabla9[[#This Row],[Precio
Unidad de Compra ( $)]]="","",(E798/(H798*I798)))</f>
        <v>1850</v>
      </c>
      <c r="H798" s="8">
        <v>1</v>
      </c>
      <c r="I798" s="168">
        <v>1</v>
      </c>
      <c r="J798" s="205" t="str">
        <f t="shared" si="20"/>
        <v>H_139</v>
      </c>
      <c r="K798" s="115"/>
    </row>
    <row r="799" spans="1:11" ht="15" customHeight="1">
      <c r="A799" s="41">
        <f t="shared" si="21"/>
        <v>140</v>
      </c>
      <c r="B799" s="157" t="s">
        <v>623</v>
      </c>
      <c r="C799" s="204" t="s">
        <v>44</v>
      </c>
      <c r="D799" s="48" t="s">
        <v>109</v>
      </c>
      <c r="E799" s="55">
        <v>4799.2700000000004</v>
      </c>
      <c r="F799" s="181" t="s">
        <v>109</v>
      </c>
      <c r="G799" s="9">
        <f>IF(Tabla9[[#This Row],[Precio
Unidad de Compra ( $)]]="","",(E799/(H799*I799)))</f>
        <v>4799.2700000000004</v>
      </c>
      <c r="H799" s="8">
        <v>1</v>
      </c>
      <c r="I799" s="168">
        <v>1</v>
      </c>
      <c r="J799" s="205" t="str">
        <f t="shared" si="20"/>
        <v>H_140</v>
      </c>
      <c r="K799" s="115"/>
    </row>
    <row r="800" spans="1:11" ht="15" customHeight="1">
      <c r="A800" s="41">
        <f t="shared" si="21"/>
        <v>141</v>
      </c>
      <c r="B800" s="157" t="s">
        <v>624</v>
      </c>
      <c r="C800" s="204" t="s">
        <v>44</v>
      </c>
      <c r="D800" s="48" t="s">
        <v>109</v>
      </c>
      <c r="E800" s="55">
        <v>4799.2700000000004</v>
      </c>
      <c r="F800" s="181" t="s">
        <v>109</v>
      </c>
      <c r="G800" s="9">
        <f>IF(Tabla9[[#This Row],[Precio
Unidad de Compra ( $)]]="","",(E800/(H800*I800)))</f>
        <v>4799.2700000000004</v>
      </c>
      <c r="H800" s="8">
        <v>1</v>
      </c>
      <c r="I800" s="168">
        <v>1</v>
      </c>
      <c r="J800" s="205" t="str">
        <f t="shared" si="20"/>
        <v>H_141</v>
      </c>
      <c r="K800" s="115"/>
    </row>
    <row r="801" spans="1:11" ht="15" customHeight="1">
      <c r="A801" s="41">
        <f t="shared" si="21"/>
        <v>142</v>
      </c>
      <c r="B801" s="157" t="s">
        <v>625</v>
      </c>
      <c r="C801" s="204" t="s">
        <v>44</v>
      </c>
      <c r="D801" s="48" t="s">
        <v>109</v>
      </c>
      <c r="E801" s="55">
        <v>4799.2700000000004</v>
      </c>
      <c r="F801" s="181" t="s">
        <v>109</v>
      </c>
      <c r="G801" s="9">
        <f>IF(Tabla9[[#This Row],[Precio
Unidad de Compra ( $)]]="","",(E801/(H801*I801)))</f>
        <v>4799.2700000000004</v>
      </c>
      <c r="H801" s="8">
        <v>1</v>
      </c>
      <c r="I801" s="168">
        <v>1</v>
      </c>
      <c r="J801" s="205" t="str">
        <f t="shared" si="20"/>
        <v>H_142</v>
      </c>
      <c r="K801" s="115"/>
    </row>
    <row r="802" spans="1:11" ht="15" customHeight="1">
      <c r="A802" s="41">
        <f t="shared" si="21"/>
        <v>143</v>
      </c>
      <c r="B802" s="157" t="s">
        <v>626</v>
      </c>
      <c r="C802" s="204" t="s">
        <v>44</v>
      </c>
      <c r="D802" s="48" t="s">
        <v>109</v>
      </c>
      <c r="E802" s="55">
        <v>4799.2700000000004</v>
      </c>
      <c r="F802" s="181" t="s">
        <v>109</v>
      </c>
      <c r="G802" s="9">
        <f>IF(Tabla9[[#This Row],[Precio
Unidad de Compra ( $)]]="","",(E802/(H802*I802)))</f>
        <v>4799.2700000000004</v>
      </c>
      <c r="H802" s="8">
        <v>1</v>
      </c>
      <c r="I802" s="168">
        <v>1</v>
      </c>
      <c r="J802" s="205" t="str">
        <f t="shared" si="20"/>
        <v>H_143</v>
      </c>
      <c r="K802" s="115"/>
    </row>
    <row r="803" spans="1:11" ht="15" customHeight="1">
      <c r="A803" s="41">
        <f t="shared" si="21"/>
        <v>144</v>
      </c>
      <c r="B803" s="157" t="s">
        <v>627</v>
      </c>
      <c r="C803" s="204" t="s">
        <v>44</v>
      </c>
      <c r="D803" s="48" t="s">
        <v>109</v>
      </c>
      <c r="E803" s="55">
        <v>4799.2700000000004</v>
      </c>
      <c r="F803" s="181" t="s">
        <v>109</v>
      </c>
      <c r="G803" s="9">
        <f>IF(Tabla9[[#This Row],[Precio
Unidad de Compra ( $)]]="","",(E803/(H803*I803)))</f>
        <v>4799.2700000000004</v>
      </c>
      <c r="H803" s="8">
        <v>1</v>
      </c>
      <c r="I803" s="168">
        <v>1</v>
      </c>
      <c r="J803" s="205" t="str">
        <f t="shared" si="20"/>
        <v>H_144</v>
      </c>
      <c r="K803" s="115"/>
    </row>
    <row r="804" spans="1:11" ht="15" customHeight="1">
      <c r="A804" s="41">
        <f t="shared" si="21"/>
        <v>145</v>
      </c>
      <c r="B804" s="157" t="s">
        <v>628</v>
      </c>
      <c r="C804" s="204" t="s">
        <v>44</v>
      </c>
      <c r="D804" s="48" t="s">
        <v>109</v>
      </c>
      <c r="E804" s="55">
        <v>4799.2700000000004</v>
      </c>
      <c r="F804" s="181" t="s">
        <v>109</v>
      </c>
      <c r="G804" s="9">
        <f>IF(Tabla9[[#This Row],[Precio
Unidad de Compra ( $)]]="","",(E804/(H804*I804)))</f>
        <v>4799.2700000000004</v>
      </c>
      <c r="H804" s="8">
        <v>1</v>
      </c>
      <c r="I804" s="168">
        <v>1</v>
      </c>
      <c r="J804" s="205" t="str">
        <f t="shared" si="20"/>
        <v>H_145</v>
      </c>
      <c r="K804" s="115"/>
    </row>
    <row r="805" spans="1:11" ht="15" customHeight="1">
      <c r="A805" s="41">
        <f t="shared" si="21"/>
        <v>146</v>
      </c>
      <c r="B805" s="157" t="s">
        <v>629</v>
      </c>
      <c r="C805" s="204" t="s">
        <v>44</v>
      </c>
      <c r="D805" s="48" t="s">
        <v>109</v>
      </c>
      <c r="E805" s="55">
        <v>4799.2700000000004</v>
      </c>
      <c r="F805" s="181" t="s">
        <v>109</v>
      </c>
      <c r="G805" s="9">
        <f>IF(Tabla9[[#This Row],[Precio
Unidad de Compra ( $)]]="","",(E805/(H805*I805)))</f>
        <v>4799.2700000000004</v>
      </c>
      <c r="H805" s="8">
        <v>1</v>
      </c>
      <c r="I805" s="168">
        <v>1</v>
      </c>
      <c r="J805" s="205" t="str">
        <f t="shared" si="20"/>
        <v>H_146</v>
      </c>
      <c r="K805" s="115"/>
    </row>
    <row r="806" spans="1:11" ht="15" customHeight="1">
      <c r="A806" s="41">
        <f t="shared" si="21"/>
        <v>147</v>
      </c>
      <c r="B806" s="157" t="s">
        <v>630</v>
      </c>
      <c r="C806" s="204" t="s">
        <v>44</v>
      </c>
      <c r="D806" s="48" t="s">
        <v>109</v>
      </c>
      <c r="E806" s="55">
        <v>4799.2700000000004</v>
      </c>
      <c r="F806" s="181" t="s">
        <v>109</v>
      </c>
      <c r="G806" s="9">
        <f>IF(Tabla9[[#This Row],[Precio
Unidad de Compra ( $)]]="","",(E806/(H806*I806)))</f>
        <v>4799.2700000000004</v>
      </c>
      <c r="H806" s="8">
        <v>1</v>
      </c>
      <c r="I806" s="168">
        <v>1</v>
      </c>
      <c r="J806" s="205" t="str">
        <f t="shared" si="20"/>
        <v>H_147</v>
      </c>
      <c r="K806" s="115"/>
    </row>
    <row r="807" spans="1:11" ht="15" customHeight="1">
      <c r="A807" s="41">
        <f t="shared" si="21"/>
        <v>148</v>
      </c>
      <c r="B807" s="157" t="s">
        <v>631</v>
      </c>
      <c r="C807" s="204" t="s">
        <v>44</v>
      </c>
      <c r="D807" s="48" t="s">
        <v>109</v>
      </c>
      <c r="E807" s="55">
        <v>1000</v>
      </c>
      <c r="F807" s="181" t="s">
        <v>109</v>
      </c>
      <c r="G807" s="9">
        <f>IF(Tabla9[[#This Row],[Precio
Unidad de Compra ( $)]]="","",(E807/(H807*I807)))</f>
        <v>1000</v>
      </c>
      <c r="H807" s="8">
        <v>1</v>
      </c>
      <c r="I807" s="168">
        <v>1</v>
      </c>
      <c r="J807" s="205" t="str">
        <f t="shared" si="20"/>
        <v>H_148</v>
      </c>
      <c r="K807" s="115"/>
    </row>
    <row r="808" spans="1:11" ht="15" customHeight="1">
      <c r="A808" s="41">
        <f t="shared" si="21"/>
        <v>149</v>
      </c>
      <c r="B808" s="157" t="s">
        <v>632</v>
      </c>
      <c r="C808" s="204" t="s">
        <v>44</v>
      </c>
      <c r="D808" s="48" t="s">
        <v>109</v>
      </c>
      <c r="E808" s="55">
        <v>8973.7900000000009</v>
      </c>
      <c r="F808" s="181" t="s">
        <v>109</v>
      </c>
      <c r="G808" s="9">
        <f>IF(Tabla9[[#This Row],[Precio
Unidad de Compra ( $)]]="","",(E808/(H808*I808)))</f>
        <v>8973.7900000000009</v>
      </c>
      <c r="H808" s="8">
        <v>1</v>
      </c>
      <c r="I808" s="168">
        <v>1</v>
      </c>
      <c r="J808" s="205" t="str">
        <f t="shared" si="20"/>
        <v>H_149</v>
      </c>
      <c r="K808" s="115"/>
    </row>
    <row r="809" spans="1:11" ht="15" customHeight="1">
      <c r="A809" s="41">
        <f t="shared" si="21"/>
        <v>150</v>
      </c>
      <c r="B809" s="157" t="s">
        <v>633</v>
      </c>
      <c r="C809" s="204" t="s">
        <v>44</v>
      </c>
      <c r="D809" s="48" t="s">
        <v>109</v>
      </c>
      <c r="E809" s="55">
        <v>8973.7900000000009</v>
      </c>
      <c r="F809" s="181" t="s">
        <v>109</v>
      </c>
      <c r="G809" s="9">
        <f>IF(Tabla9[[#This Row],[Precio
Unidad de Compra ( $)]]="","",(E809/(H809*I809)))</f>
        <v>8973.7900000000009</v>
      </c>
      <c r="H809" s="8">
        <v>1</v>
      </c>
      <c r="I809" s="168">
        <v>1</v>
      </c>
      <c r="J809" s="205" t="str">
        <f t="shared" si="20"/>
        <v>H_150</v>
      </c>
      <c r="K809" s="115"/>
    </row>
    <row r="810" spans="1:11" ht="15" customHeight="1">
      <c r="A810" s="41">
        <f t="shared" si="21"/>
        <v>151</v>
      </c>
      <c r="B810" s="157" t="s">
        <v>634</v>
      </c>
      <c r="C810" s="204" t="s">
        <v>44</v>
      </c>
      <c r="D810" s="48" t="s">
        <v>109</v>
      </c>
      <c r="E810" s="55">
        <v>8973.7900000000009</v>
      </c>
      <c r="F810" s="181" t="s">
        <v>109</v>
      </c>
      <c r="G810" s="9">
        <f>IF(Tabla9[[#This Row],[Precio
Unidad de Compra ( $)]]="","",(E810/(H810*I810)))</f>
        <v>8973.7900000000009</v>
      </c>
      <c r="H810" s="8">
        <v>1</v>
      </c>
      <c r="I810" s="168">
        <v>1</v>
      </c>
      <c r="J810" s="205" t="str">
        <f t="shared" si="20"/>
        <v>H_151</v>
      </c>
      <c r="K810" s="115"/>
    </row>
    <row r="811" spans="1:11" ht="15" customHeight="1">
      <c r="A811" s="41">
        <f t="shared" si="21"/>
        <v>152</v>
      </c>
      <c r="B811" s="157" t="s">
        <v>635</v>
      </c>
      <c r="C811" s="204" t="s">
        <v>44</v>
      </c>
      <c r="D811" s="48" t="s">
        <v>109</v>
      </c>
      <c r="E811" s="55">
        <v>8973.7900000000009</v>
      </c>
      <c r="F811" s="181" t="s">
        <v>109</v>
      </c>
      <c r="G811" s="9">
        <f>IF(Tabla9[[#This Row],[Precio
Unidad de Compra ( $)]]="","",(E811/(H811*I811)))</f>
        <v>8973.7900000000009</v>
      </c>
      <c r="H811" s="8">
        <v>1</v>
      </c>
      <c r="I811" s="168">
        <v>1</v>
      </c>
      <c r="J811" s="205" t="str">
        <f t="shared" si="20"/>
        <v>H_152</v>
      </c>
      <c r="K811" s="115"/>
    </row>
    <row r="812" spans="1:11" ht="15" customHeight="1">
      <c r="A812" s="41">
        <f t="shared" si="21"/>
        <v>153</v>
      </c>
      <c r="B812" s="157" t="s">
        <v>636</v>
      </c>
      <c r="C812" s="204" t="s">
        <v>44</v>
      </c>
      <c r="D812" s="48" t="s">
        <v>109</v>
      </c>
      <c r="E812" s="55">
        <v>3844.89</v>
      </c>
      <c r="F812" s="181" t="s">
        <v>109</v>
      </c>
      <c r="G812" s="9">
        <f>IF(Tabla9[[#This Row],[Precio
Unidad de Compra ( $)]]="","",(E812/(H812*I812)))</f>
        <v>3844.89</v>
      </c>
      <c r="H812" s="8">
        <v>1</v>
      </c>
      <c r="I812" s="168">
        <v>1</v>
      </c>
      <c r="J812" s="205" t="str">
        <f t="shared" si="20"/>
        <v>H_153</v>
      </c>
      <c r="K812" s="115"/>
    </row>
    <row r="813" spans="1:11" ht="15" customHeight="1">
      <c r="A813" s="41">
        <f t="shared" si="21"/>
        <v>154</v>
      </c>
      <c r="B813" s="157" t="s">
        <v>637</v>
      </c>
      <c r="C813" s="204" t="s">
        <v>44</v>
      </c>
      <c r="D813" s="48" t="s">
        <v>109</v>
      </c>
      <c r="E813" s="55">
        <v>3844.89</v>
      </c>
      <c r="F813" s="181" t="s">
        <v>109</v>
      </c>
      <c r="G813" s="9">
        <f>IF(Tabla9[[#This Row],[Precio
Unidad de Compra ( $)]]="","",(E813/(H813*I813)))</f>
        <v>3844.89</v>
      </c>
      <c r="H813" s="8">
        <v>1</v>
      </c>
      <c r="I813" s="168">
        <v>1</v>
      </c>
      <c r="J813" s="205" t="str">
        <f t="shared" si="20"/>
        <v>H_154</v>
      </c>
      <c r="K813" s="115"/>
    </row>
    <row r="814" spans="1:11" ht="15" customHeight="1">
      <c r="A814" s="41">
        <f t="shared" si="21"/>
        <v>155</v>
      </c>
      <c r="B814" s="157" t="s">
        <v>638</v>
      </c>
      <c r="C814" s="204" t="s">
        <v>44</v>
      </c>
      <c r="D814" s="48" t="s">
        <v>109</v>
      </c>
      <c r="E814" s="55">
        <v>3844.89</v>
      </c>
      <c r="F814" s="181" t="s">
        <v>109</v>
      </c>
      <c r="G814" s="9">
        <f>IF(Tabla9[[#This Row],[Precio
Unidad de Compra ( $)]]="","",(E814/(H814*I814)))</f>
        <v>3844.89</v>
      </c>
      <c r="H814" s="8">
        <v>1</v>
      </c>
      <c r="I814" s="168">
        <v>1</v>
      </c>
      <c r="J814" s="205" t="str">
        <f t="shared" si="20"/>
        <v>H_155</v>
      </c>
      <c r="K814" s="115"/>
    </row>
    <row r="815" spans="1:11" ht="15" customHeight="1">
      <c r="A815" s="41">
        <f t="shared" si="21"/>
        <v>156</v>
      </c>
      <c r="B815" s="157" t="s">
        <v>639</v>
      </c>
      <c r="C815" s="204" t="s">
        <v>44</v>
      </c>
      <c r="D815" s="48" t="s">
        <v>109</v>
      </c>
      <c r="E815" s="55">
        <v>3844.89</v>
      </c>
      <c r="F815" s="181" t="s">
        <v>109</v>
      </c>
      <c r="G815" s="9">
        <f>IF(Tabla9[[#This Row],[Precio
Unidad de Compra ( $)]]="","",(E815/(H815*I815)))</f>
        <v>3844.89</v>
      </c>
      <c r="H815" s="8">
        <v>1</v>
      </c>
      <c r="I815" s="168">
        <v>1</v>
      </c>
      <c r="J815" s="205" t="str">
        <f t="shared" si="20"/>
        <v>H_156</v>
      </c>
      <c r="K815" s="115"/>
    </row>
    <row r="816" spans="1:11" ht="15" customHeight="1">
      <c r="A816" s="41">
        <f t="shared" si="21"/>
        <v>157</v>
      </c>
      <c r="B816" s="157" t="s">
        <v>640</v>
      </c>
      <c r="C816" s="204" t="s">
        <v>44</v>
      </c>
      <c r="D816" s="48" t="s">
        <v>109</v>
      </c>
      <c r="E816" s="55">
        <v>3844.89</v>
      </c>
      <c r="F816" s="181" t="s">
        <v>109</v>
      </c>
      <c r="G816" s="9">
        <f>IF(Tabla9[[#This Row],[Precio
Unidad de Compra ( $)]]="","",(E816/(H816*I816)))</f>
        <v>3844.89</v>
      </c>
      <c r="H816" s="8">
        <v>1</v>
      </c>
      <c r="I816" s="168">
        <v>1</v>
      </c>
      <c r="J816" s="205" t="str">
        <f t="shared" si="20"/>
        <v>H_157</v>
      </c>
      <c r="K816" s="115"/>
    </row>
    <row r="817" spans="1:11" ht="15" customHeight="1">
      <c r="A817" s="41">
        <f t="shared" si="21"/>
        <v>158</v>
      </c>
      <c r="B817" s="157" t="s">
        <v>641</v>
      </c>
      <c r="C817" s="204" t="s">
        <v>44</v>
      </c>
      <c r="D817" s="48" t="s">
        <v>109</v>
      </c>
      <c r="E817" s="55">
        <v>3844.89</v>
      </c>
      <c r="F817" s="181" t="s">
        <v>109</v>
      </c>
      <c r="G817" s="9">
        <f>IF(Tabla9[[#This Row],[Precio
Unidad de Compra ( $)]]="","",(E817/(H817*I817)))</f>
        <v>3844.89</v>
      </c>
      <c r="H817" s="8">
        <v>1</v>
      </c>
      <c r="I817" s="168">
        <v>1</v>
      </c>
      <c r="J817" s="205" t="str">
        <f t="shared" si="20"/>
        <v>H_158</v>
      </c>
      <c r="K817" s="115"/>
    </row>
    <row r="818" spans="1:11" ht="15" customHeight="1">
      <c r="A818" s="41">
        <f t="shared" si="21"/>
        <v>159</v>
      </c>
      <c r="B818" s="157" t="s">
        <v>642</v>
      </c>
      <c r="C818" s="204" t="s">
        <v>44</v>
      </c>
      <c r="D818" s="48" t="s">
        <v>109</v>
      </c>
      <c r="E818" s="55">
        <v>3844.89</v>
      </c>
      <c r="F818" s="181" t="s">
        <v>109</v>
      </c>
      <c r="G818" s="9">
        <f>IF(Tabla9[[#This Row],[Precio
Unidad de Compra ( $)]]="","",(E818/(H818*I818)))</f>
        <v>3844.89</v>
      </c>
      <c r="H818" s="8">
        <v>1</v>
      </c>
      <c r="I818" s="168">
        <v>1</v>
      </c>
      <c r="J818" s="205" t="str">
        <f t="shared" si="20"/>
        <v>H_159</v>
      </c>
      <c r="K818" s="115"/>
    </row>
    <row r="819" spans="1:11" ht="15" customHeight="1">
      <c r="A819" s="41">
        <f t="shared" si="21"/>
        <v>160</v>
      </c>
      <c r="B819" s="157" t="s">
        <v>643</v>
      </c>
      <c r="C819" s="204" t="s">
        <v>44</v>
      </c>
      <c r="D819" s="48" t="s">
        <v>109</v>
      </c>
      <c r="E819" s="55">
        <v>3844.89</v>
      </c>
      <c r="F819" s="181" t="s">
        <v>109</v>
      </c>
      <c r="G819" s="9">
        <f>IF(Tabla9[[#This Row],[Precio
Unidad de Compra ( $)]]="","",(E819/(H819*I819)))</f>
        <v>3844.89</v>
      </c>
      <c r="H819" s="8">
        <v>1</v>
      </c>
      <c r="I819" s="168">
        <v>1</v>
      </c>
      <c r="J819" s="205" t="str">
        <f t="shared" si="20"/>
        <v>H_160</v>
      </c>
      <c r="K819" s="115"/>
    </row>
    <row r="820" spans="1:11" ht="30">
      <c r="A820" s="41">
        <f t="shared" si="21"/>
        <v>161</v>
      </c>
      <c r="B820" s="157" t="s">
        <v>644</v>
      </c>
      <c r="C820" s="204" t="s">
        <v>44</v>
      </c>
      <c r="D820" s="48" t="s">
        <v>109</v>
      </c>
      <c r="E820" s="55">
        <v>1661.24</v>
      </c>
      <c r="F820" s="181" t="s">
        <v>109</v>
      </c>
      <c r="G820" s="9">
        <f>IF(Tabla9[[#This Row],[Precio
Unidad de Compra ( $)]]="","",(E820/(H820*I820)))</f>
        <v>1661.24</v>
      </c>
      <c r="H820" s="8">
        <v>1</v>
      </c>
      <c r="I820" s="168">
        <v>1</v>
      </c>
      <c r="J820" s="205" t="str">
        <f t="shared" si="20"/>
        <v>H_161</v>
      </c>
      <c r="K820" s="115"/>
    </row>
    <row r="821" spans="1:11" ht="15" customHeight="1">
      <c r="A821" s="41">
        <f t="shared" si="21"/>
        <v>162</v>
      </c>
      <c r="B821" s="157" t="s">
        <v>645</v>
      </c>
      <c r="C821" s="204" t="s">
        <v>44</v>
      </c>
      <c r="D821" s="48" t="s">
        <v>109</v>
      </c>
      <c r="E821" s="55">
        <v>1661.24</v>
      </c>
      <c r="F821" s="181" t="s">
        <v>109</v>
      </c>
      <c r="G821" s="9">
        <f>IF(Tabla9[[#This Row],[Precio
Unidad de Compra ( $)]]="","",(E821/(H821*I821)))</f>
        <v>1661.24</v>
      </c>
      <c r="H821" s="8">
        <v>1</v>
      </c>
      <c r="I821" s="168">
        <v>1</v>
      </c>
      <c r="J821" s="205" t="str">
        <f t="shared" si="20"/>
        <v>H_162</v>
      </c>
      <c r="K821" s="115"/>
    </row>
    <row r="822" spans="1:11" ht="15" customHeight="1">
      <c r="A822" s="41">
        <f t="shared" si="21"/>
        <v>163</v>
      </c>
      <c r="B822" s="157" t="s">
        <v>646</v>
      </c>
      <c r="C822" s="204" t="s">
        <v>44</v>
      </c>
      <c r="D822" s="48" t="s">
        <v>109</v>
      </c>
      <c r="E822" s="55">
        <v>1661.24</v>
      </c>
      <c r="F822" s="181" t="s">
        <v>109</v>
      </c>
      <c r="G822" s="9">
        <f>IF(Tabla9[[#This Row],[Precio
Unidad de Compra ( $)]]="","",(E822/(H822*I822)))</f>
        <v>1661.24</v>
      </c>
      <c r="H822" s="8">
        <v>1</v>
      </c>
      <c r="I822" s="168">
        <v>1</v>
      </c>
      <c r="J822" s="205" t="str">
        <f t="shared" si="20"/>
        <v>H_163</v>
      </c>
      <c r="K822" s="115"/>
    </row>
    <row r="823" spans="1:11" ht="15" customHeight="1">
      <c r="A823" s="41">
        <f t="shared" si="21"/>
        <v>164</v>
      </c>
      <c r="B823" s="157" t="s">
        <v>647</v>
      </c>
      <c r="C823" s="204" t="s">
        <v>44</v>
      </c>
      <c r="D823" s="48" t="s">
        <v>109</v>
      </c>
      <c r="E823" s="55">
        <v>1661.24</v>
      </c>
      <c r="F823" s="181" t="s">
        <v>109</v>
      </c>
      <c r="G823" s="9">
        <f>IF(Tabla9[[#This Row],[Precio
Unidad de Compra ( $)]]="","",(E823/(H823*I823)))</f>
        <v>1661.24</v>
      </c>
      <c r="H823" s="8">
        <v>1</v>
      </c>
      <c r="I823" s="168">
        <v>1</v>
      </c>
      <c r="J823" s="205" t="str">
        <f t="shared" si="20"/>
        <v>H_164</v>
      </c>
      <c r="K823" s="115"/>
    </row>
    <row r="824" spans="1:11" ht="15" customHeight="1">
      <c r="A824" s="41">
        <f t="shared" si="21"/>
        <v>165</v>
      </c>
      <c r="B824" s="157" t="s">
        <v>648</v>
      </c>
      <c r="C824" s="204" t="s">
        <v>44</v>
      </c>
      <c r="D824" s="48" t="s">
        <v>109</v>
      </c>
      <c r="E824" s="55">
        <v>1661.24</v>
      </c>
      <c r="F824" s="181" t="s">
        <v>109</v>
      </c>
      <c r="G824" s="9">
        <f>IF(Tabla9[[#This Row],[Precio
Unidad de Compra ( $)]]="","",(E824/(H824*I824)))</f>
        <v>1661.24</v>
      </c>
      <c r="H824" s="8">
        <v>1</v>
      </c>
      <c r="I824" s="168">
        <v>1</v>
      </c>
      <c r="J824" s="205" t="str">
        <f t="shared" si="20"/>
        <v>H_165</v>
      </c>
      <c r="K824" s="115"/>
    </row>
    <row r="825" spans="1:11" ht="15" customHeight="1">
      <c r="A825" s="41">
        <f t="shared" si="21"/>
        <v>166</v>
      </c>
      <c r="B825" s="157" t="s">
        <v>649</v>
      </c>
      <c r="C825" s="204" t="s">
        <v>44</v>
      </c>
      <c r="D825" s="48" t="s">
        <v>109</v>
      </c>
      <c r="E825" s="55">
        <v>690.75</v>
      </c>
      <c r="F825" s="181" t="s">
        <v>109</v>
      </c>
      <c r="G825" s="9">
        <f>IF(Tabla9[[#This Row],[Precio
Unidad de Compra ( $)]]="","",(E825/(H825*I825)))</f>
        <v>690.75</v>
      </c>
      <c r="H825" s="8">
        <v>1</v>
      </c>
      <c r="I825" s="168">
        <v>1</v>
      </c>
      <c r="J825" s="205" t="str">
        <f t="shared" si="20"/>
        <v>H_166</v>
      </c>
      <c r="K825" s="115"/>
    </row>
    <row r="826" spans="1:11" ht="15" customHeight="1">
      <c r="A826" s="41">
        <f t="shared" si="21"/>
        <v>167</v>
      </c>
      <c r="B826" s="157" t="s">
        <v>650</v>
      </c>
      <c r="C826" s="204" t="s">
        <v>44</v>
      </c>
      <c r="D826" s="48" t="s">
        <v>109</v>
      </c>
      <c r="E826" s="55">
        <v>690.75</v>
      </c>
      <c r="F826" s="181" t="s">
        <v>109</v>
      </c>
      <c r="G826" s="9">
        <f>IF(Tabla9[[#This Row],[Precio
Unidad de Compra ( $)]]="","",(E826/(H826*I826)))</f>
        <v>690.75</v>
      </c>
      <c r="H826" s="8">
        <v>1</v>
      </c>
      <c r="I826" s="168">
        <v>1</v>
      </c>
      <c r="J826" s="205" t="str">
        <f t="shared" si="20"/>
        <v>H_167</v>
      </c>
      <c r="K826" s="115"/>
    </row>
    <row r="827" spans="1:11" ht="15" customHeight="1">
      <c r="A827" s="41">
        <f t="shared" si="21"/>
        <v>168</v>
      </c>
      <c r="B827" s="157" t="s">
        <v>651</v>
      </c>
      <c r="C827" s="204" t="s">
        <v>44</v>
      </c>
      <c r="D827" s="48" t="s">
        <v>109</v>
      </c>
      <c r="E827" s="55">
        <v>690.75</v>
      </c>
      <c r="F827" s="181" t="s">
        <v>109</v>
      </c>
      <c r="G827" s="9">
        <f>IF(Tabla9[[#This Row],[Precio
Unidad de Compra ( $)]]="","",(E827/(H827*I827)))</f>
        <v>690.75</v>
      </c>
      <c r="H827" s="8">
        <v>1</v>
      </c>
      <c r="I827" s="168">
        <v>1</v>
      </c>
      <c r="J827" s="205" t="str">
        <f t="shared" si="20"/>
        <v>H_168</v>
      </c>
      <c r="K827" s="115"/>
    </row>
    <row r="828" spans="1:11" ht="15" customHeight="1">
      <c r="A828" s="41">
        <f t="shared" si="21"/>
        <v>169</v>
      </c>
      <c r="B828" s="157" t="s">
        <v>652</v>
      </c>
      <c r="C828" s="204" t="s">
        <v>44</v>
      </c>
      <c r="D828" s="48" t="s">
        <v>109</v>
      </c>
      <c r="E828" s="55">
        <v>690.75</v>
      </c>
      <c r="F828" s="181" t="s">
        <v>109</v>
      </c>
      <c r="G828" s="9">
        <f>IF(Tabla9[[#This Row],[Precio
Unidad de Compra ( $)]]="","",(E828/(H828*I828)))</f>
        <v>690.75</v>
      </c>
      <c r="H828" s="8">
        <v>1</v>
      </c>
      <c r="I828" s="168">
        <v>1</v>
      </c>
      <c r="J828" s="205" t="str">
        <f t="shared" si="20"/>
        <v>H_169</v>
      </c>
      <c r="K828" s="115"/>
    </row>
    <row r="829" spans="1:11" ht="15" customHeight="1">
      <c r="A829" s="41">
        <f t="shared" si="21"/>
        <v>170</v>
      </c>
      <c r="B829" s="157" t="s">
        <v>653</v>
      </c>
      <c r="C829" s="204" t="s">
        <v>44</v>
      </c>
      <c r="D829" s="48" t="s">
        <v>109</v>
      </c>
      <c r="E829" s="55">
        <v>690.75</v>
      </c>
      <c r="F829" s="181" t="s">
        <v>109</v>
      </c>
      <c r="G829" s="9">
        <f>IF(Tabla9[[#This Row],[Precio
Unidad de Compra ( $)]]="","",(E829/(H829*I829)))</f>
        <v>690.75</v>
      </c>
      <c r="H829" s="8">
        <v>1</v>
      </c>
      <c r="I829" s="168">
        <v>1</v>
      </c>
      <c r="J829" s="205" t="str">
        <f t="shared" si="20"/>
        <v>H_170</v>
      </c>
      <c r="K829" s="115"/>
    </row>
    <row r="830" spans="1:11" ht="15" customHeight="1">
      <c r="A830" s="41">
        <f t="shared" si="21"/>
        <v>171</v>
      </c>
      <c r="B830" s="157" t="s">
        <v>654</v>
      </c>
      <c r="C830" s="204" t="s">
        <v>44</v>
      </c>
      <c r="D830" s="48" t="s">
        <v>109</v>
      </c>
      <c r="E830" s="55">
        <v>690.75</v>
      </c>
      <c r="F830" s="181" t="s">
        <v>109</v>
      </c>
      <c r="G830" s="9">
        <f>IF(Tabla9[[#This Row],[Precio
Unidad de Compra ( $)]]="","",(E830/(H830*I830)))</f>
        <v>690.75</v>
      </c>
      <c r="H830" s="8">
        <v>1</v>
      </c>
      <c r="I830" s="168">
        <v>1</v>
      </c>
      <c r="J830" s="205" t="str">
        <f t="shared" si="20"/>
        <v>H_171</v>
      </c>
      <c r="K830" s="115"/>
    </row>
    <row r="831" spans="1:11" ht="15" customHeight="1">
      <c r="A831" s="41">
        <f t="shared" si="21"/>
        <v>172</v>
      </c>
      <c r="B831" s="157" t="s">
        <v>655</v>
      </c>
      <c r="C831" s="204" t="s">
        <v>44</v>
      </c>
      <c r="D831" s="48" t="s">
        <v>109</v>
      </c>
      <c r="E831" s="43">
        <v>690.75</v>
      </c>
      <c r="F831" s="175" t="s">
        <v>109</v>
      </c>
      <c r="G831" s="9">
        <f>IF(Tabla9[[#This Row],[Precio
Unidad de Compra ( $)]]="","",(E831/(H831*I831)))</f>
        <v>690.75</v>
      </c>
      <c r="H831" s="8">
        <v>1</v>
      </c>
      <c r="I831" s="168">
        <v>1</v>
      </c>
      <c r="J831" s="205" t="str">
        <f t="shared" si="20"/>
        <v>H_172</v>
      </c>
      <c r="K831" s="115"/>
    </row>
    <row r="832" spans="1:11" ht="15" customHeight="1">
      <c r="A832" s="41">
        <f t="shared" si="21"/>
        <v>173</v>
      </c>
      <c r="B832" s="157" t="s">
        <v>656</v>
      </c>
      <c r="C832" s="204" t="s">
        <v>44</v>
      </c>
      <c r="D832" s="48" t="s">
        <v>109</v>
      </c>
      <c r="E832" s="43">
        <v>690.75</v>
      </c>
      <c r="F832" s="175" t="s">
        <v>109</v>
      </c>
      <c r="G832" s="9">
        <f>IF(Tabla9[[#This Row],[Precio
Unidad de Compra ( $)]]="","",(E832/(H832*I832)))</f>
        <v>690.75</v>
      </c>
      <c r="H832" s="8">
        <v>1</v>
      </c>
      <c r="I832" s="168">
        <v>1</v>
      </c>
      <c r="J832" s="205" t="str">
        <f t="shared" si="20"/>
        <v>H_173</v>
      </c>
      <c r="K832" s="115"/>
    </row>
    <row r="833" spans="1:11" ht="15" customHeight="1">
      <c r="A833" s="41">
        <f t="shared" si="21"/>
        <v>174</v>
      </c>
      <c r="B833" s="157" t="s">
        <v>657</v>
      </c>
      <c r="C833" s="204" t="s">
        <v>44</v>
      </c>
      <c r="D833" s="48" t="s">
        <v>109</v>
      </c>
      <c r="E833" s="55">
        <v>690.75</v>
      </c>
      <c r="F833" s="181" t="s">
        <v>109</v>
      </c>
      <c r="G833" s="9">
        <f>IF(Tabla9[[#This Row],[Precio
Unidad de Compra ( $)]]="","",(E833/(H833*I833)))</f>
        <v>690.75</v>
      </c>
      <c r="H833" s="8">
        <v>1</v>
      </c>
      <c r="I833" s="168">
        <v>1</v>
      </c>
      <c r="J833" s="205" t="str">
        <f t="shared" si="20"/>
        <v>H_174</v>
      </c>
      <c r="K833" s="115"/>
    </row>
    <row r="834" spans="1:11" ht="15" customHeight="1">
      <c r="A834" s="41">
        <f t="shared" si="21"/>
        <v>175</v>
      </c>
      <c r="B834" s="157" t="s">
        <v>658</v>
      </c>
      <c r="C834" s="204" t="s">
        <v>44</v>
      </c>
      <c r="D834" s="48" t="s">
        <v>109</v>
      </c>
      <c r="E834" s="55">
        <v>690.75</v>
      </c>
      <c r="F834" s="181" t="s">
        <v>109</v>
      </c>
      <c r="G834" s="9">
        <f>IF(Tabla9[[#This Row],[Precio
Unidad de Compra ( $)]]="","",(E834/(H834*I834)))</f>
        <v>690.75</v>
      </c>
      <c r="H834" s="8">
        <v>1</v>
      </c>
      <c r="I834" s="168">
        <v>1</v>
      </c>
      <c r="J834" s="205" t="str">
        <f t="shared" si="20"/>
        <v>H_175</v>
      </c>
      <c r="K834" s="115"/>
    </row>
    <row r="835" spans="1:11" ht="15" customHeight="1">
      <c r="A835" s="41">
        <f t="shared" si="21"/>
        <v>176</v>
      </c>
      <c r="B835" s="157" t="s">
        <v>659</v>
      </c>
      <c r="C835" s="204" t="s">
        <v>44</v>
      </c>
      <c r="D835" s="48" t="s">
        <v>109</v>
      </c>
      <c r="E835" s="55">
        <v>690.75</v>
      </c>
      <c r="F835" s="181" t="s">
        <v>109</v>
      </c>
      <c r="G835" s="9">
        <f>IF(Tabla9[[#This Row],[Precio
Unidad de Compra ( $)]]="","",(E835/(H835*I835)))</f>
        <v>690.75</v>
      </c>
      <c r="H835" s="8">
        <v>1</v>
      </c>
      <c r="I835" s="168">
        <v>1</v>
      </c>
      <c r="J835" s="205" t="str">
        <f t="shared" si="20"/>
        <v>H_176</v>
      </c>
      <c r="K835" s="115"/>
    </row>
    <row r="836" spans="1:11" ht="15" customHeight="1">
      <c r="A836" s="41">
        <f t="shared" si="21"/>
        <v>177</v>
      </c>
      <c r="B836" s="157" t="s">
        <v>660</v>
      </c>
      <c r="C836" s="204" t="s">
        <v>44</v>
      </c>
      <c r="D836" s="48" t="s">
        <v>109</v>
      </c>
      <c r="E836" s="55">
        <v>690.75</v>
      </c>
      <c r="F836" s="181" t="s">
        <v>109</v>
      </c>
      <c r="G836" s="9">
        <f>IF(Tabla9[[#This Row],[Precio
Unidad de Compra ( $)]]="","",(E836/(H836*I836)))</f>
        <v>690.75</v>
      </c>
      <c r="H836" s="8">
        <v>1</v>
      </c>
      <c r="I836" s="168">
        <v>1</v>
      </c>
      <c r="J836" s="205" t="str">
        <f t="shared" si="20"/>
        <v>H_177</v>
      </c>
      <c r="K836" s="115"/>
    </row>
    <row r="837" spans="1:11" ht="15" customHeight="1">
      <c r="A837" s="41">
        <f t="shared" si="21"/>
        <v>178</v>
      </c>
      <c r="B837" s="157" t="s">
        <v>661</v>
      </c>
      <c r="C837" s="204" t="s">
        <v>44</v>
      </c>
      <c r="D837" s="48" t="s">
        <v>109</v>
      </c>
      <c r="E837" s="43">
        <v>690.75</v>
      </c>
      <c r="F837" s="175" t="s">
        <v>109</v>
      </c>
      <c r="G837" s="9">
        <f>IF(Tabla9[[#This Row],[Precio
Unidad de Compra ( $)]]="","",(E837/(H837*I837)))</f>
        <v>690.75</v>
      </c>
      <c r="H837" s="8">
        <v>1</v>
      </c>
      <c r="I837" s="168">
        <v>1</v>
      </c>
      <c r="J837" s="205" t="str">
        <f t="shared" si="20"/>
        <v>H_178</v>
      </c>
      <c r="K837" s="115"/>
    </row>
    <row r="838" spans="1:11" ht="15" customHeight="1">
      <c r="A838" s="41">
        <f t="shared" si="21"/>
        <v>179</v>
      </c>
      <c r="B838" s="157" t="s">
        <v>662</v>
      </c>
      <c r="C838" s="204" t="s">
        <v>44</v>
      </c>
      <c r="D838" s="48" t="s">
        <v>109</v>
      </c>
      <c r="E838" s="43">
        <v>690.75</v>
      </c>
      <c r="F838" s="175" t="s">
        <v>109</v>
      </c>
      <c r="G838" s="9">
        <f>IF(Tabla9[[#This Row],[Precio
Unidad de Compra ( $)]]="","",(E838/(H838*I838)))</f>
        <v>690.75</v>
      </c>
      <c r="H838" s="8">
        <v>1</v>
      </c>
      <c r="I838" s="168">
        <v>1</v>
      </c>
      <c r="J838" s="205" t="str">
        <f t="shared" si="20"/>
        <v>H_179</v>
      </c>
      <c r="K838" s="115"/>
    </row>
    <row r="839" spans="1:11" ht="15" customHeight="1">
      <c r="A839" s="41">
        <f t="shared" si="21"/>
        <v>180</v>
      </c>
      <c r="B839" s="157" t="s">
        <v>663</v>
      </c>
      <c r="C839" s="204" t="s">
        <v>44</v>
      </c>
      <c r="D839" s="48" t="s">
        <v>109</v>
      </c>
      <c r="E839" s="55">
        <v>690.75</v>
      </c>
      <c r="F839" s="181" t="s">
        <v>109</v>
      </c>
      <c r="G839" s="9">
        <f>IF(Tabla9[[#This Row],[Precio
Unidad de Compra ( $)]]="","",(E839/(H839*I839)))</f>
        <v>690.75</v>
      </c>
      <c r="H839" s="8">
        <v>1</v>
      </c>
      <c r="I839" s="168">
        <v>1</v>
      </c>
      <c r="J839" s="205" t="str">
        <f t="shared" si="20"/>
        <v>H_180</v>
      </c>
      <c r="K839" s="115"/>
    </row>
    <row r="840" spans="1:11" ht="15" customHeight="1">
      <c r="A840" s="41">
        <f t="shared" si="21"/>
        <v>181</v>
      </c>
      <c r="B840" s="157" t="s">
        <v>664</v>
      </c>
      <c r="C840" s="204" t="s">
        <v>44</v>
      </c>
      <c r="D840" s="48" t="s">
        <v>109</v>
      </c>
      <c r="E840" s="55">
        <v>690.75</v>
      </c>
      <c r="F840" s="181" t="s">
        <v>109</v>
      </c>
      <c r="G840" s="9">
        <f>IF(Tabla9[[#This Row],[Precio
Unidad de Compra ( $)]]="","",(E840/(H840*I840)))</f>
        <v>690.75</v>
      </c>
      <c r="H840" s="8">
        <v>1</v>
      </c>
      <c r="I840" s="168">
        <v>1</v>
      </c>
      <c r="J840" s="205" t="str">
        <f t="shared" si="20"/>
        <v>H_181</v>
      </c>
      <c r="K840" s="115"/>
    </row>
    <row r="841" spans="1:11" ht="15" customHeight="1">
      <c r="A841" s="41">
        <f t="shared" si="21"/>
        <v>182</v>
      </c>
      <c r="B841" s="157" t="s">
        <v>665</v>
      </c>
      <c r="C841" s="204" t="s">
        <v>44</v>
      </c>
      <c r="D841" s="48" t="s">
        <v>109</v>
      </c>
      <c r="E841" s="55">
        <v>690.75</v>
      </c>
      <c r="F841" s="181" t="s">
        <v>109</v>
      </c>
      <c r="G841" s="9">
        <f>IF(Tabla9[[#This Row],[Precio
Unidad de Compra ( $)]]="","",(E841/(H841*I841)))</f>
        <v>690.75</v>
      </c>
      <c r="H841" s="8">
        <v>1</v>
      </c>
      <c r="I841" s="168">
        <v>1</v>
      </c>
      <c r="J841" s="205" t="str">
        <f t="shared" si="20"/>
        <v>H_182</v>
      </c>
      <c r="K841" s="115"/>
    </row>
    <row r="842" spans="1:11" ht="15" customHeight="1">
      <c r="A842" s="41">
        <f t="shared" si="21"/>
        <v>183</v>
      </c>
      <c r="B842" s="157" t="s">
        <v>666</v>
      </c>
      <c r="C842" s="204" t="s">
        <v>44</v>
      </c>
      <c r="D842" s="48" t="s">
        <v>109</v>
      </c>
      <c r="E842" s="43">
        <v>690.75</v>
      </c>
      <c r="F842" s="175" t="s">
        <v>109</v>
      </c>
      <c r="G842" s="9">
        <f>IF(Tabla9[[#This Row],[Precio
Unidad de Compra ( $)]]="","",(E842/(H842*I842)))</f>
        <v>690.75</v>
      </c>
      <c r="H842" s="8">
        <v>1</v>
      </c>
      <c r="I842" s="168">
        <v>1</v>
      </c>
      <c r="J842" s="205" t="str">
        <f t="shared" si="20"/>
        <v>H_183</v>
      </c>
      <c r="K842" s="115"/>
    </row>
    <row r="843" spans="1:11" ht="30">
      <c r="A843" s="41">
        <f t="shared" si="21"/>
        <v>184</v>
      </c>
      <c r="B843" s="157" t="s">
        <v>667</v>
      </c>
      <c r="C843" s="204" t="s">
        <v>44</v>
      </c>
      <c r="D843" s="48" t="s">
        <v>109</v>
      </c>
      <c r="E843" s="55">
        <v>690.75</v>
      </c>
      <c r="F843" s="181" t="s">
        <v>109</v>
      </c>
      <c r="G843" s="9">
        <f>IF(Tabla9[[#This Row],[Precio
Unidad de Compra ( $)]]="","",(E843/(H843*I843)))</f>
        <v>690.75</v>
      </c>
      <c r="H843" s="8">
        <v>1</v>
      </c>
      <c r="I843" s="168">
        <v>1</v>
      </c>
      <c r="J843" s="205" t="str">
        <f t="shared" si="20"/>
        <v>H_184</v>
      </c>
      <c r="K843" s="115"/>
    </row>
    <row r="844" spans="1:11" ht="30">
      <c r="A844" s="41">
        <f t="shared" si="21"/>
        <v>185</v>
      </c>
      <c r="B844" s="157" t="s">
        <v>668</v>
      </c>
      <c r="C844" s="204" t="s">
        <v>44</v>
      </c>
      <c r="D844" s="48" t="s">
        <v>109</v>
      </c>
      <c r="E844" s="55">
        <v>690.75</v>
      </c>
      <c r="F844" s="181" t="s">
        <v>109</v>
      </c>
      <c r="G844" s="9">
        <f>IF(Tabla9[[#This Row],[Precio
Unidad de Compra ( $)]]="","",(E844/(H844*I844)))</f>
        <v>690.75</v>
      </c>
      <c r="H844" s="8">
        <v>1</v>
      </c>
      <c r="I844" s="168">
        <v>1</v>
      </c>
      <c r="J844" s="205" t="str">
        <f t="shared" si="20"/>
        <v>H_185</v>
      </c>
      <c r="K844" s="115"/>
    </row>
    <row r="845" spans="1:11" ht="30">
      <c r="A845" s="41">
        <f t="shared" si="21"/>
        <v>186</v>
      </c>
      <c r="B845" s="157" t="s">
        <v>669</v>
      </c>
      <c r="C845" s="204" t="s">
        <v>44</v>
      </c>
      <c r="D845" s="48" t="s">
        <v>109</v>
      </c>
      <c r="E845" s="55">
        <v>690.75</v>
      </c>
      <c r="F845" s="181" t="s">
        <v>109</v>
      </c>
      <c r="G845" s="9">
        <f>IF(Tabla9[[#This Row],[Precio
Unidad de Compra ( $)]]="","",(E845/(H845*I845)))</f>
        <v>690.75</v>
      </c>
      <c r="H845" s="8">
        <v>1</v>
      </c>
      <c r="I845" s="168">
        <v>1</v>
      </c>
      <c r="J845" s="205" t="str">
        <f t="shared" si="20"/>
        <v>H_186</v>
      </c>
      <c r="K845" s="115"/>
    </row>
    <row r="846" spans="1:11">
      <c r="A846" s="41">
        <f t="shared" si="21"/>
        <v>187</v>
      </c>
      <c r="B846" s="157" t="s">
        <v>670</v>
      </c>
      <c r="C846" s="204" t="s">
        <v>44</v>
      </c>
      <c r="D846" s="48" t="s">
        <v>109</v>
      </c>
      <c r="E846" s="55">
        <v>690.75</v>
      </c>
      <c r="F846" s="181" t="s">
        <v>109</v>
      </c>
      <c r="G846" s="9">
        <f>IF(Tabla9[[#This Row],[Precio
Unidad de Compra ( $)]]="","",(E846/(H846*I846)))</f>
        <v>690.75</v>
      </c>
      <c r="H846" s="8">
        <v>1</v>
      </c>
      <c r="I846" s="168">
        <v>1</v>
      </c>
      <c r="J846" s="205" t="str">
        <f t="shared" si="20"/>
        <v>H_187</v>
      </c>
      <c r="K846" s="115"/>
    </row>
    <row r="847" spans="1:11">
      <c r="A847" s="41">
        <f t="shared" si="21"/>
        <v>188</v>
      </c>
      <c r="B847" s="157" t="s">
        <v>671</v>
      </c>
      <c r="C847" s="204" t="s">
        <v>44</v>
      </c>
      <c r="D847" s="48" t="s">
        <v>109</v>
      </c>
      <c r="E847" s="43">
        <v>690.75</v>
      </c>
      <c r="F847" s="175" t="s">
        <v>109</v>
      </c>
      <c r="G847" s="9">
        <f>IF(Tabla9[[#This Row],[Precio
Unidad de Compra ( $)]]="","",(E847/(H847*I847)))</f>
        <v>690.75</v>
      </c>
      <c r="H847" s="8">
        <v>1</v>
      </c>
      <c r="I847" s="168">
        <v>1</v>
      </c>
      <c r="J847" s="205" t="str">
        <f t="shared" si="20"/>
        <v>H_188</v>
      </c>
      <c r="K847" s="115"/>
    </row>
    <row r="848" spans="1:11">
      <c r="A848" s="41">
        <f t="shared" si="21"/>
        <v>189</v>
      </c>
      <c r="B848" s="157" t="s">
        <v>672</v>
      </c>
      <c r="C848" s="204" t="s">
        <v>44</v>
      </c>
      <c r="D848" s="48" t="s">
        <v>109</v>
      </c>
      <c r="E848" s="55">
        <v>690.75</v>
      </c>
      <c r="F848" s="181" t="s">
        <v>109</v>
      </c>
      <c r="G848" s="9">
        <f>IF(Tabla9[[#This Row],[Precio
Unidad de Compra ( $)]]="","",(E848/(H848*I848)))</f>
        <v>690.75</v>
      </c>
      <c r="H848" s="8">
        <v>1</v>
      </c>
      <c r="I848" s="168">
        <v>1</v>
      </c>
      <c r="J848" s="205" t="str">
        <f t="shared" si="20"/>
        <v>H_189</v>
      </c>
      <c r="K848" s="115"/>
    </row>
    <row r="849" spans="1:11">
      <c r="A849" s="41">
        <f t="shared" si="21"/>
        <v>190</v>
      </c>
      <c r="B849" s="157" t="s">
        <v>673</v>
      </c>
      <c r="C849" s="204" t="s">
        <v>44</v>
      </c>
      <c r="D849" s="48" t="s">
        <v>109</v>
      </c>
      <c r="E849" s="55">
        <v>690.75</v>
      </c>
      <c r="F849" s="181" t="s">
        <v>109</v>
      </c>
      <c r="G849" s="9">
        <f>IF(Tabla9[[#This Row],[Precio
Unidad de Compra ( $)]]="","",(E849/(H849*I849)))</f>
        <v>690.75</v>
      </c>
      <c r="H849" s="8">
        <v>1</v>
      </c>
      <c r="I849" s="168">
        <v>1</v>
      </c>
      <c r="J849" s="205" t="str">
        <f t="shared" si="20"/>
        <v>H_190</v>
      </c>
      <c r="K849" s="115"/>
    </row>
    <row r="850" spans="1:11" ht="30">
      <c r="A850" s="41">
        <f t="shared" si="21"/>
        <v>191</v>
      </c>
      <c r="B850" s="157" t="s">
        <v>674</v>
      </c>
      <c r="C850" s="204" t="s">
        <v>44</v>
      </c>
      <c r="D850" s="48" t="s">
        <v>109</v>
      </c>
      <c r="E850" s="55">
        <v>3850</v>
      </c>
      <c r="F850" s="181" t="s">
        <v>109</v>
      </c>
      <c r="G850" s="9">
        <f>IF(Tabla9[[#This Row],[Precio
Unidad de Compra ( $)]]="","",(E850/(H850*I850)))</f>
        <v>3850</v>
      </c>
      <c r="H850" s="8">
        <v>1</v>
      </c>
      <c r="I850" s="168">
        <v>1</v>
      </c>
      <c r="J850" s="205" t="str">
        <f t="shared" si="20"/>
        <v>H_191</v>
      </c>
      <c r="K850" s="115"/>
    </row>
    <row r="851" spans="1:11" ht="30">
      <c r="A851" s="41">
        <f t="shared" si="21"/>
        <v>192</v>
      </c>
      <c r="B851" s="157" t="s">
        <v>675</v>
      </c>
      <c r="C851" s="204" t="s">
        <v>44</v>
      </c>
      <c r="D851" s="48" t="s">
        <v>109</v>
      </c>
      <c r="E851" s="55">
        <v>3850</v>
      </c>
      <c r="F851" s="181" t="s">
        <v>109</v>
      </c>
      <c r="G851" s="9">
        <f>IF(Tabla9[[#This Row],[Precio
Unidad de Compra ( $)]]="","",(E851/(H851*I851)))</f>
        <v>3850</v>
      </c>
      <c r="H851" s="8">
        <v>1</v>
      </c>
      <c r="I851" s="168">
        <v>1</v>
      </c>
      <c r="J851" s="205" t="str">
        <f t="shared" si="20"/>
        <v>H_192</v>
      </c>
      <c r="K851" s="115"/>
    </row>
    <row r="852" spans="1:11" ht="30">
      <c r="A852" s="41">
        <f t="shared" si="21"/>
        <v>193</v>
      </c>
      <c r="B852" s="157" t="s">
        <v>676</v>
      </c>
      <c r="C852" s="204" t="s">
        <v>44</v>
      </c>
      <c r="D852" s="48" t="s">
        <v>109</v>
      </c>
      <c r="E852" s="55">
        <v>3850</v>
      </c>
      <c r="F852" s="181" t="s">
        <v>109</v>
      </c>
      <c r="G852" s="9">
        <f>IF(Tabla9[[#This Row],[Precio
Unidad de Compra ( $)]]="","",(E852/(H852*I852)))</f>
        <v>3850</v>
      </c>
      <c r="H852" s="8">
        <v>1</v>
      </c>
      <c r="I852" s="168">
        <v>1</v>
      </c>
      <c r="J852" s="205" t="str">
        <f t="shared" ref="J852:J915" si="22">IFERROR(CONCATENATE(LEFT(C852,1),"_",TEXT(A852,"000")),"")</f>
        <v>H_193</v>
      </c>
      <c r="K852" s="115"/>
    </row>
    <row r="853" spans="1:11" ht="30">
      <c r="A853" s="41">
        <f t="shared" ref="A853:A916" si="23">A852+1</f>
        <v>194</v>
      </c>
      <c r="B853" s="157" t="s">
        <v>677</v>
      </c>
      <c r="C853" s="204" t="s">
        <v>44</v>
      </c>
      <c r="D853" s="48" t="s">
        <v>109</v>
      </c>
      <c r="E853" s="55">
        <v>3850</v>
      </c>
      <c r="F853" s="181" t="s">
        <v>109</v>
      </c>
      <c r="G853" s="9">
        <f>IF(Tabla9[[#This Row],[Precio
Unidad de Compra ( $)]]="","",(E853/(H853*I853)))</f>
        <v>3850</v>
      </c>
      <c r="H853" s="8">
        <v>1</v>
      </c>
      <c r="I853" s="168">
        <v>1</v>
      </c>
      <c r="J853" s="205" t="str">
        <f t="shared" si="22"/>
        <v>H_194</v>
      </c>
      <c r="K853" s="115"/>
    </row>
    <row r="854" spans="1:11" ht="30">
      <c r="A854" s="41">
        <f t="shared" si="23"/>
        <v>195</v>
      </c>
      <c r="B854" s="157" t="s">
        <v>678</v>
      </c>
      <c r="C854" s="204" t="s">
        <v>44</v>
      </c>
      <c r="D854" s="48" t="s">
        <v>109</v>
      </c>
      <c r="E854" s="55">
        <v>3850</v>
      </c>
      <c r="F854" s="181" t="s">
        <v>109</v>
      </c>
      <c r="G854" s="9">
        <f>IF(Tabla9[[#This Row],[Precio
Unidad de Compra ( $)]]="","",(E854/(H854*I854)))</f>
        <v>3850</v>
      </c>
      <c r="H854" s="8">
        <v>1</v>
      </c>
      <c r="I854" s="168">
        <v>1</v>
      </c>
      <c r="J854" s="205" t="str">
        <f t="shared" si="22"/>
        <v>H_195</v>
      </c>
      <c r="K854" s="115"/>
    </row>
    <row r="855" spans="1:11" ht="30">
      <c r="A855" s="41">
        <f t="shared" si="23"/>
        <v>196</v>
      </c>
      <c r="B855" s="157" t="s">
        <v>679</v>
      </c>
      <c r="C855" s="204" t="s">
        <v>44</v>
      </c>
      <c r="D855" s="48" t="s">
        <v>109</v>
      </c>
      <c r="E855" s="55">
        <v>3850</v>
      </c>
      <c r="F855" s="181" t="s">
        <v>109</v>
      </c>
      <c r="G855" s="9">
        <f>IF(Tabla9[[#This Row],[Precio
Unidad de Compra ( $)]]="","",(E855/(H855*I855)))</f>
        <v>3850</v>
      </c>
      <c r="H855" s="8">
        <v>1</v>
      </c>
      <c r="I855" s="168">
        <v>1</v>
      </c>
      <c r="J855" s="205" t="str">
        <f t="shared" si="22"/>
        <v>H_196</v>
      </c>
      <c r="K855" s="115"/>
    </row>
    <row r="856" spans="1:11" ht="30">
      <c r="A856" s="41">
        <f t="shared" si="23"/>
        <v>197</v>
      </c>
      <c r="B856" s="157" t="s">
        <v>680</v>
      </c>
      <c r="C856" s="204" t="s">
        <v>44</v>
      </c>
      <c r="D856" s="48" t="s">
        <v>109</v>
      </c>
      <c r="E856" s="55">
        <v>3850</v>
      </c>
      <c r="F856" s="181" t="s">
        <v>109</v>
      </c>
      <c r="G856" s="9">
        <f>IF(Tabla9[[#This Row],[Precio
Unidad de Compra ( $)]]="","",(E856/(H856*I856)))</f>
        <v>3850</v>
      </c>
      <c r="H856" s="8">
        <v>1</v>
      </c>
      <c r="I856" s="168">
        <v>1</v>
      </c>
      <c r="J856" s="205" t="str">
        <f t="shared" si="22"/>
        <v>H_197</v>
      </c>
      <c r="K856" s="115"/>
    </row>
    <row r="857" spans="1:11" ht="30">
      <c r="A857" s="41">
        <f t="shared" si="23"/>
        <v>198</v>
      </c>
      <c r="B857" s="157" t="s">
        <v>681</v>
      </c>
      <c r="C857" s="204" t="s">
        <v>44</v>
      </c>
      <c r="D857" s="48" t="s">
        <v>109</v>
      </c>
      <c r="E857" s="55">
        <v>3850</v>
      </c>
      <c r="F857" s="181" t="s">
        <v>109</v>
      </c>
      <c r="G857" s="9">
        <f>IF(Tabla9[[#This Row],[Precio
Unidad de Compra ( $)]]="","",(E857/(H857*I857)))</f>
        <v>3850</v>
      </c>
      <c r="H857" s="8">
        <v>1</v>
      </c>
      <c r="I857" s="168">
        <v>1</v>
      </c>
      <c r="J857" s="205" t="str">
        <f t="shared" si="22"/>
        <v>H_198</v>
      </c>
      <c r="K857" s="115"/>
    </row>
    <row r="858" spans="1:11" ht="30">
      <c r="A858" s="41">
        <f t="shared" si="23"/>
        <v>199</v>
      </c>
      <c r="B858" s="157" t="s">
        <v>682</v>
      </c>
      <c r="C858" s="204" t="s">
        <v>44</v>
      </c>
      <c r="D858" s="48" t="s">
        <v>109</v>
      </c>
      <c r="E858" s="55">
        <v>3850</v>
      </c>
      <c r="F858" s="181" t="s">
        <v>109</v>
      </c>
      <c r="G858" s="9">
        <f>IF(Tabla9[[#This Row],[Precio
Unidad de Compra ( $)]]="","",(E858/(H858*I858)))</f>
        <v>3850</v>
      </c>
      <c r="H858" s="8">
        <v>1</v>
      </c>
      <c r="I858" s="168">
        <v>1</v>
      </c>
      <c r="J858" s="205" t="str">
        <f t="shared" si="22"/>
        <v>H_199</v>
      </c>
      <c r="K858" s="115"/>
    </row>
    <row r="859" spans="1:11" ht="30">
      <c r="A859" s="41">
        <f t="shared" si="23"/>
        <v>200</v>
      </c>
      <c r="B859" s="157" t="s">
        <v>683</v>
      </c>
      <c r="C859" s="204" t="s">
        <v>44</v>
      </c>
      <c r="D859" s="48" t="s">
        <v>109</v>
      </c>
      <c r="E859" s="55">
        <v>3850</v>
      </c>
      <c r="F859" s="181" t="s">
        <v>109</v>
      </c>
      <c r="G859" s="9">
        <f>IF(Tabla9[[#This Row],[Precio
Unidad de Compra ( $)]]="","",(E859/(H859*I859)))</f>
        <v>3850</v>
      </c>
      <c r="H859" s="8">
        <v>1</v>
      </c>
      <c r="I859" s="168">
        <v>1</v>
      </c>
      <c r="J859" s="205" t="str">
        <f t="shared" si="22"/>
        <v>H_200</v>
      </c>
      <c r="K859" s="115"/>
    </row>
    <row r="860" spans="1:11" ht="30">
      <c r="A860" s="41">
        <f t="shared" si="23"/>
        <v>201</v>
      </c>
      <c r="B860" s="157" t="s">
        <v>684</v>
      </c>
      <c r="C860" s="204" t="s">
        <v>44</v>
      </c>
      <c r="D860" s="48" t="s">
        <v>109</v>
      </c>
      <c r="E860" s="55">
        <v>3850</v>
      </c>
      <c r="F860" s="181" t="s">
        <v>109</v>
      </c>
      <c r="G860" s="9">
        <f>IF(Tabla9[[#This Row],[Precio
Unidad de Compra ( $)]]="","",(E860/(H860*I860)))</f>
        <v>3850</v>
      </c>
      <c r="H860" s="8">
        <v>1</v>
      </c>
      <c r="I860" s="168">
        <v>1</v>
      </c>
      <c r="J860" s="205" t="str">
        <f t="shared" si="22"/>
        <v>H_201</v>
      </c>
      <c r="K860" s="115"/>
    </row>
    <row r="861" spans="1:11" ht="30">
      <c r="A861" s="41">
        <f t="shared" si="23"/>
        <v>202</v>
      </c>
      <c r="B861" s="157" t="s">
        <v>685</v>
      </c>
      <c r="C861" s="204" t="s">
        <v>44</v>
      </c>
      <c r="D861" s="48" t="s">
        <v>109</v>
      </c>
      <c r="E861" s="55">
        <v>3850</v>
      </c>
      <c r="F861" s="181" t="s">
        <v>109</v>
      </c>
      <c r="G861" s="9">
        <f>IF(Tabla9[[#This Row],[Precio
Unidad de Compra ( $)]]="","",(E861/(H861*I861)))</f>
        <v>3850</v>
      </c>
      <c r="H861" s="8">
        <v>1</v>
      </c>
      <c r="I861" s="168">
        <v>1</v>
      </c>
      <c r="J861" s="205" t="str">
        <f t="shared" si="22"/>
        <v>H_202</v>
      </c>
      <c r="K861" s="115"/>
    </row>
    <row r="862" spans="1:11" ht="30">
      <c r="A862" s="41">
        <f t="shared" si="23"/>
        <v>203</v>
      </c>
      <c r="B862" s="157" t="s">
        <v>686</v>
      </c>
      <c r="C862" s="204" t="s">
        <v>44</v>
      </c>
      <c r="D862" s="48" t="s">
        <v>109</v>
      </c>
      <c r="E862" s="55">
        <v>3850</v>
      </c>
      <c r="F862" s="181" t="s">
        <v>109</v>
      </c>
      <c r="G862" s="9">
        <f>IF(Tabla9[[#This Row],[Precio
Unidad de Compra ( $)]]="","",(E862/(H862*I862)))</f>
        <v>3850</v>
      </c>
      <c r="H862" s="8">
        <v>1</v>
      </c>
      <c r="I862" s="168">
        <v>1</v>
      </c>
      <c r="J862" s="205" t="str">
        <f t="shared" si="22"/>
        <v>H_203</v>
      </c>
      <c r="K862" s="115"/>
    </row>
    <row r="863" spans="1:11" ht="30">
      <c r="A863" s="41">
        <f t="shared" si="23"/>
        <v>204</v>
      </c>
      <c r="B863" s="157" t="s">
        <v>687</v>
      </c>
      <c r="C863" s="204" t="s">
        <v>44</v>
      </c>
      <c r="D863" s="48" t="s">
        <v>109</v>
      </c>
      <c r="E863" s="55">
        <v>3850</v>
      </c>
      <c r="F863" s="181" t="s">
        <v>109</v>
      </c>
      <c r="G863" s="9">
        <f>IF(Tabla9[[#This Row],[Precio
Unidad de Compra ( $)]]="","",(E863/(H863*I863)))</f>
        <v>3850</v>
      </c>
      <c r="H863" s="8">
        <v>1</v>
      </c>
      <c r="I863" s="168">
        <v>1</v>
      </c>
      <c r="J863" s="205" t="str">
        <f t="shared" si="22"/>
        <v>H_204</v>
      </c>
      <c r="K863" s="115"/>
    </row>
    <row r="864" spans="1:11" ht="30">
      <c r="A864" s="41">
        <f t="shared" si="23"/>
        <v>205</v>
      </c>
      <c r="B864" s="157" t="s">
        <v>688</v>
      </c>
      <c r="C864" s="204" t="s">
        <v>44</v>
      </c>
      <c r="D864" s="48" t="s">
        <v>109</v>
      </c>
      <c r="E864" s="55">
        <v>3850</v>
      </c>
      <c r="F864" s="181" t="s">
        <v>109</v>
      </c>
      <c r="G864" s="9">
        <f>IF(Tabla9[[#This Row],[Precio
Unidad de Compra ( $)]]="","",(E864/(H864*I864)))</f>
        <v>3850</v>
      </c>
      <c r="H864" s="8">
        <v>1</v>
      </c>
      <c r="I864" s="168">
        <v>1</v>
      </c>
      <c r="J864" s="205" t="str">
        <f t="shared" si="22"/>
        <v>H_205</v>
      </c>
      <c r="K864" s="115"/>
    </row>
    <row r="865" spans="1:11" ht="30">
      <c r="A865" s="41">
        <f t="shared" si="23"/>
        <v>206</v>
      </c>
      <c r="B865" s="157" t="s">
        <v>689</v>
      </c>
      <c r="C865" s="204" t="s">
        <v>44</v>
      </c>
      <c r="D865" s="48" t="s">
        <v>109</v>
      </c>
      <c r="E865" s="55">
        <v>3850</v>
      </c>
      <c r="F865" s="181" t="s">
        <v>109</v>
      </c>
      <c r="G865" s="9">
        <f>IF(Tabla9[[#This Row],[Precio
Unidad de Compra ( $)]]="","",(E865/(H865*I865)))</f>
        <v>3850</v>
      </c>
      <c r="H865" s="8">
        <v>1</v>
      </c>
      <c r="I865" s="168">
        <v>1</v>
      </c>
      <c r="J865" s="205" t="str">
        <f t="shared" si="22"/>
        <v>H_206</v>
      </c>
      <c r="K865" s="115"/>
    </row>
    <row r="866" spans="1:11" ht="30">
      <c r="A866" s="41">
        <f t="shared" si="23"/>
        <v>207</v>
      </c>
      <c r="B866" s="157" t="s">
        <v>690</v>
      </c>
      <c r="C866" s="204" t="s">
        <v>44</v>
      </c>
      <c r="D866" s="48" t="s">
        <v>109</v>
      </c>
      <c r="E866" s="55">
        <v>3850</v>
      </c>
      <c r="F866" s="181" t="s">
        <v>109</v>
      </c>
      <c r="G866" s="9">
        <f>IF(Tabla9[[#This Row],[Precio
Unidad de Compra ( $)]]="","",(E866/(H866*I866)))</f>
        <v>3850</v>
      </c>
      <c r="H866" s="8">
        <v>1</v>
      </c>
      <c r="I866" s="168">
        <v>1</v>
      </c>
      <c r="J866" s="205" t="str">
        <f t="shared" si="22"/>
        <v>H_207</v>
      </c>
      <c r="K866" s="115"/>
    </row>
    <row r="867" spans="1:11" ht="30">
      <c r="A867" s="41">
        <f t="shared" si="23"/>
        <v>208</v>
      </c>
      <c r="B867" s="157" t="s">
        <v>691</v>
      </c>
      <c r="C867" s="204" t="s">
        <v>44</v>
      </c>
      <c r="D867" s="48" t="s">
        <v>109</v>
      </c>
      <c r="E867" s="55">
        <v>3850</v>
      </c>
      <c r="F867" s="181" t="s">
        <v>109</v>
      </c>
      <c r="G867" s="9">
        <f>IF(Tabla9[[#This Row],[Precio
Unidad de Compra ( $)]]="","",(E867/(H867*I867)))</f>
        <v>3850</v>
      </c>
      <c r="H867" s="8">
        <v>1</v>
      </c>
      <c r="I867" s="168">
        <v>1</v>
      </c>
      <c r="J867" s="205" t="str">
        <f t="shared" si="22"/>
        <v>H_208</v>
      </c>
      <c r="K867" s="115"/>
    </row>
    <row r="868" spans="1:11" ht="30">
      <c r="A868" s="41">
        <f t="shared" si="23"/>
        <v>209</v>
      </c>
      <c r="B868" s="157" t="s">
        <v>692</v>
      </c>
      <c r="C868" s="204" t="s">
        <v>44</v>
      </c>
      <c r="D868" s="48" t="s">
        <v>109</v>
      </c>
      <c r="E868" s="55">
        <v>3850</v>
      </c>
      <c r="F868" s="181" t="s">
        <v>109</v>
      </c>
      <c r="G868" s="9">
        <f>IF(Tabla9[[#This Row],[Precio
Unidad de Compra ( $)]]="","",(E868/(H868*I868)))</f>
        <v>3850</v>
      </c>
      <c r="H868" s="8">
        <v>1</v>
      </c>
      <c r="I868" s="168">
        <v>1</v>
      </c>
      <c r="J868" s="205" t="str">
        <f t="shared" si="22"/>
        <v>H_209</v>
      </c>
      <c r="K868" s="115"/>
    </row>
    <row r="869" spans="1:11" ht="30">
      <c r="A869" s="41">
        <f t="shared" si="23"/>
        <v>210</v>
      </c>
      <c r="B869" s="157" t="s">
        <v>693</v>
      </c>
      <c r="C869" s="204" t="s">
        <v>44</v>
      </c>
      <c r="D869" s="48" t="s">
        <v>109</v>
      </c>
      <c r="E869" s="55">
        <v>3850</v>
      </c>
      <c r="F869" s="181" t="s">
        <v>109</v>
      </c>
      <c r="G869" s="9">
        <f>IF(Tabla9[[#This Row],[Precio
Unidad de Compra ( $)]]="","",(E869/(H869*I869)))</f>
        <v>3850</v>
      </c>
      <c r="H869" s="8">
        <v>1</v>
      </c>
      <c r="I869" s="168">
        <v>1</v>
      </c>
      <c r="J869" s="205" t="str">
        <f t="shared" si="22"/>
        <v>H_210</v>
      </c>
      <c r="K869" s="115"/>
    </row>
    <row r="870" spans="1:11" ht="30">
      <c r="A870" s="41">
        <f t="shared" si="23"/>
        <v>211</v>
      </c>
      <c r="B870" s="157" t="s">
        <v>694</v>
      </c>
      <c r="C870" s="204" t="s">
        <v>44</v>
      </c>
      <c r="D870" s="48" t="s">
        <v>109</v>
      </c>
      <c r="E870" s="55">
        <v>3850</v>
      </c>
      <c r="F870" s="181" t="s">
        <v>109</v>
      </c>
      <c r="G870" s="9">
        <f>IF(Tabla9[[#This Row],[Precio
Unidad de Compra ( $)]]="","",(E870/(H870*I870)))</f>
        <v>3850</v>
      </c>
      <c r="H870" s="8">
        <v>1</v>
      </c>
      <c r="I870" s="168">
        <v>1</v>
      </c>
      <c r="J870" s="205" t="str">
        <f t="shared" si="22"/>
        <v>H_211</v>
      </c>
      <c r="K870" s="115"/>
    </row>
    <row r="871" spans="1:11" ht="30">
      <c r="A871" s="41">
        <f t="shared" si="23"/>
        <v>212</v>
      </c>
      <c r="B871" s="157" t="s">
        <v>695</v>
      </c>
      <c r="C871" s="204" t="s">
        <v>44</v>
      </c>
      <c r="D871" s="48" t="s">
        <v>109</v>
      </c>
      <c r="E871" s="55">
        <v>8973.7900000000009</v>
      </c>
      <c r="F871" s="181" t="s">
        <v>109</v>
      </c>
      <c r="G871" s="9">
        <f>IF(Tabla9[[#This Row],[Precio
Unidad de Compra ( $)]]="","",(E871/(H871*I871)))</f>
        <v>8973.7900000000009</v>
      </c>
      <c r="H871" s="8">
        <v>1</v>
      </c>
      <c r="I871" s="168">
        <v>1</v>
      </c>
      <c r="J871" s="205" t="str">
        <f t="shared" si="22"/>
        <v>H_212</v>
      </c>
      <c r="K871" s="115"/>
    </row>
    <row r="872" spans="1:11" ht="30">
      <c r="A872" s="41">
        <f t="shared" si="23"/>
        <v>213</v>
      </c>
      <c r="B872" s="157" t="s">
        <v>696</v>
      </c>
      <c r="C872" s="204" t="s">
        <v>44</v>
      </c>
      <c r="D872" s="48" t="s">
        <v>109</v>
      </c>
      <c r="E872" s="55">
        <v>8973.7900000000009</v>
      </c>
      <c r="F872" s="181" t="s">
        <v>109</v>
      </c>
      <c r="G872" s="9">
        <f>IF(Tabla9[[#This Row],[Precio
Unidad de Compra ( $)]]="","",(E872/(H872*I872)))</f>
        <v>8973.7900000000009</v>
      </c>
      <c r="H872" s="8">
        <v>1</v>
      </c>
      <c r="I872" s="168">
        <v>1</v>
      </c>
      <c r="J872" s="205" t="str">
        <f t="shared" si="22"/>
        <v>H_213</v>
      </c>
      <c r="K872" s="115"/>
    </row>
    <row r="873" spans="1:11" ht="30">
      <c r="A873" s="41">
        <f t="shared" si="23"/>
        <v>214</v>
      </c>
      <c r="B873" s="157" t="s">
        <v>697</v>
      </c>
      <c r="C873" s="204" t="s">
        <v>44</v>
      </c>
      <c r="D873" s="48" t="s">
        <v>109</v>
      </c>
      <c r="E873" s="55">
        <v>8973.7900000000009</v>
      </c>
      <c r="F873" s="181" t="s">
        <v>109</v>
      </c>
      <c r="G873" s="9">
        <f>IF(Tabla9[[#This Row],[Precio
Unidad de Compra ( $)]]="","",(E873/(H873*I873)))</f>
        <v>8973.7900000000009</v>
      </c>
      <c r="H873" s="8">
        <v>1</v>
      </c>
      <c r="I873" s="168">
        <v>1</v>
      </c>
      <c r="J873" s="205" t="str">
        <f t="shared" si="22"/>
        <v>H_214</v>
      </c>
      <c r="K873" s="115"/>
    </row>
    <row r="874" spans="1:11">
      <c r="A874" s="41">
        <f t="shared" si="23"/>
        <v>215</v>
      </c>
      <c r="B874" s="157" t="s">
        <v>698</v>
      </c>
      <c r="C874" s="204" t="s">
        <v>44</v>
      </c>
      <c r="D874" s="48" t="s">
        <v>109</v>
      </c>
      <c r="E874" s="55">
        <v>1661.24</v>
      </c>
      <c r="F874" s="181" t="s">
        <v>109</v>
      </c>
      <c r="G874" s="9">
        <f>IF(Tabla9[[#This Row],[Precio
Unidad de Compra ( $)]]="","",(E874/(H874*I874)))</f>
        <v>1661.24</v>
      </c>
      <c r="H874" s="8">
        <v>1</v>
      </c>
      <c r="I874" s="168">
        <v>1</v>
      </c>
      <c r="J874" s="205" t="str">
        <f t="shared" si="22"/>
        <v>H_215</v>
      </c>
      <c r="K874" s="115"/>
    </row>
    <row r="875" spans="1:11" ht="30">
      <c r="A875" s="41">
        <f t="shared" si="23"/>
        <v>216</v>
      </c>
      <c r="B875" s="157" t="s">
        <v>699</v>
      </c>
      <c r="C875" s="204" t="s">
        <v>44</v>
      </c>
      <c r="D875" s="48" t="s">
        <v>109</v>
      </c>
      <c r="E875" s="55">
        <v>1661.24</v>
      </c>
      <c r="F875" s="181" t="s">
        <v>109</v>
      </c>
      <c r="G875" s="9">
        <f>IF(Tabla9[[#This Row],[Precio
Unidad de Compra ( $)]]="","",(E875/(H875*I875)))</f>
        <v>1661.24</v>
      </c>
      <c r="H875" s="8">
        <v>1</v>
      </c>
      <c r="I875" s="168">
        <v>1</v>
      </c>
      <c r="J875" s="205" t="str">
        <f t="shared" si="22"/>
        <v>H_216</v>
      </c>
      <c r="K875" s="115"/>
    </row>
    <row r="876" spans="1:11">
      <c r="A876" s="41">
        <f t="shared" si="23"/>
        <v>217</v>
      </c>
      <c r="B876" s="157" t="s">
        <v>700</v>
      </c>
      <c r="C876" s="204" t="s">
        <v>44</v>
      </c>
      <c r="D876" s="48" t="s">
        <v>109</v>
      </c>
      <c r="E876" s="55">
        <v>690.75</v>
      </c>
      <c r="F876" s="181" t="s">
        <v>109</v>
      </c>
      <c r="G876" s="9">
        <f>IF(Tabla9[[#This Row],[Precio
Unidad de Compra ( $)]]="","",(E876/(H876*I876)))</f>
        <v>690.75</v>
      </c>
      <c r="H876" s="8">
        <v>1</v>
      </c>
      <c r="I876" s="168">
        <v>1</v>
      </c>
      <c r="J876" s="205" t="str">
        <f t="shared" si="22"/>
        <v>H_217</v>
      </c>
      <c r="K876" s="115"/>
    </row>
    <row r="877" spans="1:11">
      <c r="A877" s="41">
        <f t="shared" si="23"/>
        <v>218</v>
      </c>
      <c r="B877" s="170" t="s">
        <v>701</v>
      </c>
      <c r="C877" s="204" t="s">
        <v>44</v>
      </c>
      <c r="D877" s="48" t="s">
        <v>109</v>
      </c>
      <c r="E877" s="56">
        <v>1505.04</v>
      </c>
      <c r="F877" s="175" t="s">
        <v>109</v>
      </c>
      <c r="G877" s="9">
        <f>IF(Tabla9[[#This Row],[Precio
Unidad de Compra ( $)]]="","",(E877/(H877*I877)))</f>
        <v>1505.04</v>
      </c>
      <c r="H877" s="8">
        <v>1</v>
      </c>
      <c r="I877" s="168">
        <v>1</v>
      </c>
      <c r="J877" s="205" t="str">
        <f t="shared" si="22"/>
        <v>H_218</v>
      </c>
      <c r="K877" s="115"/>
    </row>
    <row r="878" spans="1:11">
      <c r="A878" s="41">
        <f t="shared" si="23"/>
        <v>219</v>
      </c>
      <c r="B878" s="170" t="s">
        <v>702</v>
      </c>
      <c r="C878" s="204" t="s">
        <v>44</v>
      </c>
      <c r="D878" s="48" t="s">
        <v>109</v>
      </c>
      <c r="E878" s="56">
        <v>3628.57</v>
      </c>
      <c r="F878" s="175" t="s">
        <v>109</v>
      </c>
      <c r="G878" s="9">
        <f>IF(Tabla9[[#This Row],[Precio
Unidad de Compra ( $)]]="","",(E878/(H878*I878)))</f>
        <v>3628.57</v>
      </c>
      <c r="H878" s="8">
        <v>1</v>
      </c>
      <c r="I878" s="168">
        <v>1</v>
      </c>
      <c r="J878" s="205" t="str">
        <f t="shared" si="22"/>
        <v>H_219</v>
      </c>
      <c r="K878" s="115"/>
    </row>
    <row r="879" spans="1:11">
      <c r="A879" s="41">
        <f t="shared" si="23"/>
        <v>220</v>
      </c>
      <c r="B879" s="170" t="s">
        <v>703</v>
      </c>
      <c r="C879" s="204" t="s">
        <v>44</v>
      </c>
      <c r="D879" s="48" t="s">
        <v>109</v>
      </c>
      <c r="E879" s="56">
        <v>1505.04</v>
      </c>
      <c r="F879" s="175" t="s">
        <v>109</v>
      </c>
      <c r="G879" s="9">
        <f>IF(Tabla9[[#This Row],[Precio
Unidad de Compra ( $)]]="","",(E879/(H879*I879)))</f>
        <v>1505.04</v>
      </c>
      <c r="H879" s="8">
        <v>1</v>
      </c>
      <c r="I879" s="168">
        <v>1</v>
      </c>
      <c r="J879" s="205" t="str">
        <f t="shared" si="22"/>
        <v>H_220</v>
      </c>
      <c r="K879" s="115"/>
    </row>
    <row r="880" spans="1:11" ht="30">
      <c r="A880" s="41">
        <f t="shared" si="23"/>
        <v>221</v>
      </c>
      <c r="B880" s="157" t="s">
        <v>704</v>
      </c>
      <c r="C880" s="204" t="s">
        <v>44</v>
      </c>
      <c r="D880" s="48" t="s">
        <v>109</v>
      </c>
      <c r="E880" s="55">
        <v>2898.84</v>
      </c>
      <c r="F880" s="181" t="s">
        <v>109</v>
      </c>
      <c r="G880" s="9">
        <f>IF(Tabla9[[#This Row],[Precio
Unidad de Compra ( $)]]="","",(E880/(H880*I880)))</f>
        <v>2898.84</v>
      </c>
      <c r="H880" s="8">
        <v>1</v>
      </c>
      <c r="I880" s="168">
        <v>1</v>
      </c>
      <c r="J880" s="205" t="str">
        <f t="shared" si="22"/>
        <v>H_221</v>
      </c>
      <c r="K880" s="115"/>
    </row>
    <row r="881" spans="1:11" ht="30">
      <c r="A881" s="41">
        <f t="shared" si="23"/>
        <v>222</v>
      </c>
      <c r="B881" s="157" t="s">
        <v>705</v>
      </c>
      <c r="C881" s="204" t="s">
        <v>44</v>
      </c>
      <c r="D881" s="48" t="s">
        <v>109</v>
      </c>
      <c r="E881" s="55">
        <v>2898.84</v>
      </c>
      <c r="F881" s="181" t="s">
        <v>109</v>
      </c>
      <c r="G881" s="9">
        <f>IF(Tabla9[[#This Row],[Precio
Unidad de Compra ( $)]]="","",(E881/(H881*I881)))</f>
        <v>2898.84</v>
      </c>
      <c r="H881" s="8">
        <v>1</v>
      </c>
      <c r="I881" s="168">
        <v>1</v>
      </c>
      <c r="J881" s="205" t="str">
        <f t="shared" si="22"/>
        <v>H_222</v>
      </c>
      <c r="K881" s="115"/>
    </row>
    <row r="882" spans="1:11" ht="30">
      <c r="A882" s="41">
        <f t="shared" si="23"/>
        <v>223</v>
      </c>
      <c r="B882" s="157" t="s">
        <v>706</v>
      </c>
      <c r="C882" s="204" t="s">
        <v>44</v>
      </c>
      <c r="D882" s="48" t="s">
        <v>109</v>
      </c>
      <c r="E882" s="55">
        <v>2898.84</v>
      </c>
      <c r="F882" s="181" t="s">
        <v>109</v>
      </c>
      <c r="G882" s="9">
        <f>IF(Tabla9[[#This Row],[Precio
Unidad de Compra ( $)]]="","",(E882/(H882*I882)))</f>
        <v>2898.84</v>
      </c>
      <c r="H882" s="8">
        <v>1</v>
      </c>
      <c r="I882" s="168">
        <v>1</v>
      </c>
      <c r="J882" s="205" t="str">
        <f t="shared" si="22"/>
        <v>H_223</v>
      </c>
      <c r="K882" s="115"/>
    </row>
    <row r="883" spans="1:11" ht="30">
      <c r="A883" s="41">
        <f t="shared" si="23"/>
        <v>224</v>
      </c>
      <c r="B883" s="157" t="s">
        <v>707</v>
      </c>
      <c r="C883" s="204" t="s">
        <v>44</v>
      </c>
      <c r="D883" s="48" t="s">
        <v>109</v>
      </c>
      <c r="E883" s="55">
        <v>833</v>
      </c>
      <c r="F883" s="181" t="s">
        <v>109</v>
      </c>
      <c r="G883" s="9">
        <f>IF(Tabla9[[#This Row],[Precio
Unidad de Compra ( $)]]="","",(E883/(H883*I883)))</f>
        <v>833</v>
      </c>
      <c r="H883" s="8">
        <v>1</v>
      </c>
      <c r="I883" s="168">
        <v>1</v>
      </c>
      <c r="J883" s="205" t="str">
        <f t="shared" si="22"/>
        <v>H_224</v>
      </c>
      <c r="K883" s="115"/>
    </row>
    <row r="884" spans="1:11" ht="30">
      <c r="A884" s="41">
        <f t="shared" si="23"/>
        <v>225</v>
      </c>
      <c r="B884" s="157" t="s">
        <v>708</v>
      </c>
      <c r="C884" s="204" t="s">
        <v>44</v>
      </c>
      <c r="D884" s="48" t="s">
        <v>109</v>
      </c>
      <c r="E884" s="55">
        <v>833</v>
      </c>
      <c r="F884" s="181" t="s">
        <v>109</v>
      </c>
      <c r="G884" s="9">
        <f>IF(Tabla9[[#This Row],[Precio
Unidad de Compra ( $)]]="","",(E884/(H884*I884)))</f>
        <v>833</v>
      </c>
      <c r="H884" s="8">
        <v>1</v>
      </c>
      <c r="I884" s="168">
        <v>1</v>
      </c>
      <c r="J884" s="205" t="str">
        <f t="shared" si="22"/>
        <v>H_225</v>
      </c>
      <c r="K884" s="115"/>
    </row>
    <row r="885" spans="1:11" ht="30">
      <c r="A885" s="41">
        <f t="shared" si="23"/>
        <v>226</v>
      </c>
      <c r="B885" s="157" t="s">
        <v>709</v>
      </c>
      <c r="C885" s="204" t="s">
        <v>44</v>
      </c>
      <c r="D885" s="48" t="s">
        <v>109</v>
      </c>
      <c r="E885" s="55">
        <v>1266.6666666666667</v>
      </c>
      <c r="F885" s="181" t="s">
        <v>109</v>
      </c>
      <c r="G885" s="9">
        <f>IF(Tabla9[[#This Row],[Precio
Unidad de Compra ( $)]]="","",(E885/(H885*I885)))</f>
        <v>1266.6666666666667</v>
      </c>
      <c r="H885" s="8">
        <v>1</v>
      </c>
      <c r="I885" s="168">
        <v>1</v>
      </c>
      <c r="J885" s="205" t="str">
        <f t="shared" si="22"/>
        <v>H_226</v>
      </c>
      <c r="K885" s="115"/>
    </row>
    <row r="886" spans="1:11" ht="30">
      <c r="A886" s="41">
        <f t="shared" si="23"/>
        <v>227</v>
      </c>
      <c r="B886" s="157" t="s">
        <v>710</v>
      </c>
      <c r="C886" s="204" t="s">
        <v>44</v>
      </c>
      <c r="D886" s="48" t="s">
        <v>109</v>
      </c>
      <c r="E886" s="55">
        <v>1266.6666666666667</v>
      </c>
      <c r="F886" s="181" t="s">
        <v>109</v>
      </c>
      <c r="G886" s="9">
        <f>IF(Tabla9[[#This Row],[Precio
Unidad de Compra ( $)]]="","",(E886/(H886*I886)))</f>
        <v>1266.6666666666667</v>
      </c>
      <c r="H886" s="8">
        <v>1</v>
      </c>
      <c r="I886" s="168">
        <v>1</v>
      </c>
      <c r="J886" s="205" t="str">
        <f t="shared" si="22"/>
        <v>H_227</v>
      </c>
      <c r="K886" s="115"/>
    </row>
    <row r="887" spans="1:11" ht="30">
      <c r="A887" s="41">
        <f t="shared" si="23"/>
        <v>228</v>
      </c>
      <c r="B887" s="157" t="s">
        <v>711</v>
      </c>
      <c r="C887" s="204" t="s">
        <v>44</v>
      </c>
      <c r="D887" s="48" t="s">
        <v>109</v>
      </c>
      <c r="E887" s="55">
        <v>1266.6666666666667</v>
      </c>
      <c r="F887" s="181" t="s">
        <v>109</v>
      </c>
      <c r="G887" s="9">
        <f>IF(Tabla9[[#This Row],[Precio
Unidad de Compra ( $)]]="","",(E887/(H887*I887)))</f>
        <v>1266.6666666666667</v>
      </c>
      <c r="H887" s="8">
        <v>1</v>
      </c>
      <c r="I887" s="168">
        <v>1</v>
      </c>
      <c r="J887" s="205" t="str">
        <f t="shared" si="22"/>
        <v>H_228</v>
      </c>
      <c r="K887" s="115"/>
    </row>
    <row r="888" spans="1:11" ht="30">
      <c r="A888" s="41">
        <f t="shared" si="23"/>
        <v>229</v>
      </c>
      <c r="B888" s="157" t="s">
        <v>712</v>
      </c>
      <c r="C888" s="204" t="s">
        <v>44</v>
      </c>
      <c r="D888" s="48" t="s">
        <v>109</v>
      </c>
      <c r="E888" s="55">
        <v>1266.6666666666667</v>
      </c>
      <c r="F888" s="181" t="s">
        <v>109</v>
      </c>
      <c r="G888" s="9">
        <f>IF(Tabla9[[#This Row],[Precio
Unidad de Compra ( $)]]="","",(E888/(H888*I888)))</f>
        <v>1266.6666666666667</v>
      </c>
      <c r="H888" s="8">
        <v>1</v>
      </c>
      <c r="I888" s="168">
        <v>1</v>
      </c>
      <c r="J888" s="205" t="str">
        <f t="shared" si="22"/>
        <v>H_229</v>
      </c>
      <c r="K888" s="115"/>
    </row>
    <row r="889" spans="1:11" ht="30">
      <c r="A889" s="41">
        <f t="shared" si="23"/>
        <v>230</v>
      </c>
      <c r="B889" s="157" t="s">
        <v>713</v>
      </c>
      <c r="C889" s="204" t="s">
        <v>44</v>
      </c>
      <c r="D889" s="48" t="s">
        <v>109</v>
      </c>
      <c r="E889" s="43">
        <v>1266.6666666666667</v>
      </c>
      <c r="F889" s="175" t="s">
        <v>109</v>
      </c>
      <c r="G889" s="9">
        <f>IF(Tabla9[[#This Row],[Precio
Unidad de Compra ( $)]]="","",(E889/(H889*I889)))</f>
        <v>1266.6666666666667</v>
      </c>
      <c r="H889" s="8">
        <v>1</v>
      </c>
      <c r="I889" s="168">
        <v>1</v>
      </c>
      <c r="J889" s="205" t="str">
        <f t="shared" si="22"/>
        <v>H_230</v>
      </c>
      <c r="K889" s="115"/>
    </row>
    <row r="890" spans="1:11" ht="30">
      <c r="A890" s="41">
        <f t="shared" si="23"/>
        <v>231</v>
      </c>
      <c r="B890" s="157" t="s">
        <v>714</v>
      </c>
      <c r="C890" s="204" t="s">
        <v>44</v>
      </c>
      <c r="D890" s="48" t="s">
        <v>109</v>
      </c>
      <c r="E890" s="55">
        <v>1266.6666666666667</v>
      </c>
      <c r="F890" s="181" t="s">
        <v>109</v>
      </c>
      <c r="G890" s="9">
        <f>IF(Tabla9[[#This Row],[Precio
Unidad de Compra ( $)]]="","",(E890/(H890*I890)))</f>
        <v>1266.6666666666667</v>
      </c>
      <c r="H890" s="8">
        <v>1</v>
      </c>
      <c r="I890" s="168">
        <v>1</v>
      </c>
      <c r="J890" s="205" t="str">
        <f t="shared" si="22"/>
        <v>H_231</v>
      </c>
      <c r="K890" s="115"/>
    </row>
    <row r="891" spans="1:11" ht="30">
      <c r="A891" s="41">
        <f t="shared" si="23"/>
        <v>232</v>
      </c>
      <c r="B891" s="157" t="s">
        <v>715</v>
      </c>
      <c r="C891" s="204" t="s">
        <v>44</v>
      </c>
      <c r="D891" s="48" t="s">
        <v>109</v>
      </c>
      <c r="E891" s="55">
        <v>1266.6666666666667</v>
      </c>
      <c r="F891" s="181" t="s">
        <v>109</v>
      </c>
      <c r="G891" s="9">
        <f>IF(Tabla9[[#This Row],[Precio
Unidad de Compra ( $)]]="","",(E891/(H891*I891)))</f>
        <v>1266.6666666666667</v>
      </c>
      <c r="H891" s="8">
        <v>1</v>
      </c>
      <c r="I891" s="168">
        <v>1</v>
      </c>
      <c r="J891" s="205" t="str">
        <f t="shared" si="22"/>
        <v>H_232</v>
      </c>
      <c r="K891" s="115"/>
    </row>
    <row r="892" spans="1:11" ht="30">
      <c r="A892" s="41">
        <f t="shared" si="23"/>
        <v>233</v>
      </c>
      <c r="B892" s="157" t="s">
        <v>716</v>
      </c>
      <c r="C892" s="204" t="s">
        <v>44</v>
      </c>
      <c r="D892" s="48" t="s">
        <v>109</v>
      </c>
      <c r="E892" s="55">
        <v>1266.6666666666667</v>
      </c>
      <c r="F892" s="181" t="s">
        <v>109</v>
      </c>
      <c r="G892" s="9">
        <f>IF(Tabla9[[#This Row],[Precio
Unidad de Compra ( $)]]="","",(E892/(H892*I892)))</f>
        <v>1266.6666666666667</v>
      </c>
      <c r="H892" s="8">
        <v>1</v>
      </c>
      <c r="I892" s="168">
        <v>1</v>
      </c>
      <c r="J892" s="205" t="str">
        <f t="shared" si="22"/>
        <v>H_233</v>
      </c>
      <c r="K892" s="115"/>
    </row>
    <row r="893" spans="1:11" ht="30">
      <c r="A893" s="41">
        <f t="shared" si="23"/>
        <v>234</v>
      </c>
      <c r="B893" s="157" t="s">
        <v>717</v>
      </c>
      <c r="C893" s="204" t="s">
        <v>44</v>
      </c>
      <c r="D893" s="48" t="s">
        <v>109</v>
      </c>
      <c r="E893" s="55">
        <v>1266.6666666666667</v>
      </c>
      <c r="F893" s="181" t="s">
        <v>109</v>
      </c>
      <c r="G893" s="9">
        <f>IF(Tabla9[[#This Row],[Precio
Unidad de Compra ( $)]]="","",(E893/(H893*I893)))</f>
        <v>1266.6666666666667</v>
      </c>
      <c r="H893" s="8">
        <v>1</v>
      </c>
      <c r="I893" s="168">
        <v>1</v>
      </c>
      <c r="J893" s="205" t="str">
        <f t="shared" si="22"/>
        <v>H_234</v>
      </c>
      <c r="K893" s="115"/>
    </row>
    <row r="894" spans="1:11" ht="30">
      <c r="A894" s="41">
        <f t="shared" si="23"/>
        <v>235</v>
      </c>
      <c r="B894" s="157" t="s">
        <v>718</v>
      </c>
      <c r="C894" s="204" t="s">
        <v>44</v>
      </c>
      <c r="D894" s="48" t="s">
        <v>109</v>
      </c>
      <c r="E894" s="55">
        <v>1266.6666666666667</v>
      </c>
      <c r="F894" s="181" t="s">
        <v>109</v>
      </c>
      <c r="G894" s="9">
        <f>IF(Tabla9[[#This Row],[Precio
Unidad de Compra ( $)]]="","",(E894/(H894*I894)))</f>
        <v>1266.6666666666667</v>
      </c>
      <c r="H894" s="8">
        <v>1</v>
      </c>
      <c r="I894" s="168">
        <v>1</v>
      </c>
      <c r="J894" s="205" t="str">
        <f t="shared" si="22"/>
        <v>H_235</v>
      </c>
      <c r="K894" s="115"/>
    </row>
    <row r="895" spans="1:11" ht="30">
      <c r="A895" s="41">
        <f t="shared" si="23"/>
        <v>236</v>
      </c>
      <c r="B895" s="157" t="s">
        <v>719</v>
      </c>
      <c r="C895" s="204" t="s">
        <v>44</v>
      </c>
      <c r="D895" s="48" t="s">
        <v>109</v>
      </c>
      <c r="E895" s="55">
        <v>1266.6666666666667</v>
      </c>
      <c r="F895" s="181" t="s">
        <v>109</v>
      </c>
      <c r="G895" s="9">
        <f>IF(Tabla9[[#This Row],[Precio
Unidad de Compra ( $)]]="","",(E895/(H895*I895)))</f>
        <v>1266.6666666666667</v>
      </c>
      <c r="H895" s="8">
        <v>1</v>
      </c>
      <c r="I895" s="168">
        <v>1</v>
      </c>
      <c r="J895" s="205" t="str">
        <f t="shared" si="22"/>
        <v>H_236</v>
      </c>
      <c r="K895" s="115"/>
    </row>
    <row r="896" spans="1:11" ht="30">
      <c r="A896" s="41">
        <f t="shared" si="23"/>
        <v>237</v>
      </c>
      <c r="B896" s="157" t="s">
        <v>720</v>
      </c>
      <c r="C896" s="204" t="s">
        <v>44</v>
      </c>
      <c r="D896" s="48" t="s">
        <v>109</v>
      </c>
      <c r="E896" s="55">
        <v>1266.6666666666667</v>
      </c>
      <c r="F896" s="181" t="s">
        <v>109</v>
      </c>
      <c r="G896" s="9">
        <f>IF(Tabla9[[#This Row],[Precio
Unidad de Compra ( $)]]="","",(E896/(H896*I896)))</f>
        <v>1266.6666666666667</v>
      </c>
      <c r="H896" s="8">
        <v>1</v>
      </c>
      <c r="I896" s="168">
        <v>1</v>
      </c>
      <c r="J896" s="205" t="str">
        <f t="shared" si="22"/>
        <v>H_237</v>
      </c>
      <c r="K896" s="115"/>
    </row>
    <row r="897" spans="1:11" ht="30">
      <c r="A897" s="41">
        <f t="shared" si="23"/>
        <v>238</v>
      </c>
      <c r="B897" s="157" t="s">
        <v>721</v>
      </c>
      <c r="C897" s="204" t="s">
        <v>44</v>
      </c>
      <c r="D897" s="48" t="s">
        <v>109</v>
      </c>
      <c r="E897" s="55">
        <v>455.66624999999999</v>
      </c>
      <c r="F897" s="181" t="s">
        <v>109</v>
      </c>
      <c r="G897" s="9">
        <f>IF(Tabla9[[#This Row],[Precio
Unidad de Compra ( $)]]="","",(E897/(H897*I897)))</f>
        <v>455.66624999999999</v>
      </c>
      <c r="H897" s="8">
        <v>1</v>
      </c>
      <c r="I897" s="168">
        <v>1</v>
      </c>
      <c r="J897" s="205" t="str">
        <f t="shared" si="22"/>
        <v>H_238</v>
      </c>
      <c r="K897" s="115"/>
    </row>
    <row r="898" spans="1:11" ht="30">
      <c r="A898" s="41">
        <f t="shared" si="23"/>
        <v>239</v>
      </c>
      <c r="B898" s="157" t="s">
        <v>722</v>
      </c>
      <c r="C898" s="204" t="s">
        <v>44</v>
      </c>
      <c r="D898" s="48" t="s">
        <v>109</v>
      </c>
      <c r="E898" s="55">
        <v>455.66624999999999</v>
      </c>
      <c r="F898" s="181" t="s">
        <v>109</v>
      </c>
      <c r="G898" s="9">
        <f>IF(Tabla9[[#This Row],[Precio
Unidad de Compra ( $)]]="","",(E898/(H898*I898)))</f>
        <v>455.66624999999999</v>
      </c>
      <c r="H898" s="8">
        <v>1</v>
      </c>
      <c r="I898" s="168">
        <v>1</v>
      </c>
      <c r="J898" s="205" t="str">
        <f t="shared" si="22"/>
        <v>H_239</v>
      </c>
      <c r="K898" s="115"/>
    </row>
    <row r="899" spans="1:11" ht="30">
      <c r="A899" s="41">
        <f t="shared" si="23"/>
        <v>240</v>
      </c>
      <c r="B899" s="157" t="s">
        <v>723</v>
      </c>
      <c r="C899" s="204" t="s">
        <v>44</v>
      </c>
      <c r="D899" s="48" t="s">
        <v>109</v>
      </c>
      <c r="E899" s="55">
        <v>455.66624999999999</v>
      </c>
      <c r="F899" s="181" t="s">
        <v>109</v>
      </c>
      <c r="G899" s="9">
        <f>IF(Tabla9[[#This Row],[Precio
Unidad de Compra ( $)]]="","",(E899/(H899*I899)))</f>
        <v>455.66624999999999</v>
      </c>
      <c r="H899" s="8">
        <v>1</v>
      </c>
      <c r="I899" s="168">
        <v>1</v>
      </c>
      <c r="J899" s="205" t="str">
        <f t="shared" si="22"/>
        <v>H_240</v>
      </c>
      <c r="K899" s="115"/>
    </row>
    <row r="900" spans="1:11" ht="30">
      <c r="A900" s="41">
        <f t="shared" si="23"/>
        <v>241</v>
      </c>
      <c r="B900" s="157" t="s">
        <v>724</v>
      </c>
      <c r="C900" s="204" t="s">
        <v>44</v>
      </c>
      <c r="D900" s="48" t="s">
        <v>109</v>
      </c>
      <c r="E900" s="55">
        <v>455.66624999999999</v>
      </c>
      <c r="F900" s="181" t="s">
        <v>109</v>
      </c>
      <c r="G900" s="9">
        <f>IF(Tabla9[[#This Row],[Precio
Unidad de Compra ( $)]]="","",(E900/(H900*I900)))</f>
        <v>455.66624999999999</v>
      </c>
      <c r="H900" s="8">
        <v>1</v>
      </c>
      <c r="I900" s="168">
        <v>1</v>
      </c>
      <c r="J900" s="205" t="str">
        <f t="shared" si="22"/>
        <v>H_241</v>
      </c>
      <c r="K900" s="115"/>
    </row>
    <row r="901" spans="1:11" ht="30">
      <c r="A901" s="41">
        <f t="shared" si="23"/>
        <v>242</v>
      </c>
      <c r="B901" s="157" t="s">
        <v>725</v>
      </c>
      <c r="C901" s="204" t="s">
        <v>44</v>
      </c>
      <c r="D901" s="48" t="s">
        <v>109</v>
      </c>
      <c r="E901" s="55">
        <v>455.66624999999999</v>
      </c>
      <c r="F901" s="181" t="s">
        <v>109</v>
      </c>
      <c r="G901" s="9">
        <f>IF(Tabla9[[#This Row],[Precio
Unidad de Compra ( $)]]="","",(E901/(H901*I901)))</f>
        <v>455.66624999999999</v>
      </c>
      <c r="H901" s="8">
        <v>1</v>
      </c>
      <c r="I901" s="168">
        <v>1</v>
      </c>
      <c r="J901" s="205" t="str">
        <f t="shared" si="22"/>
        <v>H_242</v>
      </c>
      <c r="K901" s="115"/>
    </row>
    <row r="902" spans="1:11" ht="30">
      <c r="A902" s="41">
        <f t="shared" si="23"/>
        <v>243</v>
      </c>
      <c r="B902" s="157" t="s">
        <v>726</v>
      </c>
      <c r="C902" s="204" t="s">
        <v>44</v>
      </c>
      <c r="D902" s="48" t="s">
        <v>109</v>
      </c>
      <c r="E902" s="55">
        <v>455.66624999999999</v>
      </c>
      <c r="F902" s="181" t="s">
        <v>109</v>
      </c>
      <c r="G902" s="9">
        <f>IF(Tabla9[[#This Row],[Precio
Unidad de Compra ( $)]]="","",(E902/(H902*I902)))</f>
        <v>455.66624999999999</v>
      </c>
      <c r="H902" s="8">
        <v>1</v>
      </c>
      <c r="I902" s="168">
        <v>1</v>
      </c>
      <c r="J902" s="205" t="str">
        <f t="shared" si="22"/>
        <v>H_243</v>
      </c>
      <c r="K902" s="115"/>
    </row>
    <row r="903" spans="1:11" ht="30">
      <c r="A903" s="41">
        <f t="shared" si="23"/>
        <v>244</v>
      </c>
      <c r="B903" s="157" t="s">
        <v>727</v>
      </c>
      <c r="C903" s="204" t="s">
        <v>44</v>
      </c>
      <c r="D903" s="48" t="s">
        <v>109</v>
      </c>
      <c r="E903" s="55">
        <v>455.66624999999999</v>
      </c>
      <c r="F903" s="181" t="s">
        <v>109</v>
      </c>
      <c r="G903" s="9">
        <f>IF(Tabla9[[#This Row],[Precio
Unidad de Compra ( $)]]="","",(E903/(H903*I903)))</f>
        <v>455.66624999999999</v>
      </c>
      <c r="H903" s="8">
        <v>1</v>
      </c>
      <c r="I903" s="168">
        <v>1</v>
      </c>
      <c r="J903" s="205" t="str">
        <f t="shared" si="22"/>
        <v>H_244</v>
      </c>
      <c r="K903" s="115"/>
    </row>
    <row r="904" spans="1:11" ht="30">
      <c r="A904" s="41">
        <f t="shared" si="23"/>
        <v>245</v>
      </c>
      <c r="B904" s="157" t="s">
        <v>728</v>
      </c>
      <c r="C904" s="204" t="s">
        <v>44</v>
      </c>
      <c r="D904" s="48" t="s">
        <v>109</v>
      </c>
      <c r="E904" s="55">
        <v>455.66624999999999</v>
      </c>
      <c r="F904" s="181" t="s">
        <v>109</v>
      </c>
      <c r="G904" s="9">
        <f>IF(Tabla9[[#This Row],[Precio
Unidad de Compra ( $)]]="","",(E904/(H904*I904)))</f>
        <v>455.66624999999999</v>
      </c>
      <c r="H904" s="8">
        <v>1</v>
      </c>
      <c r="I904" s="168">
        <v>1</v>
      </c>
      <c r="J904" s="205" t="str">
        <f t="shared" si="22"/>
        <v>H_245</v>
      </c>
      <c r="K904" s="115"/>
    </row>
    <row r="905" spans="1:11" ht="30">
      <c r="A905" s="41">
        <f t="shared" si="23"/>
        <v>246</v>
      </c>
      <c r="B905" s="157" t="s">
        <v>729</v>
      </c>
      <c r="C905" s="204" t="s">
        <v>44</v>
      </c>
      <c r="D905" s="48" t="s">
        <v>109</v>
      </c>
      <c r="E905" s="55">
        <v>455.66624999999999</v>
      </c>
      <c r="F905" s="181" t="s">
        <v>109</v>
      </c>
      <c r="G905" s="9">
        <f>IF(Tabla9[[#This Row],[Precio
Unidad de Compra ( $)]]="","",(E905/(H905*I905)))</f>
        <v>455.66624999999999</v>
      </c>
      <c r="H905" s="8">
        <v>1</v>
      </c>
      <c r="I905" s="168">
        <v>1</v>
      </c>
      <c r="J905" s="205" t="str">
        <f t="shared" si="22"/>
        <v>H_246</v>
      </c>
      <c r="K905" s="115"/>
    </row>
    <row r="906" spans="1:11" ht="30">
      <c r="A906" s="41">
        <f t="shared" si="23"/>
        <v>247</v>
      </c>
      <c r="B906" s="157" t="s">
        <v>730</v>
      </c>
      <c r="C906" s="204" t="s">
        <v>44</v>
      </c>
      <c r="D906" s="48" t="s">
        <v>109</v>
      </c>
      <c r="E906" s="55">
        <v>455.66624999999999</v>
      </c>
      <c r="F906" s="181" t="s">
        <v>109</v>
      </c>
      <c r="G906" s="9">
        <f>IF(Tabla9[[#This Row],[Precio
Unidad de Compra ( $)]]="","",(E906/(H906*I906)))</f>
        <v>455.66624999999999</v>
      </c>
      <c r="H906" s="8">
        <v>1</v>
      </c>
      <c r="I906" s="168">
        <v>1</v>
      </c>
      <c r="J906" s="205" t="str">
        <f t="shared" si="22"/>
        <v>H_247</v>
      </c>
      <c r="K906" s="115"/>
    </row>
    <row r="907" spans="1:11" ht="30">
      <c r="A907" s="41">
        <f t="shared" si="23"/>
        <v>248</v>
      </c>
      <c r="B907" s="157" t="s">
        <v>731</v>
      </c>
      <c r="C907" s="204" t="s">
        <v>44</v>
      </c>
      <c r="D907" s="48" t="s">
        <v>109</v>
      </c>
      <c r="E907" s="55">
        <v>455.66624999999999</v>
      </c>
      <c r="F907" s="181" t="s">
        <v>109</v>
      </c>
      <c r="G907" s="9">
        <f>IF(Tabla9[[#This Row],[Precio
Unidad de Compra ( $)]]="","",(E907/(H907*I907)))</f>
        <v>455.66624999999999</v>
      </c>
      <c r="H907" s="8">
        <v>1</v>
      </c>
      <c r="I907" s="168">
        <v>1</v>
      </c>
      <c r="J907" s="205" t="str">
        <f t="shared" si="22"/>
        <v>H_248</v>
      </c>
      <c r="K907" s="115"/>
    </row>
    <row r="908" spans="1:11" ht="30">
      <c r="A908" s="41">
        <f t="shared" si="23"/>
        <v>249</v>
      </c>
      <c r="B908" s="157" t="s">
        <v>732</v>
      </c>
      <c r="C908" s="204" t="s">
        <v>44</v>
      </c>
      <c r="D908" s="48" t="s">
        <v>109</v>
      </c>
      <c r="E908" s="55">
        <v>455.66624999999999</v>
      </c>
      <c r="F908" s="181" t="s">
        <v>109</v>
      </c>
      <c r="G908" s="9">
        <f>IF(Tabla9[[#This Row],[Precio
Unidad de Compra ( $)]]="","",(E908/(H908*I908)))</f>
        <v>455.66624999999999</v>
      </c>
      <c r="H908" s="8">
        <v>1</v>
      </c>
      <c r="I908" s="168">
        <v>1</v>
      </c>
      <c r="J908" s="205" t="str">
        <f t="shared" si="22"/>
        <v>H_249</v>
      </c>
      <c r="K908" s="115"/>
    </row>
    <row r="909" spans="1:11" ht="30">
      <c r="A909" s="41">
        <f t="shared" si="23"/>
        <v>250</v>
      </c>
      <c r="B909" s="157" t="s">
        <v>733</v>
      </c>
      <c r="C909" s="204" t="s">
        <v>44</v>
      </c>
      <c r="D909" s="48" t="s">
        <v>109</v>
      </c>
      <c r="E909" s="55">
        <v>455.66624999999999</v>
      </c>
      <c r="F909" s="181" t="s">
        <v>109</v>
      </c>
      <c r="G909" s="9">
        <f>IF(Tabla9[[#This Row],[Precio
Unidad de Compra ( $)]]="","",(E909/(H909*I909)))</f>
        <v>455.66624999999999</v>
      </c>
      <c r="H909" s="8">
        <v>1</v>
      </c>
      <c r="I909" s="168">
        <v>1</v>
      </c>
      <c r="J909" s="205" t="str">
        <f t="shared" si="22"/>
        <v>H_250</v>
      </c>
      <c r="K909" s="115"/>
    </row>
    <row r="910" spans="1:11" ht="30">
      <c r="A910" s="41">
        <f t="shared" si="23"/>
        <v>251</v>
      </c>
      <c r="B910" s="157" t="s">
        <v>734</v>
      </c>
      <c r="C910" s="204" t="s">
        <v>44</v>
      </c>
      <c r="D910" s="48" t="s">
        <v>109</v>
      </c>
      <c r="E910" s="55">
        <v>455.66624999999999</v>
      </c>
      <c r="F910" s="181" t="s">
        <v>109</v>
      </c>
      <c r="G910" s="9">
        <f>IF(Tabla9[[#This Row],[Precio
Unidad de Compra ( $)]]="","",(E910/(H910*I910)))</f>
        <v>455.66624999999999</v>
      </c>
      <c r="H910" s="8">
        <v>1</v>
      </c>
      <c r="I910" s="168">
        <v>1</v>
      </c>
      <c r="J910" s="205" t="str">
        <f t="shared" si="22"/>
        <v>H_251</v>
      </c>
      <c r="K910" s="115"/>
    </row>
    <row r="911" spans="1:11">
      <c r="A911" s="41">
        <f t="shared" si="23"/>
        <v>252</v>
      </c>
      <c r="B911" s="36" t="s">
        <v>735</v>
      </c>
      <c r="C911" s="204" t="s">
        <v>44</v>
      </c>
      <c r="D911" s="48" t="s">
        <v>109</v>
      </c>
      <c r="E911" s="43">
        <v>3356</v>
      </c>
      <c r="F911" s="175" t="s">
        <v>109</v>
      </c>
      <c r="G911" s="9">
        <f>IF(Tabla9[[#This Row],[Precio
Unidad de Compra ( $)]]="","",(E911/(H911*I911)))</f>
        <v>3356</v>
      </c>
      <c r="H911" s="8">
        <v>1</v>
      </c>
      <c r="I911" s="168">
        <v>1</v>
      </c>
      <c r="J911" s="205" t="str">
        <f t="shared" si="22"/>
        <v>H_252</v>
      </c>
      <c r="K911" s="115"/>
    </row>
    <row r="912" spans="1:11">
      <c r="A912" s="41">
        <f t="shared" si="23"/>
        <v>253</v>
      </c>
      <c r="B912" s="157" t="s">
        <v>736</v>
      </c>
      <c r="C912" s="204" t="s">
        <v>44</v>
      </c>
      <c r="D912" s="48" t="s">
        <v>109</v>
      </c>
      <c r="E912" s="55">
        <v>1900</v>
      </c>
      <c r="F912" s="181" t="s">
        <v>109</v>
      </c>
      <c r="G912" s="9">
        <f>IF(Tabla9[[#This Row],[Precio
Unidad de Compra ( $)]]="","",(E912/(H912*I912)))</f>
        <v>1900</v>
      </c>
      <c r="H912" s="8">
        <v>1</v>
      </c>
      <c r="I912" s="168">
        <v>1</v>
      </c>
      <c r="J912" s="205" t="str">
        <f t="shared" si="22"/>
        <v>H_253</v>
      </c>
      <c r="K912" s="115"/>
    </row>
    <row r="913" spans="1:11">
      <c r="A913" s="41">
        <f t="shared" si="23"/>
        <v>254</v>
      </c>
      <c r="B913" s="157" t="s">
        <v>737</v>
      </c>
      <c r="C913" s="204" t="s">
        <v>44</v>
      </c>
      <c r="D913" s="48" t="s">
        <v>109</v>
      </c>
      <c r="E913" s="55">
        <v>1900</v>
      </c>
      <c r="F913" s="181" t="s">
        <v>109</v>
      </c>
      <c r="G913" s="9">
        <f>IF(Tabla9[[#This Row],[Precio
Unidad de Compra ( $)]]="","",(E913/(H913*I913)))</f>
        <v>1900</v>
      </c>
      <c r="H913" s="8">
        <v>1</v>
      </c>
      <c r="I913" s="168">
        <v>1</v>
      </c>
      <c r="J913" s="205" t="str">
        <f t="shared" si="22"/>
        <v>H_254</v>
      </c>
      <c r="K913" s="115"/>
    </row>
    <row r="914" spans="1:11">
      <c r="A914" s="41">
        <f t="shared" si="23"/>
        <v>255</v>
      </c>
      <c r="B914" s="157" t="s">
        <v>738</v>
      </c>
      <c r="C914" s="204" t="s">
        <v>44</v>
      </c>
      <c r="D914" s="48" t="s">
        <v>109</v>
      </c>
      <c r="E914" s="55">
        <v>23075</v>
      </c>
      <c r="F914" s="181" t="s">
        <v>109</v>
      </c>
      <c r="G914" s="9">
        <f>IF(Tabla9[[#This Row],[Precio
Unidad de Compra ( $)]]="","",(E914/(H914*I914)))</f>
        <v>23075</v>
      </c>
      <c r="H914" s="8">
        <v>1</v>
      </c>
      <c r="I914" s="168">
        <v>1</v>
      </c>
      <c r="J914" s="205" t="str">
        <f t="shared" si="22"/>
        <v>H_255</v>
      </c>
      <c r="K914" s="115"/>
    </row>
    <row r="915" spans="1:11">
      <c r="A915" s="41">
        <f t="shared" si="23"/>
        <v>256</v>
      </c>
      <c r="B915" s="36" t="s">
        <v>739</v>
      </c>
      <c r="C915" s="204" t="s">
        <v>44</v>
      </c>
      <c r="D915" s="48" t="s">
        <v>109</v>
      </c>
      <c r="E915" s="55">
        <v>23075.289999999997</v>
      </c>
      <c r="F915" s="175" t="s">
        <v>109</v>
      </c>
      <c r="G915" s="9">
        <f>IF(Tabla9[[#This Row],[Precio
Unidad de Compra ( $)]]="","",(E915/(H915*I915)))</f>
        <v>23075.289999999997</v>
      </c>
      <c r="H915" s="8">
        <v>1</v>
      </c>
      <c r="I915" s="168">
        <v>1</v>
      </c>
      <c r="J915" s="205" t="str">
        <f t="shared" si="22"/>
        <v>H_256</v>
      </c>
      <c r="K915" s="115"/>
    </row>
    <row r="916" spans="1:11">
      <c r="A916" s="41">
        <f t="shared" si="23"/>
        <v>257</v>
      </c>
      <c r="B916" s="157" t="s">
        <v>740</v>
      </c>
      <c r="C916" s="204" t="s">
        <v>44</v>
      </c>
      <c r="D916" s="48" t="s">
        <v>109</v>
      </c>
      <c r="E916" s="55">
        <v>1018.64</v>
      </c>
      <c r="F916" s="181" t="s">
        <v>109</v>
      </c>
      <c r="G916" s="9">
        <f>IF(Tabla9[[#This Row],[Precio
Unidad de Compra ( $)]]="","",(E916/(H916*I916)))</f>
        <v>1018.64</v>
      </c>
      <c r="H916" s="8">
        <v>1</v>
      </c>
      <c r="I916" s="168">
        <v>1</v>
      </c>
      <c r="J916" s="205" t="str">
        <f t="shared" ref="J916:J979" si="24">IFERROR(CONCATENATE(LEFT(C916,1),"_",TEXT(A916,"000")),"")</f>
        <v>H_257</v>
      </c>
      <c r="K916" s="115"/>
    </row>
    <row r="917" spans="1:11">
      <c r="A917" s="41">
        <f t="shared" ref="A917:A980" si="25">A916+1</f>
        <v>258</v>
      </c>
      <c r="B917" s="157" t="s">
        <v>741</v>
      </c>
      <c r="C917" s="204" t="s">
        <v>44</v>
      </c>
      <c r="D917" s="48" t="s">
        <v>109</v>
      </c>
      <c r="E917" s="55">
        <v>1018.64</v>
      </c>
      <c r="F917" s="181" t="s">
        <v>109</v>
      </c>
      <c r="G917" s="9">
        <f>IF(Tabla9[[#This Row],[Precio
Unidad de Compra ( $)]]="","",(E917/(H917*I917)))</f>
        <v>1018.64</v>
      </c>
      <c r="H917" s="8">
        <v>1</v>
      </c>
      <c r="I917" s="168">
        <v>1</v>
      </c>
      <c r="J917" s="205" t="str">
        <f t="shared" si="24"/>
        <v>H_258</v>
      </c>
      <c r="K917" s="115"/>
    </row>
    <row r="918" spans="1:11">
      <c r="A918" s="41">
        <f t="shared" si="25"/>
        <v>259</v>
      </c>
      <c r="B918" s="36" t="s">
        <v>742</v>
      </c>
      <c r="C918" s="204" t="s">
        <v>44</v>
      </c>
      <c r="D918" s="48" t="s">
        <v>109</v>
      </c>
      <c r="E918" s="43">
        <v>3356</v>
      </c>
      <c r="F918" s="175" t="s">
        <v>109</v>
      </c>
      <c r="G918" s="9">
        <f>IF(Tabla9[[#This Row],[Precio
Unidad de Compra ( $)]]="","",(E918/(H918*I918)))</f>
        <v>3356</v>
      </c>
      <c r="H918" s="8">
        <v>1</v>
      </c>
      <c r="I918" s="168">
        <v>1</v>
      </c>
      <c r="J918" s="205" t="str">
        <f t="shared" si="24"/>
        <v>H_259</v>
      </c>
      <c r="K918" s="115"/>
    </row>
    <row r="919" spans="1:11" ht="30">
      <c r="A919" s="41">
        <f t="shared" si="25"/>
        <v>260</v>
      </c>
      <c r="B919" s="36" t="s">
        <v>743</v>
      </c>
      <c r="C919" s="204" t="s">
        <v>44</v>
      </c>
      <c r="D919" s="48" t="s">
        <v>109</v>
      </c>
      <c r="E919" s="43">
        <v>3356</v>
      </c>
      <c r="F919" s="175" t="s">
        <v>109</v>
      </c>
      <c r="G919" s="9">
        <f>IF(Tabla9[[#This Row],[Precio
Unidad de Compra ( $)]]="","",(E919/(H919*I919)))</f>
        <v>3356</v>
      </c>
      <c r="H919" s="8">
        <v>1</v>
      </c>
      <c r="I919" s="168">
        <v>1</v>
      </c>
      <c r="J919" s="205" t="str">
        <f t="shared" si="24"/>
        <v>H_260</v>
      </c>
      <c r="K919" s="115"/>
    </row>
    <row r="920" spans="1:11">
      <c r="A920" s="41">
        <f t="shared" si="25"/>
        <v>261</v>
      </c>
      <c r="B920" s="36" t="s">
        <v>744</v>
      </c>
      <c r="C920" s="204" t="s">
        <v>44</v>
      </c>
      <c r="D920" s="48" t="s">
        <v>109</v>
      </c>
      <c r="E920" s="43">
        <v>3356</v>
      </c>
      <c r="F920" s="175" t="s">
        <v>109</v>
      </c>
      <c r="G920" s="9">
        <f>IF(Tabla9[[#This Row],[Precio
Unidad de Compra ( $)]]="","",(E920/(H920*I920)))</f>
        <v>3356</v>
      </c>
      <c r="H920" s="8">
        <v>1</v>
      </c>
      <c r="I920" s="168">
        <v>1</v>
      </c>
      <c r="J920" s="205" t="str">
        <f t="shared" si="24"/>
        <v>H_261</v>
      </c>
      <c r="K920" s="115"/>
    </row>
    <row r="921" spans="1:11">
      <c r="A921" s="41">
        <f t="shared" si="25"/>
        <v>262</v>
      </c>
      <c r="B921" s="36" t="s">
        <v>745</v>
      </c>
      <c r="C921" s="204" t="s">
        <v>44</v>
      </c>
      <c r="D921" s="48" t="s">
        <v>109</v>
      </c>
      <c r="E921" s="43">
        <v>3356</v>
      </c>
      <c r="F921" s="175" t="s">
        <v>109</v>
      </c>
      <c r="G921" s="9">
        <f>IF(Tabla9[[#This Row],[Precio
Unidad de Compra ( $)]]="","",(E921/(H921*I921)))</f>
        <v>3356</v>
      </c>
      <c r="H921" s="8">
        <v>1</v>
      </c>
      <c r="I921" s="168">
        <v>1</v>
      </c>
      <c r="J921" s="205" t="str">
        <f t="shared" si="24"/>
        <v>H_262</v>
      </c>
      <c r="K921" s="115"/>
    </row>
    <row r="922" spans="1:11" ht="30">
      <c r="A922" s="41">
        <f t="shared" si="25"/>
        <v>263</v>
      </c>
      <c r="B922" s="36" t="s">
        <v>746</v>
      </c>
      <c r="C922" s="204" t="s">
        <v>44</v>
      </c>
      <c r="D922" s="48" t="s">
        <v>109</v>
      </c>
      <c r="E922" s="55">
        <v>3356</v>
      </c>
      <c r="F922" s="181" t="s">
        <v>109</v>
      </c>
      <c r="G922" s="9">
        <f>IF(Tabla9[[#This Row],[Precio
Unidad de Compra ( $)]]="","",(E922/(H922*I922)))</f>
        <v>3356</v>
      </c>
      <c r="H922" s="8">
        <v>1</v>
      </c>
      <c r="I922" s="168">
        <v>1</v>
      </c>
      <c r="J922" s="205" t="str">
        <f t="shared" si="24"/>
        <v>H_263</v>
      </c>
      <c r="K922" s="115"/>
    </row>
    <row r="923" spans="1:11">
      <c r="A923" s="41">
        <f t="shared" si="25"/>
        <v>264</v>
      </c>
      <c r="B923" s="36" t="s">
        <v>747</v>
      </c>
      <c r="C923" s="204" t="s">
        <v>44</v>
      </c>
      <c r="D923" s="48" t="s">
        <v>109</v>
      </c>
      <c r="E923" s="43">
        <v>3356</v>
      </c>
      <c r="F923" s="175" t="s">
        <v>109</v>
      </c>
      <c r="G923" s="9">
        <f>IF(Tabla9[[#This Row],[Precio
Unidad de Compra ( $)]]="","",(E923/(H923*I923)))</f>
        <v>3356</v>
      </c>
      <c r="H923" s="8">
        <v>1</v>
      </c>
      <c r="I923" s="168">
        <v>1</v>
      </c>
      <c r="J923" s="205" t="str">
        <f t="shared" si="24"/>
        <v>H_264</v>
      </c>
      <c r="K923" s="115"/>
    </row>
    <row r="924" spans="1:11" ht="30">
      <c r="A924" s="41">
        <f t="shared" si="25"/>
        <v>265</v>
      </c>
      <c r="B924" s="36" t="s">
        <v>748</v>
      </c>
      <c r="C924" s="204" t="s">
        <v>44</v>
      </c>
      <c r="D924" s="48" t="s">
        <v>109</v>
      </c>
      <c r="E924" s="43">
        <v>3356</v>
      </c>
      <c r="F924" s="175" t="s">
        <v>109</v>
      </c>
      <c r="G924" s="9">
        <f>IF(Tabla9[[#This Row],[Precio
Unidad de Compra ( $)]]="","",(E924/(H924*I924)))</f>
        <v>3356</v>
      </c>
      <c r="H924" s="8">
        <v>1</v>
      </c>
      <c r="I924" s="168">
        <v>1</v>
      </c>
      <c r="J924" s="205" t="str">
        <f t="shared" si="24"/>
        <v>H_265</v>
      </c>
      <c r="K924" s="115"/>
    </row>
    <row r="925" spans="1:11" ht="30">
      <c r="A925" s="41">
        <f t="shared" si="25"/>
        <v>266</v>
      </c>
      <c r="B925" s="36" t="s">
        <v>749</v>
      </c>
      <c r="C925" s="204" t="s">
        <v>44</v>
      </c>
      <c r="D925" s="48" t="s">
        <v>109</v>
      </c>
      <c r="E925" s="43">
        <v>3356</v>
      </c>
      <c r="F925" s="175" t="s">
        <v>109</v>
      </c>
      <c r="G925" s="9">
        <f>IF(Tabla9[[#This Row],[Precio
Unidad de Compra ( $)]]="","",(E925/(H925*I925)))</f>
        <v>3356</v>
      </c>
      <c r="H925" s="8">
        <v>1</v>
      </c>
      <c r="I925" s="168">
        <v>1</v>
      </c>
      <c r="J925" s="205" t="str">
        <f t="shared" si="24"/>
        <v>H_266</v>
      </c>
      <c r="K925" s="115"/>
    </row>
    <row r="926" spans="1:11">
      <c r="A926" s="41">
        <f t="shared" si="25"/>
        <v>267</v>
      </c>
      <c r="B926" s="36" t="s">
        <v>750</v>
      </c>
      <c r="C926" s="204" t="s">
        <v>44</v>
      </c>
      <c r="D926" s="48" t="s">
        <v>109</v>
      </c>
      <c r="E926" s="55">
        <v>198</v>
      </c>
      <c r="F926" s="181" t="s">
        <v>109</v>
      </c>
      <c r="G926" s="9">
        <f>IF(Tabla9[[#This Row],[Precio
Unidad de Compra ( $)]]="","",(E926/(H926*I926)))</f>
        <v>198</v>
      </c>
      <c r="H926" s="8">
        <v>1</v>
      </c>
      <c r="I926" s="168">
        <v>1</v>
      </c>
      <c r="J926" s="205" t="str">
        <f t="shared" si="24"/>
        <v>H_267</v>
      </c>
      <c r="K926" s="115"/>
    </row>
    <row r="927" spans="1:11">
      <c r="A927" s="41">
        <f t="shared" si="25"/>
        <v>268</v>
      </c>
      <c r="B927" s="36" t="s">
        <v>751</v>
      </c>
      <c r="C927" s="204" t="s">
        <v>44</v>
      </c>
      <c r="D927" s="48" t="s">
        <v>109</v>
      </c>
      <c r="E927" s="55">
        <v>3356</v>
      </c>
      <c r="F927" s="181" t="s">
        <v>109</v>
      </c>
      <c r="G927" s="9">
        <f>IF(Tabla9[[#This Row],[Precio
Unidad de Compra ( $)]]="","",(E927/(H927*I927)))</f>
        <v>3356</v>
      </c>
      <c r="H927" s="8">
        <v>1</v>
      </c>
      <c r="I927" s="168">
        <v>1</v>
      </c>
      <c r="J927" s="205" t="str">
        <f t="shared" si="24"/>
        <v>H_268</v>
      </c>
      <c r="K927" s="115"/>
    </row>
    <row r="928" spans="1:11">
      <c r="A928" s="41">
        <f t="shared" si="25"/>
        <v>269</v>
      </c>
      <c r="B928" s="36" t="s">
        <v>752</v>
      </c>
      <c r="C928" s="204" t="s">
        <v>44</v>
      </c>
      <c r="D928" s="48" t="s">
        <v>109</v>
      </c>
      <c r="E928" s="55">
        <v>198</v>
      </c>
      <c r="F928" s="181" t="s">
        <v>109</v>
      </c>
      <c r="G928" s="9">
        <f>IF(Tabla9[[#This Row],[Precio
Unidad de Compra ( $)]]="","",(E928/(H928*I928)))</f>
        <v>198</v>
      </c>
      <c r="H928" s="8">
        <v>1</v>
      </c>
      <c r="I928" s="168">
        <v>1</v>
      </c>
      <c r="J928" s="205" t="str">
        <f t="shared" si="24"/>
        <v>H_269</v>
      </c>
      <c r="K928" s="115"/>
    </row>
    <row r="929" spans="1:11">
      <c r="A929" s="41">
        <f t="shared" si="25"/>
        <v>270</v>
      </c>
      <c r="B929" s="36" t="s">
        <v>753</v>
      </c>
      <c r="C929" s="204" t="s">
        <v>44</v>
      </c>
      <c r="D929" s="48" t="s">
        <v>109</v>
      </c>
      <c r="E929" s="55">
        <v>3356</v>
      </c>
      <c r="F929" s="181" t="s">
        <v>109</v>
      </c>
      <c r="G929" s="9">
        <f>IF(Tabla9[[#This Row],[Precio
Unidad de Compra ( $)]]="","",(E929/(H929*I929)))</f>
        <v>3356</v>
      </c>
      <c r="H929" s="8">
        <v>1</v>
      </c>
      <c r="I929" s="168">
        <v>1</v>
      </c>
      <c r="J929" s="205" t="str">
        <f t="shared" si="24"/>
        <v>H_270</v>
      </c>
      <c r="K929" s="115"/>
    </row>
    <row r="930" spans="1:11">
      <c r="A930" s="41">
        <f t="shared" si="25"/>
        <v>271</v>
      </c>
      <c r="B930" s="36" t="s">
        <v>754</v>
      </c>
      <c r="C930" s="204" t="s">
        <v>44</v>
      </c>
      <c r="D930" s="48" t="s">
        <v>109</v>
      </c>
      <c r="E930" s="55">
        <v>3356</v>
      </c>
      <c r="F930" s="181" t="s">
        <v>109</v>
      </c>
      <c r="G930" s="9">
        <f>IF(Tabla9[[#This Row],[Precio
Unidad de Compra ( $)]]="","",(E930/(H930*I930)))</f>
        <v>3356</v>
      </c>
      <c r="H930" s="8">
        <v>1</v>
      </c>
      <c r="I930" s="168">
        <v>1</v>
      </c>
      <c r="J930" s="205" t="str">
        <f t="shared" si="24"/>
        <v>H_271</v>
      </c>
      <c r="K930" s="115"/>
    </row>
    <row r="931" spans="1:11" ht="30">
      <c r="A931" s="41">
        <f t="shared" si="25"/>
        <v>272</v>
      </c>
      <c r="B931" s="36" t="s">
        <v>755</v>
      </c>
      <c r="C931" s="204" t="s">
        <v>44</v>
      </c>
      <c r="D931" s="48" t="s">
        <v>109</v>
      </c>
      <c r="E931" s="43">
        <v>198</v>
      </c>
      <c r="F931" s="175" t="s">
        <v>109</v>
      </c>
      <c r="G931" s="9">
        <f>IF(Tabla9[[#This Row],[Precio
Unidad de Compra ( $)]]="","",(E931/(H931*I931)))</f>
        <v>198</v>
      </c>
      <c r="H931" s="8">
        <v>1</v>
      </c>
      <c r="I931" s="168">
        <v>1</v>
      </c>
      <c r="J931" s="205" t="str">
        <f t="shared" si="24"/>
        <v>H_272</v>
      </c>
      <c r="K931" s="115"/>
    </row>
    <row r="932" spans="1:11" ht="30">
      <c r="A932" s="41">
        <f t="shared" si="25"/>
        <v>273</v>
      </c>
      <c r="B932" s="36" t="s">
        <v>756</v>
      </c>
      <c r="C932" s="204" t="s">
        <v>44</v>
      </c>
      <c r="D932" s="48" t="s">
        <v>109</v>
      </c>
      <c r="E932" s="55">
        <v>198</v>
      </c>
      <c r="F932" s="181" t="s">
        <v>109</v>
      </c>
      <c r="G932" s="9">
        <f>IF(Tabla9[[#This Row],[Precio
Unidad de Compra ( $)]]="","",(E932/(H932*I932)))</f>
        <v>198</v>
      </c>
      <c r="H932" s="8">
        <v>1</v>
      </c>
      <c r="I932" s="168">
        <v>1</v>
      </c>
      <c r="J932" s="205" t="str">
        <f t="shared" si="24"/>
        <v>H_273</v>
      </c>
      <c r="K932" s="115"/>
    </row>
    <row r="933" spans="1:11">
      <c r="A933" s="41">
        <f t="shared" si="25"/>
        <v>274</v>
      </c>
      <c r="B933" s="36" t="s">
        <v>757</v>
      </c>
      <c r="C933" s="204" t="s">
        <v>44</v>
      </c>
      <c r="D933" s="48" t="s">
        <v>109</v>
      </c>
      <c r="E933" s="55">
        <v>198</v>
      </c>
      <c r="F933" s="181" t="s">
        <v>109</v>
      </c>
      <c r="G933" s="9">
        <f>IF(Tabla9[[#This Row],[Precio
Unidad de Compra ( $)]]="","",(E933/(H933*I933)))</f>
        <v>198</v>
      </c>
      <c r="H933" s="8">
        <v>1</v>
      </c>
      <c r="I933" s="168">
        <v>1</v>
      </c>
      <c r="J933" s="205" t="str">
        <f t="shared" si="24"/>
        <v>H_274</v>
      </c>
      <c r="K933" s="115"/>
    </row>
    <row r="934" spans="1:11">
      <c r="A934" s="41">
        <f t="shared" si="25"/>
        <v>275</v>
      </c>
      <c r="B934" s="36" t="s">
        <v>758</v>
      </c>
      <c r="C934" s="204" t="s">
        <v>44</v>
      </c>
      <c r="D934" s="48" t="s">
        <v>109</v>
      </c>
      <c r="E934" s="55">
        <v>198</v>
      </c>
      <c r="F934" s="181" t="s">
        <v>109</v>
      </c>
      <c r="G934" s="9">
        <f>IF(Tabla9[[#This Row],[Precio
Unidad de Compra ( $)]]="","",(E934/(H934*I934)))</f>
        <v>198</v>
      </c>
      <c r="H934" s="8">
        <v>1</v>
      </c>
      <c r="I934" s="168">
        <v>1</v>
      </c>
      <c r="J934" s="205" t="str">
        <f t="shared" si="24"/>
        <v>H_275</v>
      </c>
      <c r="K934" s="115"/>
    </row>
    <row r="935" spans="1:11" ht="30">
      <c r="A935" s="41">
        <f t="shared" si="25"/>
        <v>276</v>
      </c>
      <c r="B935" s="36" t="s">
        <v>759</v>
      </c>
      <c r="C935" s="204" t="s">
        <v>44</v>
      </c>
      <c r="D935" s="48" t="s">
        <v>109</v>
      </c>
      <c r="E935" s="55">
        <v>198</v>
      </c>
      <c r="F935" s="181" t="s">
        <v>109</v>
      </c>
      <c r="G935" s="9">
        <f>IF(Tabla9[[#This Row],[Precio
Unidad de Compra ( $)]]="","",(E935/(H935*I935)))</f>
        <v>198</v>
      </c>
      <c r="H935" s="8">
        <v>1</v>
      </c>
      <c r="I935" s="168">
        <v>1</v>
      </c>
      <c r="J935" s="205" t="str">
        <f t="shared" si="24"/>
        <v>H_276</v>
      </c>
      <c r="K935" s="115"/>
    </row>
    <row r="936" spans="1:11">
      <c r="A936" s="41">
        <f t="shared" si="25"/>
        <v>277</v>
      </c>
      <c r="B936" s="36" t="s">
        <v>760</v>
      </c>
      <c r="C936" s="204" t="s">
        <v>44</v>
      </c>
      <c r="D936" s="48" t="s">
        <v>109</v>
      </c>
      <c r="E936" s="55">
        <v>3356</v>
      </c>
      <c r="F936" s="181" t="s">
        <v>109</v>
      </c>
      <c r="G936" s="9">
        <f>IF(Tabla9[[#This Row],[Precio
Unidad de Compra ( $)]]="","",(E936/(H936*I936)))</f>
        <v>3356</v>
      </c>
      <c r="H936" s="8">
        <v>1</v>
      </c>
      <c r="I936" s="168">
        <v>1</v>
      </c>
      <c r="J936" s="205" t="str">
        <f t="shared" si="24"/>
        <v>H_277</v>
      </c>
      <c r="K936" s="115"/>
    </row>
    <row r="937" spans="1:11">
      <c r="A937" s="41">
        <f t="shared" si="25"/>
        <v>278</v>
      </c>
      <c r="B937" s="157" t="s">
        <v>761</v>
      </c>
      <c r="C937" s="204" t="s">
        <v>44</v>
      </c>
      <c r="D937" s="48" t="s">
        <v>109</v>
      </c>
      <c r="E937" s="55">
        <v>1100</v>
      </c>
      <c r="F937" s="181" t="s">
        <v>109</v>
      </c>
      <c r="G937" s="9">
        <f>IF(Tabla9[[#This Row],[Precio
Unidad de Compra ( $)]]="","",(E937/(H937*I937)))</f>
        <v>1100</v>
      </c>
      <c r="H937" s="8">
        <v>1</v>
      </c>
      <c r="I937" s="168">
        <v>1</v>
      </c>
      <c r="J937" s="205" t="str">
        <f t="shared" si="24"/>
        <v>H_278</v>
      </c>
      <c r="K937" s="115"/>
    </row>
    <row r="938" spans="1:11">
      <c r="A938" s="41">
        <f t="shared" si="25"/>
        <v>279</v>
      </c>
      <c r="B938" s="157" t="s">
        <v>762</v>
      </c>
      <c r="C938" s="204" t="s">
        <v>44</v>
      </c>
      <c r="D938" s="48" t="s">
        <v>109</v>
      </c>
      <c r="E938" s="55">
        <v>1350</v>
      </c>
      <c r="F938" s="181" t="s">
        <v>109</v>
      </c>
      <c r="G938" s="9">
        <f>IF(Tabla9[[#This Row],[Precio
Unidad de Compra ( $)]]="","",(E938/(H938*I938)))</f>
        <v>1350</v>
      </c>
      <c r="H938" s="8">
        <v>1</v>
      </c>
      <c r="I938" s="168">
        <v>1</v>
      </c>
      <c r="J938" s="205" t="str">
        <f t="shared" si="24"/>
        <v>H_279</v>
      </c>
      <c r="K938" s="115"/>
    </row>
    <row r="939" spans="1:11">
      <c r="A939" s="41">
        <f t="shared" si="25"/>
        <v>280</v>
      </c>
      <c r="B939" s="157" t="s">
        <v>763</v>
      </c>
      <c r="C939" s="204" t="s">
        <v>44</v>
      </c>
      <c r="D939" s="48" t="s">
        <v>109</v>
      </c>
      <c r="E939" s="55">
        <v>925</v>
      </c>
      <c r="F939" s="181" t="s">
        <v>109</v>
      </c>
      <c r="G939" s="9">
        <f>IF(Tabla9[[#This Row],[Precio
Unidad de Compra ( $)]]="","",(E939/(H939*I939)))</f>
        <v>925</v>
      </c>
      <c r="H939" s="8">
        <v>1</v>
      </c>
      <c r="I939" s="168">
        <v>1</v>
      </c>
      <c r="J939" s="205" t="str">
        <f t="shared" si="24"/>
        <v>H_280</v>
      </c>
      <c r="K939" s="115"/>
    </row>
    <row r="940" spans="1:11">
      <c r="A940" s="41">
        <f t="shared" si="25"/>
        <v>281</v>
      </c>
      <c r="B940" s="36" t="s">
        <v>764</v>
      </c>
      <c r="C940" s="204" t="s">
        <v>44</v>
      </c>
      <c r="D940" s="48" t="s">
        <v>109</v>
      </c>
      <c r="E940" s="43">
        <v>3373</v>
      </c>
      <c r="F940" s="175" t="s">
        <v>109</v>
      </c>
      <c r="G940" s="9">
        <f>IF(Tabla9[[#This Row],[Precio
Unidad de Compra ( $)]]="","",(E940/(H940*I940)))</f>
        <v>3373</v>
      </c>
      <c r="H940" s="8">
        <v>1</v>
      </c>
      <c r="I940" s="168">
        <v>1</v>
      </c>
      <c r="J940" s="205" t="str">
        <f t="shared" si="24"/>
        <v>H_281</v>
      </c>
      <c r="K940" s="115"/>
    </row>
    <row r="941" spans="1:11">
      <c r="A941" s="41">
        <f t="shared" si="25"/>
        <v>282</v>
      </c>
      <c r="B941" s="170" t="s">
        <v>765</v>
      </c>
      <c r="C941" s="204" t="s">
        <v>44</v>
      </c>
      <c r="D941" s="48" t="s">
        <v>109</v>
      </c>
      <c r="E941" s="56">
        <v>1275.68</v>
      </c>
      <c r="F941" s="175" t="s">
        <v>109</v>
      </c>
      <c r="G941" s="9">
        <f>IF(Tabla9[[#This Row],[Precio
Unidad de Compra ( $)]]="","",(E941/(H941*I941)))</f>
        <v>1275.68</v>
      </c>
      <c r="H941" s="8">
        <v>1</v>
      </c>
      <c r="I941" s="168">
        <v>1</v>
      </c>
      <c r="J941" s="205" t="str">
        <f t="shared" si="24"/>
        <v>H_282</v>
      </c>
      <c r="K941" s="115"/>
    </row>
    <row r="942" spans="1:11">
      <c r="A942" s="41">
        <f t="shared" si="25"/>
        <v>283</v>
      </c>
      <c r="B942" s="36" t="s">
        <v>766</v>
      </c>
      <c r="C942" s="204" t="s">
        <v>44</v>
      </c>
      <c r="D942" s="48" t="s">
        <v>109</v>
      </c>
      <c r="E942" s="55">
        <v>3373</v>
      </c>
      <c r="F942" s="181" t="s">
        <v>109</v>
      </c>
      <c r="G942" s="9">
        <f>IF(Tabla9[[#This Row],[Precio
Unidad de Compra ( $)]]="","",(E942/(H942*I942)))</f>
        <v>3373</v>
      </c>
      <c r="H942" s="8">
        <v>1</v>
      </c>
      <c r="I942" s="168">
        <v>1</v>
      </c>
      <c r="J942" s="205" t="str">
        <f t="shared" si="24"/>
        <v>H_283</v>
      </c>
      <c r="K942" s="115"/>
    </row>
    <row r="943" spans="1:11">
      <c r="A943" s="41">
        <f t="shared" si="25"/>
        <v>284</v>
      </c>
      <c r="B943" s="170" t="s">
        <v>767</v>
      </c>
      <c r="C943" s="204" t="s">
        <v>44</v>
      </c>
      <c r="D943" s="48" t="s">
        <v>109</v>
      </c>
      <c r="E943" s="56">
        <v>1275.68</v>
      </c>
      <c r="F943" s="175" t="s">
        <v>109</v>
      </c>
      <c r="G943" s="9">
        <f>IF(Tabla9[[#This Row],[Precio
Unidad de Compra ( $)]]="","",(E943/(H943*I943)))</f>
        <v>1275.68</v>
      </c>
      <c r="H943" s="8">
        <v>1</v>
      </c>
      <c r="I943" s="168">
        <v>1</v>
      </c>
      <c r="J943" s="205" t="str">
        <f t="shared" si="24"/>
        <v>H_284</v>
      </c>
      <c r="K943" s="115"/>
    </row>
    <row r="944" spans="1:11">
      <c r="A944" s="41">
        <f t="shared" si="25"/>
        <v>285</v>
      </c>
      <c r="B944" s="36" t="s">
        <v>768</v>
      </c>
      <c r="C944" s="204" t="s">
        <v>44</v>
      </c>
      <c r="D944" s="48" t="s">
        <v>109</v>
      </c>
      <c r="E944" s="43">
        <v>1275.68</v>
      </c>
      <c r="F944" s="175" t="s">
        <v>109</v>
      </c>
      <c r="G944" s="9">
        <f>IF(Tabla9[[#This Row],[Precio
Unidad de Compra ( $)]]="","",(E944/(H944*I944)))</f>
        <v>1275.68</v>
      </c>
      <c r="H944" s="8">
        <v>1</v>
      </c>
      <c r="I944" s="168">
        <v>1</v>
      </c>
      <c r="J944" s="205" t="str">
        <f t="shared" si="24"/>
        <v>H_285</v>
      </c>
      <c r="K944" s="115"/>
    </row>
    <row r="945" spans="1:11">
      <c r="A945" s="41">
        <f t="shared" si="25"/>
        <v>286</v>
      </c>
      <c r="B945" s="157" t="s">
        <v>769</v>
      </c>
      <c r="C945" s="204" t="s">
        <v>44</v>
      </c>
      <c r="D945" s="48" t="s">
        <v>109</v>
      </c>
      <c r="E945" s="55">
        <v>2746.52</v>
      </c>
      <c r="F945" s="181" t="s">
        <v>109</v>
      </c>
      <c r="G945" s="9">
        <f>IF(Tabla9[[#This Row],[Precio
Unidad de Compra ( $)]]="","",(E945/(H945*I945)))</f>
        <v>2746.52</v>
      </c>
      <c r="H945" s="8">
        <v>1</v>
      </c>
      <c r="I945" s="168">
        <v>1</v>
      </c>
      <c r="J945" s="205" t="str">
        <f t="shared" si="24"/>
        <v>H_286</v>
      </c>
      <c r="K945" s="115"/>
    </row>
    <row r="946" spans="1:11">
      <c r="A946" s="41">
        <f t="shared" si="25"/>
        <v>287</v>
      </c>
      <c r="B946" s="36" t="s">
        <v>770</v>
      </c>
      <c r="C946" s="204" t="s">
        <v>44</v>
      </c>
      <c r="D946" s="48" t="s">
        <v>109</v>
      </c>
      <c r="E946" s="43">
        <v>1275.68</v>
      </c>
      <c r="F946" s="175" t="s">
        <v>109</v>
      </c>
      <c r="G946" s="9">
        <f>IF(Tabla9[[#This Row],[Precio
Unidad de Compra ( $)]]="","",(E946/(H946*I946)))</f>
        <v>1275.68</v>
      </c>
      <c r="H946" s="8">
        <v>1</v>
      </c>
      <c r="I946" s="168">
        <v>1</v>
      </c>
      <c r="J946" s="205" t="str">
        <f t="shared" si="24"/>
        <v>H_287</v>
      </c>
      <c r="K946" s="115"/>
    </row>
    <row r="947" spans="1:11">
      <c r="A947" s="41">
        <f t="shared" si="25"/>
        <v>288</v>
      </c>
      <c r="B947" s="36" t="s">
        <v>771</v>
      </c>
      <c r="C947" s="204" t="s">
        <v>44</v>
      </c>
      <c r="D947" s="48" t="s">
        <v>109</v>
      </c>
      <c r="E947" s="43">
        <v>1225.7</v>
      </c>
      <c r="F947" s="175" t="s">
        <v>109</v>
      </c>
      <c r="G947" s="9">
        <f>IF(Tabla9[[#This Row],[Precio
Unidad de Compra ( $)]]="","",(E947/(H947*I947)))</f>
        <v>1225.7</v>
      </c>
      <c r="H947" s="8">
        <v>1</v>
      </c>
      <c r="I947" s="168">
        <v>1</v>
      </c>
      <c r="J947" s="205" t="str">
        <f t="shared" si="24"/>
        <v>H_288</v>
      </c>
      <c r="K947" s="115"/>
    </row>
    <row r="948" spans="1:11">
      <c r="A948" s="41">
        <f t="shared" si="25"/>
        <v>289</v>
      </c>
      <c r="B948" s="36" t="s">
        <v>772</v>
      </c>
      <c r="C948" s="204" t="s">
        <v>44</v>
      </c>
      <c r="D948" s="48" t="s">
        <v>109</v>
      </c>
      <c r="E948" s="43">
        <v>3881.78</v>
      </c>
      <c r="F948" s="175" t="s">
        <v>109</v>
      </c>
      <c r="G948" s="9">
        <f>IF(Tabla9[[#This Row],[Precio
Unidad de Compra ( $)]]="","",(E948/(H948*I948)))</f>
        <v>3881.78</v>
      </c>
      <c r="H948" s="8">
        <v>1</v>
      </c>
      <c r="I948" s="168">
        <v>1</v>
      </c>
      <c r="J948" s="205" t="str">
        <f t="shared" si="24"/>
        <v>H_289</v>
      </c>
      <c r="K948" s="115"/>
    </row>
    <row r="949" spans="1:11">
      <c r="A949" s="41">
        <f t="shared" si="25"/>
        <v>290</v>
      </c>
      <c r="B949" s="36" t="s">
        <v>773</v>
      </c>
      <c r="C949" s="204" t="s">
        <v>44</v>
      </c>
      <c r="D949" s="48" t="s">
        <v>109</v>
      </c>
      <c r="E949" s="43">
        <v>1275.68</v>
      </c>
      <c r="F949" s="175" t="s">
        <v>109</v>
      </c>
      <c r="G949" s="9">
        <f>IF(Tabla9[[#This Row],[Precio
Unidad de Compra ( $)]]="","",(E949/(H949*I949)))</f>
        <v>1275.68</v>
      </c>
      <c r="H949" s="8">
        <v>1</v>
      </c>
      <c r="I949" s="168">
        <v>1</v>
      </c>
      <c r="J949" s="205" t="str">
        <f t="shared" si="24"/>
        <v>H_290</v>
      </c>
      <c r="K949" s="115"/>
    </row>
    <row r="950" spans="1:11">
      <c r="A950" s="41">
        <f t="shared" si="25"/>
        <v>291</v>
      </c>
      <c r="B950" s="36" t="s">
        <v>774</v>
      </c>
      <c r="C950" s="204" t="s">
        <v>44</v>
      </c>
      <c r="D950" s="48" t="s">
        <v>109</v>
      </c>
      <c r="E950" s="43">
        <v>3881.78</v>
      </c>
      <c r="F950" s="175" t="s">
        <v>109</v>
      </c>
      <c r="G950" s="9">
        <f>IF(Tabla9[[#This Row],[Precio
Unidad de Compra ( $)]]="","",(E950/(H950*I950)))</f>
        <v>3881.78</v>
      </c>
      <c r="H950" s="8">
        <v>1</v>
      </c>
      <c r="I950" s="168">
        <v>1</v>
      </c>
      <c r="J950" s="205" t="str">
        <f t="shared" si="24"/>
        <v>H_291</v>
      </c>
      <c r="K950" s="115"/>
    </row>
    <row r="951" spans="1:11">
      <c r="A951" s="41">
        <f t="shared" si="25"/>
        <v>292</v>
      </c>
      <c r="B951" s="36" t="s">
        <v>775</v>
      </c>
      <c r="C951" s="204" t="s">
        <v>44</v>
      </c>
      <c r="D951" s="48" t="s">
        <v>109</v>
      </c>
      <c r="E951" s="55">
        <v>1225.7</v>
      </c>
      <c r="F951" s="181" t="s">
        <v>109</v>
      </c>
      <c r="G951" s="9">
        <f>IF(Tabla9[[#This Row],[Precio
Unidad de Compra ( $)]]="","",(E951/(H951*I951)))</f>
        <v>1225.7</v>
      </c>
      <c r="H951" s="8">
        <v>1</v>
      </c>
      <c r="I951" s="168">
        <v>1</v>
      </c>
      <c r="J951" s="205" t="str">
        <f t="shared" si="24"/>
        <v>H_292</v>
      </c>
      <c r="K951" s="115"/>
    </row>
    <row r="952" spans="1:11">
      <c r="A952" s="41">
        <f t="shared" si="25"/>
        <v>293</v>
      </c>
      <c r="B952" s="36" t="s">
        <v>776</v>
      </c>
      <c r="C952" s="204" t="s">
        <v>44</v>
      </c>
      <c r="D952" s="48" t="s">
        <v>109</v>
      </c>
      <c r="E952" s="43">
        <v>1225.7</v>
      </c>
      <c r="F952" s="175" t="s">
        <v>109</v>
      </c>
      <c r="G952" s="9">
        <f>IF(Tabla9[[#This Row],[Precio
Unidad de Compra ( $)]]="","",(E952/(H952*I952)))</f>
        <v>1225.7</v>
      </c>
      <c r="H952" s="8">
        <v>1</v>
      </c>
      <c r="I952" s="168">
        <v>1</v>
      </c>
      <c r="J952" s="205" t="str">
        <f t="shared" si="24"/>
        <v>H_293</v>
      </c>
      <c r="K952" s="115"/>
    </row>
    <row r="953" spans="1:11">
      <c r="A953" s="41">
        <f t="shared" si="25"/>
        <v>294</v>
      </c>
      <c r="B953" s="36" t="s">
        <v>777</v>
      </c>
      <c r="C953" s="204" t="s">
        <v>44</v>
      </c>
      <c r="D953" s="48" t="s">
        <v>109</v>
      </c>
      <c r="E953" s="43">
        <v>2400</v>
      </c>
      <c r="F953" s="175" t="s">
        <v>109</v>
      </c>
      <c r="G953" s="9">
        <f>IF(Tabla9[[#This Row],[Precio
Unidad de Compra ( $)]]="","",(E953/(H953*I953)))</f>
        <v>2400</v>
      </c>
      <c r="H953" s="8">
        <v>1</v>
      </c>
      <c r="I953" s="168">
        <v>1</v>
      </c>
      <c r="J953" s="205" t="str">
        <f t="shared" si="24"/>
        <v>H_294</v>
      </c>
      <c r="K953" s="115"/>
    </row>
    <row r="954" spans="1:11">
      <c r="A954" s="41">
        <f t="shared" si="25"/>
        <v>295</v>
      </c>
      <c r="B954" s="36" t="s">
        <v>778</v>
      </c>
      <c r="C954" s="204" t="s">
        <v>44</v>
      </c>
      <c r="D954" s="48" t="s">
        <v>109</v>
      </c>
      <c r="E954" s="43">
        <v>1275.68</v>
      </c>
      <c r="F954" s="175" t="s">
        <v>109</v>
      </c>
      <c r="G954" s="9">
        <f>IF(Tabla9[[#This Row],[Precio
Unidad de Compra ( $)]]="","",(E954/(H954*I954)))</f>
        <v>1275.68</v>
      </c>
      <c r="H954" s="8">
        <v>1</v>
      </c>
      <c r="I954" s="168">
        <v>1</v>
      </c>
      <c r="J954" s="205" t="str">
        <f t="shared" si="24"/>
        <v>H_295</v>
      </c>
      <c r="K954" s="115"/>
    </row>
    <row r="955" spans="1:11">
      <c r="A955" s="41">
        <f t="shared" si="25"/>
        <v>296</v>
      </c>
      <c r="B955" s="36" t="s">
        <v>779</v>
      </c>
      <c r="C955" s="204" t="s">
        <v>44</v>
      </c>
      <c r="D955" s="48" t="s">
        <v>109</v>
      </c>
      <c r="E955" s="43">
        <v>1225.7</v>
      </c>
      <c r="F955" s="175" t="s">
        <v>109</v>
      </c>
      <c r="G955" s="9">
        <f>IF(Tabla9[[#This Row],[Precio
Unidad de Compra ( $)]]="","",(E955/(H955*I955)))</f>
        <v>1225.7</v>
      </c>
      <c r="H955" s="8">
        <v>1</v>
      </c>
      <c r="I955" s="168">
        <v>1</v>
      </c>
      <c r="J955" s="205" t="str">
        <f t="shared" si="24"/>
        <v>H_296</v>
      </c>
      <c r="K955" s="115"/>
    </row>
    <row r="956" spans="1:11">
      <c r="A956" s="41">
        <f t="shared" si="25"/>
        <v>297</v>
      </c>
      <c r="B956" s="36" t="s">
        <v>780</v>
      </c>
      <c r="C956" s="204" t="s">
        <v>44</v>
      </c>
      <c r="D956" s="48" t="s">
        <v>109</v>
      </c>
      <c r="E956" s="43">
        <v>1275.68</v>
      </c>
      <c r="F956" s="175" t="s">
        <v>109</v>
      </c>
      <c r="G956" s="9">
        <f>IF(Tabla9[[#This Row],[Precio
Unidad de Compra ( $)]]="","",(E956/(H956*I956)))</f>
        <v>1275.68</v>
      </c>
      <c r="H956" s="8">
        <v>1</v>
      </c>
      <c r="I956" s="168">
        <v>1</v>
      </c>
      <c r="J956" s="205" t="str">
        <f t="shared" si="24"/>
        <v>H_297</v>
      </c>
      <c r="K956" s="115"/>
    </row>
    <row r="957" spans="1:11">
      <c r="A957" s="41">
        <f t="shared" si="25"/>
        <v>298</v>
      </c>
      <c r="B957" s="36" t="s">
        <v>781</v>
      </c>
      <c r="C957" s="204" t="s">
        <v>44</v>
      </c>
      <c r="D957" s="48" t="s">
        <v>109</v>
      </c>
      <c r="E957" s="43">
        <v>2400</v>
      </c>
      <c r="F957" s="175" t="s">
        <v>109</v>
      </c>
      <c r="G957" s="9">
        <f>IF(Tabla9[[#This Row],[Precio
Unidad de Compra ( $)]]="","",(E957/(H957*I957)))</f>
        <v>2400</v>
      </c>
      <c r="H957" s="8">
        <v>1</v>
      </c>
      <c r="I957" s="168">
        <v>1</v>
      </c>
      <c r="J957" s="205" t="str">
        <f t="shared" si="24"/>
        <v>H_298</v>
      </c>
      <c r="K957" s="115"/>
    </row>
    <row r="958" spans="1:11" ht="30">
      <c r="A958" s="41">
        <f t="shared" si="25"/>
        <v>299</v>
      </c>
      <c r="B958" s="157" t="s">
        <v>782</v>
      </c>
      <c r="C958" s="204" t="s">
        <v>44</v>
      </c>
      <c r="D958" s="48" t="s">
        <v>109</v>
      </c>
      <c r="E958" s="55">
        <v>873.94</v>
      </c>
      <c r="F958" s="181" t="s">
        <v>109</v>
      </c>
      <c r="G958" s="9">
        <f>IF(Tabla9[[#This Row],[Precio
Unidad de Compra ( $)]]="","",(E958/(H958*I958)))</f>
        <v>873.94</v>
      </c>
      <c r="H958" s="8">
        <v>1</v>
      </c>
      <c r="I958" s="168">
        <v>1</v>
      </c>
      <c r="J958" s="205" t="str">
        <f t="shared" si="24"/>
        <v>H_299</v>
      </c>
      <c r="K958" s="115"/>
    </row>
    <row r="959" spans="1:11">
      <c r="A959" s="41">
        <f t="shared" si="25"/>
        <v>300</v>
      </c>
      <c r="B959" s="157" t="s">
        <v>783</v>
      </c>
      <c r="C959" s="204" t="s">
        <v>44</v>
      </c>
      <c r="D959" s="48" t="s">
        <v>109</v>
      </c>
      <c r="E959" s="55">
        <v>873.94</v>
      </c>
      <c r="F959" s="181" t="s">
        <v>109</v>
      </c>
      <c r="G959" s="9">
        <f>IF(Tabla9[[#This Row],[Precio
Unidad de Compra ( $)]]="","",(E959/(H959*I959)))</f>
        <v>873.94</v>
      </c>
      <c r="H959" s="8">
        <v>1</v>
      </c>
      <c r="I959" s="168">
        <v>1</v>
      </c>
      <c r="J959" s="205" t="str">
        <f t="shared" si="24"/>
        <v>H_300</v>
      </c>
      <c r="K959" s="115"/>
    </row>
    <row r="960" spans="1:11">
      <c r="A960" s="41">
        <f t="shared" si="25"/>
        <v>301</v>
      </c>
      <c r="B960" s="157" t="s">
        <v>784</v>
      </c>
      <c r="C960" s="204" t="s">
        <v>44</v>
      </c>
      <c r="D960" s="48" t="s">
        <v>109</v>
      </c>
      <c r="E960" s="55">
        <v>873.94</v>
      </c>
      <c r="F960" s="181" t="s">
        <v>109</v>
      </c>
      <c r="G960" s="9">
        <f>IF(Tabla9[[#This Row],[Precio
Unidad de Compra ( $)]]="","",(E960/(H960*I960)))</f>
        <v>873.94</v>
      </c>
      <c r="H960" s="8">
        <v>1</v>
      </c>
      <c r="I960" s="168">
        <v>1</v>
      </c>
      <c r="J960" s="205" t="str">
        <f t="shared" si="24"/>
        <v>H_301</v>
      </c>
      <c r="K960" s="115"/>
    </row>
    <row r="961" spans="1:11">
      <c r="A961" s="41">
        <f t="shared" si="25"/>
        <v>302</v>
      </c>
      <c r="B961" s="157" t="s">
        <v>785</v>
      </c>
      <c r="C961" s="204" t="s">
        <v>44</v>
      </c>
      <c r="D961" s="48" t="s">
        <v>109</v>
      </c>
      <c r="E961" s="55">
        <v>873.94</v>
      </c>
      <c r="F961" s="181" t="s">
        <v>109</v>
      </c>
      <c r="G961" s="9">
        <f>IF(Tabla9[[#This Row],[Precio
Unidad de Compra ( $)]]="","",(E961/(H961*I961)))</f>
        <v>873.94</v>
      </c>
      <c r="H961" s="8">
        <v>1</v>
      </c>
      <c r="I961" s="168">
        <v>1</v>
      </c>
      <c r="J961" s="205" t="str">
        <f t="shared" si="24"/>
        <v>H_302</v>
      </c>
      <c r="K961" s="115"/>
    </row>
    <row r="962" spans="1:11">
      <c r="A962" s="41">
        <f t="shared" si="25"/>
        <v>303</v>
      </c>
      <c r="B962" s="36" t="s">
        <v>786</v>
      </c>
      <c r="C962" s="204" t="s">
        <v>44</v>
      </c>
      <c r="D962" s="48" t="s">
        <v>109</v>
      </c>
      <c r="E962" s="43">
        <v>131.97</v>
      </c>
      <c r="F962" s="175" t="s">
        <v>109</v>
      </c>
      <c r="G962" s="9">
        <f>IF(Tabla9[[#This Row],[Precio
Unidad de Compra ( $)]]="","",(E962/(H962*I962)))</f>
        <v>131.97</v>
      </c>
      <c r="H962" s="8">
        <v>1</v>
      </c>
      <c r="I962" s="168">
        <v>1</v>
      </c>
      <c r="J962" s="205" t="str">
        <f t="shared" si="24"/>
        <v>H_303</v>
      </c>
      <c r="K962" s="115"/>
    </row>
    <row r="963" spans="1:11">
      <c r="A963" s="41">
        <f t="shared" si="25"/>
        <v>304</v>
      </c>
      <c r="B963" s="157" t="s">
        <v>787</v>
      </c>
      <c r="C963" s="204" t="s">
        <v>44</v>
      </c>
      <c r="D963" s="48" t="s">
        <v>109</v>
      </c>
      <c r="E963" s="55">
        <v>5450</v>
      </c>
      <c r="F963" s="181" t="s">
        <v>109</v>
      </c>
      <c r="G963" s="9">
        <f>IF(Tabla9[[#This Row],[Precio
Unidad de Compra ( $)]]="","",(E963/(H963*I963)))</f>
        <v>5450</v>
      </c>
      <c r="H963" s="8">
        <v>1</v>
      </c>
      <c r="I963" s="168">
        <v>1</v>
      </c>
      <c r="J963" s="205" t="str">
        <f t="shared" si="24"/>
        <v>H_304</v>
      </c>
      <c r="K963" s="115"/>
    </row>
    <row r="964" spans="1:11">
      <c r="A964" s="41">
        <f t="shared" si="25"/>
        <v>305</v>
      </c>
      <c r="B964" s="157" t="s">
        <v>788</v>
      </c>
      <c r="C964" s="204" t="s">
        <v>44</v>
      </c>
      <c r="D964" s="48" t="s">
        <v>109</v>
      </c>
      <c r="E964" s="55">
        <v>5450</v>
      </c>
      <c r="F964" s="181" t="s">
        <v>109</v>
      </c>
      <c r="G964" s="9">
        <f>IF(Tabla9[[#This Row],[Precio
Unidad de Compra ( $)]]="","",(E964/(H964*I964)))</f>
        <v>5450</v>
      </c>
      <c r="H964" s="8">
        <v>1</v>
      </c>
      <c r="I964" s="168">
        <v>1</v>
      </c>
      <c r="J964" s="205" t="str">
        <f t="shared" si="24"/>
        <v>H_305</v>
      </c>
      <c r="K964" s="115"/>
    </row>
    <row r="965" spans="1:11" ht="30">
      <c r="A965" s="41">
        <f t="shared" si="25"/>
        <v>306</v>
      </c>
      <c r="B965" s="157" t="s">
        <v>789</v>
      </c>
      <c r="C965" s="204" t="s">
        <v>44</v>
      </c>
      <c r="D965" s="48" t="s">
        <v>109</v>
      </c>
      <c r="E965" s="55">
        <v>5450</v>
      </c>
      <c r="F965" s="181" t="s">
        <v>109</v>
      </c>
      <c r="G965" s="9">
        <f>IF(Tabla9[[#This Row],[Precio
Unidad de Compra ( $)]]="","",(E965/(H965*I965)))</f>
        <v>5450</v>
      </c>
      <c r="H965" s="8">
        <v>1</v>
      </c>
      <c r="I965" s="168">
        <v>1</v>
      </c>
      <c r="J965" s="205" t="str">
        <f t="shared" si="24"/>
        <v>H_306</v>
      </c>
      <c r="K965" s="115"/>
    </row>
    <row r="966" spans="1:11" ht="30">
      <c r="A966" s="41">
        <f t="shared" si="25"/>
        <v>307</v>
      </c>
      <c r="B966" s="157" t="s">
        <v>790</v>
      </c>
      <c r="C966" s="204" t="s">
        <v>44</v>
      </c>
      <c r="D966" s="48" t="s">
        <v>109</v>
      </c>
      <c r="E966" s="55">
        <v>5450</v>
      </c>
      <c r="F966" s="181" t="s">
        <v>109</v>
      </c>
      <c r="G966" s="9">
        <f>IF(Tabla9[[#This Row],[Precio
Unidad de Compra ( $)]]="","",(E966/(H966*I966)))</f>
        <v>5450</v>
      </c>
      <c r="H966" s="8">
        <v>1</v>
      </c>
      <c r="I966" s="168">
        <v>1</v>
      </c>
      <c r="J966" s="205" t="str">
        <f t="shared" si="24"/>
        <v>H_307</v>
      </c>
      <c r="K966" s="115"/>
    </row>
    <row r="967" spans="1:11" ht="30">
      <c r="A967" s="41">
        <f t="shared" si="25"/>
        <v>308</v>
      </c>
      <c r="B967" s="157" t="s">
        <v>791</v>
      </c>
      <c r="C967" s="204" t="s">
        <v>44</v>
      </c>
      <c r="D967" s="48" t="s">
        <v>109</v>
      </c>
      <c r="E967" s="55">
        <v>5450</v>
      </c>
      <c r="F967" s="181" t="s">
        <v>109</v>
      </c>
      <c r="G967" s="9">
        <f>IF(Tabla9[[#This Row],[Precio
Unidad de Compra ( $)]]="","",(E967/(H967*I967)))</f>
        <v>5450</v>
      </c>
      <c r="H967" s="8">
        <v>1</v>
      </c>
      <c r="I967" s="168">
        <v>1</v>
      </c>
      <c r="J967" s="205" t="str">
        <f t="shared" si="24"/>
        <v>H_308</v>
      </c>
      <c r="K967" s="115"/>
    </row>
    <row r="968" spans="1:11" ht="30">
      <c r="A968" s="41">
        <f t="shared" si="25"/>
        <v>309</v>
      </c>
      <c r="B968" s="157" t="s">
        <v>792</v>
      </c>
      <c r="C968" s="204" t="s">
        <v>44</v>
      </c>
      <c r="D968" s="48" t="s">
        <v>109</v>
      </c>
      <c r="E968" s="55">
        <v>5450</v>
      </c>
      <c r="F968" s="181" t="s">
        <v>109</v>
      </c>
      <c r="G968" s="9">
        <f>IF(Tabla9[[#This Row],[Precio
Unidad de Compra ( $)]]="","",(E968/(H968*I968)))</f>
        <v>5450</v>
      </c>
      <c r="H968" s="8">
        <v>1</v>
      </c>
      <c r="I968" s="168">
        <v>1</v>
      </c>
      <c r="J968" s="205" t="str">
        <f t="shared" si="24"/>
        <v>H_309</v>
      </c>
      <c r="K968" s="115"/>
    </row>
    <row r="969" spans="1:11" ht="30">
      <c r="A969" s="41">
        <f t="shared" si="25"/>
        <v>310</v>
      </c>
      <c r="B969" s="157" t="s">
        <v>793</v>
      </c>
      <c r="C969" s="204" t="s">
        <v>44</v>
      </c>
      <c r="D969" s="48" t="s">
        <v>109</v>
      </c>
      <c r="E969" s="55">
        <v>5450</v>
      </c>
      <c r="F969" s="181" t="s">
        <v>109</v>
      </c>
      <c r="G969" s="9">
        <f>IF(Tabla9[[#This Row],[Precio
Unidad de Compra ( $)]]="","",(E969/(H969*I969)))</f>
        <v>5450</v>
      </c>
      <c r="H969" s="8">
        <v>1</v>
      </c>
      <c r="I969" s="168">
        <v>1</v>
      </c>
      <c r="J969" s="205" t="str">
        <f t="shared" si="24"/>
        <v>H_310</v>
      </c>
      <c r="K969" s="115"/>
    </row>
    <row r="970" spans="1:11" ht="30">
      <c r="A970" s="41">
        <f t="shared" si="25"/>
        <v>311</v>
      </c>
      <c r="B970" s="157" t="s">
        <v>794</v>
      </c>
      <c r="C970" s="204" t="s">
        <v>44</v>
      </c>
      <c r="D970" s="48" t="s">
        <v>109</v>
      </c>
      <c r="E970" s="55">
        <v>5450</v>
      </c>
      <c r="F970" s="181" t="s">
        <v>109</v>
      </c>
      <c r="G970" s="9">
        <f>IF(Tabla9[[#This Row],[Precio
Unidad de Compra ( $)]]="","",(E970/(H970*I970)))</f>
        <v>5450</v>
      </c>
      <c r="H970" s="8">
        <v>1</v>
      </c>
      <c r="I970" s="168">
        <v>1</v>
      </c>
      <c r="J970" s="205" t="str">
        <f t="shared" si="24"/>
        <v>H_311</v>
      </c>
      <c r="K970" s="115"/>
    </row>
    <row r="971" spans="1:11">
      <c r="A971" s="41">
        <f t="shared" si="25"/>
        <v>312</v>
      </c>
      <c r="B971" s="36" t="s">
        <v>795</v>
      </c>
      <c r="C971" s="204" t="s">
        <v>44</v>
      </c>
      <c r="D971" s="48" t="s">
        <v>109</v>
      </c>
      <c r="E971" s="43">
        <v>131.97</v>
      </c>
      <c r="F971" s="175" t="s">
        <v>109</v>
      </c>
      <c r="G971" s="9">
        <f>IF(Tabla9[[#This Row],[Precio
Unidad de Compra ( $)]]="","",(E971/(H971*I971)))</f>
        <v>131.97</v>
      </c>
      <c r="H971" s="8">
        <v>1</v>
      </c>
      <c r="I971" s="168">
        <v>1</v>
      </c>
      <c r="J971" s="205" t="str">
        <f t="shared" si="24"/>
        <v>H_312</v>
      </c>
      <c r="K971" s="115"/>
    </row>
    <row r="972" spans="1:11">
      <c r="A972" s="41">
        <f t="shared" si="25"/>
        <v>313</v>
      </c>
      <c r="B972" s="36" t="s">
        <v>796</v>
      </c>
      <c r="C972" s="204" t="s">
        <v>44</v>
      </c>
      <c r="D972" s="48" t="s">
        <v>109</v>
      </c>
      <c r="E972" s="43">
        <v>131.97</v>
      </c>
      <c r="F972" s="175" t="s">
        <v>109</v>
      </c>
      <c r="G972" s="9">
        <f>IF(Tabla9[[#This Row],[Precio
Unidad de Compra ( $)]]="","",(E972/(H972*I972)))</f>
        <v>131.97</v>
      </c>
      <c r="H972" s="8">
        <v>1</v>
      </c>
      <c r="I972" s="168">
        <v>1</v>
      </c>
      <c r="J972" s="205" t="str">
        <f t="shared" si="24"/>
        <v>H_313</v>
      </c>
      <c r="K972" s="115"/>
    </row>
    <row r="973" spans="1:11">
      <c r="A973" s="41">
        <f t="shared" si="25"/>
        <v>314</v>
      </c>
      <c r="B973" s="169" t="s">
        <v>797</v>
      </c>
      <c r="C973" s="204" t="s">
        <v>44</v>
      </c>
      <c r="D973" s="48" t="s">
        <v>109</v>
      </c>
      <c r="E973" s="43">
        <v>249.9</v>
      </c>
      <c r="F973" s="175" t="s">
        <v>240</v>
      </c>
      <c r="G973" s="9">
        <f>IF(Tabla9[[#This Row],[Precio
Unidad de Compra ( $)]]="","",(E973/(H973*I973)))</f>
        <v>249.9</v>
      </c>
      <c r="H973" s="8">
        <v>1</v>
      </c>
      <c r="I973" s="168">
        <v>1</v>
      </c>
      <c r="J973" s="205" t="str">
        <f t="shared" si="24"/>
        <v>H_314</v>
      </c>
      <c r="K973" s="115"/>
    </row>
    <row r="974" spans="1:11">
      <c r="A974" s="41">
        <f t="shared" si="25"/>
        <v>315</v>
      </c>
      <c r="B974" s="36" t="s">
        <v>798</v>
      </c>
      <c r="C974" s="204" t="s">
        <v>44</v>
      </c>
      <c r="D974" s="48" t="s">
        <v>109</v>
      </c>
      <c r="E974" s="43">
        <v>131.97</v>
      </c>
      <c r="F974" s="175" t="s">
        <v>239</v>
      </c>
      <c r="G974" s="9">
        <f>IF(Tabla9[[#This Row],[Precio
Unidad de Compra ( $)]]="","",(E974/(H974*I974)))</f>
        <v>131.97</v>
      </c>
      <c r="H974" s="8">
        <v>1</v>
      </c>
      <c r="I974" s="168">
        <v>1</v>
      </c>
      <c r="J974" s="205" t="str">
        <f t="shared" si="24"/>
        <v>H_315</v>
      </c>
      <c r="K974" s="115"/>
    </row>
    <row r="975" spans="1:11">
      <c r="A975" s="41">
        <f t="shared" si="25"/>
        <v>316</v>
      </c>
      <c r="B975" s="36" t="s">
        <v>799</v>
      </c>
      <c r="C975" s="204" t="s">
        <v>44</v>
      </c>
      <c r="D975" s="48" t="s">
        <v>109</v>
      </c>
      <c r="E975" s="43">
        <v>131.97</v>
      </c>
      <c r="F975" s="175" t="s">
        <v>109</v>
      </c>
      <c r="G975" s="9">
        <f>IF(Tabla9[[#This Row],[Precio
Unidad de Compra ( $)]]="","",(E975/(H975*I975)))</f>
        <v>131.97</v>
      </c>
      <c r="H975" s="8">
        <v>1</v>
      </c>
      <c r="I975" s="168">
        <v>1</v>
      </c>
      <c r="J975" s="205" t="str">
        <f t="shared" si="24"/>
        <v>H_316</v>
      </c>
      <c r="K975" s="115"/>
    </row>
    <row r="976" spans="1:11">
      <c r="A976" s="41">
        <f t="shared" si="25"/>
        <v>317</v>
      </c>
      <c r="B976" s="36" t="s">
        <v>800</v>
      </c>
      <c r="C976" s="204" t="s">
        <v>44</v>
      </c>
      <c r="D976" s="48" t="s">
        <v>109</v>
      </c>
      <c r="E976" s="55">
        <v>131.97</v>
      </c>
      <c r="F976" s="181" t="s">
        <v>109</v>
      </c>
      <c r="G976" s="9">
        <f>IF(Tabla9[[#This Row],[Precio
Unidad de Compra ( $)]]="","",(E976/(H976*I976)))</f>
        <v>131.97</v>
      </c>
      <c r="H976" s="8">
        <v>1</v>
      </c>
      <c r="I976" s="168">
        <v>1</v>
      </c>
      <c r="J976" s="205" t="str">
        <f t="shared" si="24"/>
        <v>H_317</v>
      </c>
      <c r="K976" s="115"/>
    </row>
    <row r="977" spans="1:11">
      <c r="A977" s="41">
        <f t="shared" si="25"/>
        <v>318</v>
      </c>
      <c r="B977" s="36" t="s">
        <v>801</v>
      </c>
      <c r="C977" s="204" t="s">
        <v>44</v>
      </c>
      <c r="D977" s="48" t="s">
        <v>109</v>
      </c>
      <c r="E977" s="43">
        <v>131.97</v>
      </c>
      <c r="F977" s="175" t="s">
        <v>109</v>
      </c>
      <c r="G977" s="9">
        <f>IF(Tabla9[[#This Row],[Precio
Unidad de Compra ( $)]]="","",(E977/(H977*I977)))</f>
        <v>131.97</v>
      </c>
      <c r="H977" s="8">
        <v>1</v>
      </c>
      <c r="I977" s="168">
        <v>1</v>
      </c>
      <c r="J977" s="205" t="str">
        <f t="shared" si="24"/>
        <v>H_318</v>
      </c>
      <c r="K977" s="115"/>
    </row>
    <row r="978" spans="1:11">
      <c r="A978" s="41">
        <f t="shared" si="25"/>
        <v>319</v>
      </c>
      <c r="B978" s="36" t="s">
        <v>802</v>
      </c>
      <c r="C978" s="204" t="s">
        <v>44</v>
      </c>
      <c r="D978" s="48" t="s">
        <v>109</v>
      </c>
      <c r="E978" s="43">
        <v>131.97</v>
      </c>
      <c r="F978" s="175" t="s">
        <v>109</v>
      </c>
      <c r="G978" s="9">
        <f>IF(Tabla9[[#This Row],[Precio
Unidad de Compra ( $)]]="","",(E978/(H978*I978)))</f>
        <v>131.97</v>
      </c>
      <c r="H978" s="8">
        <v>1</v>
      </c>
      <c r="I978" s="168">
        <v>1</v>
      </c>
      <c r="J978" s="205" t="str">
        <f t="shared" si="24"/>
        <v>H_319</v>
      </c>
      <c r="K978" s="115"/>
    </row>
    <row r="979" spans="1:11">
      <c r="A979" s="41">
        <f t="shared" si="25"/>
        <v>320</v>
      </c>
      <c r="B979" s="36" t="s">
        <v>803</v>
      </c>
      <c r="C979" s="204" t="s">
        <v>44</v>
      </c>
      <c r="D979" s="48" t="s">
        <v>109</v>
      </c>
      <c r="E979" s="43">
        <v>131.97</v>
      </c>
      <c r="F979" s="175" t="s">
        <v>109</v>
      </c>
      <c r="G979" s="9">
        <f>IF(Tabla9[[#This Row],[Precio
Unidad de Compra ( $)]]="","",(E979/(H979*I979)))</f>
        <v>131.97</v>
      </c>
      <c r="H979" s="8">
        <v>1</v>
      </c>
      <c r="I979" s="168">
        <v>1</v>
      </c>
      <c r="J979" s="205" t="str">
        <f t="shared" si="24"/>
        <v>H_320</v>
      </c>
      <c r="K979" s="115"/>
    </row>
    <row r="980" spans="1:11">
      <c r="A980" s="41">
        <f t="shared" si="25"/>
        <v>321</v>
      </c>
      <c r="B980" s="36" t="s">
        <v>804</v>
      </c>
      <c r="C980" s="204" t="s">
        <v>44</v>
      </c>
      <c r="D980" s="48" t="s">
        <v>109</v>
      </c>
      <c r="E980" s="43">
        <v>131.97</v>
      </c>
      <c r="F980" s="175" t="s">
        <v>109</v>
      </c>
      <c r="G980" s="9">
        <f>IF(Tabla9[[#This Row],[Precio
Unidad de Compra ( $)]]="","",(E980/(H980*I980)))</f>
        <v>131.97</v>
      </c>
      <c r="H980" s="8">
        <v>1</v>
      </c>
      <c r="I980" s="168">
        <v>1</v>
      </c>
      <c r="J980" s="205" t="str">
        <f t="shared" ref="J980:J1043" si="26">IFERROR(CONCATENATE(LEFT(C980,1),"_",TEXT(A980,"000")),"")</f>
        <v>H_321</v>
      </c>
      <c r="K980" s="115"/>
    </row>
    <row r="981" spans="1:11">
      <c r="A981" s="41">
        <f t="shared" ref="A981:A1044" si="27">A980+1</f>
        <v>322</v>
      </c>
      <c r="B981" s="36" t="s">
        <v>805</v>
      </c>
      <c r="C981" s="204" t="s">
        <v>44</v>
      </c>
      <c r="D981" s="48" t="s">
        <v>109</v>
      </c>
      <c r="E981" s="43">
        <v>131.97</v>
      </c>
      <c r="F981" s="175" t="s">
        <v>109</v>
      </c>
      <c r="G981" s="9">
        <f>IF(Tabla9[[#This Row],[Precio
Unidad de Compra ( $)]]="","",(E981/(H981*I981)))</f>
        <v>131.97</v>
      </c>
      <c r="H981" s="8">
        <v>1</v>
      </c>
      <c r="I981" s="168">
        <v>1</v>
      </c>
      <c r="J981" s="205" t="str">
        <f t="shared" si="26"/>
        <v>H_322</v>
      </c>
      <c r="K981" s="115"/>
    </row>
    <row r="982" spans="1:11">
      <c r="A982" s="41">
        <f t="shared" si="27"/>
        <v>323</v>
      </c>
      <c r="B982" s="36" t="s">
        <v>806</v>
      </c>
      <c r="C982" s="204" t="s">
        <v>44</v>
      </c>
      <c r="D982" s="48" t="s">
        <v>109</v>
      </c>
      <c r="E982" s="43">
        <v>131.97</v>
      </c>
      <c r="F982" s="175" t="s">
        <v>109</v>
      </c>
      <c r="G982" s="9">
        <f>IF(Tabla9[[#This Row],[Precio
Unidad de Compra ( $)]]="","",(E982/(H982*I982)))</f>
        <v>131.97</v>
      </c>
      <c r="H982" s="8">
        <v>1</v>
      </c>
      <c r="I982" s="168">
        <v>1</v>
      </c>
      <c r="J982" s="205" t="str">
        <f t="shared" si="26"/>
        <v>H_323</v>
      </c>
      <c r="K982" s="115"/>
    </row>
    <row r="983" spans="1:11">
      <c r="A983" s="41">
        <f t="shared" si="27"/>
        <v>324</v>
      </c>
      <c r="B983" s="36" t="s">
        <v>807</v>
      </c>
      <c r="C983" s="204" t="s">
        <v>44</v>
      </c>
      <c r="D983" s="48" t="s">
        <v>109</v>
      </c>
      <c r="E983" s="43">
        <v>131.97</v>
      </c>
      <c r="F983" s="181" t="s">
        <v>109</v>
      </c>
      <c r="G983" s="9">
        <f>IF(Tabla9[[#This Row],[Precio
Unidad de Compra ( $)]]="","",(E983/(H983*I983)))</f>
        <v>131.97</v>
      </c>
      <c r="H983" s="8">
        <v>1</v>
      </c>
      <c r="I983" s="168">
        <v>1</v>
      </c>
      <c r="J983" s="205" t="str">
        <f t="shared" si="26"/>
        <v>H_324</v>
      </c>
      <c r="K983" s="115"/>
    </row>
    <row r="984" spans="1:11">
      <c r="A984" s="41">
        <f t="shared" si="27"/>
        <v>325</v>
      </c>
      <c r="B984" s="36" t="s">
        <v>808</v>
      </c>
      <c r="C984" s="204" t="s">
        <v>44</v>
      </c>
      <c r="D984" s="48" t="s">
        <v>109</v>
      </c>
      <c r="E984" s="43">
        <v>131.97</v>
      </c>
      <c r="F984" s="175" t="s">
        <v>109</v>
      </c>
      <c r="G984" s="9">
        <f>IF(Tabla9[[#This Row],[Precio
Unidad de Compra ( $)]]="","",(E984/(H984*I984)))</f>
        <v>131.97</v>
      </c>
      <c r="H984" s="8">
        <v>1</v>
      </c>
      <c r="I984" s="168">
        <v>1</v>
      </c>
      <c r="J984" s="205" t="str">
        <f t="shared" si="26"/>
        <v>H_325</v>
      </c>
      <c r="K984" s="115"/>
    </row>
    <row r="985" spans="1:11">
      <c r="A985" s="41">
        <f t="shared" si="27"/>
        <v>326</v>
      </c>
      <c r="B985" s="36" t="s">
        <v>809</v>
      </c>
      <c r="C985" s="204" t="s">
        <v>44</v>
      </c>
      <c r="D985" s="48" t="s">
        <v>109</v>
      </c>
      <c r="E985" s="43">
        <v>131.97</v>
      </c>
      <c r="F985" s="175" t="s">
        <v>109</v>
      </c>
      <c r="G985" s="9">
        <f>IF(Tabla9[[#This Row],[Precio
Unidad de Compra ( $)]]="","",(E985/(H985*I985)))</f>
        <v>131.97</v>
      </c>
      <c r="H985" s="8">
        <v>1</v>
      </c>
      <c r="I985" s="168">
        <v>1</v>
      </c>
      <c r="J985" s="205" t="str">
        <f t="shared" si="26"/>
        <v>H_326</v>
      </c>
      <c r="K985" s="115"/>
    </row>
    <row r="986" spans="1:11">
      <c r="A986" s="41">
        <f t="shared" si="27"/>
        <v>327</v>
      </c>
      <c r="B986" s="36" t="s">
        <v>810</v>
      </c>
      <c r="C986" s="204" t="s">
        <v>44</v>
      </c>
      <c r="D986" s="48" t="s">
        <v>109</v>
      </c>
      <c r="E986" s="43">
        <v>131.97</v>
      </c>
      <c r="F986" s="175" t="s">
        <v>109</v>
      </c>
      <c r="G986" s="9">
        <f>IF(Tabla9[[#This Row],[Precio
Unidad de Compra ( $)]]="","",(E986/(H986*I986)))</f>
        <v>131.97</v>
      </c>
      <c r="H986" s="8">
        <v>1</v>
      </c>
      <c r="I986" s="168">
        <v>1</v>
      </c>
      <c r="J986" s="205" t="str">
        <f t="shared" si="26"/>
        <v>H_327</v>
      </c>
      <c r="K986" s="115"/>
    </row>
    <row r="987" spans="1:11">
      <c r="A987" s="41">
        <f t="shared" si="27"/>
        <v>328</v>
      </c>
      <c r="B987" s="36" t="s">
        <v>811</v>
      </c>
      <c r="C987" s="204" t="s">
        <v>44</v>
      </c>
      <c r="D987" s="48" t="s">
        <v>109</v>
      </c>
      <c r="E987" s="55">
        <v>131.97</v>
      </c>
      <c r="F987" s="181" t="s">
        <v>109</v>
      </c>
      <c r="G987" s="9">
        <f>IF(Tabla9[[#This Row],[Precio
Unidad de Compra ( $)]]="","",(E987/(H987*I987)))</f>
        <v>131.97</v>
      </c>
      <c r="H987" s="8">
        <v>1</v>
      </c>
      <c r="I987" s="168">
        <v>1</v>
      </c>
      <c r="J987" s="205" t="str">
        <f t="shared" si="26"/>
        <v>H_328</v>
      </c>
      <c r="K987" s="115"/>
    </row>
    <row r="988" spans="1:11">
      <c r="A988" s="41">
        <f t="shared" si="27"/>
        <v>329</v>
      </c>
      <c r="B988" s="36" t="s">
        <v>812</v>
      </c>
      <c r="C988" s="204" t="s">
        <v>44</v>
      </c>
      <c r="D988" s="48" t="s">
        <v>109</v>
      </c>
      <c r="E988" s="43">
        <v>131.97</v>
      </c>
      <c r="F988" s="175" t="s">
        <v>109</v>
      </c>
      <c r="G988" s="9">
        <f>IF(Tabla9[[#This Row],[Precio
Unidad de Compra ( $)]]="","",(E988/(H988*I988)))</f>
        <v>131.97</v>
      </c>
      <c r="H988" s="8">
        <v>1</v>
      </c>
      <c r="I988" s="168">
        <v>1</v>
      </c>
      <c r="J988" s="205" t="str">
        <f t="shared" si="26"/>
        <v>H_329</v>
      </c>
      <c r="K988" s="115"/>
    </row>
    <row r="989" spans="1:11">
      <c r="A989" s="41">
        <f t="shared" si="27"/>
        <v>330</v>
      </c>
      <c r="B989" s="36" t="s">
        <v>813</v>
      </c>
      <c r="C989" s="204" t="s">
        <v>44</v>
      </c>
      <c r="D989" s="48" t="s">
        <v>109</v>
      </c>
      <c r="E989" s="43">
        <v>131.97</v>
      </c>
      <c r="F989" s="175" t="s">
        <v>109</v>
      </c>
      <c r="G989" s="9">
        <f>IF(Tabla9[[#This Row],[Precio
Unidad de Compra ( $)]]="","",(E989/(H989*I989)))</f>
        <v>131.97</v>
      </c>
      <c r="H989" s="8">
        <v>1</v>
      </c>
      <c r="I989" s="168">
        <v>1</v>
      </c>
      <c r="J989" s="205" t="str">
        <f t="shared" si="26"/>
        <v>H_330</v>
      </c>
      <c r="K989" s="115"/>
    </row>
    <row r="990" spans="1:11">
      <c r="A990" s="41">
        <f t="shared" si="27"/>
        <v>331</v>
      </c>
      <c r="B990" s="36" t="s">
        <v>814</v>
      </c>
      <c r="C990" s="204" t="s">
        <v>44</v>
      </c>
      <c r="D990" s="48" t="s">
        <v>109</v>
      </c>
      <c r="E990" s="43">
        <v>131.97</v>
      </c>
      <c r="F990" s="175" t="s">
        <v>109</v>
      </c>
      <c r="G990" s="9">
        <f>IF(Tabla9[[#This Row],[Precio
Unidad de Compra ( $)]]="","",(E990/(H990*I990)))</f>
        <v>131.97</v>
      </c>
      <c r="H990" s="8">
        <v>1</v>
      </c>
      <c r="I990" s="168">
        <v>1</v>
      </c>
      <c r="J990" s="205" t="str">
        <f t="shared" si="26"/>
        <v>H_331</v>
      </c>
      <c r="K990" s="115"/>
    </row>
    <row r="991" spans="1:11">
      <c r="A991" s="41">
        <f t="shared" si="27"/>
        <v>332</v>
      </c>
      <c r="B991" s="36" t="s">
        <v>815</v>
      </c>
      <c r="C991" s="204" t="s">
        <v>44</v>
      </c>
      <c r="D991" s="48" t="s">
        <v>109</v>
      </c>
      <c r="E991" s="43">
        <v>131.97</v>
      </c>
      <c r="F991" s="175" t="s">
        <v>109</v>
      </c>
      <c r="G991" s="9">
        <f>IF(Tabla9[[#This Row],[Precio
Unidad de Compra ( $)]]="","",(E991/(H991*I991)))</f>
        <v>131.97</v>
      </c>
      <c r="H991" s="8">
        <v>1</v>
      </c>
      <c r="I991" s="168">
        <v>1</v>
      </c>
      <c r="J991" s="205" t="str">
        <f t="shared" si="26"/>
        <v>H_332</v>
      </c>
      <c r="K991" s="115"/>
    </row>
    <row r="992" spans="1:11">
      <c r="A992" s="41">
        <f t="shared" si="27"/>
        <v>333</v>
      </c>
      <c r="B992" s="36" t="s">
        <v>816</v>
      </c>
      <c r="C992" s="204" t="s">
        <v>44</v>
      </c>
      <c r="D992" s="48" t="s">
        <v>109</v>
      </c>
      <c r="E992" s="55">
        <v>131.97</v>
      </c>
      <c r="F992" s="181" t="s">
        <v>109</v>
      </c>
      <c r="G992" s="9">
        <f>IF(Tabla9[[#This Row],[Precio
Unidad de Compra ( $)]]="","",(E992/(H992*I992)))</f>
        <v>131.97</v>
      </c>
      <c r="H992" s="8">
        <v>1</v>
      </c>
      <c r="I992" s="168">
        <v>1</v>
      </c>
      <c r="J992" s="205" t="str">
        <f t="shared" si="26"/>
        <v>H_333</v>
      </c>
      <c r="K992" s="115"/>
    </row>
    <row r="993" spans="1:11" ht="30">
      <c r="A993" s="41">
        <f t="shared" si="27"/>
        <v>334</v>
      </c>
      <c r="B993" s="157" t="s">
        <v>817</v>
      </c>
      <c r="C993" s="204" t="s">
        <v>44</v>
      </c>
      <c r="D993" s="48" t="s">
        <v>109</v>
      </c>
      <c r="E993" s="55">
        <v>6957.9299999999994</v>
      </c>
      <c r="F993" s="181" t="s">
        <v>109</v>
      </c>
      <c r="G993" s="9">
        <f>IF(Tabla9[[#This Row],[Precio
Unidad de Compra ( $)]]="","",(E993/(H993*I993)))</f>
        <v>6957.9299999999994</v>
      </c>
      <c r="H993" s="8">
        <v>1</v>
      </c>
      <c r="I993" s="168">
        <v>1</v>
      </c>
      <c r="J993" s="205" t="str">
        <f t="shared" si="26"/>
        <v>H_334</v>
      </c>
      <c r="K993" s="115"/>
    </row>
    <row r="994" spans="1:11">
      <c r="A994" s="41">
        <f t="shared" si="27"/>
        <v>335</v>
      </c>
      <c r="B994" s="157" t="s">
        <v>818</v>
      </c>
      <c r="C994" s="204" t="s">
        <v>44</v>
      </c>
      <c r="D994" s="48" t="s">
        <v>109</v>
      </c>
      <c r="E994" s="55">
        <v>2563</v>
      </c>
      <c r="F994" s="181" t="s">
        <v>109</v>
      </c>
      <c r="G994" s="9">
        <f>IF(Tabla9[[#This Row],[Precio
Unidad de Compra ( $)]]="","",(E994/(H994*I994)))</f>
        <v>2563</v>
      </c>
      <c r="H994" s="8">
        <v>1</v>
      </c>
      <c r="I994" s="168">
        <v>1</v>
      </c>
      <c r="J994" s="205" t="str">
        <f t="shared" si="26"/>
        <v>H_335</v>
      </c>
      <c r="K994" s="115"/>
    </row>
    <row r="995" spans="1:11">
      <c r="A995" s="41">
        <f t="shared" si="27"/>
        <v>336</v>
      </c>
      <c r="B995" s="157" t="s">
        <v>819</v>
      </c>
      <c r="C995" s="204" t="s">
        <v>44</v>
      </c>
      <c r="D995" s="48" t="s">
        <v>109</v>
      </c>
      <c r="E995" s="55">
        <v>2563</v>
      </c>
      <c r="F995" s="181" t="s">
        <v>109</v>
      </c>
      <c r="G995" s="9">
        <f>IF(Tabla9[[#This Row],[Precio
Unidad de Compra ( $)]]="","",(E995/(H995*I995)))</f>
        <v>2563</v>
      </c>
      <c r="H995" s="8">
        <v>1</v>
      </c>
      <c r="I995" s="168">
        <v>1</v>
      </c>
      <c r="J995" s="205" t="str">
        <f t="shared" si="26"/>
        <v>H_336</v>
      </c>
      <c r="K995" s="115"/>
    </row>
    <row r="996" spans="1:11" ht="30">
      <c r="A996" s="41">
        <f t="shared" si="27"/>
        <v>337</v>
      </c>
      <c r="B996" s="157" t="s">
        <v>820</v>
      </c>
      <c r="C996" s="204" t="s">
        <v>44</v>
      </c>
      <c r="D996" s="48" t="s">
        <v>109</v>
      </c>
      <c r="E996" s="55">
        <v>2563</v>
      </c>
      <c r="F996" s="181" t="s">
        <v>109</v>
      </c>
      <c r="G996" s="9">
        <f>IF(Tabla9[[#This Row],[Precio
Unidad de Compra ( $)]]="","",(E996/(H996*I996)))</f>
        <v>2563</v>
      </c>
      <c r="H996" s="8">
        <v>1</v>
      </c>
      <c r="I996" s="168">
        <v>1</v>
      </c>
      <c r="J996" s="205" t="str">
        <f t="shared" si="26"/>
        <v>H_337</v>
      </c>
      <c r="K996" s="115"/>
    </row>
    <row r="997" spans="1:11">
      <c r="A997" s="41">
        <f t="shared" si="27"/>
        <v>338</v>
      </c>
      <c r="B997" s="157" t="s">
        <v>821</v>
      </c>
      <c r="C997" s="204" t="s">
        <v>44</v>
      </c>
      <c r="D997" s="48" t="s">
        <v>109</v>
      </c>
      <c r="E997" s="55">
        <v>2563</v>
      </c>
      <c r="F997" s="181" t="s">
        <v>109</v>
      </c>
      <c r="G997" s="9">
        <f>IF(Tabla9[[#This Row],[Precio
Unidad de Compra ( $)]]="","",(E997/(H997*I997)))</f>
        <v>2563</v>
      </c>
      <c r="H997" s="8">
        <v>1</v>
      </c>
      <c r="I997" s="168">
        <v>1</v>
      </c>
      <c r="J997" s="205" t="str">
        <f t="shared" si="26"/>
        <v>H_338</v>
      </c>
      <c r="K997" s="115"/>
    </row>
    <row r="998" spans="1:11" ht="30">
      <c r="A998" s="41">
        <f t="shared" si="27"/>
        <v>339</v>
      </c>
      <c r="B998" s="157" t="s">
        <v>822</v>
      </c>
      <c r="C998" s="204" t="s">
        <v>44</v>
      </c>
      <c r="D998" s="48" t="s">
        <v>109</v>
      </c>
      <c r="E998" s="55">
        <v>2885.5</v>
      </c>
      <c r="F998" s="181" t="s">
        <v>109</v>
      </c>
      <c r="G998" s="9">
        <f>IF(Tabla9[[#This Row],[Precio
Unidad de Compra ( $)]]="","",(E998/(H998*I998)))</f>
        <v>2885.5</v>
      </c>
      <c r="H998" s="8">
        <v>1</v>
      </c>
      <c r="I998" s="168">
        <v>1</v>
      </c>
      <c r="J998" s="205" t="str">
        <f t="shared" si="26"/>
        <v>H_339</v>
      </c>
      <c r="K998" s="115"/>
    </row>
    <row r="999" spans="1:11" ht="30">
      <c r="A999" s="41">
        <f t="shared" si="27"/>
        <v>340</v>
      </c>
      <c r="B999" s="157" t="s">
        <v>823</v>
      </c>
      <c r="C999" s="204" t="s">
        <v>44</v>
      </c>
      <c r="D999" s="48" t="s">
        <v>109</v>
      </c>
      <c r="E999" s="55">
        <v>2885.5</v>
      </c>
      <c r="F999" s="181" t="s">
        <v>109</v>
      </c>
      <c r="G999" s="9">
        <f>IF(Tabla9[[#This Row],[Precio
Unidad de Compra ( $)]]="","",(E999/(H999*I999)))</f>
        <v>2885.5</v>
      </c>
      <c r="H999" s="8">
        <v>1</v>
      </c>
      <c r="I999" s="168">
        <v>1</v>
      </c>
      <c r="J999" s="205" t="str">
        <f t="shared" si="26"/>
        <v>H_340</v>
      </c>
      <c r="K999" s="115"/>
    </row>
    <row r="1000" spans="1:11" ht="30">
      <c r="A1000" s="41">
        <f t="shared" si="27"/>
        <v>341</v>
      </c>
      <c r="B1000" s="157" t="s">
        <v>824</v>
      </c>
      <c r="C1000" s="204" t="s">
        <v>44</v>
      </c>
      <c r="D1000" s="48" t="s">
        <v>109</v>
      </c>
      <c r="E1000" s="55">
        <v>2885.5</v>
      </c>
      <c r="F1000" s="181" t="s">
        <v>109</v>
      </c>
      <c r="G1000" s="9">
        <f>IF(Tabla9[[#This Row],[Precio
Unidad de Compra ( $)]]="","",(E1000/(H1000*I1000)))</f>
        <v>2885.5</v>
      </c>
      <c r="H1000" s="8">
        <v>1</v>
      </c>
      <c r="I1000" s="168">
        <v>1</v>
      </c>
      <c r="J1000" s="205" t="str">
        <f t="shared" si="26"/>
        <v>H_341</v>
      </c>
      <c r="K1000" s="115"/>
    </row>
    <row r="1001" spans="1:11" ht="30">
      <c r="A1001" s="41">
        <f t="shared" si="27"/>
        <v>342</v>
      </c>
      <c r="B1001" s="157" t="s">
        <v>825</v>
      </c>
      <c r="C1001" s="204" t="s">
        <v>44</v>
      </c>
      <c r="D1001" s="48" t="s">
        <v>109</v>
      </c>
      <c r="E1001" s="55">
        <v>2885.5</v>
      </c>
      <c r="F1001" s="181" t="s">
        <v>109</v>
      </c>
      <c r="G1001" s="9">
        <f>IF(Tabla9[[#This Row],[Precio
Unidad de Compra ( $)]]="","",(E1001/(H1001*I1001)))</f>
        <v>2885.5</v>
      </c>
      <c r="H1001" s="8">
        <v>1</v>
      </c>
      <c r="I1001" s="168">
        <v>1</v>
      </c>
      <c r="J1001" s="205" t="str">
        <f t="shared" si="26"/>
        <v>H_342</v>
      </c>
      <c r="K1001" s="115"/>
    </row>
    <row r="1002" spans="1:11" ht="30">
      <c r="A1002" s="41">
        <f t="shared" si="27"/>
        <v>343</v>
      </c>
      <c r="B1002" s="157" t="s">
        <v>826</v>
      </c>
      <c r="C1002" s="204" t="s">
        <v>44</v>
      </c>
      <c r="D1002" s="48" t="s">
        <v>109</v>
      </c>
      <c r="E1002" s="55">
        <v>2885.5</v>
      </c>
      <c r="F1002" s="181" t="s">
        <v>109</v>
      </c>
      <c r="G1002" s="9">
        <f>IF(Tabla9[[#This Row],[Precio
Unidad de Compra ( $)]]="","",(E1002/(H1002*I1002)))</f>
        <v>2885.5</v>
      </c>
      <c r="H1002" s="8">
        <v>1</v>
      </c>
      <c r="I1002" s="168">
        <v>1</v>
      </c>
      <c r="J1002" s="205" t="str">
        <f t="shared" si="26"/>
        <v>H_343</v>
      </c>
      <c r="K1002" s="115"/>
    </row>
    <row r="1003" spans="1:11" ht="30">
      <c r="A1003" s="41">
        <f t="shared" si="27"/>
        <v>344</v>
      </c>
      <c r="B1003" s="157" t="s">
        <v>827</v>
      </c>
      <c r="C1003" s="204" t="s">
        <v>44</v>
      </c>
      <c r="D1003" s="48" t="s">
        <v>109</v>
      </c>
      <c r="E1003" s="55">
        <v>2885.5</v>
      </c>
      <c r="F1003" s="181" t="s">
        <v>109</v>
      </c>
      <c r="G1003" s="9">
        <f>IF(Tabla9[[#This Row],[Precio
Unidad de Compra ( $)]]="","",(E1003/(H1003*I1003)))</f>
        <v>2885.5</v>
      </c>
      <c r="H1003" s="8">
        <v>1</v>
      </c>
      <c r="I1003" s="168">
        <v>1</v>
      </c>
      <c r="J1003" s="205" t="str">
        <f t="shared" si="26"/>
        <v>H_344</v>
      </c>
      <c r="K1003" s="115"/>
    </row>
    <row r="1004" spans="1:11" ht="30">
      <c r="A1004" s="41">
        <f t="shared" si="27"/>
        <v>345</v>
      </c>
      <c r="B1004" s="157" t="s">
        <v>828</v>
      </c>
      <c r="C1004" s="204" t="s">
        <v>44</v>
      </c>
      <c r="D1004" s="48" t="s">
        <v>109</v>
      </c>
      <c r="E1004" s="55">
        <v>2885.5</v>
      </c>
      <c r="F1004" s="181" t="s">
        <v>109</v>
      </c>
      <c r="G1004" s="9">
        <f>IF(Tabla9[[#This Row],[Precio
Unidad de Compra ( $)]]="","",(E1004/(H1004*I1004)))</f>
        <v>2885.5</v>
      </c>
      <c r="H1004" s="8">
        <v>1</v>
      </c>
      <c r="I1004" s="168">
        <v>1</v>
      </c>
      <c r="J1004" s="205" t="str">
        <f t="shared" si="26"/>
        <v>H_345</v>
      </c>
      <c r="K1004" s="115"/>
    </row>
    <row r="1005" spans="1:11" ht="30">
      <c r="A1005" s="41">
        <f t="shared" si="27"/>
        <v>346</v>
      </c>
      <c r="B1005" s="157" t="s">
        <v>829</v>
      </c>
      <c r="C1005" s="204" t="s">
        <v>44</v>
      </c>
      <c r="D1005" s="48" t="s">
        <v>109</v>
      </c>
      <c r="E1005" s="55">
        <v>2885.5</v>
      </c>
      <c r="F1005" s="181" t="s">
        <v>109</v>
      </c>
      <c r="G1005" s="9">
        <f>IF(Tabla9[[#This Row],[Precio
Unidad de Compra ( $)]]="","",(E1005/(H1005*I1005)))</f>
        <v>2885.5</v>
      </c>
      <c r="H1005" s="8">
        <v>1</v>
      </c>
      <c r="I1005" s="168">
        <v>1</v>
      </c>
      <c r="J1005" s="205" t="str">
        <f t="shared" si="26"/>
        <v>H_346</v>
      </c>
      <c r="K1005" s="115"/>
    </row>
    <row r="1006" spans="1:11" ht="30">
      <c r="A1006" s="41">
        <f t="shared" si="27"/>
        <v>347</v>
      </c>
      <c r="B1006" s="157" t="s">
        <v>830</v>
      </c>
      <c r="C1006" s="204" t="s">
        <v>44</v>
      </c>
      <c r="D1006" s="48" t="s">
        <v>109</v>
      </c>
      <c r="E1006" s="55">
        <v>2785.5</v>
      </c>
      <c r="F1006" s="181" t="s">
        <v>109</v>
      </c>
      <c r="G1006" s="9">
        <f>IF(Tabla9[[#This Row],[Precio
Unidad de Compra ( $)]]="","",(E1006/(H1006*I1006)))</f>
        <v>2785.5</v>
      </c>
      <c r="H1006" s="8">
        <v>1</v>
      </c>
      <c r="I1006" s="168">
        <v>1</v>
      </c>
      <c r="J1006" s="205" t="str">
        <f t="shared" si="26"/>
        <v>H_347</v>
      </c>
      <c r="K1006" s="115"/>
    </row>
    <row r="1007" spans="1:11" ht="30">
      <c r="A1007" s="41">
        <f t="shared" si="27"/>
        <v>348</v>
      </c>
      <c r="B1007" s="157" t="s">
        <v>831</v>
      </c>
      <c r="C1007" s="204" t="s">
        <v>44</v>
      </c>
      <c r="D1007" s="48" t="s">
        <v>109</v>
      </c>
      <c r="E1007" s="55">
        <v>2785.5</v>
      </c>
      <c r="F1007" s="181" t="s">
        <v>109</v>
      </c>
      <c r="G1007" s="9">
        <f>IF(Tabla9[[#This Row],[Precio
Unidad de Compra ( $)]]="","",(E1007/(H1007*I1007)))</f>
        <v>2785.5</v>
      </c>
      <c r="H1007" s="8">
        <v>1</v>
      </c>
      <c r="I1007" s="168">
        <v>1</v>
      </c>
      <c r="J1007" s="205" t="str">
        <f t="shared" si="26"/>
        <v>H_348</v>
      </c>
      <c r="K1007" s="115"/>
    </row>
    <row r="1008" spans="1:11" ht="30">
      <c r="A1008" s="41">
        <f t="shared" si="27"/>
        <v>349</v>
      </c>
      <c r="B1008" s="157" t="s">
        <v>832</v>
      </c>
      <c r="C1008" s="204" t="s">
        <v>44</v>
      </c>
      <c r="D1008" s="48" t="s">
        <v>109</v>
      </c>
      <c r="E1008" s="55">
        <v>1</v>
      </c>
      <c r="F1008" s="181" t="s">
        <v>109</v>
      </c>
      <c r="G1008" s="9">
        <f>IF(Tabla9[[#This Row],[Precio
Unidad de Compra ( $)]]="","",(E1008/(H1008*I1008)))</f>
        <v>1</v>
      </c>
      <c r="H1008" s="8">
        <v>1</v>
      </c>
      <c r="I1008" s="168">
        <v>1</v>
      </c>
      <c r="J1008" s="205" t="str">
        <f t="shared" si="26"/>
        <v>H_349</v>
      </c>
      <c r="K1008" s="115"/>
    </row>
    <row r="1009" spans="1:11" ht="30">
      <c r="A1009" s="41">
        <f t="shared" si="27"/>
        <v>350</v>
      </c>
      <c r="B1009" s="157" t="s">
        <v>833</v>
      </c>
      <c r="C1009" s="204" t="s">
        <v>44</v>
      </c>
      <c r="D1009" s="48" t="s">
        <v>109</v>
      </c>
      <c r="E1009" s="55">
        <v>1200</v>
      </c>
      <c r="F1009" s="181" t="s">
        <v>109</v>
      </c>
      <c r="G1009" s="9">
        <f>IF(Tabla9[[#This Row],[Precio
Unidad de Compra ( $)]]="","",(E1009/(H1009*I1009)))</f>
        <v>1200</v>
      </c>
      <c r="H1009" s="8">
        <v>1</v>
      </c>
      <c r="I1009" s="168">
        <v>1</v>
      </c>
      <c r="J1009" s="205" t="str">
        <f t="shared" si="26"/>
        <v>H_350</v>
      </c>
      <c r="K1009" s="115"/>
    </row>
    <row r="1010" spans="1:11" ht="30">
      <c r="A1010" s="41">
        <f t="shared" si="27"/>
        <v>351</v>
      </c>
      <c r="B1010" s="157" t="s">
        <v>834</v>
      </c>
      <c r="C1010" s="204" t="s">
        <v>44</v>
      </c>
      <c r="D1010" s="48" t="s">
        <v>109</v>
      </c>
      <c r="E1010" s="55">
        <v>1200</v>
      </c>
      <c r="F1010" s="181" t="s">
        <v>109</v>
      </c>
      <c r="G1010" s="9">
        <f>IF(Tabla9[[#This Row],[Precio
Unidad de Compra ( $)]]="","",(E1010/(H1010*I1010)))</f>
        <v>1200</v>
      </c>
      <c r="H1010" s="8">
        <v>1</v>
      </c>
      <c r="I1010" s="168">
        <v>1</v>
      </c>
      <c r="J1010" s="205" t="str">
        <f t="shared" si="26"/>
        <v>H_351</v>
      </c>
      <c r="K1010" s="115"/>
    </row>
    <row r="1011" spans="1:11">
      <c r="A1011" s="41">
        <f t="shared" si="27"/>
        <v>352</v>
      </c>
      <c r="B1011" s="157" t="s">
        <v>835</v>
      </c>
      <c r="C1011" s="204" t="s">
        <v>44</v>
      </c>
      <c r="D1011" s="48" t="s">
        <v>109</v>
      </c>
      <c r="E1011" s="55">
        <v>1200</v>
      </c>
      <c r="F1011" s="181" t="s">
        <v>109</v>
      </c>
      <c r="G1011" s="9">
        <f>IF(Tabla9[[#This Row],[Precio
Unidad de Compra ( $)]]="","",(E1011/(H1011*I1011)))</f>
        <v>1200</v>
      </c>
      <c r="H1011" s="8">
        <v>1</v>
      </c>
      <c r="I1011" s="168">
        <v>1</v>
      </c>
      <c r="J1011" s="205" t="str">
        <f t="shared" si="26"/>
        <v>H_352</v>
      </c>
      <c r="K1011" s="115"/>
    </row>
    <row r="1012" spans="1:11">
      <c r="A1012" s="41">
        <f t="shared" si="27"/>
        <v>353</v>
      </c>
      <c r="B1012" s="157" t="s">
        <v>836</v>
      </c>
      <c r="C1012" s="204" t="s">
        <v>44</v>
      </c>
      <c r="D1012" s="48" t="s">
        <v>109</v>
      </c>
      <c r="E1012" s="55">
        <v>500</v>
      </c>
      <c r="F1012" s="181" t="s">
        <v>109</v>
      </c>
      <c r="G1012" s="9">
        <f>IF(Tabla9[[#This Row],[Precio
Unidad de Compra ( $)]]="","",(E1012/(H1012*I1012)))</f>
        <v>500</v>
      </c>
      <c r="H1012" s="8">
        <v>1</v>
      </c>
      <c r="I1012" s="168">
        <v>1</v>
      </c>
      <c r="J1012" s="205" t="str">
        <f t="shared" si="26"/>
        <v>H_353</v>
      </c>
      <c r="K1012" s="115"/>
    </row>
    <row r="1013" spans="1:11">
      <c r="A1013" s="41">
        <f t="shared" si="27"/>
        <v>354</v>
      </c>
      <c r="B1013" s="157" t="s">
        <v>837</v>
      </c>
      <c r="C1013" s="204" t="s">
        <v>44</v>
      </c>
      <c r="D1013" s="48" t="s">
        <v>109</v>
      </c>
      <c r="E1013" s="55">
        <v>500</v>
      </c>
      <c r="F1013" s="181" t="s">
        <v>109</v>
      </c>
      <c r="G1013" s="9">
        <f>IF(Tabla9[[#This Row],[Precio
Unidad de Compra ( $)]]="","",(E1013/(H1013*I1013)))</f>
        <v>500</v>
      </c>
      <c r="H1013" s="8">
        <v>1</v>
      </c>
      <c r="I1013" s="168">
        <v>1</v>
      </c>
      <c r="J1013" s="205" t="str">
        <f t="shared" si="26"/>
        <v>H_354</v>
      </c>
      <c r="K1013" s="115"/>
    </row>
    <row r="1014" spans="1:11">
      <c r="A1014" s="41">
        <f t="shared" si="27"/>
        <v>355</v>
      </c>
      <c r="B1014" s="157" t="s">
        <v>838</v>
      </c>
      <c r="C1014" s="204" t="s">
        <v>44</v>
      </c>
      <c r="D1014" s="48" t="s">
        <v>109</v>
      </c>
      <c r="E1014" s="55">
        <v>500</v>
      </c>
      <c r="F1014" s="181" t="s">
        <v>109</v>
      </c>
      <c r="G1014" s="9">
        <f>IF(Tabla9[[#This Row],[Precio
Unidad de Compra ( $)]]="","",(E1014/(H1014*I1014)))</f>
        <v>500</v>
      </c>
      <c r="H1014" s="8">
        <v>1</v>
      </c>
      <c r="I1014" s="168">
        <v>1</v>
      </c>
      <c r="J1014" s="205" t="str">
        <f t="shared" si="26"/>
        <v>H_355</v>
      </c>
      <c r="K1014" s="115"/>
    </row>
    <row r="1015" spans="1:11">
      <c r="A1015" s="41">
        <f t="shared" si="27"/>
        <v>356</v>
      </c>
      <c r="B1015" s="157" t="s">
        <v>839</v>
      </c>
      <c r="C1015" s="204" t="s">
        <v>44</v>
      </c>
      <c r="D1015" s="48" t="s">
        <v>109</v>
      </c>
      <c r="E1015" s="55">
        <v>500</v>
      </c>
      <c r="F1015" s="181" t="s">
        <v>109</v>
      </c>
      <c r="G1015" s="9">
        <f>IF(Tabla9[[#This Row],[Precio
Unidad de Compra ( $)]]="","",(E1015/(H1015*I1015)))</f>
        <v>500</v>
      </c>
      <c r="H1015" s="8">
        <v>1</v>
      </c>
      <c r="I1015" s="168">
        <v>1</v>
      </c>
      <c r="J1015" s="205" t="str">
        <f t="shared" si="26"/>
        <v>H_356</v>
      </c>
      <c r="K1015" s="115"/>
    </row>
    <row r="1016" spans="1:11">
      <c r="A1016" s="41">
        <f t="shared" si="27"/>
        <v>357</v>
      </c>
      <c r="B1016" s="157" t="s">
        <v>840</v>
      </c>
      <c r="C1016" s="204" t="s">
        <v>44</v>
      </c>
      <c r="D1016" s="48" t="s">
        <v>109</v>
      </c>
      <c r="E1016" s="55">
        <v>500</v>
      </c>
      <c r="F1016" s="181" t="s">
        <v>109</v>
      </c>
      <c r="G1016" s="9">
        <f>IF(Tabla9[[#This Row],[Precio
Unidad de Compra ( $)]]="","",(E1016/(H1016*I1016)))</f>
        <v>500</v>
      </c>
      <c r="H1016" s="8">
        <v>1</v>
      </c>
      <c r="I1016" s="168">
        <v>1</v>
      </c>
      <c r="J1016" s="205" t="str">
        <f t="shared" si="26"/>
        <v>H_357</v>
      </c>
      <c r="K1016" s="115"/>
    </row>
    <row r="1017" spans="1:11">
      <c r="A1017" s="41">
        <f t="shared" si="27"/>
        <v>358</v>
      </c>
      <c r="B1017" s="157" t="s">
        <v>841</v>
      </c>
      <c r="C1017" s="204" t="s">
        <v>44</v>
      </c>
      <c r="D1017" s="48" t="s">
        <v>109</v>
      </c>
      <c r="E1017" s="55">
        <v>114.24</v>
      </c>
      <c r="F1017" s="181" t="s">
        <v>109</v>
      </c>
      <c r="G1017" s="9">
        <f>IF(Tabla9[[#This Row],[Precio
Unidad de Compra ( $)]]="","",(E1017/(H1017*I1017)))</f>
        <v>114.24</v>
      </c>
      <c r="H1017" s="8">
        <v>1</v>
      </c>
      <c r="I1017" s="168">
        <v>1</v>
      </c>
      <c r="J1017" s="205" t="str">
        <f t="shared" si="26"/>
        <v>H_358</v>
      </c>
      <c r="K1017" s="115"/>
    </row>
    <row r="1018" spans="1:11">
      <c r="A1018" s="41">
        <f t="shared" si="27"/>
        <v>359</v>
      </c>
      <c r="B1018" s="157" t="s">
        <v>842</v>
      </c>
      <c r="C1018" s="204" t="s">
        <v>44</v>
      </c>
      <c r="D1018" s="48" t="s">
        <v>109</v>
      </c>
      <c r="E1018" s="55">
        <v>114.24</v>
      </c>
      <c r="F1018" s="181" t="s">
        <v>109</v>
      </c>
      <c r="G1018" s="9">
        <f>IF(Tabla9[[#This Row],[Precio
Unidad de Compra ( $)]]="","",(E1018/(H1018*I1018)))</f>
        <v>114.24</v>
      </c>
      <c r="H1018" s="8">
        <v>1</v>
      </c>
      <c r="I1018" s="168">
        <v>1</v>
      </c>
      <c r="J1018" s="205" t="str">
        <f t="shared" si="26"/>
        <v>H_359</v>
      </c>
      <c r="K1018" s="115"/>
    </row>
    <row r="1019" spans="1:11">
      <c r="A1019" s="41">
        <f t="shared" si="27"/>
        <v>360</v>
      </c>
      <c r="B1019" s="157" t="s">
        <v>843</v>
      </c>
      <c r="C1019" s="204" t="s">
        <v>44</v>
      </c>
      <c r="D1019" s="48" t="s">
        <v>109</v>
      </c>
      <c r="E1019" s="55">
        <v>114.24</v>
      </c>
      <c r="F1019" s="181" t="s">
        <v>109</v>
      </c>
      <c r="G1019" s="9">
        <f>IF(Tabla9[[#This Row],[Precio
Unidad de Compra ( $)]]="","",(E1019/(H1019*I1019)))</f>
        <v>114.24</v>
      </c>
      <c r="H1019" s="8">
        <v>1</v>
      </c>
      <c r="I1019" s="168">
        <v>1</v>
      </c>
      <c r="J1019" s="205" t="str">
        <f t="shared" si="26"/>
        <v>H_360</v>
      </c>
      <c r="K1019" s="115"/>
    </row>
    <row r="1020" spans="1:11">
      <c r="A1020" s="41">
        <f t="shared" si="27"/>
        <v>361</v>
      </c>
      <c r="B1020" s="157" t="s">
        <v>844</v>
      </c>
      <c r="C1020" s="204" t="s">
        <v>44</v>
      </c>
      <c r="D1020" s="48" t="s">
        <v>109</v>
      </c>
      <c r="E1020" s="55">
        <v>114.24</v>
      </c>
      <c r="F1020" s="181" t="s">
        <v>109</v>
      </c>
      <c r="G1020" s="9">
        <f>IF(Tabla9[[#This Row],[Precio
Unidad de Compra ( $)]]="","",(E1020/(H1020*I1020)))</f>
        <v>114.24</v>
      </c>
      <c r="H1020" s="8">
        <v>1</v>
      </c>
      <c r="I1020" s="168">
        <v>1</v>
      </c>
      <c r="J1020" s="205" t="str">
        <f t="shared" si="26"/>
        <v>H_361</v>
      </c>
      <c r="K1020" s="115"/>
    </row>
    <row r="1021" spans="1:11">
      <c r="A1021" s="41">
        <f t="shared" si="27"/>
        <v>362</v>
      </c>
      <c r="B1021" s="157" t="s">
        <v>845</v>
      </c>
      <c r="C1021" s="204" t="s">
        <v>44</v>
      </c>
      <c r="D1021" s="48" t="s">
        <v>109</v>
      </c>
      <c r="E1021" s="55">
        <v>114.24</v>
      </c>
      <c r="F1021" s="181" t="s">
        <v>109</v>
      </c>
      <c r="G1021" s="9">
        <f>IF(Tabla9[[#This Row],[Precio
Unidad de Compra ( $)]]="","",(E1021/(H1021*I1021)))</f>
        <v>114.24</v>
      </c>
      <c r="H1021" s="8">
        <v>1</v>
      </c>
      <c r="I1021" s="168">
        <v>1</v>
      </c>
      <c r="J1021" s="205" t="str">
        <f t="shared" si="26"/>
        <v>H_362</v>
      </c>
      <c r="K1021" s="115"/>
    </row>
    <row r="1022" spans="1:11">
      <c r="A1022" s="41">
        <f t="shared" si="27"/>
        <v>363</v>
      </c>
      <c r="B1022" s="157" t="s">
        <v>846</v>
      </c>
      <c r="C1022" s="204" t="s">
        <v>44</v>
      </c>
      <c r="D1022" s="48" t="s">
        <v>109</v>
      </c>
      <c r="E1022" s="55">
        <v>114.24</v>
      </c>
      <c r="F1022" s="181" t="s">
        <v>109</v>
      </c>
      <c r="G1022" s="9">
        <f>IF(Tabla9[[#This Row],[Precio
Unidad de Compra ( $)]]="","",(E1022/(H1022*I1022)))</f>
        <v>114.24</v>
      </c>
      <c r="H1022" s="8">
        <v>1</v>
      </c>
      <c r="I1022" s="168">
        <v>1</v>
      </c>
      <c r="J1022" s="205" t="str">
        <f t="shared" si="26"/>
        <v>H_363</v>
      </c>
      <c r="K1022" s="115"/>
    </row>
    <row r="1023" spans="1:11">
      <c r="A1023" s="41">
        <f t="shared" si="27"/>
        <v>364</v>
      </c>
      <c r="B1023" s="157" t="s">
        <v>847</v>
      </c>
      <c r="C1023" s="204" t="s">
        <v>44</v>
      </c>
      <c r="D1023" s="48" t="s">
        <v>109</v>
      </c>
      <c r="E1023" s="55">
        <v>114.24</v>
      </c>
      <c r="F1023" s="181" t="s">
        <v>109</v>
      </c>
      <c r="G1023" s="9">
        <f>IF(Tabla9[[#This Row],[Precio
Unidad de Compra ( $)]]="","",(E1023/(H1023*I1023)))</f>
        <v>114.24</v>
      </c>
      <c r="H1023" s="8">
        <v>1</v>
      </c>
      <c r="I1023" s="168">
        <v>1</v>
      </c>
      <c r="J1023" s="205" t="str">
        <f t="shared" si="26"/>
        <v>H_364</v>
      </c>
      <c r="K1023" s="115"/>
    </row>
    <row r="1024" spans="1:11">
      <c r="A1024" s="41">
        <f t="shared" si="27"/>
        <v>365</v>
      </c>
      <c r="B1024" s="157" t="s">
        <v>848</v>
      </c>
      <c r="C1024" s="204" t="s">
        <v>44</v>
      </c>
      <c r="D1024" s="48" t="s">
        <v>109</v>
      </c>
      <c r="E1024" s="55">
        <v>114.24</v>
      </c>
      <c r="F1024" s="181" t="s">
        <v>109</v>
      </c>
      <c r="G1024" s="9">
        <f>IF(Tabla9[[#This Row],[Precio
Unidad de Compra ( $)]]="","",(E1024/(H1024*I1024)))</f>
        <v>114.24</v>
      </c>
      <c r="H1024" s="8">
        <v>1</v>
      </c>
      <c r="I1024" s="168">
        <v>1</v>
      </c>
      <c r="J1024" s="205" t="str">
        <f t="shared" si="26"/>
        <v>H_365</v>
      </c>
      <c r="K1024" s="115"/>
    </row>
    <row r="1025" spans="1:11">
      <c r="A1025" s="41">
        <f t="shared" si="27"/>
        <v>366</v>
      </c>
      <c r="B1025" s="157" t="s">
        <v>849</v>
      </c>
      <c r="C1025" s="204" t="s">
        <v>44</v>
      </c>
      <c r="D1025" s="48" t="s">
        <v>109</v>
      </c>
      <c r="E1025" s="55">
        <v>114.24</v>
      </c>
      <c r="F1025" s="181" t="s">
        <v>109</v>
      </c>
      <c r="G1025" s="9">
        <f>IF(Tabla9[[#This Row],[Precio
Unidad de Compra ( $)]]="","",(E1025/(H1025*I1025)))</f>
        <v>114.24</v>
      </c>
      <c r="H1025" s="8">
        <v>1</v>
      </c>
      <c r="I1025" s="168">
        <v>1</v>
      </c>
      <c r="J1025" s="205" t="str">
        <f t="shared" si="26"/>
        <v>H_366</v>
      </c>
      <c r="K1025" s="115"/>
    </row>
    <row r="1026" spans="1:11">
      <c r="A1026" s="41">
        <f t="shared" si="27"/>
        <v>367</v>
      </c>
      <c r="B1026" s="157" t="s">
        <v>850</v>
      </c>
      <c r="C1026" s="204" t="s">
        <v>44</v>
      </c>
      <c r="D1026" s="48" t="s">
        <v>109</v>
      </c>
      <c r="E1026" s="55">
        <v>114.24</v>
      </c>
      <c r="F1026" s="181" t="s">
        <v>109</v>
      </c>
      <c r="G1026" s="9">
        <f>IF(Tabla9[[#This Row],[Precio
Unidad de Compra ( $)]]="","",(E1026/(H1026*I1026)))</f>
        <v>114.24</v>
      </c>
      <c r="H1026" s="8">
        <v>1</v>
      </c>
      <c r="I1026" s="168">
        <v>1</v>
      </c>
      <c r="J1026" s="205" t="str">
        <f t="shared" si="26"/>
        <v>H_367</v>
      </c>
      <c r="K1026" s="115"/>
    </row>
    <row r="1027" spans="1:11">
      <c r="A1027" s="41">
        <f t="shared" si="27"/>
        <v>368</v>
      </c>
      <c r="B1027" s="157" t="s">
        <v>851</v>
      </c>
      <c r="C1027" s="204" t="s">
        <v>44</v>
      </c>
      <c r="D1027" s="48" t="s">
        <v>109</v>
      </c>
      <c r="E1027" s="55">
        <v>114.24</v>
      </c>
      <c r="F1027" s="181" t="s">
        <v>109</v>
      </c>
      <c r="G1027" s="9">
        <f>IF(Tabla9[[#This Row],[Precio
Unidad de Compra ( $)]]="","",(E1027/(H1027*I1027)))</f>
        <v>114.24</v>
      </c>
      <c r="H1027" s="8">
        <v>1</v>
      </c>
      <c r="I1027" s="168">
        <v>1</v>
      </c>
      <c r="J1027" s="205" t="str">
        <f t="shared" si="26"/>
        <v>H_368</v>
      </c>
      <c r="K1027" s="115"/>
    </row>
    <row r="1028" spans="1:11">
      <c r="A1028" s="41">
        <f t="shared" si="27"/>
        <v>369</v>
      </c>
      <c r="B1028" s="157" t="s">
        <v>852</v>
      </c>
      <c r="C1028" s="204" t="s">
        <v>44</v>
      </c>
      <c r="D1028" s="48" t="s">
        <v>109</v>
      </c>
      <c r="E1028" s="55">
        <v>114.24</v>
      </c>
      <c r="F1028" s="181" t="s">
        <v>109</v>
      </c>
      <c r="G1028" s="9">
        <f>IF(Tabla9[[#This Row],[Precio
Unidad de Compra ( $)]]="","",(E1028/(H1028*I1028)))</f>
        <v>114.24</v>
      </c>
      <c r="H1028" s="8">
        <v>1</v>
      </c>
      <c r="I1028" s="168">
        <v>1</v>
      </c>
      <c r="J1028" s="205" t="str">
        <f t="shared" si="26"/>
        <v>H_369</v>
      </c>
      <c r="K1028" s="115"/>
    </row>
    <row r="1029" spans="1:11">
      <c r="A1029" s="41">
        <f t="shared" si="27"/>
        <v>370</v>
      </c>
      <c r="B1029" s="157" t="s">
        <v>853</v>
      </c>
      <c r="C1029" s="204" t="s">
        <v>44</v>
      </c>
      <c r="D1029" s="48" t="s">
        <v>109</v>
      </c>
      <c r="E1029" s="55">
        <v>114.24</v>
      </c>
      <c r="F1029" s="181" t="s">
        <v>109</v>
      </c>
      <c r="G1029" s="9">
        <f>IF(Tabla9[[#This Row],[Precio
Unidad de Compra ( $)]]="","",(E1029/(H1029*I1029)))</f>
        <v>114.24</v>
      </c>
      <c r="H1029" s="8">
        <v>1</v>
      </c>
      <c r="I1029" s="168">
        <v>1</v>
      </c>
      <c r="J1029" s="205" t="str">
        <f t="shared" si="26"/>
        <v>H_370</v>
      </c>
      <c r="K1029" s="115"/>
    </row>
    <row r="1030" spans="1:11">
      <c r="A1030" s="41">
        <f t="shared" si="27"/>
        <v>371</v>
      </c>
      <c r="B1030" s="157" t="s">
        <v>854</v>
      </c>
      <c r="C1030" s="204" t="s">
        <v>44</v>
      </c>
      <c r="D1030" s="48" t="s">
        <v>109</v>
      </c>
      <c r="E1030" s="55">
        <v>114.24</v>
      </c>
      <c r="F1030" s="181" t="s">
        <v>109</v>
      </c>
      <c r="G1030" s="9">
        <f>IF(Tabla9[[#This Row],[Precio
Unidad de Compra ( $)]]="","",(E1030/(H1030*I1030)))</f>
        <v>114.24</v>
      </c>
      <c r="H1030" s="8">
        <v>1</v>
      </c>
      <c r="I1030" s="168">
        <v>1</v>
      </c>
      <c r="J1030" s="205" t="str">
        <f t="shared" si="26"/>
        <v>H_371</v>
      </c>
      <c r="K1030" s="115"/>
    </row>
    <row r="1031" spans="1:11">
      <c r="A1031" s="41">
        <f t="shared" si="27"/>
        <v>372</v>
      </c>
      <c r="B1031" s="157" t="s">
        <v>855</v>
      </c>
      <c r="C1031" s="204" t="s">
        <v>44</v>
      </c>
      <c r="D1031" s="48" t="s">
        <v>109</v>
      </c>
      <c r="E1031" s="55">
        <v>1800</v>
      </c>
      <c r="F1031" s="181" t="s">
        <v>109</v>
      </c>
      <c r="G1031" s="9">
        <f>IF(Tabla9[[#This Row],[Precio
Unidad de Compra ( $)]]="","",(E1031/(H1031*I1031)))</f>
        <v>1800</v>
      </c>
      <c r="H1031" s="8">
        <v>1</v>
      </c>
      <c r="I1031" s="168">
        <v>1</v>
      </c>
      <c r="J1031" s="205" t="str">
        <f t="shared" si="26"/>
        <v>H_372</v>
      </c>
      <c r="K1031" s="115"/>
    </row>
    <row r="1032" spans="1:11">
      <c r="A1032" s="41">
        <f t="shared" si="27"/>
        <v>373</v>
      </c>
      <c r="B1032" s="157" t="s">
        <v>856</v>
      </c>
      <c r="C1032" s="204" t="s">
        <v>44</v>
      </c>
      <c r="D1032" s="48" t="s">
        <v>109</v>
      </c>
      <c r="E1032" s="55">
        <v>546</v>
      </c>
      <c r="F1032" s="181" t="s">
        <v>109</v>
      </c>
      <c r="G1032" s="9">
        <f>IF(Tabla9[[#This Row],[Precio
Unidad de Compra ( $)]]="","",(E1032/(H1032*I1032)))</f>
        <v>546</v>
      </c>
      <c r="H1032" s="8">
        <v>1</v>
      </c>
      <c r="I1032" s="168">
        <v>1</v>
      </c>
      <c r="J1032" s="205" t="str">
        <f t="shared" si="26"/>
        <v>H_373</v>
      </c>
      <c r="K1032" s="115"/>
    </row>
    <row r="1033" spans="1:11">
      <c r="A1033" s="41">
        <f t="shared" si="27"/>
        <v>374</v>
      </c>
      <c r="B1033" s="157" t="s">
        <v>857</v>
      </c>
      <c r="C1033" s="204" t="s">
        <v>44</v>
      </c>
      <c r="D1033" s="48" t="s">
        <v>109</v>
      </c>
      <c r="E1033" s="55">
        <v>114.24</v>
      </c>
      <c r="F1033" s="181" t="s">
        <v>109</v>
      </c>
      <c r="G1033" s="9">
        <f>IF(Tabla9[[#This Row],[Precio
Unidad de Compra ( $)]]="","",(E1033/(H1033*I1033)))</f>
        <v>114.24</v>
      </c>
      <c r="H1033" s="8">
        <v>1</v>
      </c>
      <c r="I1033" s="168">
        <v>1</v>
      </c>
      <c r="J1033" s="205" t="str">
        <f t="shared" si="26"/>
        <v>H_374</v>
      </c>
      <c r="K1033" s="115"/>
    </row>
    <row r="1034" spans="1:11">
      <c r="A1034" s="41">
        <f t="shared" si="27"/>
        <v>375</v>
      </c>
      <c r="B1034" s="157" t="s">
        <v>858</v>
      </c>
      <c r="C1034" s="204" t="s">
        <v>44</v>
      </c>
      <c r="D1034" s="48" t="s">
        <v>109</v>
      </c>
      <c r="E1034" s="55">
        <v>114.24</v>
      </c>
      <c r="F1034" s="181" t="s">
        <v>109</v>
      </c>
      <c r="G1034" s="9">
        <f>IF(Tabla9[[#This Row],[Precio
Unidad de Compra ( $)]]="","",(E1034/(H1034*I1034)))</f>
        <v>114.24</v>
      </c>
      <c r="H1034" s="8">
        <v>1</v>
      </c>
      <c r="I1034" s="168">
        <v>1</v>
      </c>
      <c r="J1034" s="205" t="str">
        <f t="shared" si="26"/>
        <v>H_375</v>
      </c>
      <c r="K1034" s="115"/>
    </row>
    <row r="1035" spans="1:11">
      <c r="A1035" s="41">
        <f t="shared" si="27"/>
        <v>376</v>
      </c>
      <c r="B1035" s="157" t="s">
        <v>859</v>
      </c>
      <c r="C1035" s="204" t="s">
        <v>44</v>
      </c>
      <c r="D1035" s="48" t="s">
        <v>109</v>
      </c>
      <c r="E1035" s="55">
        <v>114.24</v>
      </c>
      <c r="F1035" s="181" t="s">
        <v>109</v>
      </c>
      <c r="G1035" s="9">
        <f>IF(Tabla9[[#This Row],[Precio
Unidad de Compra ( $)]]="","",(E1035/(H1035*I1035)))</f>
        <v>114.24</v>
      </c>
      <c r="H1035" s="8">
        <v>1</v>
      </c>
      <c r="I1035" s="168">
        <v>1</v>
      </c>
      <c r="J1035" s="205" t="str">
        <f t="shared" si="26"/>
        <v>H_376</v>
      </c>
      <c r="K1035" s="115"/>
    </row>
    <row r="1036" spans="1:11">
      <c r="A1036" s="41">
        <f t="shared" si="27"/>
        <v>377</v>
      </c>
      <c r="B1036" s="157" t="s">
        <v>860</v>
      </c>
      <c r="C1036" s="204" t="s">
        <v>44</v>
      </c>
      <c r="D1036" s="48" t="s">
        <v>109</v>
      </c>
      <c r="E1036" s="55">
        <v>114.24</v>
      </c>
      <c r="F1036" s="181" t="s">
        <v>109</v>
      </c>
      <c r="G1036" s="9">
        <f>IF(Tabla9[[#This Row],[Precio
Unidad de Compra ( $)]]="","",(E1036/(H1036*I1036)))</f>
        <v>114.24</v>
      </c>
      <c r="H1036" s="8">
        <v>1</v>
      </c>
      <c r="I1036" s="168">
        <v>1</v>
      </c>
      <c r="J1036" s="205" t="str">
        <f t="shared" si="26"/>
        <v>H_377</v>
      </c>
      <c r="K1036" s="115"/>
    </row>
    <row r="1037" spans="1:11">
      <c r="A1037" s="41">
        <f t="shared" si="27"/>
        <v>378</v>
      </c>
      <c r="B1037" s="157" t="s">
        <v>861</v>
      </c>
      <c r="C1037" s="204" t="s">
        <v>44</v>
      </c>
      <c r="D1037" s="48" t="s">
        <v>109</v>
      </c>
      <c r="E1037" s="55">
        <v>114.24</v>
      </c>
      <c r="F1037" s="181" t="s">
        <v>109</v>
      </c>
      <c r="G1037" s="9">
        <f>IF(Tabla9[[#This Row],[Precio
Unidad de Compra ( $)]]="","",(E1037/(H1037*I1037)))</f>
        <v>114.24</v>
      </c>
      <c r="H1037" s="8">
        <v>1</v>
      </c>
      <c r="I1037" s="168">
        <v>1</v>
      </c>
      <c r="J1037" s="205" t="str">
        <f t="shared" si="26"/>
        <v>H_378</v>
      </c>
      <c r="K1037" s="115"/>
    </row>
    <row r="1038" spans="1:11">
      <c r="A1038" s="41">
        <f t="shared" si="27"/>
        <v>379</v>
      </c>
      <c r="B1038" s="157" t="s">
        <v>862</v>
      </c>
      <c r="C1038" s="204" t="s">
        <v>44</v>
      </c>
      <c r="D1038" s="48" t="s">
        <v>109</v>
      </c>
      <c r="E1038" s="55">
        <v>114.24</v>
      </c>
      <c r="F1038" s="181" t="s">
        <v>109</v>
      </c>
      <c r="G1038" s="9">
        <f>IF(Tabla9[[#This Row],[Precio
Unidad de Compra ( $)]]="","",(E1038/(H1038*I1038)))</f>
        <v>114.24</v>
      </c>
      <c r="H1038" s="8">
        <v>1</v>
      </c>
      <c r="I1038" s="168">
        <v>1</v>
      </c>
      <c r="J1038" s="205" t="str">
        <f t="shared" si="26"/>
        <v>H_379</v>
      </c>
      <c r="K1038" s="115"/>
    </row>
    <row r="1039" spans="1:11">
      <c r="A1039" s="41">
        <f t="shared" si="27"/>
        <v>380</v>
      </c>
      <c r="B1039" s="157" t="s">
        <v>863</v>
      </c>
      <c r="C1039" s="204" t="s">
        <v>44</v>
      </c>
      <c r="D1039" s="48" t="s">
        <v>109</v>
      </c>
      <c r="E1039" s="55">
        <v>114.24</v>
      </c>
      <c r="F1039" s="181" t="s">
        <v>109</v>
      </c>
      <c r="G1039" s="9">
        <f>IF(Tabla9[[#This Row],[Precio
Unidad de Compra ( $)]]="","",(E1039/(H1039*I1039)))</f>
        <v>114.24</v>
      </c>
      <c r="H1039" s="8">
        <v>1</v>
      </c>
      <c r="I1039" s="168">
        <v>1</v>
      </c>
      <c r="J1039" s="205" t="str">
        <f t="shared" si="26"/>
        <v>H_380</v>
      </c>
      <c r="K1039" s="115"/>
    </row>
    <row r="1040" spans="1:11">
      <c r="A1040" s="41">
        <f t="shared" si="27"/>
        <v>381</v>
      </c>
      <c r="B1040" s="157" t="s">
        <v>864</v>
      </c>
      <c r="C1040" s="204" t="s">
        <v>44</v>
      </c>
      <c r="D1040" s="48" t="s">
        <v>109</v>
      </c>
      <c r="E1040" s="55">
        <v>114.24</v>
      </c>
      <c r="F1040" s="181" t="s">
        <v>109</v>
      </c>
      <c r="G1040" s="9">
        <f>IF(Tabla9[[#This Row],[Precio
Unidad de Compra ( $)]]="","",(E1040/(H1040*I1040)))</f>
        <v>114.24</v>
      </c>
      <c r="H1040" s="8">
        <v>1</v>
      </c>
      <c r="I1040" s="168">
        <v>1</v>
      </c>
      <c r="J1040" s="205" t="str">
        <f t="shared" si="26"/>
        <v>H_381</v>
      </c>
      <c r="K1040" s="115"/>
    </row>
    <row r="1041" spans="1:11">
      <c r="A1041" s="41">
        <f t="shared" si="27"/>
        <v>382</v>
      </c>
      <c r="B1041" s="157" t="s">
        <v>865</v>
      </c>
      <c r="C1041" s="204" t="s">
        <v>44</v>
      </c>
      <c r="D1041" s="48" t="s">
        <v>109</v>
      </c>
      <c r="E1041" s="55">
        <v>114.24</v>
      </c>
      <c r="F1041" s="181" t="s">
        <v>109</v>
      </c>
      <c r="G1041" s="9">
        <f>IF(Tabla9[[#This Row],[Precio
Unidad de Compra ( $)]]="","",(E1041/(H1041*I1041)))</f>
        <v>114.24</v>
      </c>
      <c r="H1041" s="8">
        <v>1</v>
      </c>
      <c r="I1041" s="168">
        <v>1</v>
      </c>
      <c r="J1041" s="205" t="str">
        <f t="shared" si="26"/>
        <v>H_382</v>
      </c>
      <c r="K1041" s="115"/>
    </row>
    <row r="1042" spans="1:11">
      <c r="A1042" s="41">
        <f t="shared" si="27"/>
        <v>383</v>
      </c>
      <c r="B1042" s="157" t="s">
        <v>866</v>
      </c>
      <c r="C1042" s="204" t="s">
        <v>44</v>
      </c>
      <c r="D1042" s="48" t="s">
        <v>109</v>
      </c>
      <c r="E1042" s="55">
        <v>114.24</v>
      </c>
      <c r="F1042" s="181" t="s">
        <v>109</v>
      </c>
      <c r="G1042" s="9">
        <f>IF(Tabla9[[#This Row],[Precio
Unidad de Compra ( $)]]="","",(E1042/(H1042*I1042)))</f>
        <v>114.24</v>
      </c>
      <c r="H1042" s="8">
        <v>1</v>
      </c>
      <c r="I1042" s="168">
        <v>1</v>
      </c>
      <c r="J1042" s="205" t="str">
        <f t="shared" si="26"/>
        <v>H_383</v>
      </c>
      <c r="K1042" s="115"/>
    </row>
    <row r="1043" spans="1:11">
      <c r="A1043" s="41">
        <f t="shared" si="27"/>
        <v>384</v>
      </c>
      <c r="B1043" s="157" t="s">
        <v>867</v>
      </c>
      <c r="C1043" s="204" t="s">
        <v>44</v>
      </c>
      <c r="D1043" s="48" t="s">
        <v>109</v>
      </c>
      <c r="E1043" s="55">
        <v>1550</v>
      </c>
      <c r="F1043" s="181" t="s">
        <v>109</v>
      </c>
      <c r="G1043" s="9">
        <f>IF(Tabla9[[#This Row],[Precio
Unidad de Compra ( $)]]="","",(E1043/(H1043*I1043)))</f>
        <v>1550</v>
      </c>
      <c r="H1043" s="8">
        <v>1</v>
      </c>
      <c r="I1043" s="168">
        <v>1</v>
      </c>
      <c r="J1043" s="205" t="str">
        <f t="shared" si="26"/>
        <v>H_384</v>
      </c>
      <c r="K1043" s="115"/>
    </row>
    <row r="1044" spans="1:11" ht="30">
      <c r="A1044" s="41">
        <f t="shared" si="27"/>
        <v>385</v>
      </c>
      <c r="B1044" s="157" t="s">
        <v>868</v>
      </c>
      <c r="C1044" s="204" t="s">
        <v>44</v>
      </c>
      <c r="D1044" s="48" t="s">
        <v>109</v>
      </c>
      <c r="E1044" s="55">
        <v>1550</v>
      </c>
      <c r="F1044" s="181" t="s">
        <v>109</v>
      </c>
      <c r="G1044" s="9">
        <f>IF(Tabla9[[#This Row],[Precio
Unidad de Compra ( $)]]="","",(E1044/(H1044*I1044)))</f>
        <v>1550</v>
      </c>
      <c r="H1044" s="8">
        <v>1</v>
      </c>
      <c r="I1044" s="168">
        <v>1</v>
      </c>
      <c r="J1044" s="205" t="str">
        <f t="shared" ref="J1044:J1080" si="28">IFERROR(CONCATENATE(LEFT(C1044,1),"_",TEXT(A1044,"000")),"")</f>
        <v>H_385</v>
      </c>
      <c r="K1044" s="115"/>
    </row>
    <row r="1045" spans="1:11" ht="30">
      <c r="A1045" s="41">
        <f t="shared" ref="A1045:A1080" si="29">A1044+1</f>
        <v>386</v>
      </c>
      <c r="B1045" s="157" t="s">
        <v>869</v>
      </c>
      <c r="C1045" s="204" t="s">
        <v>44</v>
      </c>
      <c r="D1045" s="48" t="s">
        <v>109</v>
      </c>
      <c r="E1045" s="55">
        <v>1550</v>
      </c>
      <c r="F1045" s="181" t="s">
        <v>109</v>
      </c>
      <c r="G1045" s="9">
        <f>IF(Tabla9[[#This Row],[Precio
Unidad de Compra ( $)]]="","",(E1045/(H1045*I1045)))</f>
        <v>1550</v>
      </c>
      <c r="H1045" s="8">
        <v>1</v>
      </c>
      <c r="I1045" s="168">
        <v>1</v>
      </c>
      <c r="J1045" s="205" t="str">
        <f t="shared" si="28"/>
        <v>H_386</v>
      </c>
      <c r="K1045" s="115"/>
    </row>
    <row r="1046" spans="1:11">
      <c r="A1046" s="41">
        <f t="shared" si="29"/>
        <v>387</v>
      </c>
      <c r="B1046" s="157" t="s">
        <v>870</v>
      </c>
      <c r="C1046" s="204" t="s">
        <v>44</v>
      </c>
      <c r="D1046" s="48" t="s">
        <v>109</v>
      </c>
      <c r="E1046" s="55">
        <v>1550</v>
      </c>
      <c r="F1046" s="181" t="s">
        <v>109</v>
      </c>
      <c r="G1046" s="9">
        <f>IF(Tabla9[[#This Row],[Precio
Unidad de Compra ( $)]]="","",(E1046/(H1046*I1046)))</f>
        <v>1550</v>
      </c>
      <c r="H1046" s="8">
        <v>1</v>
      </c>
      <c r="I1046" s="168">
        <v>1</v>
      </c>
      <c r="J1046" s="205" t="str">
        <f t="shared" si="28"/>
        <v>H_387</v>
      </c>
      <c r="K1046" s="115"/>
    </row>
    <row r="1047" spans="1:11">
      <c r="A1047" s="41">
        <f t="shared" si="29"/>
        <v>388</v>
      </c>
      <c r="B1047" s="157" t="s">
        <v>871</v>
      </c>
      <c r="C1047" s="204" t="s">
        <v>44</v>
      </c>
      <c r="D1047" s="48" t="s">
        <v>109</v>
      </c>
      <c r="E1047" s="55">
        <v>1550</v>
      </c>
      <c r="F1047" s="181" t="s">
        <v>109</v>
      </c>
      <c r="G1047" s="9">
        <f>IF(Tabla9[[#This Row],[Precio
Unidad de Compra ( $)]]="","",(E1047/(H1047*I1047)))</f>
        <v>1550</v>
      </c>
      <c r="H1047" s="8">
        <v>1</v>
      </c>
      <c r="I1047" s="168">
        <v>1</v>
      </c>
      <c r="J1047" s="205" t="str">
        <f t="shared" si="28"/>
        <v>H_388</v>
      </c>
      <c r="K1047" s="115"/>
    </row>
    <row r="1048" spans="1:11">
      <c r="A1048" s="41">
        <f t="shared" si="29"/>
        <v>389</v>
      </c>
      <c r="B1048" s="157" t="s">
        <v>872</v>
      </c>
      <c r="C1048" s="204" t="s">
        <v>44</v>
      </c>
      <c r="D1048" s="48" t="s">
        <v>109</v>
      </c>
      <c r="E1048" s="55">
        <v>1550</v>
      </c>
      <c r="F1048" s="181" t="s">
        <v>109</v>
      </c>
      <c r="G1048" s="9">
        <f>IF(Tabla9[[#This Row],[Precio
Unidad de Compra ( $)]]="","",(E1048/(H1048*I1048)))</f>
        <v>1550</v>
      </c>
      <c r="H1048" s="8">
        <v>1</v>
      </c>
      <c r="I1048" s="168">
        <v>1</v>
      </c>
      <c r="J1048" s="205" t="str">
        <f t="shared" si="28"/>
        <v>H_389</v>
      </c>
      <c r="K1048" s="115"/>
    </row>
    <row r="1049" spans="1:11">
      <c r="A1049" s="41">
        <f t="shared" si="29"/>
        <v>390</v>
      </c>
      <c r="B1049" s="157" t="s">
        <v>873</v>
      </c>
      <c r="C1049" s="204" t="s">
        <v>44</v>
      </c>
      <c r="D1049" s="48" t="s">
        <v>109</v>
      </c>
      <c r="E1049" s="55">
        <v>952</v>
      </c>
      <c r="F1049" s="181" t="s">
        <v>109</v>
      </c>
      <c r="G1049" s="9">
        <f>IF(Tabla9[[#This Row],[Precio
Unidad de Compra ( $)]]="","",(E1049/(H1049*I1049)))</f>
        <v>952</v>
      </c>
      <c r="H1049" s="8">
        <v>1</v>
      </c>
      <c r="I1049" s="168">
        <v>1</v>
      </c>
      <c r="J1049" s="205" t="str">
        <f t="shared" si="28"/>
        <v>H_390</v>
      </c>
      <c r="K1049" s="115"/>
    </row>
    <row r="1050" spans="1:11">
      <c r="A1050" s="41">
        <f t="shared" si="29"/>
        <v>391</v>
      </c>
      <c r="B1050" s="157" t="s">
        <v>874</v>
      </c>
      <c r="C1050" s="204" t="s">
        <v>44</v>
      </c>
      <c r="D1050" s="48" t="s">
        <v>109</v>
      </c>
      <c r="E1050" s="55">
        <v>925</v>
      </c>
      <c r="F1050" s="181" t="s">
        <v>109</v>
      </c>
      <c r="G1050" s="9">
        <f>IF(Tabla9[[#This Row],[Precio
Unidad de Compra ( $)]]="","",(E1050/(H1050*I1050)))</f>
        <v>925</v>
      </c>
      <c r="H1050" s="8">
        <v>1</v>
      </c>
      <c r="I1050" s="168">
        <v>1</v>
      </c>
      <c r="J1050" s="205" t="str">
        <f t="shared" si="28"/>
        <v>H_391</v>
      </c>
      <c r="K1050" s="115"/>
    </row>
    <row r="1051" spans="1:11">
      <c r="A1051" s="41">
        <f t="shared" si="29"/>
        <v>392</v>
      </c>
      <c r="B1051" s="157" t="s">
        <v>875</v>
      </c>
      <c r="C1051" s="204" t="s">
        <v>44</v>
      </c>
      <c r="D1051" s="48" t="s">
        <v>109</v>
      </c>
      <c r="E1051" s="55">
        <v>1100</v>
      </c>
      <c r="F1051" s="181" t="s">
        <v>109</v>
      </c>
      <c r="G1051" s="9">
        <f>IF(Tabla9[[#This Row],[Precio
Unidad de Compra ( $)]]="","",(E1051/(H1051*I1051)))</f>
        <v>1100</v>
      </c>
      <c r="H1051" s="8">
        <v>1</v>
      </c>
      <c r="I1051" s="168">
        <v>1</v>
      </c>
      <c r="J1051" s="205" t="str">
        <f t="shared" si="28"/>
        <v>H_392</v>
      </c>
      <c r="K1051" s="115"/>
    </row>
    <row r="1052" spans="1:11">
      <c r="A1052" s="41">
        <f t="shared" si="29"/>
        <v>393</v>
      </c>
      <c r="B1052" s="157" t="s">
        <v>876</v>
      </c>
      <c r="C1052" s="204" t="s">
        <v>44</v>
      </c>
      <c r="D1052" s="48" t="s">
        <v>109</v>
      </c>
      <c r="E1052" s="55">
        <v>1350</v>
      </c>
      <c r="F1052" s="181" t="s">
        <v>109</v>
      </c>
      <c r="G1052" s="9">
        <f>IF(Tabla9[[#This Row],[Precio
Unidad de Compra ( $)]]="","",(E1052/(H1052*I1052)))</f>
        <v>1350</v>
      </c>
      <c r="H1052" s="8">
        <v>1</v>
      </c>
      <c r="I1052" s="168">
        <v>1</v>
      </c>
      <c r="J1052" s="205" t="str">
        <f t="shared" si="28"/>
        <v>H_393</v>
      </c>
      <c r="K1052" s="115"/>
    </row>
    <row r="1053" spans="1:11">
      <c r="A1053" s="41">
        <f t="shared" si="29"/>
        <v>394</v>
      </c>
      <c r="B1053" s="157" t="s">
        <v>877</v>
      </c>
      <c r="C1053" s="204" t="s">
        <v>44</v>
      </c>
      <c r="D1053" s="48" t="s">
        <v>109</v>
      </c>
      <c r="E1053" s="55">
        <v>1350</v>
      </c>
      <c r="F1053" s="181" t="s">
        <v>109</v>
      </c>
      <c r="G1053" s="9">
        <f>IF(Tabla9[[#This Row],[Precio
Unidad de Compra ( $)]]="","",(E1053/(H1053*I1053)))</f>
        <v>1350</v>
      </c>
      <c r="H1053" s="8">
        <v>1</v>
      </c>
      <c r="I1053" s="168">
        <v>1</v>
      </c>
      <c r="J1053" s="205" t="str">
        <f t="shared" si="28"/>
        <v>H_394</v>
      </c>
      <c r="K1053" s="115"/>
    </row>
    <row r="1054" spans="1:11">
      <c r="A1054" s="41">
        <f t="shared" si="29"/>
        <v>395</v>
      </c>
      <c r="B1054" s="36" t="s">
        <v>878</v>
      </c>
      <c r="C1054" s="204" t="s">
        <v>44</v>
      </c>
      <c r="D1054" s="48" t="s">
        <v>109</v>
      </c>
      <c r="E1054" s="43">
        <v>2727.48</v>
      </c>
      <c r="F1054" s="175" t="s">
        <v>109</v>
      </c>
      <c r="G1054" s="9">
        <f>IF(Tabla9[[#This Row],[Precio
Unidad de Compra ( $)]]="","",(E1054/(H1054*I1054)))</f>
        <v>2727.48</v>
      </c>
      <c r="H1054" s="8">
        <v>1</v>
      </c>
      <c r="I1054" s="168">
        <v>1</v>
      </c>
      <c r="J1054" s="205" t="str">
        <f t="shared" si="28"/>
        <v>H_395</v>
      </c>
      <c r="K1054" s="115"/>
    </row>
    <row r="1055" spans="1:11">
      <c r="A1055" s="41">
        <f t="shared" si="29"/>
        <v>396</v>
      </c>
      <c r="B1055" s="36" t="s">
        <v>879</v>
      </c>
      <c r="C1055" s="204" t="s">
        <v>44</v>
      </c>
      <c r="D1055" s="48" t="s">
        <v>109</v>
      </c>
      <c r="E1055" s="43">
        <v>2727.48</v>
      </c>
      <c r="F1055" s="175" t="s">
        <v>109</v>
      </c>
      <c r="G1055" s="9">
        <f>IF(Tabla9[[#This Row],[Precio
Unidad de Compra ( $)]]="","",(E1055/(H1055*I1055)))</f>
        <v>2727.48</v>
      </c>
      <c r="H1055" s="8">
        <v>1</v>
      </c>
      <c r="I1055" s="168">
        <v>1</v>
      </c>
      <c r="J1055" s="205" t="str">
        <f t="shared" si="28"/>
        <v>H_396</v>
      </c>
      <c r="K1055" s="115"/>
    </row>
    <row r="1056" spans="1:11">
      <c r="A1056" s="41">
        <f t="shared" si="29"/>
        <v>397</v>
      </c>
      <c r="B1056" s="157" t="s">
        <v>880</v>
      </c>
      <c r="C1056" s="204" t="s">
        <v>44</v>
      </c>
      <c r="D1056" s="48" t="s">
        <v>109</v>
      </c>
      <c r="E1056" s="55">
        <v>2727.48</v>
      </c>
      <c r="F1056" s="181" t="s">
        <v>109</v>
      </c>
      <c r="G1056" s="9">
        <f>IF(Tabla9[[#This Row],[Precio
Unidad de Compra ( $)]]="","",(E1056/(H1056*I1056)))</f>
        <v>2727.48</v>
      </c>
      <c r="H1056" s="8">
        <v>1</v>
      </c>
      <c r="I1056" s="168">
        <v>1</v>
      </c>
      <c r="J1056" s="205" t="str">
        <f t="shared" si="28"/>
        <v>H_397</v>
      </c>
      <c r="K1056" s="115"/>
    </row>
    <row r="1057" spans="1:11">
      <c r="A1057" s="41">
        <f t="shared" si="29"/>
        <v>398</v>
      </c>
      <c r="B1057" s="157" t="s">
        <v>881</v>
      </c>
      <c r="C1057" s="204" t="s">
        <v>44</v>
      </c>
      <c r="D1057" s="48" t="s">
        <v>109</v>
      </c>
      <c r="E1057" s="55">
        <v>2727.48</v>
      </c>
      <c r="F1057" s="181" t="s">
        <v>109</v>
      </c>
      <c r="G1057" s="9">
        <f>IF(Tabla9[[#This Row],[Precio
Unidad de Compra ( $)]]="","",(E1057/(H1057*I1057)))</f>
        <v>2727.48</v>
      </c>
      <c r="H1057" s="8">
        <v>1</v>
      </c>
      <c r="I1057" s="168">
        <v>1</v>
      </c>
      <c r="J1057" s="205" t="str">
        <f t="shared" si="28"/>
        <v>H_398</v>
      </c>
      <c r="K1057" s="115"/>
    </row>
    <row r="1058" spans="1:11">
      <c r="A1058" s="41">
        <f t="shared" si="29"/>
        <v>399</v>
      </c>
      <c r="B1058" s="157" t="s">
        <v>882</v>
      </c>
      <c r="C1058" s="204" t="s">
        <v>44</v>
      </c>
      <c r="D1058" s="48" t="s">
        <v>109</v>
      </c>
      <c r="E1058" s="55">
        <v>2727.48</v>
      </c>
      <c r="F1058" s="181" t="s">
        <v>109</v>
      </c>
      <c r="G1058" s="9">
        <f>IF(Tabla9[[#This Row],[Precio
Unidad de Compra ( $)]]="","",(E1058/(H1058*I1058)))</f>
        <v>2727.48</v>
      </c>
      <c r="H1058" s="8">
        <v>1</v>
      </c>
      <c r="I1058" s="168">
        <v>1</v>
      </c>
      <c r="J1058" s="205" t="str">
        <f t="shared" si="28"/>
        <v>H_399</v>
      </c>
      <c r="K1058" s="115"/>
    </row>
    <row r="1059" spans="1:11">
      <c r="A1059" s="41">
        <f t="shared" si="29"/>
        <v>400</v>
      </c>
      <c r="B1059" s="157" t="s">
        <v>883</v>
      </c>
      <c r="C1059" s="204" t="s">
        <v>44</v>
      </c>
      <c r="D1059" s="48" t="s">
        <v>109</v>
      </c>
      <c r="E1059" s="55">
        <v>3111.85</v>
      </c>
      <c r="F1059" s="181" t="s">
        <v>109</v>
      </c>
      <c r="G1059" s="9">
        <f>IF(Tabla9[[#This Row],[Precio
Unidad de Compra ( $)]]="","",(E1059/(H1059*I1059)))</f>
        <v>3111.85</v>
      </c>
      <c r="H1059" s="8">
        <v>1</v>
      </c>
      <c r="I1059" s="168">
        <v>1</v>
      </c>
      <c r="J1059" s="205" t="str">
        <f t="shared" si="28"/>
        <v>H_400</v>
      </c>
      <c r="K1059" s="115"/>
    </row>
    <row r="1060" spans="1:11" ht="30">
      <c r="A1060" s="41">
        <f t="shared" si="29"/>
        <v>401</v>
      </c>
      <c r="B1060" s="157" t="s">
        <v>884</v>
      </c>
      <c r="C1060" s="204" t="s">
        <v>44</v>
      </c>
      <c r="D1060" s="48" t="s">
        <v>109</v>
      </c>
      <c r="E1060" s="43">
        <v>1550</v>
      </c>
      <c r="F1060" s="175" t="s">
        <v>109</v>
      </c>
      <c r="G1060" s="9">
        <f>IF(Tabla9[[#This Row],[Precio
Unidad de Compra ( $)]]="","",(E1060/(H1060*I1060)))</f>
        <v>1550</v>
      </c>
      <c r="H1060" s="8">
        <v>1</v>
      </c>
      <c r="I1060" s="168">
        <v>1</v>
      </c>
      <c r="J1060" s="205" t="str">
        <f t="shared" si="28"/>
        <v>H_401</v>
      </c>
      <c r="K1060" s="115"/>
    </row>
    <row r="1061" spans="1:11" ht="17.25" customHeight="1">
      <c r="A1061" s="41">
        <f t="shared" si="29"/>
        <v>402</v>
      </c>
      <c r="B1061" s="157" t="s">
        <v>885</v>
      </c>
      <c r="C1061" s="204" t="s">
        <v>44</v>
      </c>
      <c r="D1061" s="48" t="s">
        <v>109</v>
      </c>
      <c r="E1061" s="55">
        <v>1550</v>
      </c>
      <c r="F1061" s="181" t="s">
        <v>109</v>
      </c>
      <c r="G1061" s="9">
        <f>IF(Tabla9[[#This Row],[Precio
Unidad de Compra ( $)]]="","",(E1061/(H1061*I1061)))</f>
        <v>1550</v>
      </c>
      <c r="H1061" s="8">
        <v>1</v>
      </c>
      <c r="I1061" s="168">
        <v>1</v>
      </c>
      <c r="J1061" s="205" t="str">
        <f t="shared" si="28"/>
        <v>H_402</v>
      </c>
      <c r="K1061" s="115"/>
    </row>
    <row r="1062" spans="1:11" ht="13.5" customHeight="1">
      <c r="A1062" s="41">
        <f t="shared" si="29"/>
        <v>403</v>
      </c>
      <c r="B1062" s="157" t="s">
        <v>886</v>
      </c>
      <c r="C1062" s="204" t="s">
        <v>44</v>
      </c>
      <c r="D1062" s="48" t="s">
        <v>109</v>
      </c>
      <c r="E1062" s="55">
        <v>1550</v>
      </c>
      <c r="F1062" s="181" t="s">
        <v>109</v>
      </c>
      <c r="G1062" s="9">
        <f>IF(Tabla9[[#This Row],[Precio
Unidad de Compra ( $)]]="","",(E1062/(H1062*I1062)))</f>
        <v>1550</v>
      </c>
      <c r="H1062" s="8">
        <v>1</v>
      </c>
      <c r="I1062" s="168">
        <v>1</v>
      </c>
      <c r="J1062" s="205" t="str">
        <f t="shared" si="28"/>
        <v>H_403</v>
      </c>
      <c r="K1062" s="115"/>
    </row>
    <row r="1063" spans="1:11" ht="27" customHeight="1">
      <c r="A1063" s="41">
        <f t="shared" si="29"/>
        <v>404</v>
      </c>
      <c r="B1063" s="157" t="s">
        <v>887</v>
      </c>
      <c r="C1063" s="204" t="s">
        <v>44</v>
      </c>
      <c r="D1063" s="48" t="s">
        <v>109</v>
      </c>
      <c r="E1063" s="43">
        <v>1550</v>
      </c>
      <c r="F1063" s="175" t="s">
        <v>109</v>
      </c>
      <c r="G1063" s="9">
        <f>IF(Tabla9[[#This Row],[Precio
Unidad de Compra ( $)]]="","",(E1063/(H1063*I1063)))</f>
        <v>1550</v>
      </c>
      <c r="H1063" s="8">
        <v>1</v>
      </c>
      <c r="I1063" s="168">
        <v>1</v>
      </c>
      <c r="J1063" s="205" t="str">
        <f t="shared" si="28"/>
        <v>H_404</v>
      </c>
      <c r="K1063" s="115"/>
    </row>
    <row r="1064" spans="1:11">
      <c r="A1064" s="41">
        <f t="shared" si="29"/>
        <v>405</v>
      </c>
      <c r="B1064" s="157" t="s">
        <v>888</v>
      </c>
      <c r="C1064" s="204" t="s">
        <v>44</v>
      </c>
      <c r="D1064" s="48" t="s">
        <v>109</v>
      </c>
      <c r="E1064" s="55">
        <v>1550</v>
      </c>
      <c r="F1064" s="181" t="s">
        <v>109</v>
      </c>
      <c r="G1064" s="9">
        <f>IF(Tabla9[[#This Row],[Precio
Unidad de Compra ( $)]]="","",(E1064/(H1064*I1064)))</f>
        <v>1550</v>
      </c>
      <c r="H1064" s="8">
        <v>1</v>
      </c>
      <c r="I1064" s="168">
        <v>1</v>
      </c>
      <c r="J1064" s="205" t="str">
        <f t="shared" si="28"/>
        <v>H_405</v>
      </c>
      <c r="K1064" s="115"/>
    </row>
    <row r="1065" spans="1:11">
      <c r="A1065" s="41">
        <f t="shared" si="29"/>
        <v>406</v>
      </c>
      <c r="B1065" s="157" t="s">
        <v>889</v>
      </c>
      <c r="C1065" s="204" t="s">
        <v>44</v>
      </c>
      <c r="D1065" s="48" t="s">
        <v>109</v>
      </c>
      <c r="E1065" s="55">
        <v>3844</v>
      </c>
      <c r="F1065" s="181" t="s">
        <v>109</v>
      </c>
      <c r="G1065" s="9">
        <f>IF(Tabla9[[#This Row],[Precio
Unidad de Compra ( $)]]="","",(E1065/(H1065*I1065)))</f>
        <v>3844</v>
      </c>
      <c r="H1065" s="8">
        <v>1</v>
      </c>
      <c r="I1065" s="168">
        <v>1</v>
      </c>
      <c r="J1065" s="205" t="str">
        <f t="shared" si="28"/>
        <v>H_406</v>
      </c>
      <c r="K1065" s="115"/>
    </row>
    <row r="1066" spans="1:11">
      <c r="A1066" s="41">
        <f t="shared" si="29"/>
        <v>407</v>
      </c>
      <c r="B1066" s="157" t="s">
        <v>890</v>
      </c>
      <c r="C1066" s="204" t="s">
        <v>44</v>
      </c>
      <c r="D1066" s="48" t="s">
        <v>109</v>
      </c>
      <c r="E1066" s="55">
        <v>3844</v>
      </c>
      <c r="F1066" s="181" t="s">
        <v>109</v>
      </c>
      <c r="G1066" s="9">
        <f>IF(Tabla9[[#This Row],[Precio
Unidad de Compra ( $)]]="","",(E1066/(H1066*I1066)))</f>
        <v>3844</v>
      </c>
      <c r="H1066" s="8">
        <v>1</v>
      </c>
      <c r="I1066" s="168">
        <v>1</v>
      </c>
      <c r="J1066" s="205" t="str">
        <f t="shared" si="28"/>
        <v>H_407</v>
      </c>
      <c r="K1066" s="115"/>
    </row>
    <row r="1067" spans="1:11">
      <c r="A1067" s="41">
        <f t="shared" si="29"/>
        <v>408</v>
      </c>
      <c r="B1067" s="157" t="s">
        <v>891</v>
      </c>
      <c r="C1067" s="204" t="s">
        <v>44</v>
      </c>
      <c r="D1067" s="48" t="s">
        <v>109</v>
      </c>
      <c r="E1067" s="55">
        <v>998.41</v>
      </c>
      <c r="F1067" s="181" t="s">
        <v>109</v>
      </c>
      <c r="G1067" s="9">
        <f>IF(Tabla9[[#This Row],[Precio
Unidad de Compra ( $)]]="","",(E1067/(H1067*I1067)))</f>
        <v>998.41</v>
      </c>
      <c r="H1067" s="8">
        <v>1</v>
      </c>
      <c r="I1067" s="168">
        <v>1</v>
      </c>
      <c r="J1067" s="205" t="str">
        <f t="shared" si="28"/>
        <v>H_408</v>
      </c>
      <c r="K1067" s="115"/>
    </row>
    <row r="1068" spans="1:11">
      <c r="A1068" s="41">
        <f t="shared" si="29"/>
        <v>409</v>
      </c>
      <c r="B1068" s="157" t="s">
        <v>892</v>
      </c>
      <c r="C1068" s="204" t="s">
        <v>44</v>
      </c>
      <c r="D1068" s="48" t="s">
        <v>109</v>
      </c>
      <c r="E1068" s="55">
        <v>998.41</v>
      </c>
      <c r="F1068" s="181" t="s">
        <v>109</v>
      </c>
      <c r="G1068" s="9">
        <f>IF(Tabla9[[#This Row],[Precio
Unidad de Compra ( $)]]="","",(E1068/(H1068*I1068)))</f>
        <v>998.41</v>
      </c>
      <c r="H1068" s="8">
        <v>1</v>
      </c>
      <c r="I1068" s="168">
        <v>1</v>
      </c>
      <c r="J1068" s="205" t="str">
        <f t="shared" si="28"/>
        <v>H_409</v>
      </c>
      <c r="K1068" s="115"/>
    </row>
    <row r="1069" spans="1:11">
      <c r="A1069" s="41">
        <f t="shared" si="29"/>
        <v>410</v>
      </c>
      <c r="B1069" s="157" t="s">
        <v>893</v>
      </c>
      <c r="C1069" s="204" t="s">
        <v>44</v>
      </c>
      <c r="D1069" s="48" t="s">
        <v>109</v>
      </c>
      <c r="E1069" s="55">
        <v>998.41</v>
      </c>
      <c r="F1069" s="181" t="s">
        <v>109</v>
      </c>
      <c r="G1069" s="9">
        <f>IF(Tabla9[[#This Row],[Precio
Unidad de Compra ( $)]]="","",(E1069/(H1069*I1069)))</f>
        <v>998.41</v>
      </c>
      <c r="H1069" s="8">
        <v>1</v>
      </c>
      <c r="I1069" s="168">
        <v>1</v>
      </c>
      <c r="J1069" s="205" t="str">
        <f t="shared" si="28"/>
        <v>H_410</v>
      </c>
      <c r="K1069" s="115"/>
    </row>
    <row r="1070" spans="1:11">
      <c r="A1070" s="41">
        <f t="shared" si="29"/>
        <v>411</v>
      </c>
      <c r="B1070" s="157" t="s">
        <v>894</v>
      </c>
      <c r="C1070" s="204" t="s">
        <v>44</v>
      </c>
      <c r="D1070" s="48" t="s">
        <v>109</v>
      </c>
      <c r="E1070" s="55">
        <v>998.41</v>
      </c>
      <c r="F1070" s="181" t="s">
        <v>109</v>
      </c>
      <c r="G1070" s="9">
        <f>IF(Tabla9[[#This Row],[Precio
Unidad de Compra ( $)]]="","",(E1070/(H1070*I1070)))</f>
        <v>998.41</v>
      </c>
      <c r="H1070" s="8">
        <v>1</v>
      </c>
      <c r="I1070" s="168">
        <v>1</v>
      </c>
      <c r="J1070" s="205" t="str">
        <f t="shared" si="28"/>
        <v>H_411</v>
      </c>
      <c r="K1070" s="115"/>
    </row>
    <row r="1071" spans="1:11">
      <c r="A1071" s="41">
        <f t="shared" si="29"/>
        <v>412</v>
      </c>
      <c r="B1071" s="157" t="s">
        <v>895</v>
      </c>
      <c r="C1071" s="204" t="s">
        <v>44</v>
      </c>
      <c r="D1071" s="48" t="s">
        <v>109</v>
      </c>
      <c r="E1071" s="55">
        <v>998.41</v>
      </c>
      <c r="F1071" s="181" t="s">
        <v>109</v>
      </c>
      <c r="G1071" s="9">
        <f>IF(Tabla9[[#This Row],[Precio
Unidad de Compra ( $)]]="","",(E1071/(H1071*I1071)))</f>
        <v>998.41</v>
      </c>
      <c r="H1071" s="8">
        <v>1</v>
      </c>
      <c r="I1071" s="168">
        <v>1</v>
      </c>
      <c r="J1071" s="205" t="str">
        <f t="shared" si="28"/>
        <v>H_412</v>
      </c>
      <c r="K1071" s="115"/>
    </row>
    <row r="1072" spans="1:11">
      <c r="A1072" s="41">
        <f t="shared" si="29"/>
        <v>413</v>
      </c>
      <c r="B1072" s="157" t="s">
        <v>896</v>
      </c>
      <c r="C1072" s="204" t="s">
        <v>44</v>
      </c>
      <c r="D1072" s="48" t="s">
        <v>109</v>
      </c>
      <c r="E1072" s="55">
        <v>998.41</v>
      </c>
      <c r="F1072" s="181" t="s">
        <v>109</v>
      </c>
      <c r="G1072" s="9">
        <f>IF(Tabla9[[#This Row],[Precio
Unidad de Compra ( $)]]="","",(E1072/(H1072*I1072)))</f>
        <v>998.41</v>
      </c>
      <c r="H1072" s="8">
        <v>1</v>
      </c>
      <c r="I1072" s="168">
        <v>1</v>
      </c>
      <c r="J1072" s="205" t="str">
        <f t="shared" si="28"/>
        <v>H_413</v>
      </c>
      <c r="K1072" s="115"/>
    </row>
    <row r="1073" spans="1:11">
      <c r="A1073" s="41">
        <f t="shared" si="29"/>
        <v>414</v>
      </c>
      <c r="B1073" s="157" t="s">
        <v>897</v>
      </c>
      <c r="C1073" s="204" t="s">
        <v>44</v>
      </c>
      <c r="D1073" s="48" t="s">
        <v>109</v>
      </c>
      <c r="E1073" s="55">
        <v>3844</v>
      </c>
      <c r="F1073" s="181" t="s">
        <v>109</v>
      </c>
      <c r="G1073" s="9">
        <f>IF(Tabla9[[#This Row],[Precio
Unidad de Compra ( $)]]="","",(E1073/(H1073*I1073)))</f>
        <v>3844</v>
      </c>
      <c r="H1073" s="8">
        <v>1</v>
      </c>
      <c r="I1073" s="168">
        <v>1</v>
      </c>
      <c r="J1073" s="205" t="str">
        <f t="shared" si="28"/>
        <v>H_414</v>
      </c>
      <c r="K1073" s="115"/>
    </row>
    <row r="1074" spans="1:11">
      <c r="A1074" s="41">
        <f t="shared" si="29"/>
        <v>415</v>
      </c>
      <c r="B1074" s="157" t="s">
        <v>898</v>
      </c>
      <c r="C1074" s="204" t="s">
        <v>44</v>
      </c>
      <c r="D1074" s="48" t="s">
        <v>109</v>
      </c>
      <c r="E1074" s="55">
        <v>3844</v>
      </c>
      <c r="F1074" s="181" t="s">
        <v>109</v>
      </c>
      <c r="G1074" s="9">
        <f>IF(Tabla9[[#This Row],[Precio
Unidad de Compra ( $)]]="","",(E1074/(H1074*I1074)))</f>
        <v>3844</v>
      </c>
      <c r="H1074" s="8">
        <v>1</v>
      </c>
      <c r="I1074" s="168">
        <v>1</v>
      </c>
      <c r="J1074" s="205" t="str">
        <f t="shared" si="28"/>
        <v>H_415</v>
      </c>
      <c r="K1074" s="115"/>
    </row>
    <row r="1075" spans="1:11">
      <c r="A1075" s="41">
        <f t="shared" si="29"/>
        <v>416</v>
      </c>
      <c r="B1075" s="157" t="s">
        <v>899</v>
      </c>
      <c r="C1075" s="204" t="s">
        <v>44</v>
      </c>
      <c r="D1075" s="48" t="s">
        <v>109</v>
      </c>
      <c r="E1075" s="55">
        <v>998.41</v>
      </c>
      <c r="F1075" s="181" t="s">
        <v>109</v>
      </c>
      <c r="G1075" s="9">
        <f>IF(Tabla9[[#This Row],[Precio
Unidad de Compra ( $)]]="","",(E1075/(H1075*I1075)))</f>
        <v>998.41</v>
      </c>
      <c r="H1075" s="8">
        <v>1</v>
      </c>
      <c r="I1075" s="168">
        <v>1</v>
      </c>
      <c r="J1075" s="205" t="str">
        <f t="shared" si="28"/>
        <v>H_416</v>
      </c>
      <c r="K1075" s="115"/>
    </row>
    <row r="1076" spans="1:11">
      <c r="A1076" s="41">
        <f t="shared" si="29"/>
        <v>417</v>
      </c>
      <c r="B1076" s="157" t="s">
        <v>900</v>
      </c>
      <c r="C1076" s="204" t="s">
        <v>44</v>
      </c>
      <c r="D1076" s="48" t="s">
        <v>109</v>
      </c>
      <c r="E1076" s="55">
        <v>3844</v>
      </c>
      <c r="F1076" s="181" t="s">
        <v>109</v>
      </c>
      <c r="G1076" s="9">
        <f>IF(Tabla9[[#This Row],[Precio
Unidad de Compra ( $)]]="","",(E1076/(H1076*I1076)))</f>
        <v>3844</v>
      </c>
      <c r="H1076" s="8">
        <v>1</v>
      </c>
      <c r="I1076" s="168">
        <v>1</v>
      </c>
      <c r="J1076" s="205" t="str">
        <f t="shared" si="28"/>
        <v>H_417</v>
      </c>
      <c r="K1076" s="115"/>
    </row>
    <row r="1077" spans="1:11">
      <c r="A1077" s="41">
        <f t="shared" si="29"/>
        <v>418</v>
      </c>
      <c r="B1077" s="157" t="s">
        <v>901</v>
      </c>
      <c r="C1077" s="204" t="s">
        <v>44</v>
      </c>
      <c r="D1077" s="48" t="s">
        <v>109</v>
      </c>
      <c r="E1077" s="55">
        <v>3844</v>
      </c>
      <c r="F1077" s="181" t="s">
        <v>109</v>
      </c>
      <c r="G1077" s="9">
        <f>IF(Tabla9[[#This Row],[Precio
Unidad de Compra ( $)]]="","",(E1077/(H1077*I1077)))</f>
        <v>3844</v>
      </c>
      <c r="H1077" s="8">
        <v>1</v>
      </c>
      <c r="I1077" s="168">
        <v>1</v>
      </c>
      <c r="J1077" s="205" t="str">
        <f t="shared" si="28"/>
        <v>H_418</v>
      </c>
      <c r="K1077" s="115"/>
    </row>
    <row r="1078" spans="1:11">
      <c r="A1078" s="41">
        <f t="shared" si="29"/>
        <v>419</v>
      </c>
      <c r="B1078" s="157" t="s">
        <v>902</v>
      </c>
      <c r="C1078" s="204" t="s">
        <v>44</v>
      </c>
      <c r="D1078" s="48" t="s">
        <v>109</v>
      </c>
      <c r="E1078" s="55">
        <v>1173.3399999999999</v>
      </c>
      <c r="F1078" s="181" t="s">
        <v>109</v>
      </c>
      <c r="G1078" s="9">
        <f>IF(Tabla9[[#This Row],[Precio
Unidad de Compra ( $)]]="","",(E1078/(H1078*I1078)))</f>
        <v>1173.3399999999999</v>
      </c>
      <c r="H1078" s="8">
        <v>1</v>
      </c>
      <c r="I1078" s="168">
        <v>1</v>
      </c>
      <c r="J1078" s="205" t="str">
        <f t="shared" si="28"/>
        <v>H_419</v>
      </c>
      <c r="K1078" s="115"/>
    </row>
    <row r="1079" spans="1:11">
      <c r="A1079" s="41">
        <f t="shared" si="29"/>
        <v>420</v>
      </c>
      <c r="B1079" s="157" t="s">
        <v>903</v>
      </c>
      <c r="C1079" s="204" t="s">
        <v>44</v>
      </c>
      <c r="D1079" s="48" t="s">
        <v>109</v>
      </c>
      <c r="E1079" s="55">
        <v>3844</v>
      </c>
      <c r="F1079" s="181" t="s">
        <v>109</v>
      </c>
      <c r="G1079" s="9">
        <f>IF(Tabla9[[#This Row],[Precio
Unidad de Compra ( $)]]="","",(E1079/(H1079*I1079)))</f>
        <v>3844</v>
      </c>
      <c r="H1079" s="8">
        <v>1</v>
      </c>
      <c r="I1079" s="168">
        <v>1</v>
      </c>
      <c r="J1079" s="205" t="str">
        <f t="shared" si="28"/>
        <v>H_420</v>
      </c>
      <c r="K1079" s="115"/>
    </row>
    <row r="1080" spans="1:11">
      <c r="A1080" s="41">
        <f t="shared" si="29"/>
        <v>421</v>
      </c>
      <c r="B1080" s="157" t="s">
        <v>904</v>
      </c>
      <c r="C1080" s="204" t="s">
        <v>44</v>
      </c>
      <c r="D1080" s="48" t="s">
        <v>109</v>
      </c>
      <c r="E1080" s="55">
        <v>1200</v>
      </c>
      <c r="F1080" s="181" t="s">
        <v>109</v>
      </c>
      <c r="G1080" s="9">
        <f>IF(Tabla9[[#This Row],[Precio
Unidad de Compra ( $)]]="","",(E1080/(H1080*I1080)))</f>
        <v>1200</v>
      </c>
      <c r="H1080" s="8">
        <v>1</v>
      </c>
      <c r="I1080" s="168">
        <v>1</v>
      </c>
      <c r="J1080" s="205" t="str">
        <f t="shared" si="28"/>
        <v>H_421</v>
      </c>
      <c r="K1080" s="115"/>
    </row>
    <row r="1081" spans="1:11">
      <c r="B1081"/>
      <c r="C1081"/>
      <c r="D1081"/>
      <c r="E1081"/>
      <c r="F1081" s="176"/>
      <c r="H1081"/>
      <c r="I1081"/>
    </row>
    <row r="1082" spans="1:11">
      <c r="B1082"/>
      <c r="C1082"/>
      <c r="D1082"/>
      <c r="E1082"/>
      <c r="F1082" s="176"/>
      <c r="H1082"/>
      <c r="I1082"/>
    </row>
    <row r="1083" spans="1:11" ht="17.25" customHeight="1">
      <c r="B1083"/>
      <c r="C1083"/>
      <c r="D1083"/>
      <c r="E1083"/>
      <c r="F1083" s="176"/>
      <c r="H1083"/>
      <c r="I1083"/>
    </row>
    <row r="1084" spans="1:11">
      <c r="B1084"/>
      <c r="C1084"/>
      <c r="D1084"/>
      <c r="E1084"/>
      <c r="F1084" s="176"/>
      <c r="H1084"/>
      <c r="I1084"/>
    </row>
    <row r="1085" spans="1:11">
      <c r="B1085"/>
      <c r="C1085"/>
      <c r="D1085"/>
      <c r="E1085"/>
      <c r="F1085" s="176"/>
      <c r="H1085"/>
      <c r="I1085"/>
    </row>
    <row r="1086" spans="1:11">
      <c r="B1086"/>
      <c r="C1086"/>
      <c r="D1086"/>
      <c r="E1086"/>
      <c r="F1086" s="176"/>
      <c r="H1086"/>
      <c r="I1086"/>
    </row>
    <row r="1087" spans="1:11">
      <c r="B1087"/>
      <c r="C1087"/>
      <c r="D1087"/>
      <c r="E1087"/>
      <c r="F1087" s="176"/>
      <c r="H1087"/>
      <c r="I1087"/>
    </row>
    <row r="1088" spans="1:11">
      <c r="B1088"/>
      <c r="C1088"/>
      <c r="D1088"/>
      <c r="E1088"/>
      <c r="F1088" s="176"/>
      <c r="H1088"/>
      <c r="I1088"/>
    </row>
    <row r="1089" spans="6:6" customFormat="1">
      <c r="F1089" s="176"/>
    </row>
    <row r="1090" spans="6:6" customFormat="1">
      <c r="F1090" s="176"/>
    </row>
    <row r="1091" spans="6:6" customFormat="1">
      <c r="F1091" s="176"/>
    </row>
    <row r="1092" spans="6:6" customFormat="1">
      <c r="F1092" s="176"/>
    </row>
    <row r="1093" spans="6:6" customFormat="1">
      <c r="F1093" s="176"/>
    </row>
    <row r="1094" spans="6:6" customFormat="1">
      <c r="F1094" s="176"/>
    </row>
    <row r="1095" spans="6:6" customFormat="1">
      <c r="F1095" s="176"/>
    </row>
    <row r="1096" spans="6:6" customFormat="1">
      <c r="F1096" s="176"/>
    </row>
    <row r="1097" spans="6:6" customFormat="1">
      <c r="F1097" s="176"/>
    </row>
    <row r="1098" spans="6:6" customFormat="1">
      <c r="F1098" s="176"/>
    </row>
    <row r="1099" spans="6:6" customFormat="1">
      <c r="F1099" s="176"/>
    </row>
    <row r="1100" spans="6:6" customFormat="1">
      <c r="F1100" s="176"/>
    </row>
    <row r="1101" spans="6:6" customFormat="1">
      <c r="F1101" s="176"/>
    </row>
    <row r="1102" spans="6:6" customFormat="1">
      <c r="F1102" s="176"/>
    </row>
    <row r="1103" spans="6:6" customFormat="1">
      <c r="F1103" s="176"/>
    </row>
    <row r="1104" spans="6:6" customFormat="1">
      <c r="F1104" s="176"/>
    </row>
    <row r="1105" spans="1:11" ht="15.75">
      <c r="A1105" s="75"/>
      <c r="B1105" s="76" t="s">
        <v>120</v>
      </c>
      <c r="C1105" s="75"/>
      <c r="D1105" s="75"/>
      <c r="E1105" s="75"/>
      <c r="F1105" s="177"/>
      <c r="G1105" s="75"/>
      <c r="H1105" s="75"/>
      <c r="I1105" s="75"/>
      <c r="J1105" s="75"/>
    </row>
    <row r="1106" spans="1:11">
      <c r="B1106"/>
      <c r="C1106"/>
      <c r="D1106"/>
      <c r="E1106"/>
      <c r="F1106" s="176"/>
      <c r="H1106"/>
      <c r="I1106"/>
    </row>
    <row r="1107" spans="1:11" ht="18.75">
      <c r="A1107" s="122" t="s">
        <v>90</v>
      </c>
      <c r="B1107" s="272">
        <f>SUBTOTAL(3,(B1109:B1151))</f>
        <v>43</v>
      </c>
      <c r="C1107" s="489"/>
      <c r="D1107" s="489"/>
      <c r="E1107"/>
      <c r="F1107" s="176"/>
      <c r="H1107"/>
      <c r="I1107"/>
    </row>
    <row r="1108" spans="1:11" ht="47.25">
      <c r="A1108" s="113" t="s">
        <v>72</v>
      </c>
      <c r="B1108" s="123" t="s">
        <v>92</v>
      </c>
      <c r="C1108" s="114" t="s">
        <v>93</v>
      </c>
      <c r="D1108" s="98" t="s">
        <v>94</v>
      </c>
      <c r="E1108" s="67" t="s">
        <v>95</v>
      </c>
      <c r="F1108" s="174" t="s">
        <v>96</v>
      </c>
      <c r="G1108" s="69" t="s">
        <v>97</v>
      </c>
      <c r="H1108" s="70" t="s">
        <v>98</v>
      </c>
      <c r="I1108" s="70" t="s">
        <v>99</v>
      </c>
      <c r="J1108" s="72" t="s">
        <v>100</v>
      </c>
      <c r="K1108" s="254" t="s">
        <v>101</v>
      </c>
    </row>
    <row r="1109" spans="1:11">
      <c r="A1109" s="41">
        <v>1</v>
      </c>
      <c r="B1109" s="157" t="s">
        <v>905</v>
      </c>
      <c r="C1109" s="151" t="s">
        <v>54</v>
      </c>
      <c r="D1109" s="48" t="s">
        <v>239</v>
      </c>
      <c r="E1109" s="43">
        <v>8770.3333333333339</v>
      </c>
      <c r="F1109" s="175" t="s">
        <v>256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5" t="str">
        <f t="shared" ref="J1109:J1151" si="30">IFERROR(CONCATENATE(LEFT(C1109,1),MID(C1109,SEARCH("_",C1109)+1,2),TEXT(A1109,"000")),"")</f>
        <v>STE001</v>
      </c>
      <c r="K1109" s="115"/>
    </row>
    <row r="1110" spans="1:11">
      <c r="A1110" s="41">
        <f t="shared" ref="A1110:A1151" si="31">A1109+1</f>
        <v>2</v>
      </c>
      <c r="B1110" s="38" t="s">
        <v>906</v>
      </c>
      <c r="C1110" s="151" t="s">
        <v>54</v>
      </c>
      <c r="D1110" s="48" t="s">
        <v>239</v>
      </c>
      <c r="E1110" s="43">
        <v>28016</v>
      </c>
      <c r="F1110" s="175" t="s">
        <v>256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5" t="str">
        <f t="shared" si="30"/>
        <v>STE002</v>
      </c>
      <c r="K1110" s="115"/>
    </row>
    <row r="1111" spans="1:11">
      <c r="A1111" s="41">
        <f t="shared" si="31"/>
        <v>3</v>
      </c>
      <c r="B1111" s="36" t="s">
        <v>907</v>
      </c>
      <c r="C1111" s="151" t="s">
        <v>54</v>
      </c>
      <c r="D1111" s="48" t="s">
        <v>253</v>
      </c>
      <c r="E1111" s="43">
        <v>28016</v>
      </c>
      <c r="F1111" s="175" t="s">
        <v>256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5" t="str">
        <f t="shared" si="30"/>
        <v>STE003</v>
      </c>
      <c r="K1111" s="115"/>
    </row>
    <row r="1112" spans="1:11">
      <c r="A1112" s="41">
        <f t="shared" si="31"/>
        <v>4</v>
      </c>
      <c r="B1112" s="36" t="s">
        <v>908</v>
      </c>
      <c r="C1112" s="151" t="s">
        <v>54</v>
      </c>
      <c r="D1112" s="48" t="s">
        <v>253</v>
      </c>
      <c r="E1112" s="43">
        <v>10317</v>
      </c>
      <c r="F1112" s="175" t="s">
        <v>256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5" t="str">
        <f t="shared" si="30"/>
        <v>STE004</v>
      </c>
      <c r="K1112" s="115"/>
    </row>
    <row r="1113" spans="1:11">
      <c r="A1113" s="41">
        <f t="shared" si="31"/>
        <v>5</v>
      </c>
      <c r="B1113" s="157" t="s">
        <v>909</v>
      </c>
      <c r="C1113" s="151" t="s">
        <v>54</v>
      </c>
      <c r="D1113" s="48" t="s">
        <v>239</v>
      </c>
      <c r="E1113" s="43">
        <v>10200</v>
      </c>
      <c r="F1113" s="175" t="s">
        <v>256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5" t="str">
        <f t="shared" si="30"/>
        <v>STE005</v>
      </c>
      <c r="K1113" s="115"/>
    </row>
    <row r="1114" spans="1:11">
      <c r="A1114" s="41">
        <f t="shared" si="31"/>
        <v>6</v>
      </c>
      <c r="B1114" s="157" t="s">
        <v>910</v>
      </c>
      <c r="C1114" s="151" t="s">
        <v>54</v>
      </c>
      <c r="D1114" s="48" t="s">
        <v>239</v>
      </c>
      <c r="E1114" s="43">
        <v>39999.47</v>
      </c>
      <c r="F1114" s="175" t="s">
        <v>256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5" t="str">
        <f t="shared" si="30"/>
        <v>STE006</v>
      </c>
      <c r="K1114" s="115"/>
    </row>
    <row r="1115" spans="1:11">
      <c r="A1115" s="41">
        <f t="shared" si="31"/>
        <v>7</v>
      </c>
      <c r="B1115" s="38" t="s">
        <v>911</v>
      </c>
      <c r="C1115" s="151" t="s">
        <v>54</v>
      </c>
      <c r="D1115" s="48" t="s">
        <v>253</v>
      </c>
      <c r="E1115" s="43">
        <v>10200</v>
      </c>
      <c r="F1115" s="175" t="s">
        <v>256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5" t="str">
        <f t="shared" si="30"/>
        <v>STE007</v>
      </c>
      <c r="K1115" s="115"/>
    </row>
    <row r="1116" spans="1:11">
      <c r="A1116" s="41">
        <f t="shared" si="31"/>
        <v>8</v>
      </c>
      <c r="B1116" s="36" t="s">
        <v>912</v>
      </c>
      <c r="C1116" s="151" t="s">
        <v>54</v>
      </c>
      <c r="D1116" s="48" t="s">
        <v>256</v>
      </c>
      <c r="E1116" s="43">
        <v>28550</v>
      </c>
      <c r="F1116" s="175" t="s">
        <v>256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5" t="str">
        <f t="shared" si="30"/>
        <v>STE008</v>
      </c>
      <c r="K1116" s="115"/>
    </row>
    <row r="1117" spans="1:11">
      <c r="A1117" s="41">
        <f t="shared" si="31"/>
        <v>9</v>
      </c>
      <c r="B1117" s="157" t="s">
        <v>913</v>
      </c>
      <c r="C1117" s="151" t="s">
        <v>54</v>
      </c>
      <c r="D1117" s="48" t="s">
        <v>239</v>
      </c>
      <c r="E1117" s="43">
        <v>34999.089999999997</v>
      </c>
      <c r="F1117" s="175" t="s">
        <v>256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5" t="str">
        <f t="shared" si="30"/>
        <v>STE009</v>
      </c>
      <c r="K1117" s="115"/>
    </row>
    <row r="1118" spans="1:11">
      <c r="A1118" s="41">
        <f t="shared" si="31"/>
        <v>10</v>
      </c>
      <c r="B1118" s="156" t="s">
        <v>914</v>
      </c>
      <c r="C1118" s="151" t="s">
        <v>54</v>
      </c>
      <c r="D1118" s="142" t="s">
        <v>239</v>
      </c>
      <c r="E1118" s="143">
        <v>24999.52</v>
      </c>
      <c r="F1118" s="175" t="s">
        <v>256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5" t="str">
        <f t="shared" si="30"/>
        <v>STE010</v>
      </c>
      <c r="K1118" s="115"/>
    </row>
    <row r="1119" spans="1:11">
      <c r="A1119" s="41">
        <f t="shared" si="31"/>
        <v>11</v>
      </c>
      <c r="B1119" s="141" t="s">
        <v>915</v>
      </c>
      <c r="C1119" s="151" t="s">
        <v>54</v>
      </c>
      <c r="D1119" s="142" t="s">
        <v>239</v>
      </c>
      <c r="E1119" s="143">
        <v>13269</v>
      </c>
      <c r="F1119" s="175" t="s">
        <v>256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5" t="str">
        <f t="shared" si="30"/>
        <v>STE011</v>
      </c>
      <c r="K1119" s="115"/>
    </row>
    <row r="1120" spans="1:11">
      <c r="A1120" s="85">
        <f t="shared" si="31"/>
        <v>12</v>
      </c>
      <c r="B1120" s="282" t="s">
        <v>916</v>
      </c>
      <c r="C1120" s="151" t="s">
        <v>54</v>
      </c>
      <c r="D1120" s="142" t="s">
        <v>239</v>
      </c>
      <c r="E1120" s="143"/>
      <c r="F1120" s="175" t="s">
        <v>917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5" t="str">
        <f t="shared" si="30"/>
        <v>STE012</v>
      </c>
      <c r="K1120" s="115"/>
    </row>
    <row r="1121" spans="1:11">
      <c r="A1121" s="85">
        <f t="shared" si="31"/>
        <v>13</v>
      </c>
      <c r="B1121" s="282" t="s">
        <v>918</v>
      </c>
      <c r="C1121" s="151" t="s">
        <v>54</v>
      </c>
      <c r="D1121" s="142" t="s">
        <v>239</v>
      </c>
      <c r="E1121" s="143"/>
      <c r="F1121" s="175" t="s">
        <v>919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5" t="str">
        <f t="shared" si="30"/>
        <v>STE013</v>
      </c>
      <c r="K1121" s="115"/>
    </row>
    <row r="1122" spans="1:11">
      <c r="A1122" s="85">
        <f t="shared" si="31"/>
        <v>14</v>
      </c>
      <c r="B1122" s="282" t="s">
        <v>920</v>
      </c>
      <c r="C1122" s="151" t="s">
        <v>54</v>
      </c>
      <c r="D1122" s="142" t="s">
        <v>239</v>
      </c>
      <c r="E1122" s="143"/>
      <c r="F1122" s="175" t="s">
        <v>921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5" t="str">
        <f t="shared" si="30"/>
        <v>STE014</v>
      </c>
      <c r="K1122" s="115"/>
    </row>
    <row r="1123" spans="1:11" ht="30" customHeight="1">
      <c r="A1123" s="85">
        <f t="shared" si="31"/>
        <v>15</v>
      </c>
      <c r="B1123" s="282" t="s">
        <v>922</v>
      </c>
      <c r="C1123" s="151" t="s">
        <v>54</v>
      </c>
      <c r="D1123" s="142" t="s">
        <v>239</v>
      </c>
      <c r="E1123" s="143"/>
      <c r="F1123" s="175" t="s">
        <v>923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5" t="str">
        <f t="shared" si="30"/>
        <v>STE015</v>
      </c>
      <c r="K1123" s="115"/>
    </row>
    <row r="1124" spans="1:11">
      <c r="A1124" s="85">
        <f t="shared" si="31"/>
        <v>16</v>
      </c>
      <c r="B1124" s="282" t="s">
        <v>924</v>
      </c>
      <c r="C1124" s="151" t="s">
        <v>54</v>
      </c>
      <c r="D1124" s="142" t="s">
        <v>239</v>
      </c>
      <c r="E1124" s="143"/>
      <c r="F1124" s="175" t="s">
        <v>925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5" t="str">
        <f t="shared" si="30"/>
        <v>STE016</v>
      </c>
      <c r="K1124" s="115"/>
    </row>
    <row r="1125" spans="1:11">
      <c r="A1125" s="85">
        <f t="shared" si="31"/>
        <v>17</v>
      </c>
      <c r="B1125" s="282" t="s">
        <v>926</v>
      </c>
      <c r="C1125" s="151" t="s">
        <v>54</v>
      </c>
      <c r="D1125" s="142" t="s">
        <v>239</v>
      </c>
      <c r="E1125" s="143"/>
      <c r="F1125" s="175" t="s">
        <v>927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5" t="str">
        <f t="shared" si="30"/>
        <v>STE017</v>
      </c>
      <c r="K1125" s="115"/>
    </row>
    <row r="1126" spans="1:11">
      <c r="A1126" s="41">
        <f t="shared" si="31"/>
        <v>18</v>
      </c>
      <c r="B1126" s="141" t="s">
        <v>928</v>
      </c>
      <c r="C1126" s="151" t="s">
        <v>54</v>
      </c>
      <c r="D1126" s="142" t="s">
        <v>239</v>
      </c>
      <c r="E1126" s="143">
        <v>20059.829999999998</v>
      </c>
      <c r="F1126" s="175" t="s">
        <v>256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5" t="str">
        <f t="shared" si="30"/>
        <v>STE018</v>
      </c>
      <c r="K1126" s="115"/>
    </row>
    <row r="1127" spans="1:11" ht="30">
      <c r="A1127" s="41">
        <f t="shared" si="31"/>
        <v>19</v>
      </c>
      <c r="B1127" s="141" t="s">
        <v>929</v>
      </c>
      <c r="C1127" s="151" t="s">
        <v>54</v>
      </c>
      <c r="D1127" s="142" t="s">
        <v>239</v>
      </c>
      <c r="E1127" s="143">
        <v>31945</v>
      </c>
      <c r="F1127" s="175" t="s">
        <v>256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5" t="str">
        <f t="shared" si="30"/>
        <v>STE019</v>
      </c>
      <c r="K1127" s="115"/>
    </row>
    <row r="1128" spans="1:11" ht="30">
      <c r="A1128" s="41">
        <f t="shared" si="31"/>
        <v>20</v>
      </c>
      <c r="B1128" s="141" t="s">
        <v>930</v>
      </c>
      <c r="C1128" s="151" t="s">
        <v>54</v>
      </c>
      <c r="D1128" s="142" t="s">
        <v>239</v>
      </c>
      <c r="E1128" s="143">
        <v>59308.5</v>
      </c>
      <c r="F1128" s="175" t="s">
        <v>256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5" t="str">
        <f t="shared" si="30"/>
        <v>STE020</v>
      </c>
      <c r="K1128" s="115"/>
    </row>
    <row r="1129" spans="1:11">
      <c r="A1129" s="41">
        <f t="shared" si="31"/>
        <v>21</v>
      </c>
      <c r="B1129" s="141" t="s">
        <v>931</v>
      </c>
      <c r="C1129" s="151" t="s">
        <v>54</v>
      </c>
      <c r="D1129" s="142" t="s">
        <v>239</v>
      </c>
      <c r="E1129" s="143">
        <v>22911.759999999998</v>
      </c>
      <c r="F1129" s="175" t="s">
        <v>256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5" t="str">
        <f t="shared" si="30"/>
        <v>STE021</v>
      </c>
      <c r="K1129" s="115"/>
    </row>
    <row r="1130" spans="1:11" ht="30">
      <c r="A1130" s="41">
        <f t="shared" si="31"/>
        <v>22</v>
      </c>
      <c r="B1130" s="156" t="s">
        <v>932</v>
      </c>
      <c r="C1130" s="151" t="s">
        <v>54</v>
      </c>
      <c r="D1130" s="142" t="s">
        <v>239</v>
      </c>
      <c r="E1130" s="143">
        <v>39358.5</v>
      </c>
      <c r="F1130" s="175" t="s">
        <v>256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5" t="str">
        <f t="shared" si="30"/>
        <v>STE022</v>
      </c>
      <c r="K1130" s="115"/>
    </row>
    <row r="1131" spans="1:11">
      <c r="A1131" s="41">
        <f t="shared" si="31"/>
        <v>23</v>
      </c>
      <c r="B1131" s="141" t="s">
        <v>933</v>
      </c>
      <c r="C1131" s="151" t="s">
        <v>54</v>
      </c>
      <c r="D1131" s="142" t="s">
        <v>239</v>
      </c>
      <c r="E1131" s="143">
        <v>34666.660000000003</v>
      </c>
      <c r="F1131" s="175" t="s">
        <v>256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5" t="str">
        <f t="shared" si="30"/>
        <v>STE023</v>
      </c>
      <c r="K1131" s="115"/>
    </row>
    <row r="1132" spans="1:11">
      <c r="A1132" s="41">
        <f t="shared" si="31"/>
        <v>24</v>
      </c>
      <c r="B1132" s="141" t="s">
        <v>934</v>
      </c>
      <c r="C1132" s="151" t="s">
        <v>54</v>
      </c>
      <c r="D1132" s="142" t="s">
        <v>256</v>
      </c>
      <c r="E1132" s="143">
        <v>3550</v>
      </c>
      <c r="F1132" s="175" t="s">
        <v>256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5" t="str">
        <f t="shared" si="30"/>
        <v>STE024</v>
      </c>
      <c r="K1132" s="115"/>
    </row>
    <row r="1133" spans="1:11">
      <c r="A1133" s="41">
        <f t="shared" si="31"/>
        <v>25</v>
      </c>
      <c r="B1133" s="156" t="s">
        <v>935</v>
      </c>
      <c r="C1133" s="151" t="s">
        <v>54</v>
      </c>
      <c r="D1133" s="142" t="s">
        <v>239</v>
      </c>
      <c r="E1133" s="143">
        <v>16591.599999999999</v>
      </c>
      <c r="F1133" s="175" t="s">
        <v>256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5" t="str">
        <f t="shared" si="30"/>
        <v>STE025</v>
      </c>
      <c r="K1133" s="115"/>
    </row>
    <row r="1134" spans="1:11">
      <c r="A1134" s="41">
        <f t="shared" si="31"/>
        <v>26</v>
      </c>
      <c r="B1134" s="158" t="s">
        <v>936</v>
      </c>
      <c r="C1134" s="151" t="s">
        <v>54</v>
      </c>
      <c r="D1134" s="142" t="s">
        <v>239</v>
      </c>
      <c r="E1134" s="143">
        <v>16813.509999999998</v>
      </c>
      <c r="F1134" s="175" t="s">
        <v>256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5" t="str">
        <f t="shared" si="30"/>
        <v>STE026</v>
      </c>
      <c r="K1134" s="115"/>
    </row>
    <row r="1135" spans="1:11">
      <c r="A1135" s="41">
        <f t="shared" si="31"/>
        <v>27</v>
      </c>
      <c r="B1135" s="158" t="s">
        <v>937</v>
      </c>
      <c r="C1135" s="151" t="s">
        <v>54</v>
      </c>
      <c r="D1135" s="142" t="s">
        <v>239</v>
      </c>
      <c r="E1135" s="143">
        <v>19744.003999999997</v>
      </c>
      <c r="F1135" s="175" t="s">
        <v>256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5" t="str">
        <f t="shared" si="30"/>
        <v>STE027</v>
      </c>
      <c r="K1135" s="115"/>
    </row>
    <row r="1136" spans="1:11">
      <c r="A1136" s="41">
        <f t="shared" si="31"/>
        <v>28</v>
      </c>
      <c r="B1136" s="156" t="s">
        <v>938</v>
      </c>
      <c r="C1136" s="151" t="s">
        <v>54</v>
      </c>
      <c r="D1136" s="142" t="s">
        <v>239</v>
      </c>
      <c r="E1136" s="143">
        <v>9500</v>
      </c>
      <c r="F1136" s="175" t="s">
        <v>256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5" t="str">
        <f t="shared" si="30"/>
        <v>STE028</v>
      </c>
      <c r="K1136" s="115"/>
    </row>
    <row r="1137" spans="1:11">
      <c r="A1137" s="41">
        <f t="shared" si="31"/>
        <v>29</v>
      </c>
      <c r="B1137" s="158" t="s">
        <v>939</v>
      </c>
      <c r="C1137" s="151" t="s">
        <v>54</v>
      </c>
      <c r="D1137" s="142" t="s">
        <v>239</v>
      </c>
      <c r="E1137" s="143">
        <v>7511.9940000000006</v>
      </c>
      <c r="F1137" s="175" t="s">
        <v>256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5" t="str">
        <f t="shared" si="30"/>
        <v>STE029</v>
      </c>
      <c r="K1137" s="115"/>
    </row>
    <row r="1138" spans="1:11" ht="30">
      <c r="A1138" s="41">
        <f t="shared" si="31"/>
        <v>30</v>
      </c>
      <c r="B1138" s="156" t="s">
        <v>940</v>
      </c>
      <c r="C1138" s="151" t="s">
        <v>54</v>
      </c>
      <c r="D1138" s="142" t="s">
        <v>239</v>
      </c>
      <c r="E1138" s="143">
        <v>28016.000000000004</v>
      </c>
      <c r="F1138" s="175" t="s">
        <v>256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5" t="str">
        <f t="shared" si="30"/>
        <v>STE030</v>
      </c>
      <c r="K1138" s="115"/>
    </row>
    <row r="1139" spans="1:11">
      <c r="A1139" s="41">
        <f t="shared" si="31"/>
        <v>31</v>
      </c>
      <c r="B1139" s="158" t="s">
        <v>941</v>
      </c>
      <c r="C1139" s="151" t="s">
        <v>54</v>
      </c>
      <c r="D1139" s="142" t="s">
        <v>239</v>
      </c>
      <c r="E1139" s="143">
        <v>25200</v>
      </c>
      <c r="F1139" s="175" t="s">
        <v>256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5" t="str">
        <f t="shared" si="30"/>
        <v>STE031</v>
      </c>
      <c r="K1139" s="115"/>
    </row>
    <row r="1140" spans="1:11">
      <c r="A1140" s="41">
        <f t="shared" si="31"/>
        <v>32</v>
      </c>
      <c r="B1140" s="157" t="s">
        <v>942</v>
      </c>
      <c r="C1140" s="151" t="s">
        <v>54</v>
      </c>
      <c r="D1140" s="48" t="s">
        <v>239</v>
      </c>
      <c r="E1140" s="43">
        <v>6970.59</v>
      </c>
      <c r="F1140" s="175" t="s">
        <v>256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5" t="str">
        <f t="shared" si="30"/>
        <v>STE032</v>
      </c>
      <c r="K1140" s="115"/>
    </row>
    <row r="1141" spans="1:11">
      <c r="A1141" s="85">
        <f t="shared" si="31"/>
        <v>33</v>
      </c>
      <c r="B1141" s="269" t="s">
        <v>943</v>
      </c>
      <c r="C1141" s="151" t="s">
        <v>54</v>
      </c>
      <c r="D1141" s="48" t="s">
        <v>239</v>
      </c>
      <c r="E1141" s="43"/>
      <c r="F1141" s="175" t="s">
        <v>944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5" t="str">
        <f t="shared" si="30"/>
        <v>STE033</v>
      </c>
      <c r="K1141" s="115"/>
    </row>
    <row r="1142" spans="1:11">
      <c r="A1142" s="41">
        <f t="shared" si="31"/>
        <v>34</v>
      </c>
      <c r="B1142" s="159" t="s">
        <v>945</v>
      </c>
      <c r="C1142" s="151" t="s">
        <v>54</v>
      </c>
      <c r="D1142" s="142" t="s">
        <v>239</v>
      </c>
      <c r="E1142" s="143">
        <v>8770.3333333333339</v>
      </c>
      <c r="F1142" s="175" t="s">
        <v>256</v>
      </c>
      <c r="G1142" s="39">
        <f>IF(BD!$E1135="","",(E1142/(Tabla32[[#This Row],[Magnitud
1 en U]]*Tabla32[[#This Row],[Magnitud
2 en U]])))</f>
        <v>0.62645238095238098</v>
      </c>
      <c r="H1142" s="160">
        <v>140</v>
      </c>
      <c r="I1142" s="8">
        <v>100</v>
      </c>
      <c r="J1142" s="205" t="str">
        <f t="shared" si="30"/>
        <v>STE034</v>
      </c>
      <c r="K1142" s="115"/>
    </row>
    <row r="1143" spans="1:11">
      <c r="A1143" s="41">
        <f t="shared" si="31"/>
        <v>35</v>
      </c>
      <c r="B1143" s="157" t="s">
        <v>946</v>
      </c>
      <c r="C1143" s="151" t="s">
        <v>54</v>
      </c>
      <c r="D1143" s="48" t="s">
        <v>239</v>
      </c>
      <c r="E1143" s="43">
        <v>44000</v>
      </c>
      <c r="F1143" s="175" t="s">
        <v>256</v>
      </c>
      <c r="G1143" s="39">
        <f>IF(BD!$E1136="","",(E1143/(Tabla32[[#This Row],[Magnitud
1 en U]]*Tabla32[[#This Row],[Magnitud
2 en U]])))</f>
        <v>3.1428571428571428</v>
      </c>
      <c r="H1143" s="160">
        <v>140</v>
      </c>
      <c r="I1143" s="134">
        <v>100</v>
      </c>
      <c r="J1143" s="205" t="str">
        <f t="shared" si="30"/>
        <v>STE035</v>
      </c>
      <c r="K1143" s="115"/>
    </row>
    <row r="1144" spans="1:11">
      <c r="A1144" s="41">
        <f t="shared" si="31"/>
        <v>36</v>
      </c>
      <c r="B1144" s="36" t="s">
        <v>947</v>
      </c>
      <c r="C1144" s="151" t="s">
        <v>54</v>
      </c>
      <c r="D1144" s="48" t="s">
        <v>253</v>
      </c>
      <c r="E1144" s="43">
        <v>18500</v>
      </c>
      <c r="F1144" s="175" t="s">
        <v>256</v>
      </c>
      <c r="G1144" s="39">
        <f>IF(BD!$E1137="","",(E1144/(Tabla32[[#This Row],[Magnitud
1 en U]]*Tabla32[[#This Row],[Magnitud
2 en U]])))</f>
        <v>1.3214285714285714</v>
      </c>
      <c r="H1144" s="160">
        <v>140</v>
      </c>
      <c r="I1144" s="8">
        <v>100</v>
      </c>
      <c r="J1144" s="205" t="str">
        <f t="shared" si="30"/>
        <v>STE036</v>
      </c>
      <c r="K1144" s="115"/>
    </row>
    <row r="1145" spans="1:11">
      <c r="A1145" s="41">
        <f t="shared" si="31"/>
        <v>37</v>
      </c>
      <c r="B1145" s="36" t="s">
        <v>948</v>
      </c>
      <c r="C1145" s="151" t="s">
        <v>54</v>
      </c>
      <c r="D1145" s="48" t="s">
        <v>253</v>
      </c>
      <c r="E1145" s="43">
        <v>39100</v>
      </c>
      <c r="F1145" s="175" t="s">
        <v>256</v>
      </c>
      <c r="G1145" s="39">
        <f>IF(BD!$E1138="","",(E1145/(Tabla32[[#This Row],[Magnitud
1 en U]]*Tabla32[[#This Row],[Magnitud
2 en U]])))</f>
        <v>2.7928571428571427</v>
      </c>
      <c r="H1145" s="160">
        <v>140</v>
      </c>
      <c r="I1145" s="8">
        <v>100</v>
      </c>
      <c r="J1145" s="205" t="str">
        <f t="shared" si="30"/>
        <v>STE037</v>
      </c>
      <c r="K1145" s="115"/>
    </row>
    <row r="1146" spans="1:11">
      <c r="A1146" s="41">
        <f t="shared" si="31"/>
        <v>38</v>
      </c>
      <c r="B1146" s="140" t="s">
        <v>949</v>
      </c>
      <c r="C1146" s="151" t="s">
        <v>54</v>
      </c>
      <c r="D1146" s="48" t="s">
        <v>253</v>
      </c>
      <c r="E1146" s="133">
        <v>11950</v>
      </c>
      <c r="F1146" s="175" t="s">
        <v>256</v>
      </c>
      <c r="G1146" s="39">
        <f>IF(BD!$E1139="","",(E1146/(Tabla32[[#This Row],[Magnitud
1 en U]]*Tabla32[[#This Row],[Magnitud
2 en U]])))</f>
        <v>0.85357142857142854</v>
      </c>
      <c r="H1146" s="160">
        <v>140</v>
      </c>
      <c r="I1146" s="8">
        <v>100</v>
      </c>
      <c r="J1146" s="205" t="str">
        <f t="shared" si="30"/>
        <v>STE038</v>
      </c>
      <c r="K1146" s="115"/>
    </row>
    <row r="1147" spans="1:11" ht="30">
      <c r="A1147" s="41">
        <f t="shared" si="31"/>
        <v>39</v>
      </c>
      <c r="B1147" s="283" t="s">
        <v>950</v>
      </c>
      <c r="C1147" s="151" t="s">
        <v>54</v>
      </c>
      <c r="D1147" s="48" t="s">
        <v>239</v>
      </c>
      <c r="E1147" s="133">
        <v>5194</v>
      </c>
      <c r="F1147" s="175" t="s">
        <v>256</v>
      </c>
      <c r="G1147" s="39">
        <f>IF(BD!$E1140="","",(E1147/(Tabla32[[#This Row],[Magnitud
1 en U]]*Tabla32[[#This Row],[Magnitud
2 en U]])))</f>
        <v>0.371</v>
      </c>
      <c r="H1147" s="160">
        <v>140</v>
      </c>
      <c r="I1147" s="8">
        <v>100</v>
      </c>
      <c r="J1147" s="205" t="str">
        <f t="shared" si="30"/>
        <v>STE039</v>
      </c>
      <c r="K1147" s="115"/>
    </row>
    <row r="1148" spans="1:11" ht="30">
      <c r="A1148" s="41">
        <f t="shared" si="31"/>
        <v>40</v>
      </c>
      <c r="B1148" s="283" t="s">
        <v>951</v>
      </c>
      <c r="C1148" s="151" t="s">
        <v>54</v>
      </c>
      <c r="D1148" s="48" t="s">
        <v>253</v>
      </c>
      <c r="E1148" s="133">
        <v>39358.5</v>
      </c>
      <c r="F1148" s="175" t="s">
        <v>256</v>
      </c>
      <c r="G1148" s="39" t="str">
        <f>IF(BD!$E1141="","",(E1148/(Tabla32[[#This Row],[Magnitud
1 en U]]*Tabla32[[#This Row],[Magnitud
2 en U]])))</f>
        <v/>
      </c>
      <c r="H1148" s="160">
        <v>140</v>
      </c>
      <c r="I1148" s="8">
        <v>100</v>
      </c>
      <c r="J1148" s="205" t="str">
        <f t="shared" si="30"/>
        <v>STE040</v>
      </c>
      <c r="K1148" s="115"/>
    </row>
    <row r="1149" spans="1:11" ht="30">
      <c r="A1149" s="41">
        <f t="shared" si="31"/>
        <v>41</v>
      </c>
      <c r="B1149" s="283" t="s">
        <v>952</v>
      </c>
      <c r="C1149" s="151" t="s">
        <v>54</v>
      </c>
      <c r="D1149" s="48" t="s">
        <v>253</v>
      </c>
      <c r="E1149" s="133">
        <v>31945</v>
      </c>
      <c r="F1149" s="175" t="s">
        <v>256</v>
      </c>
      <c r="G1149" s="39">
        <f>IF(BD!$E1142="","",(E1149/(Tabla32[[#This Row],[Magnitud
1 en U]]*Tabla32[[#This Row],[Magnitud
2 en U]])))</f>
        <v>2.2817857142857143</v>
      </c>
      <c r="H1149" s="160">
        <v>140</v>
      </c>
      <c r="I1149" s="8">
        <v>100</v>
      </c>
      <c r="J1149" s="205" t="str">
        <f t="shared" si="30"/>
        <v>STE041</v>
      </c>
      <c r="K1149" s="115"/>
    </row>
    <row r="1150" spans="1:11" ht="30">
      <c r="A1150" s="41">
        <f t="shared" si="31"/>
        <v>42</v>
      </c>
      <c r="B1150" s="283" t="s">
        <v>953</v>
      </c>
      <c r="C1150" s="151" t="s">
        <v>54</v>
      </c>
      <c r="D1150" s="48" t="s">
        <v>253</v>
      </c>
      <c r="E1150" s="133">
        <v>59308.5</v>
      </c>
      <c r="F1150" s="175" t="s">
        <v>256</v>
      </c>
      <c r="G1150" s="39">
        <f>IF(BD!$E1143="","",(E1150/(Tabla32[[#This Row],[Magnitud
1 en U]]*Tabla32[[#This Row],[Magnitud
2 en U]])))</f>
        <v>4.2363214285714283</v>
      </c>
      <c r="H1150" s="160">
        <v>140</v>
      </c>
      <c r="I1150" s="8">
        <v>100</v>
      </c>
      <c r="J1150" s="205" t="str">
        <f t="shared" si="30"/>
        <v>STE042</v>
      </c>
      <c r="K1150" s="115"/>
    </row>
    <row r="1151" spans="1:11">
      <c r="A1151" s="85">
        <f t="shared" si="31"/>
        <v>43</v>
      </c>
      <c r="B1151" s="283" t="s">
        <v>954</v>
      </c>
      <c r="C1151" s="151" t="s">
        <v>54</v>
      </c>
      <c r="D1151" s="48" t="s">
        <v>239</v>
      </c>
      <c r="E1151" s="133">
        <v>0</v>
      </c>
      <c r="F1151" s="175" t="s">
        <v>256</v>
      </c>
      <c r="G1151" s="39">
        <f>IF(BD!$E1144="","",(E1151/(Tabla32[[#This Row],[Magnitud
1 en U]]*Tabla32[[#This Row],[Magnitud
2 en U]])))</f>
        <v>0</v>
      </c>
      <c r="H1151" s="160">
        <v>150</v>
      </c>
      <c r="I1151" s="8">
        <v>100</v>
      </c>
      <c r="J1151" s="84" t="str">
        <f t="shared" si="30"/>
        <v>STE043</v>
      </c>
      <c r="K1151" s="94"/>
    </row>
    <row r="1152" spans="1:11">
      <c r="A1152" s="144"/>
      <c r="B1152" s="145"/>
      <c r="C1152" s="146"/>
      <c r="D1152" s="147"/>
      <c r="E1152" s="148"/>
      <c r="G1152" s="149"/>
      <c r="H1152" s="150"/>
      <c r="I1152" s="150"/>
    </row>
    <row r="1153" spans="1:11">
      <c r="A1153" s="144"/>
      <c r="B1153" s="145"/>
      <c r="C1153" s="146"/>
      <c r="D1153" s="147"/>
      <c r="E1153" s="148"/>
      <c r="G1153" s="149"/>
      <c r="H1153" s="150"/>
      <c r="I1153" s="150"/>
    </row>
    <row r="1154" spans="1:11">
      <c r="A1154" s="144"/>
      <c r="B1154" s="145"/>
      <c r="C1154" s="146"/>
      <c r="D1154" s="147"/>
      <c r="E1154" s="148"/>
      <c r="G1154" s="149"/>
      <c r="H1154" s="150"/>
      <c r="I1154" s="150"/>
    </row>
    <row r="1155" spans="1:11">
      <c r="A1155" s="144"/>
      <c r="B1155" s="145"/>
      <c r="C1155" s="146"/>
      <c r="D1155" s="147"/>
      <c r="E1155" s="148"/>
      <c r="G1155" s="149"/>
      <c r="H1155" s="150"/>
      <c r="I1155" s="150"/>
    </row>
    <row r="1156" spans="1:11">
      <c r="A1156" s="144"/>
      <c r="B1156" s="145"/>
      <c r="C1156" s="146"/>
      <c r="D1156" s="147"/>
      <c r="E1156" s="148"/>
      <c r="G1156" s="149"/>
      <c r="H1156" s="150"/>
      <c r="I1156" s="150"/>
    </row>
    <row r="1157" spans="1:11">
      <c r="A1157" s="144"/>
      <c r="B1157" s="145"/>
      <c r="C1157" s="146"/>
      <c r="D1157" s="147"/>
      <c r="E1157" s="148"/>
      <c r="G1157" s="149"/>
      <c r="H1157" s="150"/>
      <c r="I1157" s="150"/>
    </row>
    <row r="1158" spans="1:11">
      <c r="A1158" s="144"/>
      <c r="B1158" s="145"/>
      <c r="C1158" s="146"/>
      <c r="D1158" s="147"/>
      <c r="E1158" s="148"/>
      <c r="G1158" s="149"/>
      <c r="H1158" s="150"/>
      <c r="I1158" s="150"/>
    </row>
    <row r="1159" spans="1:11" ht="18" customHeight="1">
      <c r="A1159" s="144"/>
      <c r="B1159" s="145"/>
      <c r="C1159" s="146"/>
      <c r="D1159" s="147"/>
      <c r="E1159" s="148"/>
      <c r="G1159" s="149"/>
      <c r="H1159" s="150"/>
      <c r="I1159" s="150"/>
    </row>
    <row r="1160" spans="1:11">
      <c r="A1160" s="144"/>
      <c r="B1160" s="145"/>
      <c r="C1160" s="146"/>
      <c r="D1160" s="147"/>
      <c r="E1160" s="148"/>
      <c r="G1160" s="149"/>
      <c r="H1160" s="150"/>
      <c r="I1160" s="150"/>
    </row>
    <row r="1161" spans="1:11">
      <c r="A1161" s="144"/>
      <c r="B1161" s="145"/>
      <c r="C1161" s="146"/>
      <c r="D1161" s="147"/>
      <c r="E1161" s="148"/>
      <c r="G1161" s="149"/>
      <c r="H1161" s="150"/>
      <c r="I1161" s="150"/>
    </row>
    <row r="1162" spans="1:11">
      <c r="A1162" s="144"/>
      <c r="B1162" s="145"/>
      <c r="C1162" s="146"/>
      <c r="D1162" s="147"/>
      <c r="E1162" s="148"/>
      <c r="G1162" s="149"/>
      <c r="H1162" s="150"/>
      <c r="I1162" s="150"/>
    </row>
    <row r="1163" spans="1:11" ht="30" customHeight="1">
      <c r="A1163" s="144"/>
      <c r="B1163" s="145"/>
      <c r="C1163" s="146"/>
      <c r="D1163" s="147"/>
      <c r="E1163" s="148"/>
      <c r="G1163" s="149"/>
      <c r="H1163" s="150"/>
      <c r="I1163" s="150"/>
    </row>
    <row r="1164" spans="1:11">
      <c r="A1164" s="144"/>
      <c r="B1164" s="145"/>
      <c r="C1164" s="146"/>
      <c r="D1164" s="147"/>
      <c r="E1164" s="148"/>
      <c r="G1164" s="149"/>
      <c r="H1164" s="150"/>
      <c r="I1164" s="150"/>
    </row>
    <row r="1165" spans="1:11" ht="15.75">
      <c r="A1165" s="75"/>
      <c r="B1165" s="76" t="s">
        <v>120</v>
      </c>
      <c r="C1165" s="75"/>
      <c r="D1165" s="75"/>
      <c r="E1165" s="75"/>
      <c r="F1165" s="177"/>
      <c r="G1165" s="75"/>
      <c r="H1165" s="75"/>
      <c r="I1165" s="75"/>
      <c r="J1165" s="75"/>
    </row>
    <row r="1166" spans="1:11" ht="15.75" thickBot="1">
      <c r="B1166"/>
      <c r="C1166" s="492"/>
      <c r="D1166" s="491"/>
      <c r="E1166"/>
      <c r="F1166" s="176"/>
      <c r="H1166"/>
      <c r="I1166"/>
    </row>
    <row r="1167" spans="1:11" ht="24" thickBot="1">
      <c r="A1167" s="124" t="s">
        <v>90</v>
      </c>
      <c r="B1167" s="284">
        <f>SUBTOTAL(3,(B1169:B1230))</f>
        <v>62</v>
      </c>
      <c r="E1167"/>
      <c r="F1167" s="176"/>
      <c r="H1167"/>
      <c r="I1167"/>
    </row>
    <row r="1168" spans="1:11" ht="47.25">
      <c r="A1168" s="77" t="s">
        <v>72</v>
      </c>
      <c r="B1168" s="198" t="s">
        <v>92</v>
      </c>
      <c r="C1168" s="64" t="s">
        <v>93</v>
      </c>
      <c r="D1168" s="65" t="s">
        <v>94</v>
      </c>
      <c r="E1168" s="67" t="s">
        <v>95</v>
      </c>
      <c r="F1168" s="174" t="s">
        <v>96</v>
      </c>
      <c r="G1168" s="69" t="s">
        <v>97</v>
      </c>
      <c r="H1168" s="70" t="s">
        <v>98</v>
      </c>
      <c r="I1168" s="70" t="s">
        <v>99</v>
      </c>
      <c r="J1168" s="72" t="s">
        <v>100</v>
      </c>
      <c r="K1168" s="254" t="s">
        <v>101</v>
      </c>
    </row>
    <row r="1169" spans="1:11">
      <c r="A1169" s="79">
        <v>1</v>
      </c>
      <c r="B1169" s="271" t="s">
        <v>955</v>
      </c>
      <c r="C1169" s="204" t="s">
        <v>56</v>
      </c>
      <c r="D1169" s="48" t="s">
        <v>242</v>
      </c>
      <c r="E1169" s="43"/>
      <c r="F1169" s="175" t="s">
        <v>256</v>
      </c>
      <c r="G1169" s="9" t="str">
        <f>IF(BD!$E1221="","",(E1169/(H1169*I1169)))</f>
        <v/>
      </c>
      <c r="H1169" s="8">
        <v>1</v>
      </c>
      <c r="I1169" s="8">
        <v>100</v>
      </c>
      <c r="J1169" s="205" t="str">
        <f t="shared" ref="J1169:J1200" si="32">CONCATENATE(LEFT(C1169,1),"_",TEXT(A1169,"000"))</f>
        <v>S_001</v>
      </c>
      <c r="K1169" s="115"/>
    </row>
    <row r="1170" spans="1:11">
      <c r="A1170" s="79">
        <v>2</v>
      </c>
      <c r="B1170" s="271" t="s">
        <v>956</v>
      </c>
      <c r="C1170" s="204" t="s">
        <v>56</v>
      </c>
      <c r="D1170" s="48" t="s">
        <v>242</v>
      </c>
      <c r="E1170" s="43"/>
      <c r="F1170" s="175" t="s">
        <v>256</v>
      </c>
      <c r="G1170" s="9" t="str">
        <f>IF(BD!$E1222="","",(E1170/(H1170*I1170)))</f>
        <v/>
      </c>
      <c r="H1170" s="8">
        <v>1</v>
      </c>
      <c r="I1170" s="8">
        <v>100</v>
      </c>
      <c r="J1170" s="205" t="str">
        <f t="shared" si="32"/>
        <v>S_002</v>
      </c>
      <c r="K1170" s="115"/>
    </row>
    <row r="1171" spans="1:11">
      <c r="A1171" s="79">
        <f>A1170+1</f>
        <v>3</v>
      </c>
      <c r="B1171" s="271" t="s">
        <v>957</v>
      </c>
      <c r="C1171" s="204" t="s">
        <v>56</v>
      </c>
      <c r="D1171" s="48" t="s">
        <v>242</v>
      </c>
      <c r="E1171" s="43"/>
      <c r="F1171" s="175" t="s">
        <v>256</v>
      </c>
      <c r="G1171" s="9" t="str">
        <f>IF(BD!$E1223="","",(E1171/(H1171*I1171)))</f>
        <v/>
      </c>
      <c r="H1171" s="8">
        <v>1</v>
      </c>
      <c r="I1171" s="8">
        <v>100</v>
      </c>
      <c r="J1171" s="205" t="str">
        <f t="shared" si="32"/>
        <v>S_003</v>
      </c>
      <c r="K1171" s="115"/>
    </row>
    <row r="1172" spans="1:11">
      <c r="A1172" s="79">
        <f>A1171+1</f>
        <v>4</v>
      </c>
      <c r="B1172" s="271" t="s">
        <v>958</v>
      </c>
      <c r="C1172" s="204" t="s">
        <v>56</v>
      </c>
      <c r="D1172" s="48" t="s">
        <v>242</v>
      </c>
      <c r="E1172" s="43"/>
      <c r="F1172" s="175" t="s">
        <v>256</v>
      </c>
      <c r="G1172" s="9">
        <f>IF(BD!$E1224="","",(E1172/(H1172*I1172)))</f>
        <v>0</v>
      </c>
      <c r="H1172" s="8">
        <v>1</v>
      </c>
      <c r="I1172" s="8">
        <v>100</v>
      </c>
      <c r="J1172" s="205" t="str">
        <f t="shared" si="32"/>
        <v>S_004</v>
      </c>
      <c r="K1172" s="115"/>
    </row>
    <row r="1173" spans="1:11">
      <c r="A1173" s="79">
        <f>A1172+1</f>
        <v>5</v>
      </c>
      <c r="B1173" s="271" t="s">
        <v>959</v>
      </c>
      <c r="C1173" s="204" t="s">
        <v>56</v>
      </c>
      <c r="D1173" s="48" t="s">
        <v>242</v>
      </c>
      <c r="E1173" s="43"/>
      <c r="F1173" s="175" t="s">
        <v>256</v>
      </c>
      <c r="G1173" s="9">
        <f>IF(BD!$E1225="","",(E1173/(H1173*I1173)))</f>
        <v>0</v>
      </c>
      <c r="H1173" s="8">
        <v>1</v>
      </c>
      <c r="I1173" s="8">
        <v>100</v>
      </c>
      <c r="J1173" s="205" t="str">
        <f t="shared" si="32"/>
        <v>S_005</v>
      </c>
      <c r="K1173" s="115"/>
    </row>
    <row r="1174" spans="1:11">
      <c r="A1174" s="79">
        <f>A1173+1</f>
        <v>6</v>
      </c>
      <c r="B1174" s="271" t="s">
        <v>960</v>
      </c>
      <c r="C1174" s="204" t="s">
        <v>56</v>
      </c>
      <c r="D1174" s="48" t="s">
        <v>242</v>
      </c>
      <c r="E1174" s="43"/>
      <c r="F1174" s="175" t="s">
        <v>256</v>
      </c>
      <c r="G1174" s="9">
        <f>IF(BD!$E1226="","",(E1174/(H1174*I1174)))</f>
        <v>0</v>
      </c>
      <c r="H1174" s="8">
        <v>1</v>
      </c>
      <c r="I1174" s="8">
        <v>100</v>
      </c>
      <c r="J1174" s="205" t="str">
        <f t="shared" si="32"/>
        <v>S_006</v>
      </c>
      <c r="K1174" s="115"/>
    </row>
    <row r="1175" spans="1:11">
      <c r="A1175" s="220">
        <f>A1174+1</f>
        <v>7</v>
      </c>
      <c r="B1175" s="271" t="s">
        <v>961</v>
      </c>
      <c r="C1175" s="204" t="s">
        <v>56</v>
      </c>
      <c r="D1175" s="48" t="s">
        <v>242</v>
      </c>
      <c r="E1175" s="43"/>
      <c r="F1175" s="175" t="s">
        <v>256</v>
      </c>
      <c r="G1175" s="9" t="str">
        <f>IF(BD!$E1227="","",(E1175/(H1175*I1175)))</f>
        <v/>
      </c>
      <c r="H1175" s="8">
        <v>1</v>
      </c>
      <c r="I1175" s="8">
        <v>100</v>
      </c>
      <c r="J1175" s="205" t="str">
        <f t="shared" si="32"/>
        <v>S_007</v>
      </c>
      <c r="K1175" s="115"/>
    </row>
    <row r="1176" spans="1:11" ht="30">
      <c r="A1176" s="220">
        <f t="shared" ref="A1176:A1230" si="33">A1175+1</f>
        <v>8</v>
      </c>
      <c r="B1176" s="267" t="s">
        <v>962</v>
      </c>
      <c r="C1176" s="204" t="s">
        <v>56</v>
      </c>
      <c r="D1176" s="48" t="s">
        <v>242</v>
      </c>
      <c r="E1176" s="43">
        <v>49000</v>
      </c>
      <c r="F1176" s="175" t="s">
        <v>242</v>
      </c>
      <c r="G1176" s="9">
        <v>49000</v>
      </c>
      <c r="H1176" s="80">
        <v>1</v>
      </c>
      <c r="I1176" s="80">
        <v>1</v>
      </c>
      <c r="J1176" s="205" t="str">
        <f t="shared" si="32"/>
        <v>S_008</v>
      </c>
      <c r="K1176" s="115"/>
    </row>
    <row r="1177" spans="1:11">
      <c r="A1177" s="220">
        <f t="shared" si="33"/>
        <v>9</v>
      </c>
      <c r="B1177" s="285" t="s">
        <v>963</v>
      </c>
      <c r="C1177" s="204" t="s">
        <v>56</v>
      </c>
      <c r="D1177" s="48" t="s">
        <v>242</v>
      </c>
      <c r="E1177" s="133"/>
      <c r="F1177" s="175" t="s">
        <v>256</v>
      </c>
      <c r="G1177" s="237" t="str">
        <f>IF(BD!$E1228="","",(E1177/(H1177*I1177)))</f>
        <v/>
      </c>
      <c r="H1177" s="8">
        <v>1</v>
      </c>
      <c r="I1177" s="8">
        <v>100</v>
      </c>
      <c r="J1177" s="205" t="str">
        <f t="shared" si="32"/>
        <v>S_009</v>
      </c>
      <c r="K1177" s="115"/>
    </row>
    <row r="1178" spans="1:11">
      <c r="A1178" s="220">
        <f t="shared" si="33"/>
        <v>10</v>
      </c>
      <c r="B1178" s="285" t="s">
        <v>964</v>
      </c>
      <c r="C1178" s="204" t="s">
        <v>56</v>
      </c>
      <c r="D1178" s="48" t="s">
        <v>242</v>
      </c>
      <c r="E1178" s="133"/>
      <c r="F1178" s="175" t="s">
        <v>256</v>
      </c>
      <c r="G1178" s="237" t="str">
        <f>IF(BD!$E1229="","",(E1178/(H1178*I1178)))</f>
        <v/>
      </c>
      <c r="H1178" s="8">
        <v>1</v>
      </c>
      <c r="I1178" s="8">
        <v>100</v>
      </c>
      <c r="J1178" s="205" t="str">
        <f t="shared" si="32"/>
        <v>S_010</v>
      </c>
      <c r="K1178" s="115"/>
    </row>
    <row r="1179" spans="1:11">
      <c r="A1179" s="220">
        <f t="shared" si="33"/>
        <v>11</v>
      </c>
      <c r="B1179" s="267" t="s">
        <v>965</v>
      </c>
      <c r="C1179" s="204" t="s">
        <v>56</v>
      </c>
      <c r="D1179" s="48" t="s">
        <v>174</v>
      </c>
      <c r="E1179" s="133"/>
      <c r="F1179" s="175" t="s">
        <v>174</v>
      </c>
      <c r="G1179" s="237" t="str">
        <f>IF(BD!$E1182="","",(E1179/(H1179*I1179)))</f>
        <v/>
      </c>
      <c r="H1179" s="8">
        <v>1</v>
      </c>
      <c r="I1179" s="8">
        <v>1</v>
      </c>
      <c r="J1179" s="205" t="str">
        <f t="shared" si="32"/>
        <v>S_011</v>
      </c>
      <c r="K1179" s="115"/>
    </row>
    <row r="1180" spans="1:11">
      <c r="A1180" s="220">
        <f t="shared" si="33"/>
        <v>12</v>
      </c>
      <c r="B1180" s="267" t="s">
        <v>966</v>
      </c>
      <c r="C1180" s="204" t="s">
        <v>56</v>
      </c>
      <c r="D1180" s="48" t="s">
        <v>174</v>
      </c>
      <c r="E1180" s="133"/>
      <c r="F1180" s="175" t="s">
        <v>174</v>
      </c>
      <c r="G1180" s="237" t="str">
        <f>IF(BD!$E1181="","",(E1180/(H1180*I1180)))</f>
        <v/>
      </c>
      <c r="H1180" s="8">
        <v>1</v>
      </c>
      <c r="I1180" s="8">
        <v>1</v>
      </c>
      <c r="J1180" s="205" t="str">
        <f t="shared" si="32"/>
        <v>S_012</v>
      </c>
      <c r="K1180" s="115"/>
    </row>
    <row r="1181" spans="1:11">
      <c r="A1181" s="220">
        <f t="shared" si="33"/>
        <v>13</v>
      </c>
      <c r="B1181" s="267" t="s">
        <v>967</v>
      </c>
      <c r="C1181" s="204" t="s">
        <v>56</v>
      </c>
      <c r="D1181" s="48" t="s">
        <v>174</v>
      </c>
      <c r="E1181" s="133"/>
      <c r="F1181" s="175" t="s">
        <v>174</v>
      </c>
      <c r="G1181" s="237" t="str">
        <f>IF(BD!$E1187="","",(E1181/(H1181*I1181)))</f>
        <v/>
      </c>
      <c r="H1181" s="8">
        <v>1</v>
      </c>
      <c r="I1181" s="8">
        <v>1</v>
      </c>
      <c r="J1181" s="205" t="str">
        <f t="shared" si="32"/>
        <v>S_013</v>
      </c>
      <c r="K1181" s="115"/>
    </row>
    <row r="1182" spans="1:11">
      <c r="A1182" s="220">
        <f t="shared" si="33"/>
        <v>14</v>
      </c>
      <c r="B1182" s="267" t="s">
        <v>968</v>
      </c>
      <c r="C1182" s="204" t="s">
        <v>56</v>
      </c>
      <c r="D1182" s="48" t="s">
        <v>174</v>
      </c>
      <c r="E1182" s="133"/>
      <c r="F1182" s="175" t="s">
        <v>174</v>
      </c>
      <c r="G1182" s="237" t="str">
        <f>IF(BD!$E1201="","",(E1182/(H1182*I1182)))</f>
        <v/>
      </c>
      <c r="H1182" s="8">
        <v>1</v>
      </c>
      <c r="I1182" s="8">
        <v>1</v>
      </c>
      <c r="J1182" s="205" t="str">
        <f t="shared" si="32"/>
        <v>S_014</v>
      </c>
      <c r="K1182" s="115"/>
    </row>
    <row r="1183" spans="1:11">
      <c r="A1183" s="220">
        <f t="shared" si="33"/>
        <v>15</v>
      </c>
      <c r="B1183" s="267" t="s">
        <v>969</v>
      </c>
      <c r="C1183" s="204" t="s">
        <v>56</v>
      </c>
      <c r="D1183" s="48" t="s">
        <v>174</v>
      </c>
      <c r="E1183" s="133"/>
      <c r="F1183" s="175" t="s">
        <v>174</v>
      </c>
      <c r="G1183" s="237" t="str">
        <f>IF(BD!$E1214="","",(E1183/(H1183*I1183)))</f>
        <v/>
      </c>
      <c r="H1183" s="8">
        <v>1</v>
      </c>
      <c r="I1183" s="8">
        <v>1</v>
      </c>
      <c r="J1183" s="205" t="str">
        <f t="shared" si="32"/>
        <v>S_015</v>
      </c>
      <c r="K1183" s="115"/>
    </row>
    <row r="1184" spans="1:11">
      <c r="A1184" s="220">
        <f t="shared" si="33"/>
        <v>16</v>
      </c>
      <c r="B1184" s="267" t="s">
        <v>970</v>
      </c>
      <c r="C1184" s="204" t="s">
        <v>56</v>
      </c>
      <c r="D1184" s="48" t="s">
        <v>174</v>
      </c>
      <c r="E1184" s="133"/>
      <c r="F1184" s="175" t="s">
        <v>174</v>
      </c>
      <c r="G1184" s="237" t="str">
        <f>IF(BD!$E1213="","",(E1184/(H1184*I1184)))</f>
        <v/>
      </c>
      <c r="H1184" s="8">
        <v>1</v>
      </c>
      <c r="I1184" s="8">
        <v>1</v>
      </c>
      <c r="J1184" s="205" t="str">
        <f t="shared" si="32"/>
        <v>S_016</v>
      </c>
      <c r="K1184" s="115"/>
    </row>
    <row r="1185" spans="1:11">
      <c r="A1185" s="220">
        <f t="shared" si="33"/>
        <v>17</v>
      </c>
      <c r="B1185" s="267" t="s">
        <v>971</v>
      </c>
      <c r="C1185" s="204" t="s">
        <v>56</v>
      </c>
      <c r="D1185" s="48" t="s">
        <v>174</v>
      </c>
      <c r="E1185" s="133"/>
      <c r="F1185" s="175" t="s">
        <v>174</v>
      </c>
      <c r="G1185" s="237" t="str">
        <f>IF(BD!$E1209="","",(E1185/(H1185*I1185)))</f>
        <v/>
      </c>
      <c r="H1185" s="8">
        <v>1</v>
      </c>
      <c r="I1185" s="8">
        <v>1</v>
      </c>
      <c r="J1185" s="205" t="str">
        <f t="shared" si="32"/>
        <v>S_017</v>
      </c>
      <c r="K1185" s="115"/>
    </row>
    <row r="1186" spans="1:11">
      <c r="A1186" s="220">
        <f t="shared" si="33"/>
        <v>18</v>
      </c>
      <c r="B1186" s="267" t="s">
        <v>972</v>
      </c>
      <c r="C1186" s="204" t="s">
        <v>56</v>
      </c>
      <c r="D1186" s="48" t="s">
        <v>174</v>
      </c>
      <c r="E1186" s="133"/>
      <c r="F1186" s="175" t="s">
        <v>174</v>
      </c>
      <c r="G1186" s="237" t="str">
        <f>IF(BD!$E1198="","",(E1186/(H1186*I1186)))</f>
        <v/>
      </c>
      <c r="H1186" s="8">
        <v>1</v>
      </c>
      <c r="I1186" s="8">
        <v>1</v>
      </c>
      <c r="J1186" s="205" t="str">
        <f t="shared" si="32"/>
        <v>S_018</v>
      </c>
      <c r="K1186" s="115"/>
    </row>
    <row r="1187" spans="1:11">
      <c r="A1187" s="220">
        <f t="shared" si="33"/>
        <v>19</v>
      </c>
      <c r="B1187" s="267" t="s">
        <v>973</v>
      </c>
      <c r="C1187" s="204" t="s">
        <v>56</v>
      </c>
      <c r="D1187" s="48" t="s">
        <v>174</v>
      </c>
      <c r="E1187" s="133"/>
      <c r="F1187" s="175" t="s">
        <v>174</v>
      </c>
      <c r="G1187" s="237" t="str">
        <f>IF(BD!$E1186="","",(E1187/(H1187*I1187)))</f>
        <v/>
      </c>
      <c r="H1187" s="8">
        <v>1</v>
      </c>
      <c r="I1187" s="8">
        <v>1</v>
      </c>
      <c r="J1187" s="205" t="str">
        <f t="shared" si="32"/>
        <v>S_019</v>
      </c>
      <c r="K1187" s="115"/>
    </row>
    <row r="1188" spans="1:11">
      <c r="A1188" s="220">
        <f t="shared" si="33"/>
        <v>20</v>
      </c>
      <c r="B1188" s="267" t="s">
        <v>974</v>
      </c>
      <c r="C1188" s="204" t="s">
        <v>56</v>
      </c>
      <c r="D1188" s="48" t="s">
        <v>174</v>
      </c>
      <c r="E1188" s="133"/>
      <c r="F1188" s="175" t="s">
        <v>174</v>
      </c>
      <c r="G1188" s="237" t="str">
        <f>IF(BD!$E1211="","",(E1188/(H1188*I1188)))</f>
        <v/>
      </c>
      <c r="H1188" s="8">
        <v>1</v>
      </c>
      <c r="I1188" s="8">
        <v>1</v>
      </c>
      <c r="J1188" s="205" t="str">
        <f t="shared" si="32"/>
        <v>S_020</v>
      </c>
      <c r="K1188" s="115"/>
    </row>
    <row r="1189" spans="1:11">
      <c r="A1189" s="220">
        <f t="shared" si="33"/>
        <v>21</v>
      </c>
      <c r="B1189" s="267" t="s">
        <v>975</v>
      </c>
      <c r="C1189" s="204" t="s">
        <v>56</v>
      </c>
      <c r="D1189" s="48" t="s">
        <v>174</v>
      </c>
      <c r="E1189" s="133"/>
      <c r="F1189" s="175" t="s">
        <v>174</v>
      </c>
      <c r="G1189" s="237" t="str">
        <f>IF(BD!$E1191="","",(E1189/(H1189*I1189)))</f>
        <v/>
      </c>
      <c r="H1189" s="8">
        <v>1</v>
      </c>
      <c r="I1189" s="8">
        <v>1</v>
      </c>
      <c r="J1189" s="205" t="str">
        <f t="shared" si="32"/>
        <v>S_021</v>
      </c>
      <c r="K1189" s="115"/>
    </row>
    <row r="1190" spans="1:11">
      <c r="A1190" s="220">
        <f t="shared" si="33"/>
        <v>22</v>
      </c>
      <c r="B1190" s="267" t="s">
        <v>976</v>
      </c>
      <c r="C1190" s="204" t="s">
        <v>56</v>
      </c>
      <c r="D1190" s="48" t="s">
        <v>174</v>
      </c>
      <c r="E1190" s="133"/>
      <c r="F1190" s="175" t="s">
        <v>174</v>
      </c>
      <c r="G1190" s="237" t="str">
        <f>IF(BD!$E1210="","",(E1190/(H1190*I1190)))</f>
        <v/>
      </c>
      <c r="H1190" s="8">
        <v>1</v>
      </c>
      <c r="I1190" s="8">
        <v>1</v>
      </c>
      <c r="J1190" s="205" t="str">
        <f t="shared" si="32"/>
        <v>S_022</v>
      </c>
      <c r="K1190" s="115"/>
    </row>
    <row r="1191" spans="1:11">
      <c r="A1191" s="220">
        <f t="shared" si="33"/>
        <v>23</v>
      </c>
      <c r="B1191" s="267" t="s">
        <v>977</v>
      </c>
      <c r="C1191" s="204" t="s">
        <v>56</v>
      </c>
      <c r="D1191" s="48" t="s">
        <v>174</v>
      </c>
      <c r="E1191" s="133"/>
      <c r="F1191" s="175" t="s">
        <v>174</v>
      </c>
      <c r="G1191" s="237" t="str">
        <f>IF(BD!$E1217="","",(E1191/(H1191*I1191)))</f>
        <v/>
      </c>
      <c r="H1191" s="8">
        <v>1</v>
      </c>
      <c r="I1191" s="8">
        <v>1</v>
      </c>
      <c r="J1191" s="205" t="str">
        <f t="shared" si="32"/>
        <v>S_023</v>
      </c>
      <c r="K1191" s="115"/>
    </row>
    <row r="1192" spans="1:11">
      <c r="A1192" s="220">
        <f t="shared" si="33"/>
        <v>24</v>
      </c>
      <c r="B1192" s="267" t="s">
        <v>978</v>
      </c>
      <c r="C1192" s="204" t="s">
        <v>56</v>
      </c>
      <c r="D1192" s="48" t="s">
        <v>174</v>
      </c>
      <c r="E1192" s="133"/>
      <c r="F1192" s="175" t="s">
        <v>174</v>
      </c>
      <c r="G1192" s="237" t="str">
        <f>IF(BD!$E1215="","",(E1192/(H1192*I1192)))</f>
        <v/>
      </c>
      <c r="H1192" s="8">
        <v>1</v>
      </c>
      <c r="I1192" s="8">
        <v>1</v>
      </c>
      <c r="J1192" s="205" t="str">
        <f t="shared" si="32"/>
        <v>S_024</v>
      </c>
      <c r="K1192" s="115"/>
    </row>
    <row r="1193" spans="1:11">
      <c r="A1193" s="220">
        <f t="shared" si="33"/>
        <v>25</v>
      </c>
      <c r="B1193" s="267" t="s">
        <v>979</v>
      </c>
      <c r="C1193" s="204" t="s">
        <v>56</v>
      </c>
      <c r="D1193" s="48" t="s">
        <v>174</v>
      </c>
      <c r="E1193" s="133"/>
      <c r="F1193" s="175" t="s">
        <v>174</v>
      </c>
      <c r="G1193" s="237" t="str">
        <f>IF(BD!$E1218="","",(E1193/(H1193*I1193)))</f>
        <v/>
      </c>
      <c r="H1193" s="8">
        <v>1</v>
      </c>
      <c r="I1193" s="8">
        <v>1</v>
      </c>
      <c r="J1193" s="205" t="str">
        <f t="shared" si="32"/>
        <v>S_025</v>
      </c>
      <c r="K1193" s="115"/>
    </row>
    <row r="1194" spans="1:11">
      <c r="A1194" s="220">
        <f t="shared" si="33"/>
        <v>26</v>
      </c>
      <c r="B1194" s="267" t="s">
        <v>980</v>
      </c>
      <c r="C1194" s="204" t="s">
        <v>56</v>
      </c>
      <c r="D1194" s="48" t="s">
        <v>174</v>
      </c>
      <c r="E1194" s="133"/>
      <c r="F1194" s="175" t="s">
        <v>174</v>
      </c>
      <c r="G1194" s="237" t="str">
        <f>IF(BD!$E1194="","",(E1194/(H1194*I1194)))</f>
        <v/>
      </c>
      <c r="H1194" s="8">
        <v>1</v>
      </c>
      <c r="I1194" s="8">
        <v>1</v>
      </c>
      <c r="J1194" s="205" t="str">
        <f t="shared" si="32"/>
        <v>S_026</v>
      </c>
      <c r="K1194" s="115"/>
    </row>
    <row r="1195" spans="1:11">
      <c r="A1195" s="220">
        <f t="shared" si="33"/>
        <v>27</v>
      </c>
      <c r="B1195" s="267" t="s">
        <v>981</v>
      </c>
      <c r="C1195" s="204" t="s">
        <v>56</v>
      </c>
      <c r="D1195" s="48" t="s">
        <v>174</v>
      </c>
      <c r="E1195" s="133"/>
      <c r="F1195" s="175" t="s">
        <v>174</v>
      </c>
      <c r="G1195" s="237" t="str">
        <f>IF(BD!$E1193="","",(E1195/(H1195*I1195)))</f>
        <v/>
      </c>
      <c r="H1195" s="8">
        <v>1</v>
      </c>
      <c r="I1195" s="8">
        <v>1</v>
      </c>
      <c r="J1195" s="205" t="str">
        <f t="shared" si="32"/>
        <v>S_027</v>
      </c>
      <c r="K1195" s="115"/>
    </row>
    <row r="1196" spans="1:11">
      <c r="A1196" s="220">
        <f t="shared" si="33"/>
        <v>28</v>
      </c>
      <c r="B1196" s="267" t="s">
        <v>982</v>
      </c>
      <c r="C1196" s="204" t="s">
        <v>56</v>
      </c>
      <c r="D1196" s="48" t="s">
        <v>174</v>
      </c>
      <c r="E1196" s="133"/>
      <c r="F1196" s="175" t="s">
        <v>174</v>
      </c>
      <c r="G1196" s="237">
        <f>IF(BD!$E1176="","",(E1196/(H1196*I1196)))</f>
        <v>0</v>
      </c>
      <c r="H1196" s="8">
        <v>1</v>
      </c>
      <c r="I1196" s="8">
        <v>1</v>
      </c>
      <c r="J1196" s="205" t="str">
        <f t="shared" si="32"/>
        <v>S_028</v>
      </c>
      <c r="K1196" s="115"/>
    </row>
    <row r="1197" spans="1:11">
      <c r="A1197" s="220">
        <f t="shared" si="33"/>
        <v>29</v>
      </c>
      <c r="B1197" s="267" t="s">
        <v>983</v>
      </c>
      <c r="C1197" s="204" t="s">
        <v>56</v>
      </c>
      <c r="D1197" s="48" t="s">
        <v>174</v>
      </c>
      <c r="E1197" s="133"/>
      <c r="F1197" s="175" t="s">
        <v>174</v>
      </c>
      <c r="G1197" s="237" t="str">
        <f>IF(BD!$E1175="","",(E1197/(H1197*I1197)))</f>
        <v/>
      </c>
      <c r="H1197" s="8">
        <v>1</v>
      </c>
      <c r="I1197" s="8">
        <v>1</v>
      </c>
      <c r="J1197" s="205" t="str">
        <f t="shared" si="32"/>
        <v>S_029</v>
      </c>
      <c r="K1197" s="115"/>
    </row>
    <row r="1198" spans="1:11">
      <c r="A1198" s="220">
        <f t="shared" si="33"/>
        <v>30</v>
      </c>
      <c r="B1198" s="267" t="s">
        <v>984</v>
      </c>
      <c r="C1198" s="204" t="s">
        <v>56</v>
      </c>
      <c r="D1198" s="48" t="s">
        <v>174</v>
      </c>
      <c r="E1198" s="133"/>
      <c r="F1198" s="175" t="s">
        <v>174</v>
      </c>
      <c r="G1198" s="237" t="str">
        <f>IF(BD!$E1178="","",(E1198/(H1198*I1198)))</f>
        <v/>
      </c>
      <c r="H1198" s="8">
        <v>1</v>
      </c>
      <c r="I1198" s="8">
        <v>1</v>
      </c>
      <c r="J1198" s="205" t="str">
        <f t="shared" si="32"/>
        <v>S_030</v>
      </c>
      <c r="K1198" s="115"/>
    </row>
    <row r="1199" spans="1:11">
      <c r="A1199" s="220">
        <f t="shared" si="33"/>
        <v>31</v>
      </c>
      <c r="B1199" s="267" t="s">
        <v>985</v>
      </c>
      <c r="C1199" s="204" t="s">
        <v>56</v>
      </c>
      <c r="D1199" s="48" t="s">
        <v>174</v>
      </c>
      <c r="E1199" s="133"/>
      <c r="F1199" s="175" t="s">
        <v>174</v>
      </c>
      <c r="G1199" s="237" t="str">
        <f>IF(BD!$E1199="","",(E1199/(H1199*I1199)))</f>
        <v/>
      </c>
      <c r="H1199" s="8">
        <v>1</v>
      </c>
      <c r="I1199" s="8">
        <v>1</v>
      </c>
      <c r="J1199" s="205" t="str">
        <f t="shared" si="32"/>
        <v>S_031</v>
      </c>
      <c r="K1199" s="115"/>
    </row>
    <row r="1200" spans="1:11">
      <c r="A1200" s="220">
        <f t="shared" si="33"/>
        <v>32</v>
      </c>
      <c r="B1200" s="267" t="s">
        <v>986</v>
      </c>
      <c r="C1200" s="204" t="s">
        <v>56</v>
      </c>
      <c r="D1200" s="48" t="s">
        <v>174</v>
      </c>
      <c r="E1200" s="133"/>
      <c r="F1200" s="175" t="s">
        <v>174</v>
      </c>
      <c r="G1200" s="237" t="str">
        <f>IF(BD!$E1208="","",(E1200/(H1200*I1200)))</f>
        <v/>
      </c>
      <c r="H1200" s="8">
        <v>1</v>
      </c>
      <c r="I1200" s="8">
        <v>1</v>
      </c>
      <c r="J1200" s="205" t="str">
        <f t="shared" si="32"/>
        <v>S_032</v>
      </c>
      <c r="K1200" s="115"/>
    </row>
    <row r="1201" spans="1:11">
      <c r="A1201" s="220">
        <f t="shared" si="33"/>
        <v>33</v>
      </c>
      <c r="B1201" s="267" t="s">
        <v>987</v>
      </c>
      <c r="C1201" s="204" t="s">
        <v>56</v>
      </c>
      <c r="D1201" s="48" t="s">
        <v>174</v>
      </c>
      <c r="E1201" s="133"/>
      <c r="F1201" s="175" t="s">
        <v>174</v>
      </c>
      <c r="G1201" s="237" t="str">
        <f>IF(BD!$E1207="","",(E1201/(H1201*I1201)))</f>
        <v/>
      </c>
      <c r="H1201" s="8">
        <v>1</v>
      </c>
      <c r="I1201" s="8">
        <v>1</v>
      </c>
      <c r="J1201" s="205" t="str">
        <f t="shared" ref="J1201:J1230" si="34">CONCATENATE(LEFT(C1201,1),"_",TEXT(A1201,"000"))</f>
        <v>S_033</v>
      </c>
      <c r="K1201" s="115"/>
    </row>
    <row r="1202" spans="1:11">
      <c r="A1202" s="220">
        <f t="shared" si="33"/>
        <v>34</v>
      </c>
      <c r="B1202" s="267" t="s">
        <v>988</v>
      </c>
      <c r="C1202" s="204" t="s">
        <v>56</v>
      </c>
      <c r="D1202" s="48" t="s">
        <v>174</v>
      </c>
      <c r="E1202" s="133"/>
      <c r="F1202" s="175" t="s">
        <v>174</v>
      </c>
      <c r="G1202" s="237" t="str">
        <f>IF(BD!$E1179="","",(E1202/(H1202*I1202)))</f>
        <v/>
      </c>
      <c r="H1202" s="8">
        <v>1</v>
      </c>
      <c r="I1202" s="8">
        <v>1</v>
      </c>
      <c r="J1202" s="205" t="str">
        <f t="shared" si="34"/>
        <v>S_034</v>
      </c>
      <c r="K1202" s="115"/>
    </row>
    <row r="1203" spans="1:11">
      <c r="A1203" s="220">
        <f t="shared" si="33"/>
        <v>35</v>
      </c>
      <c r="B1203" s="267" t="s">
        <v>989</v>
      </c>
      <c r="C1203" s="204" t="s">
        <v>56</v>
      </c>
      <c r="D1203" s="48" t="s">
        <v>174</v>
      </c>
      <c r="E1203" s="133"/>
      <c r="F1203" s="175" t="s">
        <v>174</v>
      </c>
      <c r="G1203" s="237" t="str">
        <f>IF(BD!$E1177="","",(E1203/(H1203*I1203)))</f>
        <v/>
      </c>
      <c r="H1203" s="8">
        <v>1</v>
      </c>
      <c r="I1203" s="8">
        <v>1</v>
      </c>
      <c r="J1203" s="205" t="str">
        <f t="shared" si="34"/>
        <v>S_035</v>
      </c>
      <c r="K1203" s="115"/>
    </row>
    <row r="1204" spans="1:11">
      <c r="A1204" s="220">
        <f t="shared" si="33"/>
        <v>36</v>
      </c>
      <c r="B1204" s="267" t="s">
        <v>990</v>
      </c>
      <c r="C1204" s="204" t="s">
        <v>56</v>
      </c>
      <c r="D1204" s="48" t="s">
        <v>174</v>
      </c>
      <c r="E1204" s="133"/>
      <c r="F1204" s="175" t="s">
        <v>174</v>
      </c>
      <c r="G1204" s="237" t="str">
        <f>IF(BD!$E1180="","",(E1204/(H1204*I1204)))</f>
        <v/>
      </c>
      <c r="H1204" s="8">
        <v>1</v>
      </c>
      <c r="I1204" s="8">
        <v>1</v>
      </c>
      <c r="J1204" s="205" t="str">
        <f t="shared" si="34"/>
        <v>S_036</v>
      </c>
      <c r="K1204" s="115"/>
    </row>
    <row r="1205" spans="1:11" ht="30">
      <c r="A1205" s="220">
        <f t="shared" si="33"/>
        <v>37</v>
      </c>
      <c r="B1205" s="267" t="s">
        <v>991</v>
      </c>
      <c r="C1205" s="204" t="s">
        <v>56</v>
      </c>
      <c r="D1205" s="48" t="s">
        <v>174</v>
      </c>
      <c r="E1205" s="133">
        <v>14150</v>
      </c>
      <c r="F1205" s="175" t="s">
        <v>174</v>
      </c>
      <c r="G1205" s="237" t="str">
        <f>IF(BD!$E1169="","",(E1205/(H1205*I1205)))</f>
        <v/>
      </c>
      <c r="H1205" s="8">
        <v>1</v>
      </c>
      <c r="I1205" s="8">
        <v>1</v>
      </c>
      <c r="J1205" s="205" t="str">
        <f t="shared" si="34"/>
        <v>S_037</v>
      </c>
      <c r="K1205" s="115"/>
    </row>
    <row r="1206" spans="1:11" ht="30">
      <c r="A1206" s="220">
        <f t="shared" si="33"/>
        <v>38</v>
      </c>
      <c r="B1206" s="267" t="s">
        <v>992</v>
      </c>
      <c r="C1206" s="204" t="s">
        <v>56</v>
      </c>
      <c r="D1206" s="48" t="s">
        <v>174</v>
      </c>
      <c r="E1206" s="133">
        <v>16000</v>
      </c>
      <c r="F1206" s="175" t="s">
        <v>174</v>
      </c>
      <c r="G1206" s="237" t="str">
        <f>IF(BD!$E1170="","",(E1206/(H1206*I1206)))</f>
        <v/>
      </c>
      <c r="H1206" s="8">
        <v>1</v>
      </c>
      <c r="I1206" s="8">
        <v>1</v>
      </c>
      <c r="J1206" s="205" t="str">
        <f t="shared" si="34"/>
        <v>S_038</v>
      </c>
      <c r="K1206" s="115"/>
    </row>
    <row r="1207" spans="1:11">
      <c r="A1207" s="220">
        <f t="shared" si="33"/>
        <v>39</v>
      </c>
      <c r="B1207" s="267" t="s">
        <v>993</v>
      </c>
      <c r="C1207" s="204" t="s">
        <v>56</v>
      </c>
      <c r="D1207" s="48" t="s">
        <v>174</v>
      </c>
      <c r="E1207" s="133"/>
      <c r="F1207" s="175" t="s">
        <v>174</v>
      </c>
      <c r="G1207" s="237" t="str">
        <f>IF(BD!$E1183="","",(E1207/(H1207*I1207)))</f>
        <v/>
      </c>
      <c r="H1207" s="8">
        <v>1</v>
      </c>
      <c r="I1207" s="8">
        <v>1</v>
      </c>
      <c r="J1207" s="205" t="str">
        <f t="shared" si="34"/>
        <v>S_039</v>
      </c>
      <c r="K1207" s="115"/>
    </row>
    <row r="1208" spans="1:11">
      <c r="A1208" s="220">
        <f t="shared" si="33"/>
        <v>40</v>
      </c>
      <c r="B1208" s="267" t="s">
        <v>994</v>
      </c>
      <c r="C1208" s="204" t="s">
        <v>56</v>
      </c>
      <c r="D1208" s="48" t="s">
        <v>174</v>
      </c>
      <c r="E1208" s="133"/>
      <c r="F1208" s="175" t="s">
        <v>174</v>
      </c>
      <c r="G1208" s="237" t="str">
        <f>IF(BD!$E1192="","",(E1208/(H1208*I1208)))</f>
        <v/>
      </c>
      <c r="H1208" s="8">
        <v>1</v>
      </c>
      <c r="I1208" s="8">
        <v>1</v>
      </c>
      <c r="J1208" s="205" t="str">
        <f t="shared" si="34"/>
        <v>S_040</v>
      </c>
      <c r="K1208" s="115"/>
    </row>
    <row r="1209" spans="1:11">
      <c r="A1209" s="220">
        <f t="shared" si="33"/>
        <v>41</v>
      </c>
      <c r="B1209" s="267" t="s">
        <v>995</v>
      </c>
      <c r="C1209" s="204" t="s">
        <v>56</v>
      </c>
      <c r="D1209" s="48" t="s">
        <v>174</v>
      </c>
      <c r="E1209" s="133"/>
      <c r="F1209" s="175" t="s">
        <v>174</v>
      </c>
      <c r="G1209" s="237" t="str">
        <f>IF(BD!$E1184="","",(E1209/(H1209*I1209)))</f>
        <v/>
      </c>
      <c r="H1209" s="8">
        <v>1</v>
      </c>
      <c r="I1209" s="8">
        <v>1</v>
      </c>
      <c r="J1209" s="205" t="str">
        <f t="shared" si="34"/>
        <v>S_041</v>
      </c>
      <c r="K1209" s="115"/>
    </row>
    <row r="1210" spans="1:11">
      <c r="A1210" s="220">
        <f t="shared" si="33"/>
        <v>42</v>
      </c>
      <c r="B1210" s="267" t="s">
        <v>996</v>
      </c>
      <c r="C1210" s="204" t="s">
        <v>56</v>
      </c>
      <c r="D1210" s="48" t="s">
        <v>174</v>
      </c>
      <c r="E1210" s="133"/>
      <c r="F1210" s="175" t="s">
        <v>174</v>
      </c>
      <c r="G1210" s="237" t="str">
        <f>IF(BD!$E1195="","",(E1210/(H1210*I1210)))</f>
        <v/>
      </c>
      <c r="H1210" s="8">
        <v>1</v>
      </c>
      <c r="I1210" s="8">
        <v>1</v>
      </c>
      <c r="J1210" s="205" t="str">
        <f t="shared" si="34"/>
        <v>S_042</v>
      </c>
      <c r="K1210" s="115"/>
    </row>
    <row r="1211" spans="1:11">
      <c r="A1211" s="220">
        <f t="shared" si="33"/>
        <v>43</v>
      </c>
      <c r="B1211" s="267" t="s">
        <v>997</v>
      </c>
      <c r="C1211" s="204" t="s">
        <v>56</v>
      </c>
      <c r="D1211" s="48" t="s">
        <v>174</v>
      </c>
      <c r="E1211" s="133"/>
      <c r="F1211" s="175" t="s">
        <v>174</v>
      </c>
      <c r="G1211" s="237">
        <f>IF(BD!$E1206="","",(E1211/(H1211*I1211)))</f>
        <v>0</v>
      </c>
      <c r="H1211" s="8">
        <v>1</v>
      </c>
      <c r="I1211" s="8">
        <v>1</v>
      </c>
      <c r="J1211" s="205" t="str">
        <f t="shared" si="34"/>
        <v>S_043</v>
      </c>
      <c r="K1211" s="115"/>
    </row>
    <row r="1212" spans="1:11">
      <c r="A1212" s="220">
        <f t="shared" si="33"/>
        <v>44</v>
      </c>
      <c r="B1212" s="267" t="s">
        <v>998</v>
      </c>
      <c r="C1212" s="204" t="s">
        <v>56</v>
      </c>
      <c r="D1212" s="48" t="s">
        <v>174</v>
      </c>
      <c r="E1212" s="133"/>
      <c r="F1212" s="175" t="s">
        <v>174</v>
      </c>
      <c r="G1212" s="237">
        <f>IF(BD!$E1205="","",(E1212/(H1212*I1212)))</f>
        <v>0</v>
      </c>
      <c r="H1212" s="8">
        <v>1</v>
      </c>
      <c r="I1212" s="8">
        <v>1</v>
      </c>
      <c r="J1212" s="205" t="str">
        <f t="shared" si="34"/>
        <v>S_044</v>
      </c>
      <c r="K1212" s="115"/>
    </row>
    <row r="1213" spans="1:11">
      <c r="A1213" s="220">
        <f t="shared" si="33"/>
        <v>45</v>
      </c>
      <c r="B1213" s="267" t="s">
        <v>999</v>
      </c>
      <c r="C1213" s="204" t="s">
        <v>56</v>
      </c>
      <c r="D1213" s="48" t="s">
        <v>174</v>
      </c>
      <c r="E1213" s="133"/>
      <c r="F1213" s="175" t="s">
        <v>174</v>
      </c>
      <c r="G1213" s="237" t="str">
        <f>IF(BD!$E1185="","",(E1213/(H1213*I1213)))</f>
        <v/>
      </c>
      <c r="H1213" s="8">
        <v>1</v>
      </c>
      <c r="I1213" s="8">
        <v>1</v>
      </c>
      <c r="J1213" s="205" t="str">
        <f t="shared" si="34"/>
        <v>S_045</v>
      </c>
      <c r="K1213" s="115"/>
    </row>
    <row r="1214" spans="1:11">
      <c r="A1214" s="220">
        <f t="shared" si="33"/>
        <v>46</v>
      </c>
      <c r="B1214" s="267" t="s">
        <v>1000</v>
      </c>
      <c r="C1214" s="204" t="s">
        <v>56</v>
      </c>
      <c r="D1214" s="48" t="s">
        <v>174</v>
      </c>
      <c r="E1214" s="133"/>
      <c r="F1214" s="175" t="s">
        <v>174</v>
      </c>
      <c r="G1214" s="237" t="str">
        <f>IF(BD!$E1212="","",(E1214/(H1214*I1214)))</f>
        <v/>
      </c>
      <c r="H1214" s="8">
        <v>1</v>
      </c>
      <c r="I1214" s="8">
        <v>1</v>
      </c>
      <c r="J1214" s="205" t="str">
        <f t="shared" si="34"/>
        <v>S_046</v>
      </c>
      <c r="K1214" s="115"/>
    </row>
    <row r="1215" spans="1:11">
      <c r="A1215" s="220">
        <f t="shared" si="33"/>
        <v>47</v>
      </c>
      <c r="B1215" s="267" t="s">
        <v>1001</v>
      </c>
      <c r="C1215" s="204" t="s">
        <v>56</v>
      </c>
      <c r="D1215" s="48" t="s">
        <v>174</v>
      </c>
      <c r="E1215" s="133"/>
      <c r="F1215" s="175" t="s">
        <v>174</v>
      </c>
      <c r="G1215" s="237" t="str">
        <f>IF(BD!$E1197="","",(E1215/(H1215*I1215)))</f>
        <v/>
      </c>
      <c r="H1215" s="8">
        <v>1</v>
      </c>
      <c r="I1215" s="8">
        <v>1</v>
      </c>
      <c r="J1215" s="205" t="str">
        <f t="shared" si="34"/>
        <v>S_047</v>
      </c>
      <c r="K1215" s="115"/>
    </row>
    <row r="1216" spans="1:11">
      <c r="A1216" s="220">
        <f t="shared" si="33"/>
        <v>48</v>
      </c>
      <c r="B1216" s="267" t="s">
        <v>1002</v>
      </c>
      <c r="C1216" s="204" t="s">
        <v>56</v>
      </c>
      <c r="D1216" s="48" t="s">
        <v>174</v>
      </c>
      <c r="E1216" s="133"/>
      <c r="F1216" s="175" t="s">
        <v>174</v>
      </c>
      <c r="G1216" s="237" t="str">
        <f>IF(BD!$E1196="","",(E1216/(H1216*I1216)))</f>
        <v/>
      </c>
      <c r="H1216" s="8">
        <v>1</v>
      </c>
      <c r="I1216" s="8">
        <v>1</v>
      </c>
      <c r="J1216" s="205" t="str">
        <f t="shared" si="34"/>
        <v>S_048</v>
      </c>
      <c r="K1216" s="115"/>
    </row>
    <row r="1217" spans="1:11" ht="30">
      <c r="A1217" s="220">
        <f t="shared" si="33"/>
        <v>49</v>
      </c>
      <c r="B1217" s="267" t="s">
        <v>1003</v>
      </c>
      <c r="C1217" s="204" t="s">
        <v>56</v>
      </c>
      <c r="D1217" s="48" t="s">
        <v>174</v>
      </c>
      <c r="E1217" s="133"/>
      <c r="F1217" s="175" t="s">
        <v>174</v>
      </c>
      <c r="G1217" s="237" t="str">
        <f>IF(BD!$E1200="","",(E1217/(H1217*I1217)))</f>
        <v/>
      </c>
      <c r="H1217" s="8">
        <v>1</v>
      </c>
      <c r="I1217" s="8">
        <v>1</v>
      </c>
      <c r="J1217" s="205" t="str">
        <f t="shared" si="34"/>
        <v>S_049</v>
      </c>
      <c r="K1217" s="115"/>
    </row>
    <row r="1218" spans="1:11">
      <c r="A1218" s="220">
        <f t="shared" si="33"/>
        <v>50</v>
      </c>
      <c r="B1218" s="267" t="s">
        <v>1004</v>
      </c>
      <c r="C1218" s="204" t="s">
        <v>56</v>
      </c>
      <c r="D1218" s="48" t="s">
        <v>174</v>
      </c>
      <c r="E1218" s="133"/>
      <c r="F1218" s="175" t="s">
        <v>174</v>
      </c>
      <c r="G1218" s="237" t="str">
        <f>IF(BD!$E1188="","",(E1218/(H1218*I1218)))</f>
        <v/>
      </c>
      <c r="H1218" s="8">
        <v>1</v>
      </c>
      <c r="I1218" s="8">
        <v>1</v>
      </c>
      <c r="J1218" s="205" t="str">
        <f t="shared" si="34"/>
        <v>S_050</v>
      </c>
      <c r="K1218" s="115"/>
    </row>
    <row r="1219" spans="1:11">
      <c r="A1219" s="220">
        <f t="shared" si="33"/>
        <v>51</v>
      </c>
      <c r="B1219" s="267" t="s">
        <v>1005</v>
      </c>
      <c r="C1219" s="204" t="s">
        <v>56</v>
      </c>
      <c r="D1219" s="48" t="s">
        <v>174</v>
      </c>
      <c r="E1219" s="133"/>
      <c r="F1219" s="175" t="s">
        <v>174</v>
      </c>
      <c r="G1219" s="237" t="str">
        <f>IF(BD!$E1189="","",(E1219/(H1219*I1219)))</f>
        <v/>
      </c>
      <c r="H1219" s="8">
        <v>1</v>
      </c>
      <c r="I1219" s="8">
        <v>1</v>
      </c>
      <c r="J1219" s="205" t="str">
        <f t="shared" si="34"/>
        <v>S_051</v>
      </c>
      <c r="K1219" s="115"/>
    </row>
    <row r="1220" spans="1:11">
      <c r="A1220" s="220">
        <f t="shared" si="33"/>
        <v>52</v>
      </c>
      <c r="B1220" s="267" t="s">
        <v>1006</v>
      </c>
      <c r="C1220" s="204" t="s">
        <v>56</v>
      </c>
      <c r="D1220" s="48" t="s">
        <v>174</v>
      </c>
      <c r="E1220" s="133"/>
      <c r="F1220" s="175" t="s">
        <v>174</v>
      </c>
      <c r="G1220" s="237" t="str">
        <f>IF(BD!$E1190="","",(E1220/(H1220*I1220)))</f>
        <v/>
      </c>
      <c r="H1220" s="8">
        <v>1</v>
      </c>
      <c r="I1220" s="8">
        <v>1</v>
      </c>
      <c r="J1220" s="205" t="str">
        <f t="shared" si="34"/>
        <v>S_052</v>
      </c>
      <c r="K1220" s="115"/>
    </row>
    <row r="1221" spans="1:11">
      <c r="A1221" s="220">
        <f t="shared" si="33"/>
        <v>53</v>
      </c>
      <c r="B1221" s="194" t="s">
        <v>1007</v>
      </c>
      <c r="C1221" s="204" t="s">
        <v>56</v>
      </c>
      <c r="D1221" s="48" t="s">
        <v>174</v>
      </c>
      <c r="E1221" s="133"/>
      <c r="F1221" s="175" t="s">
        <v>174</v>
      </c>
      <c r="G1221" s="237" t="str">
        <f>IF(BD!$E1219="","",(E1221/(H1221*I1221)))</f>
        <v/>
      </c>
      <c r="H1221" s="8">
        <v>1</v>
      </c>
      <c r="I1221" s="8">
        <v>1</v>
      </c>
      <c r="J1221" s="205" t="str">
        <f t="shared" si="34"/>
        <v>S_053</v>
      </c>
      <c r="K1221" s="115"/>
    </row>
    <row r="1222" spans="1:11">
      <c r="A1222" s="220">
        <f t="shared" si="33"/>
        <v>54</v>
      </c>
      <c r="B1222" s="194" t="s">
        <v>1008</v>
      </c>
      <c r="C1222" s="204" t="s">
        <v>56</v>
      </c>
      <c r="D1222" s="48" t="s">
        <v>174</v>
      </c>
      <c r="E1222" s="43"/>
      <c r="F1222" s="175" t="s">
        <v>174</v>
      </c>
      <c r="G1222" s="9" t="str">
        <f>IF(BD!$E1220="","",(E1222/(H1222*I1222)))</f>
        <v/>
      </c>
      <c r="H1222" s="8">
        <v>1</v>
      </c>
      <c r="I1222" s="8">
        <v>1</v>
      </c>
      <c r="J1222" s="205" t="str">
        <f t="shared" si="34"/>
        <v>S_054</v>
      </c>
      <c r="K1222" s="115"/>
    </row>
    <row r="1223" spans="1:11">
      <c r="A1223" s="220">
        <f t="shared" si="33"/>
        <v>55</v>
      </c>
      <c r="B1223" s="218" t="s">
        <v>1009</v>
      </c>
      <c r="C1223" s="204" t="s">
        <v>56</v>
      </c>
      <c r="D1223" s="48" t="s">
        <v>174</v>
      </c>
      <c r="E1223" s="133"/>
      <c r="F1223" s="175" t="s">
        <v>174</v>
      </c>
      <c r="G1223" s="237" t="str">
        <f>IF(BD!$E1216="","",(E1223/(H1223*I1223)))</f>
        <v/>
      </c>
      <c r="H1223" s="8">
        <v>1</v>
      </c>
      <c r="I1223" s="8">
        <v>1</v>
      </c>
      <c r="J1223" s="205" t="str">
        <f t="shared" si="34"/>
        <v>S_055</v>
      </c>
      <c r="K1223" s="115"/>
    </row>
    <row r="1224" spans="1:11" ht="30">
      <c r="A1224" s="220">
        <f t="shared" si="33"/>
        <v>56</v>
      </c>
      <c r="B1224" s="218" t="s">
        <v>1010</v>
      </c>
      <c r="C1224" s="204" t="s">
        <v>56</v>
      </c>
      <c r="D1224" s="48" t="s">
        <v>174</v>
      </c>
      <c r="E1224" s="133">
        <v>18633.3</v>
      </c>
      <c r="F1224" s="175" t="s">
        <v>174</v>
      </c>
      <c r="G1224" s="237" t="str">
        <f>IF(BD!$E1171="","",(E1224/(H1224*I1224)))</f>
        <v/>
      </c>
      <c r="H1224" s="8">
        <v>1</v>
      </c>
      <c r="I1224" s="8">
        <v>1</v>
      </c>
      <c r="J1224" s="205" t="str">
        <f t="shared" si="34"/>
        <v>S_056</v>
      </c>
      <c r="K1224" s="115"/>
    </row>
    <row r="1225" spans="1:11" ht="30">
      <c r="A1225" s="220">
        <f t="shared" si="33"/>
        <v>57</v>
      </c>
      <c r="B1225" s="218" t="s">
        <v>1011</v>
      </c>
      <c r="C1225" s="204" t="s">
        <v>56</v>
      </c>
      <c r="D1225" s="48" t="s">
        <v>174</v>
      </c>
      <c r="E1225" s="133">
        <v>8550</v>
      </c>
      <c r="F1225" s="175" t="s">
        <v>174</v>
      </c>
      <c r="G1225" s="237" t="str">
        <f>IF(BD!$E1172="","",(E1225/(H1225*I1225)))</f>
        <v/>
      </c>
      <c r="H1225" s="8">
        <v>1</v>
      </c>
      <c r="I1225" s="8">
        <v>1</v>
      </c>
      <c r="J1225" s="205" t="str">
        <f t="shared" si="34"/>
        <v>S_057</v>
      </c>
      <c r="K1225" s="115"/>
    </row>
    <row r="1226" spans="1:11" ht="30">
      <c r="A1226" s="220">
        <f t="shared" si="33"/>
        <v>58</v>
      </c>
      <c r="B1226" s="218" t="s">
        <v>1012</v>
      </c>
      <c r="C1226" s="204" t="s">
        <v>56</v>
      </c>
      <c r="D1226" s="48" t="s">
        <v>174</v>
      </c>
      <c r="E1226" s="133">
        <v>14000</v>
      </c>
      <c r="F1226" s="175" t="s">
        <v>174</v>
      </c>
      <c r="G1226" s="237" t="str">
        <f>IF(BD!$E1173="","",(E1226/(H1226*I1226)))</f>
        <v/>
      </c>
      <c r="H1226" s="8">
        <v>1</v>
      </c>
      <c r="I1226" s="8">
        <v>1</v>
      </c>
      <c r="J1226" s="205" t="str">
        <f t="shared" si="34"/>
        <v>S_058</v>
      </c>
      <c r="K1226" s="115"/>
    </row>
    <row r="1227" spans="1:11">
      <c r="A1227" s="220">
        <f t="shared" si="33"/>
        <v>59</v>
      </c>
      <c r="B1227" s="218" t="s">
        <v>1013</v>
      </c>
      <c r="C1227" s="204" t="s">
        <v>56</v>
      </c>
      <c r="D1227" s="48" t="s">
        <v>174</v>
      </c>
      <c r="E1227" s="133"/>
      <c r="F1227" s="175" t="s">
        <v>174</v>
      </c>
      <c r="G1227" s="237" t="str">
        <f>IF(BD!$E1204="","",(E1227/(H1227*I1227)))</f>
        <v/>
      </c>
      <c r="H1227" s="8">
        <v>1</v>
      </c>
      <c r="I1227" s="8">
        <v>1</v>
      </c>
      <c r="J1227" s="205" t="str">
        <f t="shared" si="34"/>
        <v>S_059</v>
      </c>
      <c r="K1227" s="115"/>
    </row>
    <row r="1228" spans="1:11">
      <c r="A1228" s="220">
        <f t="shared" si="33"/>
        <v>60</v>
      </c>
      <c r="B1228" s="218" t="s">
        <v>1014</v>
      </c>
      <c r="C1228" s="204" t="s">
        <v>56</v>
      </c>
      <c r="D1228" s="48" t="s">
        <v>174</v>
      </c>
      <c r="E1228" s="133"/>
      <c r="F1228" s="175" t="s">
        <v>174</v>
      </c>
      <c r="G1228" s="237" t="str">
        <f>IF(BD!$E1203="","",(E1228/(H1228*I1228)))</f>
        <v/>
      </c>
      <c r="H1228" s="8">
        <v>1</v>
      </c>
      <c r="I1228" s="8">
        <v>1</v>
      </c>
      <c r="J1228" s="205" t="str">
        <f t="shared" si="34"/>
        <v>S_060</v>
      </c>
      <c r="K1228" s="115"/>
    </row>
    <row r="1229" spans="1:11">
      <c r="A1229" s="220">
        <f t="shared" si="33"/>
        <v>61</v>
      </c>
      <c r="B1229" s="218" t="s">
        <v>1015</v>
      </c>
      <c r="C1229" s="204" t="s">
        <v>56</v>
      </c>
      <c r="D1229" s="48" t="s">
        <v>174</v>
      </c>
      <c r="E1229" s="133"/>
      <c r="F1229" s="175" t="s">
        <v>174</v>
      </c>
      <c r="G1229" s="237" t="str">
        <f>IF(BD!$E1202="","",(E1229/(H1229*I1229)))</f>
        <v/>
      </c>
      <c r="H1229" s="8">
        <v>1</v>
      </c>
      <c r="I1229" s="8">
        <v>1</v>
      </c>
      <c r="J1229" s="205" t="str">
        <f t="shared" si="34"/>
        <v>S_061</v>
      </c>
      <c r="K1229" s="115"/>
    </row>
    <row r="1230" spans="1:11" ht="30">
      <c r="A1230" s="220">
        <f t="shared" si="33"/>
        <v>62</v>
      </c>
      <c r="B1230" s="218" t="s">
        <v>1016</v>
      </c>
      <c r="C1230" s="204" t="s">
        <v>56</v>
      </c>
      <c r="D1230" s="48" t="s">
        <v>174</v>
      </c>
      <c r="E1230" s="133">
        <v>24800</v>
      </c>
      <c r="F1230" s="175" t="s">
        <v>174</v>
      </c>
      <c r="G1230" s="237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4"/>
    </row>
    <row r="1231" spans="1:11">
      <c r="A1231" s="232"/>
      <c r="B1231" s="218"/>
      <c r="C1231" s="273"/>
      <c r="D1231" s="260"/>
      <c r="E1231" s="233"/>
      <c r="F1231" s="274"/>
      <c r="G1231" s="261"/>
      <c r="H1231" s="262"/>
      <c r="I1231" s="262"/>
      <c r="J1231" s="4"/>
    </row>
    <row r="1232" spans="1:11">
      <c r="A1232" s="232"/>
      <c r="B1232" s="218"/>
      <c r="C1232" s="273"/>
      <c r="D1232" s="260"/>
      <c r="E1232" s="233"/>
      <c r="F1232" s="274"/>
      <c r="G1232" s="261"/>
      <c r="H1232" s="262"/>
      <c r="I1232" s="262"/>
      <c r="J1232" s="4"/>
    </row>
    <row r="1233" spans="1:10">
      <c r="A1233" s="232"/>
      <c r="B1233" s="218"/>
      <c r="C1233" s="273"/>
      <c r="D1233" s="260"/>
      <c r="E1233" s="233"/>
      <c r="F1233" s="274"/>
      <c r="G1233" s="261"/>
      <c r="H1233" s="262"/>
      <c r="I1233" s="262"/>
      <c r="J1233" s="4"/>
    </row>
    <row r="1234" spans="1:10">
      <c r="A1234" s="232"/>
      <c r="B1234" s="218"/>
      <c r="C1234" s="273"/>
      <c r="D1234" s="260"/>
      <c r="E1234" s="233"/>
      <c r="F1234" s="274"/>
      <c r="G1234" s="261"/>
      <c r="H1234" s="262"/>
      <c r="I1234" s="262"/>
      <c r="J1234" s="4"/>
    </row>
    <row r="1235" spans="1:10">
      <c r="A1235" s="232"/>
      <c r="B1235" s="218"/>
      <c r="C1235" s="273"/>
      <c r="D1235" s="260"/>
      <c r="E1235" s="233"/>
      <c r="F1235" s="274"/>
      <c r="G1235" s="261"/>
      <c r="H1235" s="262"/>
      <c r="I1235" s="262"/>
      <c r="J1235" s="4"/>
    </row>
    <row r="1236" spans="1:10">
      <c r="A1236" s="232"/>
      <c r="B1236" s="218"/>
      <c r="C1236" s="273"/>
      <c r="D1236" s="260"/>
      <c r="E1236" s="233"/>
      <c r="F1236" s="274"/>
      <c r="G1236" s="261"/>
      <c r="H1236" s="262"/>
      <c r="I1236" s="262"/>
      <c r="J1236" s="4"/>
    </row>
    <row r="1237" spans="1:10">
      <c r="A1237" s="232"/>
      <c r="B1237" s="218"/>
      <c r="C1237" s="273"/>
      <c r="D1237" s="260"/>
      <c r="E1237" s="233"/>
      <c r="F1237" s="274"/>
      <c r="G1237" s="261"/>
      <c r="H1237" s="262"/>
      <c r="I1237" s="262"/>
      <c r="J1237" s="4"/>
    </row>
    <row r="1238" spans="1:10">
      <c r="A1238" s="232"/>
      <c r="B1238" s="218"/>
      <c r="C1238" s="273"/>
      <c r="D1238" s="260"/>
      <c r="E1238" s="233"/>
      <c r="F1238" s="274"/>
      <c r="G1238" s="261"/>
      <c r="H1238" s="262"/>
      <c r="I1238" s="262"/>
      <c r="J1238" s="4"/>
    </row>
    <row r="1239" spans="1:10">
      <c r="A1239" s="232"/>
      <c r="B1239" s="218"/>
      <c r="C1239" s="273"/>
      <c r="D1239" s="260"/>
      <c r="E1239" s="233"/>
      <c r="F1239" s="274"/>
      <c r="G1239" s="261"/>
      <c r="H1239" s="262"/>
      <c r="I1239" s="262"/>
      <c r="J1239" s="4"/>
    </row>
    <row r="1240" spans="1:10">
      <c r="A1240" s="232"/>
      <c r="B1240" s="218"/>
      <c r="C1240" s="273"/>
      <c r="D1240" s="260"/>
      <c r="E1240" s="233"/>
      <c r="F1240" s="274"/>
      <c r="G1240" s="261"/>
      <c r="H1240" s="262"/>
      <c r="I1240" s="262"/>
      <c r="J1240" s="4"/>
    </row>
    <row r="1241" spans="1:10">
      <c r="A1241" s="232"/>
      <c r="B1241" s="218"/>
      <c r="C1241" s="273"/>
      <c r="D1241" s="260"/>
      <c r="E1241" s="233"/>
      <c r="F1241" s="274"/>
      <c r="G1241" s="261"/>
      <c r="H1241" s="262"/>
      <c r="I1241" s="262"/>
      <c r="J1241" s="4"/>
    </row>
    <row r="1242" spans="1:10">
      <c r="A1242" s="232"/>
      <c r="B1242" s="218"/>
      <c r="C1242" s="273"/>
      <c r="D1242" s="260"/>
      <c r="E1242" s="233"/>
      <c r="F1242" s="274"/>
      <c r="G1242" s="261"/>
      <c r="H1242" s="262"/>
      <c r="I1242" s="262"/>
      <c r="J1242" s="4"/>
    </row>
    <row r="1243" spans="1:10">
      <c r="A1243" s="232"/>
      <c r="B1243" s="218"/>
      <c r="C1243" s="273"/>
      <c r="D1243" s="260"/>
      <c r="E1243" s="233"/>
      <c r="F1243" s="274"/>
      <c r="G1243" s="261"/>
      <c r="H1243" s="262"/>
      <c r="I1243" s="262"/>
      <c r="J1243" s="4"/>
    </row>
    <row r="1244" spans="1:10">
      <c r="A1244" s="232"/>
      <c r="B1244" s="218"/>
      <c r="C1244" s="273"/>
      <c r="D1244" s="260"/>
      <c r="E1244" s="233"/>
      <c r="F1244" s="274"/>
      <c r="G1244" s="261"/>
      <c r="H1244" s="262"/>
      <c r="I1244" s="262"/>
      <c r="J1244" s="4"/>
    </row>
    <row r="1245" spans="1:10">
      <c r="A1245" s="232"/>
      <c r="B1245" s="218"/>
      <c r="C1245" s="273"/>
      <c r="D1245" s="260"/>
      <c r="E1245" s="233"/>
      <c r="F1245" s="274"/>
      <c r="G1245" s="261"/>
      <c r="H1245" s="262"/>
      <c r="I1245" s="262"/>
      <c r="J1245" s="4"/>
    </row>
    <row r="1246" spans="1:10">
      <c r="A1246" s="232"/>
      <c r="B1246" s="218"/>
      <c r="C1246" s="273"/>
      <c r="D1246" s="260"/>
      <c r="E1246" s="233"/>
      <c r="F1246" s="274"/>
      <c r="G1246" s="261"/>
      <c r="H1246" s="262"/>
      <c r="I1246" s="262"/>
      <c r="J1246" s="4"/>
    </row>
    <row r="1247" spans="1:10">
      <c r="A1247" s="232"/>
      <c r="B1247" s="218"/>
      <c r="C1247" s="273"/>
      <c r="D1247" s="260"/>
      <c r="E1247" s="233"/>
      <c r="F1247" s="274"/>
      <c r="G1247" s="261"/>
      <c r="H1247" s="262"/>
      <c r="I1247" s="262"/>
      <c r="J1247" s="4"/>
    </row>
    <row r="1248" spans="1:10">
      <c r="A1248" s="232"/>
      <c r="B1248" s="218"/>
      <c r="C1248" s="273"/>
      <c r="D1248" s="260"/>
      <c r="E1248" s="233"/>
      <c r="F1248" s="274"/>
      <c r="G1248" s="261"/>
      <c r="H1248" s="262"/>
      <c r="I1248" s="262"/>
      <c r="J1248" s="4"/>
    </row>
    <row r="1249" spans="1:10">
      <c r="A1249" s="232"/>
      <c r="B1249" s="218"/>
      <c r="C1249" s="273"/>
      <c r="D1249" s="260"/>
      <c r="E1249" s="233"/>
      <c r="F1249" s="274"/>
      <c r="G1249" s="261"/>
      <c r="H1249" s="262"/>
      <c r="I1249" s="262"/>
      <c r="J1249" s="4"/>
    </row>
    <row r="1250" spans="1:10">
      <c r="A1250" s="232"/>
      <c r="B1250" s="218"/>
      <c r="C1250" s="273"/>
      <c r="D1250" s="260"/>
      <c r="E1250" s="233"/>
      <c r="F1250" s="274"/>
      <c r="G1250" s="261"/>
      <c r="H1250" s="262"/>
      <c r="I1250" s="262"/>
      <c r="J1250" s="4"/>
    </row>
    <row r="1251" spans="1:10">
      <c r="A1251" s="232"/>
      <c r="B1251" s="218"/>
      <c r="C1251" s="273"/>
      <c r="D1251" s="260"/>
      <c r="E1251" s="233"/>
      <c r="F1251" s="274"/>
      <c r="G1251" s="261"/>
      <c r="H1251" s="262"/>
      <c r="I1251" s="262"/>
      <c r="J1251" s="4"/>
    </row>
    <row r="1252" spans="1:10">
      <c r="A1252" s="232"/>
      <c r="B1252" s="218"/>
      <c r="C1252" s="273"/>
      <c r="D1252" s="260"/>
      <c r="E1252" s="233"/>
      <c r="F1252" s="274"/>
      <c r="G1252" s="261"/>
      <c r="H1252" s="262"/>
      <c r="I1252" s="262"/>
      <c r="J1252" s="4"/>
    </row>
    <row r="1253" spans="1:10">
      <c r="A1253" s="232"/>
      <c r="B1253" s="218"/>
      <c r="C1253" s="273"/>
      <c r="D1253" s="260"/>
      <c r="E1253" s="233"/>
      <c r="F1253" s="274"/>
      <c r="G1253" s="261"/>
      <c r="H1253" s="262"/>
      <c r="I1253" s="262"/>
      <c r="J1253" s="4"/>
    </row>
    <row r="1254" spans="1:10">
      <c r="A1254" s="232"/>
      <c r="B1254" s="218"/>
      <c r="C1254" s="273"/>
      <c r="D1254" s="260"/>
      <c r="E1254" s="233"/>
      <c r="F1254" s="274"/>
      <c r="G1254" s="261"/>
      <c r="H1254" s="262"/>
      <c r="I1254" s="262"/>
      <c r="J1254" s="4"/>
    </row>
    <row r="1255" spans="1:10">
      <c r="A1255" s="232"/>
      <c r="B1255" s="218"/>
      <c r="C1255" s="273"/>
      <c r="D1255" s="260"/>
      <c r="E1255" s="233"/>
      <c r="F1255" s="274"/>
      <c r="G1255" s="261"/>
      <c r="H1255" s="262"/>
      <c r="I1255" s="262"/>
      <c r="J1255" s="4"/>
    </row>
    <row r="1256" spans="1:10">
      <c r="A1256" s="232"/>
      <c r="B1256" s="218"/>
      <c r="C1256" s="273"/>
      <c r="D1256" s="260"/>
      <c r="E1256" s="233"/>
      <c r="F1256" s="274"/>
      <c r="G1256" s="261"/>
      <c r="H1256" s="262"/>
      <c r="I1256" s="262"/>
      <c r="J1256" s="4"/>
    </row>
    <row r="1257" spans="1:10">
      <c r="A1257" s="232"/>
      <c r="B1257" s="218"/>
      <c r="C1257" s="273"/>
      <c r="D1257" s="260"/>
      <c r="E1257" s="233"/>
      <c r="F1257" s="274"/>
      <c r="G1257" s="261"/>
      <c r="H1257" s="262"/>
      <c r="I1257" s="262"/>
      <c r="J1257" s="4"/>
    </row>
    <row r="1258" spans="1:10">
      <c r="A1258" s="232"/>
      <c r="B1258" s="218"/>
      <c r="C1258" s="273"/>
      <c r="D1258" s="260"/>
      <c r="E1258" s="233"/>
      <c r="F1258" s="274"/>
      <c r="G1258" s="261"/>
      <c r="H1258" s="262"/>
      <c r="I1258" s="262"/>
      <c r="J1258" s="4"/>
    </row>
    <row r="1259" spans="1:10">
      <c r="A1259" s="232"/>
      <c r="B1259" s="218"/>
      <c r="C1259" s="273"/>
      <c r="D1259" s="260"/>
      <c r="E1259" s="233"/>
      <c r="F1259" s="274"/>
      <c r="G1259" s="261"/>
      <c r="H1259" s="262"/>
      <c r="I1259" s="262"/>
      <c r="J1259" s="4"/>
    </row>
    <row r="1260" spans="1:10">
      <c r="A1260" s="232"/>
      <c r="B1260" s="218"/>
      <c r="C1260" s="273"/>
      <c r="D1260" s="260"/>
      <c r="E1260" s="233"/>
      <c r="F1260" s="274"/>
      <c r="G1260" s="261"/>
      <c r="H1260" s="262"/>
      <c r="I1260" s="262"/>
      <c r="J1260" s="4"/>
    </row>
    <row r="1261" spans="1:10">
      <c r="A1261" s="232"/>
      <c r="B1261" s="218"/>
      <c r="C1261" s="273"/>
      <c r="D1261" s="260"/>
      <c r="E1261" s="233"/>
      <c r="F1261" s="274"/>
      <c r="G1261" s="261"/>
      <c r="H1261" s="262"/>
      <c r="I1261" s="262"/>
      <c r="J1261" s="4"/>
    </row>
    <row r="1262" spans="1:10">
      <c r="A1262" s="232"/>
      <c r="B1262" s="218"/>
      <c r="C1262" s="273"/>
      <c r="D1262" s="260"/>
      <c r="E1262" s="233"/>
      <c r="F1262" s="274"/>
      <c r="G1262" s="261"/>
      <c r="H1262" s="262"/>
      <c r="I1262" s="262"/>
      <c r="J1262" s="4"/>
    </row>
    <row r="1263" spans="1:10">
      <c r="A1263" s="232"/>
      <c r="B1263" s="218"/>
      <c r="C1263" s="273"/>
      <c r="D1263" s="260"/>
      <c r="E1263" s="233"/>
      <c r="F1263" s="274"/>
      <c r="G1263" s="261"/>
      <c r="H1263" s="262"/>
      <c r="I1263" s="262"/>
      <c r="J1263" s="4"/>
    </row>
    <row r="1264" spans="1:10">
      <c r="A1264" s="232"/>
      <c r="B1264" s="218"/>
      <c r="C1264" s="273"/>
      <c r="D1264" s="260"/>
      <c r="E1264" s="233"/>
      <c r="F1264" s="274"/>
      <c r="G1264" s="261"/>
      <c r="H1264" s="262"/>
      <c r="I1264" s="262"/>
      <c r="J1264" s="4"/>
    </row>
    <row r="1265" spans="1:11">
      <c r="A1265" s="232"/>
      <c r="B1265" s="218"/>
      <c r="C1265" s="273"/>
      <c r="D1265" s="260"/>
      <c r="E1265" s="233"/>
      <c r="F1265" s="274"/>
      <c r="G1265" s="261"/>
      <c r="H1265" s="262"/>
      <c r="I1265" s="262"/>
      <c r="J1265" s="4"/>
    </row>
    <row r="1266" spans="1:11">
      <c r="A1266" s="232"/>
      <c r="B1266" s="218"/>
      <c r="C1266" s="273"/>
      <c r="D1266" s="260"/>
      <c r="E1266" s="233"/>
      <c r="F1266" s="274"/>
      <c r="G1266" s="261"/>
      <c r="H1266" s="262"/>
      <c r="I1266" s="262"/>
      <c r="J1266" s="4"/>
    </row>
    <row r="1267" spans="1:11">
      <c r="A1267" s="232"/>
      <c r="B1267" s="218"/>
      <c r="C1267" s="273"/>
      <c r="D1267" s="260"/>
      <c r="E1267" s="233"/>
      <c r="F1267" s="274"/>
      <c r="G1267" s="261"/>
      <c r="H1267" s="262"/>
      <c r="I1267" s="262"/>
      <c r="J1267" s="4"/>
    </row>
    <row r="1268" spans="1:11">
      <c r="A1268" s="232"/>
      <c r="B1268" s="218"/>
      <c r="C1268" s="273"/>
      <c r="D1268" s="260"/>
      <c r="E1268" s="233"/>
      <c r="F1268" s="274"/>
      <c r="G1268" s="261"/>
      <c r="H1268" s="262"/>
      <c r="I1268" s="262"/>
      <c r="J1268" s="4"/>
    </row>
    <row r="1269" spans="1:11">
      <c r="B1269"/>
      <c r="C1269"/>
      <c r="D1269"/>
      <c r="E1269"/>
      <c r="F1269" s="176"/>
      <c r="H1269"/>
      <c r="I1269"/>
    </row>
    <row r="1270" spans="1:11">
      <c r="B1270"/>
      <c r="C1270"/>
      <c r="D1270"/>
      <c r="E1270"/>
      <c r="F1270" s="176"/>
      <c r="H1270"/>
      <c r="I1270"/>
    </row>
    <row r="1271" spans="1:11">
      <c r="B1271"/>
      <c r="C1271"/>
      <c r="D1271"/>
      <c r="E1271"/>
      <c r="F1271" s="176"/>
      <c r="H1271"/>
      <c r="I1271"/>
    </row>
    <row r="1272" spans="1:11" ht="15.75">
      <c r="A1272" s="75"/>
      <c r="B1272" s="76" t="s">
        <v>120</v>
      </c>
      <c r="C1272" s="75"/>
      <c r="D1272" s="75"/>
      <c r="E1272" s="75"/>
      <c r="F1272" s="177"/>
      <c r="G1272" s="75"/>
      <c r="H1272" s="75"/>
      <c r="I1272" s="75"/>
      <c r="J1272" s="75"/>
    </row>
    <row r="1273" spans="1:11">
      <c r="B1273"/>
      <c r="C1273"/>
      <c r="D1273"/>
      <c r="E1273"/>
      <c r="F1273" s="176"/>
      <c r="H1273"/>
      <c r="I1273"/>
    </row>
    <row r="1274" spans="1:11" ht="15.75" thickBot="1">
      <c r="C1274"/>
      <c r="D1274"/>
      <c r="E1274"/>
      <c r="F1274" s="176"/>
      <c r="H1274"/>
      <c r="I1274"/>
    </row>
    <row r="1275" spans="1:11" ht="28.5" customHeight="1" thickBot="1">
      <c r="A1275" s="125" t="s">
        <v>90</v>
      </c>
      <c r="B1275" s="286">
        <f>SUBTOTAL(3,(B1277:B1316))</f>
        <v>40</v>
      </c>
      <c r="C1275" s="489"/>
      <c r="D1275" s="489"/>
      <c r="E1275"/>
      <c r="F1275" s="176"/>
      <c r="H1275"/>
      <c r="I1275"/>
    </row>
    <row r="1276" spans="1:11" ht="47.25">
      <c r="A1276" s="77" t="s">
        <v>72</v>
      </c>
      <c r="B1276" s="193" t="s">
        <v>92</v>
      </c>
      <c r="C1276" s="189" t="s">
        <v>93</v>
      </c>
      <c r="D1276" s="190" t="s">
        <v>94</v>
      </c>
      <c r="E1276" s="67" t="s">
        <v>95</v>
      </c>
      <c r="F1276" s="174" t="s">
        <v>96</v>
      </c>
      <c r="G1276" s="69" t="s">
        <v>97</v>
      </c>
      <c r="H1276" s="70" t="s">
        <v>98</v>
      </c>
      <c r="I1276" s="70" t="s">
        <v>99</v>
      </c>
      <c r="J1276" s="72" t="s">
        <v>100</v>
      </c>
      <c r="K1276" s="254" t="s">
        <v>101</v>
      </c>
    </row>
    <row r="1277" spans="1:11" ht="30">
      <c r="A1277" s="79">
        <v>1</v>
      </c>
      <c r="B1277" s="194" t="s">
        <v>29</v>
      </c>
      <c r="C1277" s="37" t="s">
        <v>28</v>
      </c>
      <c r="D1277" s="48" t="s">
        <v>109</v>
      </c>
      <c r="E1277" s="43">
        <v>88750</v>
      </c>
      <c r="F1277" s="175" t="s">
        <v>109</v>
      </c>
      <c r="G1277" s="9">
        <f>IF(BD!$E1277="","",(E1277/(H1277*I1277)))</f>
        <v>88750</v>
      </c>
      <c r="H1277" s="80">
        <v>1</v>
      </c>
      <c r="I1277" s="80">
        <v>1</v>
      </c>
      <c r="J1277" s="205" t="str">
        <f t="shared" ref="J1277:J1301" si="35">CONCATENATE(LEFT(C1277,1),"_",TEXT(A1277,"000"))</f>
        <v>H_001</v>
      </c>
      <c r="K1277" s="115"/>
    </row>
    <row r="1278" spans="1:11" ht="30">
      <c r="A1278" s="79">
        <f>A1277+1</f>
        <v>2</v>
      </c>
      <c r="B1278" s="194" t="s">
        <v>1017</v>
      </c>
      <c r="C1278" s="37" t="s">
        <v>28</v>
      </c>
      <c r="D1278" s="48" t="s">
        <v>109</v>
      </c>
      <c r="E1278" s="43">
        <v>18000</v>
      </c>
      <c r="F1278" s="175" t="s">
        <v>109</v>
      </c>
      <c r="G1278" s="9">
        <f>IF(BD!$E1278="","",(E1278/(H1278*I1278)))</f>
        <v>18000</v>
      </c>
      <c r="H1278" s="80">
        <v>1</v>
      </c>
      <c r="I1278" s="80">
        <v>1</v>
      </c>
      <c r="J1278" s="205" t="str">
        <f t="shared" si="35"/>
        <v>H_002</v>
      </c>
      <c r="K1278" s="115"/>
    </row>
    <row r="1279" spans="1:11" ht="30">
      <c r="A1279" s="79">
        <f t="shared" ref="A1279:A1316" si="36">A1278+1</f>
        <v>3</v>
      </c>
      <c r="B1279" s="194" t="s">
        <v>1018</v>
      </c>
      <c r="C1279" s="37" t="s">
        <v>28</v>
      </c>
      <c r="D1279" s="48" t="s">
        <v>109</v>
      </c>
      <c r="E1279" s="43">
        <v>48900</v>
      </c>
      <c r="F1279" s="175" t="s">
        <v>109</v>
      </c>
      <c r="G1279" s="9">
        <f>IF(BD!$E1279="","",(E1279/(H1279*I1279)))</f>
        <v>48900</v>
      </c>
      <c r="H1279" s="80">
        <v>1</v>
      </c>
      <c r="I1279" s="80">
        <v>1</v>
      </c>
      <c r="J1279" s="205" t="str">
        <f t="shared" si="35"/>
        <v>H_003</v>
      </c>
      <c r="K1279" s="115"/>
    </row>
    <row r="1280" spans="1:11" ht="30">
      <c r="A1280" s="79">
        <f t="shared" si="36"/>
        <v>4</v>
      </c>
      <c r="B1280" s="194" t="s">
        <v>1019</v>
      </c>
      <c r="C1280" s="37" t="s">
        <v>28</v>
      </c>
      <c r="D1280" s="48" t="s">
        <v>109</v>
      </c>
      <c r="E1280" s="43">
        <v>5150</v>
      </c>
      <c r="F1280" s="175" t="s">
        <v>109</v>
      </c>
      <c r="G1280" s="9">
        <f>IF(BD!$E1280="","",(E1280/(H1280*I1280)))</f>
        <v>5150</v>
      </c>
      <c r="H1280" s="80">
        <v>1</v>
      </c>
      <c r="I1280" s="80">
        <v>1</v>
      </c>
      <c r="J1280" s="205" t="str">
        <f t="shared" si="35"/>
        <v>H_004</v>
      </c>
      <c r="K1280" s="115"/>
    </row>
    <row r="1281" spans="1:11" ht="30">
      <c r="A1281" s="79">
        <f t="shared" si="36"/>
        <v>5</v>
      </c>
      <c r="B1281" s="194" t="s">
        <v>1020</v>
      </c>
      <c r="C1281" s="37" t="s">
        <v>28</v>
      </c>
      <c r="D1281" s="48" t="s">
        <v>109</v>
      </c>
      <c r="E1281" s="43">
        <v>6400</v>
      </c>
      <c r="F1281" s="175" t="s">
        <v>109</v>
      </c>
      <c r="G1281" s="9">
        <f>IF(BD!$E1281="","",(E1281/(H1281*I1281)))</f>
        <v>6400</v>
      </c>
      <c r="H1281" s="80">
        <v>1</v>
      </c>
      <c r="I1281" s="80">
        <v>1</v>
      </c>
      <c r="J1281" s="205" t="str">
        <f t="shared" si="35"/>
        <v>H_005</v>
      </c>
      <c r="K1281" s="115"/>
    </row>
    <row r="1282" spans="1:11" ht="30">
      <c r="A1282" s="79">
        <f t="shared" si="36"/>
        <v>6</v>
      </c>
      <c r="B1282" s="194" t="s">
        <v>1021</v>
      </c>
      <c r="C1282" s="37" t="s">
        <v>28</v>
      </c>
      <c r="D1282" s="48" t="s">
        <v>174</v>
      </c>
      <c r="E1282" s="43">
        <v>61500</v>
      </c>
      <c r="F1282" s="175" t="s">
        <v>174</v>
      </c>
      <c r="G1282" s="9">
        <f>IF(BD!$E1282="","",(E1282/(H1282*I1282)))</f>
        <v>61500</v>
      </c>
      <c r="H1282" s="80">
        <v>1</v>
      </c>
      <c r="I1282" s="80">
        <v>1</v>
      </c>
      <c r="J1282" s="205" t="str">
        <f t="shared" si="35"/>
        <v>H_006</v>
      </c>
      <c r="K1282" s="115"/>
    </row>
    <row r="1283" spans="1:11" ht="45">
      <c r="A1283" s="79">
        <f t="shared" si="36"/>
        <v>7</v>
      </c>
      <c r="B1283" s="194" t="s">
        <v>1022</v>
      </c>
      <c r="C1283" s="37" t="s">
        <v>28</v>
      </c>
      <c r="D1283" s="48" t="s">
        <v>109</v>
      </c>
      <c r="E1283" s="43">
        <v>48683.375</v>
      </c>
      <c r="F1283" s="175" t="s">
        <v>109</v>
      </c>
      <c r="G1283" s="9">
        <f>IF(BD!$E1283="","",(E1283/(H1283*I1283)))</f>
        <v>48683.375</v>
      </c>
      <c r="H1283" s="80">
        <v>1</v>
      </c>
      <c r="I1283" s="80">
        <v>1</v>
      </c>
      <c r="J1283" s="205" t="str">
        <f t="shared" si="35"/>
        <v>H_007</v>
      </c>
      <c r="K1283" s="115"/>
    </row>
    <row r="1284" spans="1:11" ht="30">
      <c r="A1284" s="79">
        <f t="shared" si="36"/>
        <v>8</v>
      </c>
      <c r="B1284" s="271" t="s">
        <v>1023</v>
      </c>
      <c r="C1284" s="37" t="s">
        <v>28</v>
      </c>
      <c r="D1284" s="48" t="s">
        <v>174</v>
      </c>
      <c r="E1284" s="43"/>
      <c r="F1284" s="48" t="s">
        <v>174</v>
      </c>
      <c r="G1284" s="9">
        <f>IF(BD!$E1304="","",(E1284/(H1284*I1284)))</f>
        <v>0</v>
      </c>
      <c r="H1284" s="80">
        <v>1</v>
      </c>
      <c r="I1284" s="80">
        <v>1</v>
      </c>
      <c r="J1284" s="205" t="str">
        <f t="shared" si="35"/>
        <v>H_008</v>
      </c>
      <c r="K1284" s="115"/>
    </row>
    <row r="1285" spans="1:11" ht="30">
      <c r="A1285" s="79">
        <f t="shared" si="36"/>
        <v>9</v>
      </c>
      <c r="B1285" s="271" t="s">
        <v>1024</v>
      </c>
      <c r="C1285" s="37" t="s">
        <v>28</v>
      </c>
      <c r="D1285" s="48" t="s">
        <v>174</v>
      </c>
      <c r="E1285" s="43"/>
      <c r="F1285" s="48" t="s">
        <v>174</v>
      </c>
      <c r="G1285" s="9">
        <f>IF(BD!$E1306="","",(E1285/(H1285*I1285)))</f>
        <v>0</v>
      </c>
      <c r="H1285" s="80">
        <v>1</v>
      </c>
      <c r="I1285" s="80">
        <v>1</v>
      </c>
      <c r="J1285" s="205" t="str">
        <f t="shared" si="35"/>
        <v>H_009</v>
      </c>
      <c r="K1285" s="115"/>
    </row>
    <row r="1286" spans="1:11" ht="30">
      <c r="A1286" s="79">
        <f t="shared" si="36"/>
        <v>10</v>
      </c>
      <c r="B1286" s="271" t="s">
        <v>1025</v>
      </c>
      <c r="C1286" s="37" t="s">
        <v>28</v>
      </c>
      <c r="D1286" s="48" t="s">
        <v>174</v>
      </c>
      <c r="E1286" s="43"/>
      <c r="F1286" s="48" t="s">
        <v>174</v>
      </c>
      <c r="G1286" s="9">
        <f>IF(BD!$E1308="","",(E1286/(H1286*I1286)))</f>
        <v>0</v>
      </c>
      <c r="H1286" s="80">
        <v>1</v>
      </c>
      <c r="I1286" s="80">
        <v>1</v>
      </c>
      <c r="J1286" s="205" t="str">
        <f t="shared" si="35"/>
        <v>H_010</v>
      </c>
      <c r="K1286" s="115"/>
    </row>
    <row r="1287" spans="1:11" ht="30">
      <c r="A1287" s="79">
        <f t="shared" si="36"/>
        <v>11</v>
      </c>
      <c r="B1287" s="271" t="s">
        <v>1026</v>
      </c>
      <c r="C1287" s="37" t="s">
        <v>28</v>
      </c>
      <c r="D1287" s="48" t="s">
        <v>174</v>
      </c>
      <c r="E1287" s="43"/>
      <c r="F1287" s="48" t="s">
        <v>174</v>
      </c>
      <c r="G1287" s="9">
        <f>IF(BD!$E1302="","",(E1287/(H1287*I1287)))</f>
        <v>0</v>
      </c>
      <c r="H1287" s="80">
        <v>1</v>
      </c>
      <c r="I1287" s="80">
        <v>1</v>
      </c>
      <c r="J1287" s="205" t="str">
        <f t="shared" si="35"/>
        <v>H_011</v>
      </c>
      <c r="K1287" s="115"/>
    </row>
    <row r="1288" spans="1:11" ht="30">
      <c r="A1288" s="79">
        <f t="shared" si="36"/>
        <v>12</v>
      </c>
      <c r="B1288" s="271" t="s">
        <v>1027</v>
      </c>
      <c r="C1288" s="37" t="s">
        <v>28</v>
      </c>
      <c r="D1288" s="48" t="s">
        <v>174</v>
      </c>
      <c r="E1288" s="43"/>
      <c r="F1288" s="48" t="s">
        <v>174</v>
      </c>
      <c r="G1288" s="9">
        <f>IF(BD!$E1307="","",(E1288/(H1288*I1288)))</f>
        <v>0</v>
      </c>
      <c r="H1288" s="80">
        <v>1</v>
      </c>
      <c r="I1288" s="80">
        <v>1</v>
      </c>
      <c r="J1288" s="205" t="str">
        <f t="shared" si="35"/>
        <v>H_012</v>
      </c>
      <c r="K1288" s="115"/>
    </row>
    <row r="1289" spans="1:11" ht="30">
      <c r="A1289" s="79">
        <f t="shared" si="36"/>
        <v>13</v>
      </c>
      <c r="B1289" s="271" t="s">
        <v>1028</v>
      </c>
      <c r="C1289" s="37" t="s">
        <v>28</v>
      </c>
      <c r="D1289" s="48" t="s">
        <v>174</v>
      </c>
      <c r="E1289" s="43"/>
      <c r="F1289" s="48" t="s">
        <v>174</v>
      </c>
      <c r="G1289" s="9" t="str">
        <f>IF(BD!$E1300="","",(E1289/(H1289*I1289)))</f>
        <v/>
      </c>
      <c r="H1289" s="80">
        <v>1</v>
      </c>
      <c r="I1289" s="80">
        <v>1</v>
      </c>
      <c r="J1289" s="205" t="str">
        <f t="shared" si="35"/>
        <v>H_013</v>
      </c>
      <c r="K1289" s="115"/>
    </row>
    <row r="1290" spans="1:11" ht="30">
      <c r="A1290" s="79">
        <f t="shared" si="36"/>
        <v>14</v>
      </c>
      <c r="B1290" s="271" t="s">
        <v>1029</v>
      </c>
      <c r="C1290" s="37" t="s">
        <v>28</v>
      </c>
      <c r="D1290" s="48" t="s">
        <v>174</v>
      </c>
      <c r="E1290" s="43"/>
      <c r="F1290" s="48" t="s">
        <v>174</v>
      </c>
      <c r="G1290" s="9">
        <f>IF(BD!$E1301="","",(E1290/(H1290*I1290)))</f>
        <v>0</v>
      </c>
      <c r="H1290" s="80">
        <v>1</v>
      </c>
      <c r="I1290" s="80">
        <v>1</v>
      </c>
      <c r="J1290" s="205" t="str">
        <f t="shared" si="35"/>
        <v>H_014</v>
      </c>
      <c r="K1290" s="115"/>
    </row>
    <row r="1291" spans="1:11" ht="30">
      <c r="A1291" s="79">
        <f t="shared" si="36"/>
        <v>15</v>
      </c>
      <c r="B1291" s="271" t="s">
        <v>1030</v>
      </c>
      <c r="C1291" s="37" t="s">
        <v>28</v>
      </c>
      <c r="D1291" s="48" t="s">
        <v>174</v>
      </c>
      <c r="E1291" s="43"/>
      <c r="F1291" s="48" t="s">
        <v>174</v>
      </c>
      <c r="G1291" s="9" t="str">
        <f>IF(BD!$E1303="","",(E1291/(H1291*I1291)))</f>
        <v/>
      </c>
      <c r="H1291" s="80">
        <v>1</v>
      </c>
      <c r="I1291" s="80">
        <v>1</v>
      </c>
      <c r="J1291" s="205" t="str">
        <f t="shared" si="35"/>
        <v>H_015</v>
      </c>
      <c r="K1291" s="115"/>
    </row>
    <row r="1292" spans="1:11" ht="30">
      <c r="A1292" s="79">
        <f t="shared" si="36"/>
        <v>16</v>
      </c>
      <c r="B1292" s="271" t="s">
        <v>1031</v>
      </c>
      <c r="C1292" s="37" t="s">
        <v>28</v>
      </c>
      <c r="D1292" s="48" t="s">
        <v>174</v>
      </c>
      <c r="E1292" s="43"/>
      <c r="F1292" s="48" t="s">
        <v>174</v>
      </c>
      <c r="G1292" s="9">
        <f>IF(BD!$E1305="","",(E1292/(H1292*I1292)))</f>
        <v>0</v>
      </c>
      <c r="H1292" s="80">
        <v>1</v>
      </c>
      <c r="I1292" s="80">
        <v>1</v>
      </c>
      <c r="J1292" s="205" t="str">
        <f t="shared" si="35"/>
        <v>H_016</v>
      </c>
      <c r="K1292" s="115"/>
    </row>
    <row r="1293" spans="1:11" ht="30">
      <c r="A1293" s="79">
        <f t="shared" si="36"/>
        <v>17</v>
      </c>
      <c r="B1293" s="271" t="s">
        <v>1032</v>
      </c>
      <c r="C1293" s="37" t="s">
        <v>28</v>
      </c>
      <c r="D1293" s="48" t="s">
        <v>174</v>
      </c>
      <c r="E1293" s="43"/>
      <c r="F1293" s="48" t="s">
        <v>174</v>
      </c>
      <c r="G1293" s="9">
        <f>IF(BD!$E1309="","",(E1293/(H1293*I1293)))</f>
        <v>0</v>
      </c>
      <c r="H1293" s="80">
        <v>1</v>
      </c>
      <c r="I1293" s="80">
        <v>1</v>
      </c>
      <c r="J1293" s="205" t="str">
        <f t="shared" si="35"/>
        <v>H_017</v>
      </c>
      <c r="K1293" s="115"/>
    </row>
    <row r="1294" spans="1:11" ht="30">
      <c r="A1294" s="79">
        <f t="shared" si="36"/>
        <v>18</v>
      </c>
      <c r="B1294" s="271" t="s">
        <v>1033</v>
      </c>
      <c r="C1294" s="37" t="s">
        <v>28</v>
      </c>
      <c r="D1294" s="48" t="s">
        <v>174</v>
      </c>
      <c r="E1294" s="43"/>
      <c r="F1294" s="48" t="s">
        <v>174</v>
      </c>
      <c r="G1294" s="9">
        <f>IF(BD!$E1312="","",(E1294/(H1294*I1294)))</f>
        <v>0</v>
      </c>
      <c r="H1294" s="80">
        <v>1</v>
      </c>
      <c r="I1294" s="80">
        <v>1</v>
      </c>
      <c r="J1294" s="205" t="str">
        <f t="shared" si="35"/>
        <v>H_018</v>
      </c>
      <c r="K1294" s="115"/>
    </row>
    <row r="1295" spans="1:11" ht="30">
      <c r="A1295" s="79">
        <f t="shared" si="36"/>
        <v>19</v>
      </c>
      <c r="B1295" s="271" t="s">
        <v>1034</v>
      </c>
      <c r="C1295" s="37" t="s">
        <v>28</v>
      </c>
      <c r="D1295" s="48" t="s">
        <v>174</v>
      </c>
      <c r="E1295" s="43"/>
      <c r="F1295" s="48" t="s">
        <v>174</v>
      </c>
      <c r="G1295" s="9">
        <f>IF(BD!$E1313="","",(E1295/(H1295*I1295)))</f>
        <v>0</v>
      </c>
      <c r="H1295" s="80">
        <v>1</v>
      </c>
      <c r="I1295" s="80">
        <v>1</v>
      </c>
      <c r="J1295" s="205" t="str">
        <f t="shared" si="35"/>
        <v>H_019</v>
      </c>
      <c r="K1295" s="115"/>
    </row>
    <row r="1296" spans="1:11" ht="30">
      <c r="A1296" s="79">
        <f t="shared" si="36"/>
        <v>20</v>
      </c>
      <c r="B1296" s="271" t="s">
        <v>1035</v>
      </c>
      <c r="C1296" s="37" t="s">
        <v>28</v>
      </c>
      <c r="D1296" s="48" t="s">
        <v>174</v>
      </c>
      <c r="E1296" s="43"/>
      <c r="F1296" s="48" t="s">
        <v>174</v>
      </c>
      <c r="G1296" s="9">
        <f>IF(BD!$E1311="","",(E1296/(H1296*I1296)))</f>
        <v>0</v>
      </c>
      <c r="H1296" s="191">
        <v>1</v>
      </c>
      <c r="I1296" s="191">
        <v>1</v>
      </c>
      <c r="J1296" s="205" t="str">
        <f t="shared" si="35"/>
        <v>H_020</v>
      </c>
      <c r="K1296" s="115"/>
    </row>
    <row r="1297" spans="1:11" ht="30">
      <c r="A1297" s="79">
        <f t="shared" si="36"/>
        <v>21</v>
      </c>
      <c r="B1297" s="194" t="s">
        <v>1036</v>
      </c>
      <c r="C1297" s="37" t="s">
        <v>28</v>
      </c>
      <c r="D1297" s="48" t="s">
        <v>109</v>
      </c>
      <c r="E1297" s="43">
        <v>44533.333333333336</v>
      </c>
      <c r="F1297" s="175" t="s">
        <v>109</v>
      </c>
      <c r="G1297" s="9" t="str">
        <f>IF(BD!$E1284="","",(E1297/(H1297*I1297)))</f>
        <v/>
      </c>
      <c r="H1297" s="8">
        <v>1</v>
      </c>
      <c r="I1297" s="8">
        <v>1</v>
      </c>
      <c r="J1297" s="205" t="str">
        <f t="shared" si="35"/>
        <v>H_021</v>
      </c>
      <c r="K1297" s="115"/>
    </row>
    <row r="1298" spans="1:11">
      <c r="A1298" s="79">
        <f t="shared" si="36"/>
        <v>22</v>
      </c>
      <c r="B1298" s="194" t="s">
        <v>1037</v>
      </c>
      <c r="C1298" s="37" t="s">
        <v>28</v>
      </c>
      <c r="D1298" s="192" t="s">
        <v>109</v>
      </c>
      <c r="E1298" s="43">
        <v>30900</v>
      </c>
      <c r="F1298" s="175" t="s">
        <v>109</v>
      </c>
      <c r="G1298" s="9" t="str">
        <f>IF(BD!$E1285="","",(E1298/(H1298*I1298)))</f>
        <v/>
      </c>
      <c r="H1298" s="288">
        <v>1</v>
      </c>
      <c r="I1298" s="288">
        <v>1</v>
      </c>
      <c r="J1298" s="205" t="str">
        <f t="shared" si="35"/>
        <v>H_022</v>
      </c>
      <c r="K1298" s="115"/>
    </row>
    <row r="1299" spans="1:11">
      <c r="A1299" s="79">
        <f t="shared" si="36"/>
        <v>23</v>
      </c>
      <c r="B1299" s="271" t="s">
        <v>1038</v>
      </c>
      <c r="C1299" s="235" t="s">
        <v>28</v>
      </c>
      <c r="D1299" s="236" t="s">
        <v>109</v>
      </c>
      <c r="E1299" s="43"/>
      <c r="F1299" s="48" t="s">
        <v>109</v>
      </c>
      <c r="G1299" s="9">
        <f>IF(BD!$E1314="","",(E1299/(H1299*I1299)))</f>
        <v>0</v>
      </c>
      <c r="H1299" s="191">
        <v>1</v>
      </c>
      <c r="I1299" s="191">
        <v>1</v>
      </c>
      <c r="J1299" s="205" t="str">
        <f t="shared" si="35"/>
        <v>H_023</v>
      </c>
      <c r="K1299" s="115"/>
    </row>
    <row r="1300" spans="1:11">
      <c r="A1300" s="79">
        <f t="shared" si="36"/>
        <v>24</v>
      </c>
      <c r="B1300" s="271" t="s">
        <v>1039</v>
      </c>
      <c r="C1300" s="235" t="s">
        <v>28</v>
      </c>
      <c r="D1300" s="236" t="s">
        <v>109</v>
      </c>
      <c r="E1300" s="133"/>
      <c r="F1300" s="48" t="s">
        <v>109</v>
      </c>
      <c r="G1300" s="237">
        <f>IF(BD!$E1315="","",(E1300/(H1300*I1300)))</f>
        <v>0</v>
      </c>
      <c r="H1300" s="191">
        <v>1</v>
      </c>
      <c r="I1300" s="191">
        <v>1</v>
      </c>
      <c r="J1300" s="205" t="str">
        <f t="shared" si="35"/>
        <v>H_024</v>
      </c>
      <c r="K1300" s="115"/>
    </row>
    <row r="1301" spans="1:11" ht="30">
      <c r="A1301" s="79">
        <f t="shared" si="36"/>
        <v>25</v>
      </c>
      <c r="B1301" s="194" t="s">
        <v>1040</v>
      </c>
      <c r="C1301" s="235" t="s">
        <v>28</v>
      </c>
      <c r="D1301" s="236" t="s">
        <v>1041</v>
      </c>
      <c r="E1301" s="133">
        <v>44500</v>
      </c>
      <c r="F1301" s="175" t="s">
        <v>109</v>
      </c>
      <c r="G1301" s="237" t="str">
        <f>IF(BD!$E1286="","",(E1301/(H1301*I1301)))</f>
        <v/>
      </c>
      <c r="H1301" s="191">
        <v>1</v>
      </c>
      <c r="I1301" s="191">
        <v>1</v>
      </c>
      <c r="J1301" s="205" t="str">
        <f t="shared" si="35"/>
        <v>H_025</v>
      </c>
      <c r="K1301" s="115"/>
    </row>
    <row r="1302" spans="1:11">
      <c r="A1302" s="79">
        <f t="shared" si="36"/>
        <v>26</v>
      </c>
      <c r="B1302" s="194" t="s">
        <v>1042</v>
      </c>
      <c r="C1302" s="235" t="s">
        <v>28</v>
      </c>
      <c r="D1302" s="236" t="s">
        <v>109</v>
      </c>
      <c r="E1302" s="133">
        <v>22370</v>
      </c>
      <c r="F1302" s="175" t="s">
        <v>109</v>
      </c>
      <c r="G1302" s="237" t="str">
        <f>IF(BD!$E1287="","",(E1302/(H1302*I1302)))</f>
        <v/>
      </c>
      <c r="H1302" s="191">
        <v>1</v>
      </c>
      <c r="I1302" s="191">
        <v>1</v>
      </c>
      <c r="J1302" s="205"/>
      <c r="K1302" s="115"/>
    </row>
    <row r="1303" spans="1:11">
      <c r="A1303" s="79">
        <f t="shared" si="36"/>
        <v>27</v>
      </c>
      <c r="B1303" s="271" t="s">
        <v>31</v>
      </c>
      <c r="C1303" s="235" t="s">
        <v>28</v>
      </c>
      <c r="D1303" s="236" t="s">
        <v>109</v>
      </c>
      <c r="E1303" s="133"/>
      <c r="F1303" s="48" t="s">
        <v>109</v>
      </c>
      <c r="G1303" s="237">
        <f>IF(BD!$E1316="","",(E1303/(H1303*I1303)))</f>
        <v>0</v>
      </c>
      <c r="H1303" s="191">
        <v>1</v>
      </c>
      <c r="I1303" s="191">
        <v>1</v>
      </c>
      <c r="J1303" s="205" t="str">
        <f t="shared" ref="J1303:J1308" si="37">CONCATENATE(LEFT(C1303,1),"_",TEXT(A1303,"000"))</f>
        <v>H_027</v>
      </c>
      <c r="K1303" s="115"/>
    </row>
    <row r="1304" spans="1:11">
      <c r="A1304" s="79">
        <f t="shared" si="36"/>
        <v>28</v>
      </c>
      <c r="B1304" s="194" t="s">
        <v>1043</v>
      </c>
      <c r="C1304" s="235" t="s">
        <v>28</v>
      </c>
      <c r="D1304" s="236" t="s">
        <v>109</v>
      </c>
      <c r="E1304" s="133">
        <v>184100</v>
      </c>
      <c r="F1304" s="175" t="s">
        <v>109</v>
      </c>
      <c r="G1304" s="237" t="str">
        <f>IF(BD!$E1288="","",(E1304/(H1304*I1304)))</f>
        <v/>
      </c>
      <c r="H1304" s="288">
        <v>1</v>
      </c>
      <c r="I1304" s="288">
        <v>1</v>
      </c>
      <c r="J1304" s="205" t="str">
        <f t="shared" si="37"/>
        <v>H_028</v>
      </c>
      <c r="K1304" s="115"/>
    </row>
    <row r="1305" spans="1:11" ht="30">
      <c r="A1305" s="79">
        <f t="shared" si="36"/>
        <v>29</v>
      </c>
      <c r="B1305" s="194" t="s">
        <v>1044</v>
      </c>
      <c r="C1305" s="235" t="s">
        <v>28</v>
      </c>
      <c r="D1305" s="236" t="s">
        <v>109</v>
      </c>
      <c r="E1305" s="133">
        <v>6333.3374999999996</v>
      </c>
      <c r="F1305" s="175" t="s">
        <v>109</v>
      </c>
      <c r="G1305" s="237" t="e">
        <f>IF(BD!#REF!="","",(E1305/(H1305*I1305)))</f>
        <v>#REF!</v>
      </c>
      <c r="H1305" s="191">
        <v>1</v>
      </c>
      <c r="I1305" s="191">
        <v>1</v>
      </c>
      <c r="J1305" s="205" t="str">
        <f t="shared" si="37"/>
        <v>H_029</v>
      </c>
      <c r="K1305" s="115"/>
    </row>
    <row r="1306" spans="1:11" ht="30">
      <c r="A1306" s="79">
        <f t="shared" si="36"/>
        <v>30</v>
      </c>
      <c r="B1306" s="194" t="s">
        <v>1045</v>
      </c>
      <c r="C1306" s="235" t="s">
        <v>28</v>
      </c>
      <c r="D1306" s="236" t="s">
        <v>109</v>
      </c>
      <c r="E1306" s="133">
        <v>17266.599999999999</v>
      </c>
      <c r="F1306" s="175" t="s">
        <v>109</v>
      </c>
      <c r="G1306" s="237" t="str">
        <f>IF(BD!$E1289="","",(E1306/(H1306*I1306)))</f>
        <v/>
      </c>
      <c r="H1306" s="288">
        <v>1</v>
      </c>
      <c r="I1306" s="288">
        <v>1</v>
      </c>
      <c r="J1306" s="205" t="str">
        <f t="shared" si="37"/>
        <v>H_030</v>
      </c>
      <c r="K1306" s="115"/>
    </row>
    <row r="1307" spans="1:11" ht="30">
      <c r="A1307" s="79">
        <f t="shared" si="36"/>
        <v>31</v>
      </c>
      <c r="B1307" s="195" t="s">
        <v>1046</v>
      </c>
      <c r="C1307" s="235" t="s">
        <v>28</v>
      </c>
      <c r="D1307" s="236" t="s">
        <v>109</v>
      </c>
      <c r="E1307" s="133">
        <v>6796.7</v>
      </c>
      <c r="F1307" s="175" t="s">
        <v>109</v>
      </c>
      <c r="G1307" s="237" t="str">
        <f>IF(BD!$E1290="","",(E1307/(H1307*I1307)))</f>
        <v/>
      </c>
      <c r="H1307" s="288">
        <v>1</v>
      </c>
      <c r="I1307" s="288">
        <v>1</v>
      </c>
      <c r="J1307" s="205" t="str">
        <f t="shared" si="37"/>
        <v>H_031</v>
      </c>
      <c r="K1307" s="115"/>
    </row>
    <row r="1308" spans="1:11">
      <c r="A1308" s="79">
        <f t="shared" si="36"/>
        <v>32</v>
      </c>
      <c r="B1308" s="194" t="s">
        <v>1047</v>
      </c>
      <c r="C1308" s="235" t="s">
        <v>28</v>
      </c>
      <c r="D1308" s="236" t="s">
        <v>109</v>
      </c>
      <c r="E1308" s="133">
        <v>182666.66666666666</v>
      </c>
      <c r="F1308" s="175" t="s">
        <v>109</v>
      </c>
      <c r="G1308" s="237" t="str">
        <f>IF(BD!$E1291="","",(E1308/(H1308*I1308)))</f>
        <v/>
      </c>
      <c r="H1308" s="288">
        <v>1</v>
      </c>
      <c r="I1308" s="288">
        <v>1</v>
      </c>
      <c r="J1308" s="205" t="str">
        <f t="shared" si="37"/>
        <v>H_032</v>
      </c>
      <c r="K1308" s="115"/>
    </row>
    <row r="1309" spans="1:11" ht="30">
      <c r="A1309" s="79">
        <f t="shared" si="36"/>
        <v>33</v>
      </c>
      <c r="B1309" s="195" t="s">
        <v>1048</v>
      </c>
      <c r="C1309" s="235" t="s">
        <v>28</v>
      </c>
      <c r="D1309" s="236" t="s">
        <v>1041</v>
      </c>
      <c r="E1309" s="133">
        <v>2500</v>
      </c>
      <c r="F1309" s="175" t="s">
        <v>109</v>
      </c>
      <c r="G1309" s="237" t="str">
        <f>IF(BD!$E1292="","",(E1309/(H1309*I1309)))</f>
        <v/>
      </c>
      <c r="H1309" s="191">
        <v>1</v>
      </c>
      <c r="I1309" s="191">
        <v>1</v>
      </c>
      <c r="J1309" s="205"/>
      <c r="K1309" s="115"/>
    </row>
    <row r="1310" spans="1:11" ht="30">
      <c r="A1310" s="79">
        <f t="shared" si="36"/>
        <v>34</v>
      </c>
      <c r="B1310" s="194" t="s">
        <v>1049</v>
      </c>
      <c r="C1310" s="235" t="s">
        <v>28</v>
      </c>
      <c r="D1310" s="236" t="s">
        <v>109</v>
      </c>
      <c r="E1310" s="133">
        <v>48330</v>
      </c>
      <c r="F1310" s="175" t="s">
        <v>109</v>
      </c>
      <c r="G1310" s="237" t="str">
        <f>IF(BD!$E1293="","",(E1310/(H1310*I1310)))</f>
        <v/>
      </c>
      <c r="H1310" s="191">
        <v>1</v>
      </c>
      <c r="I1310" s="191">
        <v>1</v>
      </c>
      <c r="J1310" s="205" t="str">
        <f t="shared" ref="J1310:J1316" si="38">CONCATENATE(LEFT(C1310,1),"_",TEXT(A1310,"000"))</f>
        <v>H_034</v>
      </c>
      <c r="K1310" s="115"/>
    </row>
    <row r="1311" spans="1:11" ht="30">
      <c r="A1311" s="79">
        <f t="shared" si="36"/>
        <v>35</v>
      </c>
      <c r="B1311" s="194" t="s">
        <v>1050</v>
      </c>
      <c r="C1311" s="235" t="s">
        <v>28</v>
      </c>
      <c r="D1311" s="236" t="s">
        <v>1051</v>
      </c>
      <c r="E1311" s="133">
        <v>10166.700000000001</v>
      </c>
      <c r="F1311" s="175" t="s">
        <v>1051</v>
      </c>
      <c r="G1311" s="237" t="str">
        <f>IF(BD!$E1294="","",(E1311/(H1311*I1311)))</f>
        <v/>
      </c>
      <c r="H1311" s="191">
        <v>1</v>
      </c>
      <c r="I1311" s="191">
        <v>1</v>
      </c>
      <c r="J1311" s="205" t="str">
        <f t="shared" si="38"/>
        <v>H_035</v>
      </c>
      <c r="K1311" s="115"/>
    </row>
    <row r="1312" spans="1:11">
      <c r="A1312" s="79">
        <f t="shared" si="36"/>
        <v>36</v>
      </c>
      <c r="B1312" s="194" t="s">
        <v>1052</v>
      </c>
      <c r="C1312" s="235" t="s">
        <v>28</v>
      </c>
      <c r="D1312" s="236" t="s">
        <v>109</v>
      </c>
      <c r="E1312" s="133">
        <v>104388.75</v>
      </c>
      <c r="F1312" s="175" t="s">
        <v>109</v>
      </c>
      <c r="G1312" s="237" t="str">
        <f>IF(BD!$E1295="","",(E1312/(H1312*I1312)))</f>
        <v/>
      </c>
      <c r="H1312" s="288">
        <v>1</v>
      </c>
      <c r="I1312" s="288">
        <v>1</v>
      </c>
      <c r="J1312" s="205" t="str">
        <f t="shared" si="38"/>
        <v>H_036</v>
      </c>
      <c r="K1312" s="115"/>
    </row>
    <row r="1313" spans="1:11">
      <c r="A1313" s="79">
        <f t="shared" si="36"/>
        <v>37</v>
      </c>
      <c r="B1313" s="194" t="s">
        <v>1053</v>
      </c>
      <c r="C1313" s="235" t="s">
        <v>28</v>
      </c>
      <c r="D1313" s="236" t="s">
        <v>109</v>
      </c>
      <c r="E1313" s="133">
        <v>79760</v>
      </c>
      <c r="F1313" s="175" t="s">
        <v>109</v>
      </c>
      <c r="G1313" s="237" t="e">
        <f>IF(BD!#REF!="","",(E1313/(H1313*I1313)))</f>
        <v>#REF!</v>
      </c>
      <c r="H1313" s="191">
        <v>1</v>
      </c>
      <c r="I1313" s="191">
        <v>1</v>
      </c>
      <c r="J1313" s="205" t="str">
        <f t="shared" si="38"/>
        <v>H_037</v>
      </c>
      <c r="K1313" s="115"/>
    </row>
    <row r="1314" spans="1:11" ht="30">
      <c r="A1314" s="79">
        <f t="shared" si="36"/>
        <v>38</v>
      </c>
      <c r="B1314" s="194" t="s">
        <v>1054</v>
      </c>
      <c r="C1314" s="235" t="s">
        <v>28</v>
      </c>
      <c r="D1314" s="236" t="s">
        <v>206</v>
      </c>
      <c r="E1314" s="133">
        <v>62000</v>
      </c>
      <c r="F1314" s="287" t="s">
        <v>206</v>
      </c>
      <c r="G1314" s="237" t="str">
        <f>IF(BD!$E1296="","",(E1314/(H1314*I1314)))</f>
        <v/>
      </c>
      <c r="H1314" s="191">
        <v>1</v>
      </c>
      <c r="I1314" s="191">
        <v>1</v>
      </c>
      <c r="J1314" s="205" t="str">
        <f t="shared" si="38"/>
        <v>H_038</v>
      </c>
      <c r="K1314" s="115"/>
    </row>
    <row r="1315" spans="1:11" ht="45">
      <c r="A1315" s="79">
        <f t="shared" si="36"/>
        <v>39</v>
      </c>
      <c r="B1315" s="218" t="s">
        <v>1055</v>
      </c>
      <c r="C1315" s="235" t="s">
        <v>28</v>
      </c>
      <c r="D1315" s="236" t="s">
        <v>109</v>
      </c>
      <c r="E1315" s="133">
        <v>152500</v>
      </c>
      <c r="F1315" s="287" t="s">
        <v>109</v>
      </c>
      <c r="G1315" s="237">
        <f>IF(BD!$E1297="","",(E1315/(H1315*I1315)))</f>
        <v>152500</v>
      </c>
      <c r="H1315" s="191">
        <v>1</v>
      </c>
      <c r="I1315" s="191">
        <v>1</v>
      </c>
      <c r="J1315" s="205" t="str">
        <f t="shared" si="38"/>
        <v>H_039</v>
      </c>
      <c r="K1315" s="115"/>
    </row>
    <row r="1316" spans="1:11" ht="30">
      <c r="A1316" s="79">
        <f t="shared" si="36"/>
        <v>40</v>
      </c>
      <c r="B1316" s="218" t="s">
        <v>1056</v>
      </c>
      <c r="C1316" s="235" t="s">
        <v>28</v>
      </c>
      <c r="D1316" s="236" t="s">
        <v>109</v>
      </c>
      <c r="E1316" s="133">
        <v>432050</v>
      </c>
      <c r="F1316" s="287" t="s">
        <v>109</v>
      </c>
      <c r="G1316" s="237">
        <f>IF(BD!$E1298="","",(E1316/(H1316*I1316)))</f>
        <v>432050</v>
      </c>
      <c r="H1316" s="191">
        <v>1</v>
      </c>
      <c r="I1316" s="191">
        <v>1</v>
      </c>
      <c r="J1316" s="205" t="str">
        <f t="shared" si="38"/>
        <v>H_040</v>
      </c>
      <c r="K1316" s="94"/>
    </row>
    <row r="1317" spans="1:11">
      <c r="A1317" s="232"/>
      <c r="B1317"/>
      <c r="C1317"/>
      <c r="D1317"/>
      <c r="E1317"/>
      <c r="F1317" s="176"/>
      <c r="H1317"/>
      <c r="I1317"/>
    </row>
    <row r="1318" spans="1:11">
      <c r="A1318" s="232"/>
      <c r="B1318"/>
      <c r="C1318"/>
      <c r="D1318"/>
      <c r="E1318"/>
      <c r="F1318" s="176"/>
      <c r="H1318"/>
      <c r="I1318"/>
    </row>
    <row r="1319" spans="1:11">
      <c r="A1319" s="232"/>
      <c r="B1319"/>
      <c r="C1319"/>
      <c r="D1319"/>
      <c r="E1319"/>
      <c r="F1319" s="176"/>
      <c r="H1319"/>
      <c r="I1319"/>
    </row>
    <row r="1320" spans="1:11">
      <c r="A1320" s="232"/>
      <c r="B1320"/>
      <c r="C1320"/>
      <c r="D1320"/>
      <c r="E1320"/>
      <c r="F1320" s="176"/>
      <c r="H1320"/>
      <c r="I1320"/>
    </row>
    <row r="1321" spans="1:11">
      <c r="A1321" s="232"/>
      <c r="B1321"/>
      <c r="C1321"/>
      <c r="D1321"/>
      <c r="E1321"/>
      <c r="F1321" s="176"/>
      <c r="H1321"/>
      <c r="I1321"/>
    </row>
    <row r="1322" spans="1:11">
      <c r="A1322" s="232"/>
      <c r="B1322"/>
      <c r="C1322"/>
      <c r="D1322"/>
      <c r="E1322"/>
      <c r="F1322" s="176"/>
      <c r="H1322"/>
      <c r="I1322"/>
    </row>
    <row r="1323" spans="1:11">
      <c r="A1323" s="232"/>
      <c r="B1323"/>
      <c r="C1323"/>
      <c r="D1323"/>
      <c r="E1323"/>
      <c r="F1323" s="176"/>
      <c r="H1323"/>
      <c r="I1323"/>
    </row>
    <row r="1324" spans="1:11">
      <c r="A1324" s="232"/>
      <c r="B1324"/>
      <c r="C1324"/>
      <c r="D1324"/>
      <c r="E1324"/>
      <c r="F1324" s="176"/>
      <c r="H1324"/>
      <c r="I1324"/>
    </row>
    <row r="1325" spans="1:11">
      <c r="A1325" s="232"/>
      <c r="B1325"/>
      <c r="C1325"/>
      <c r="D1325"/>
      <c r="E1325"/>
      <c r="F1325" s="176"/>
      <c r="H1325"/>
      <c r="I1325"/>
    </row>
    <row r="1326" spans="1:11">
      <c r="A1326" s="232"/>
      <c r="B1326"/>
      <c r="C1326"/>
      <c r="D1326"/>
      <c r="E1326"/>
      <c r="F1326" s="176"/>
      <c r="H1326"/>
      <c r="I1326"/>
    </row>
    <row r="1327" spans="1:11" ht="15.75">
      <c r="A1327" s="265"/>
      <c r="B1327" s="76" t="s">
        <v>120</v>
      </c>
      <c r="C1327" s="75"/>
      <c r="D1327" s="75"/>
      <c r="E1327" s="75"/>
      <c r="F1327" s="177"/>
      <c r="G1327" s="75"/>
      <c r="H1327" s="75"/>
      <c r="I1327" s="75"/>
      <c r="J1327" s="75"/>
    </row>
    <row r="1328" spans="1:11">
      <c r="A1328" s="232"/>
      <c r="B1328"/>
      <c r="C1328"/>
      <c r="D1328"/>
      <c r="E1328"/>
      <c r="F1328" s="176"/>
      <c r="H1328"/>
      <c r="I1328"/>
    </row>
    <row r="1329" spans="1:11">
      <c r="A1329" s="232"/>
      <c r="B1329"/>
      <c r="C1329"/>
      <c r="D1329"/>
      <c r="E1329"/>
      <c r="F1329" s="176"/>
      <c r="H1329"/>
      <c r="I1329"/>
    </row>
    <row r="1330" spans="1:11" ht="15.75" thickBot="1">
      <c r="A1330" s="232"/>
      <c r="B1330"/>
      <c r="C1330"/>
      <c r="D1330"/>
      <c r="E1330"/>
      <c r="F1330" s="176"/>
      <c r="H1330"/>
      <c r="I1330"/>
    </row>
    <row r="1331" spans="1:11" ht="27" thickBot="1">
      <c r="A1331" s="220"/>
      <c r="B1331" s="266">
        <f>SUBTOTAL(3,B1333:B1374)</f>
        <v>42</v>
      </c>
      <c r="C1331" s="489"/>
      <c r="D1331" s="489"/>
      <c r="E1331"/>
      <c r="F1331" s="176"/>
      <c r="H1331"/>
      <c r="I1331"/>
    </row>
    <row r="1332" spans="1:11" ht="47.25">
      <c r="A1332" s="79" t="s">
        <v>1057</v>
      </c>
      <c r="B1332" s="126" t="s">
        <v>92</v>
      </c>
      <c r="C1332" s="114" t="s">
        <v>93</v>
      </c>
      <c r="D1332" s="98" t="s">
        <v>94</v>
      </c>
      <c r="E1332" s="67" t="s">
        <v>95</v>
      </c>
      <c r="F1332" s="174" t="s">
        <v>96</v>
      </c>
      <c r="G1332" s="69" t="s">
        <v>97</v>
      </c>
      <c r="H1332" s="70" t="s">
        <v>98</v>
      </c>
      <c r="I1332" s="70" t="s">
        <v>99</v>
      </c>
      <c r="J1332" s="78" t="s">
        <v>100</v>
      </c>
      <c r="K1332" s="254" t="s">
        <v>101</v>
      </c>
    </row>
    <row r="1333" spans="1:11">
      <c r="A1333" s="79">
        <f t="shared" ref="A1333:A1364" si="39">A1332+1</f>
        <v>220</v>
      </c>
      <c r="B1333" s="40" t="s">
        <v>1058</v>
      </c>
      <c r="C1333" s="37" t="s">
        <v>1059</v>
      </c>
      <c r="D1333" s="48" t="s">
        <v>109</v>
      </c>
      <c r="E1333" s="43">
        <v>343.33</v>
      </c>
      <c r="F1333" s="48" t="s">
        <v>109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1060</v>
      </c>
      <c r="C1334" s="37" t="s">
        <v>1059</v>
      </c>
      <c r="D1334" s="48" t="s">
        <v>109</v>
      </c>
      <c r="E1334" s="43">
        <v>343.33</v>
      </c>
      <c r="F1334" s="48" t="s">
        <v>109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1061</v>
      </c>
      <c r="C1335" s="37" t="s">
        <v>1059</v>
      </c>
      <c r="D1335" s="48" t="s">
        <v>109</v>
      </c>
      <c r="E1335" s="43">
        <v>343.33</v>
      </c>
      <c r="F1335" s="48" t="s">
        <v>109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1" t="s">
        <v>1062</v>
      </c>
      <c r="C1336" s="37" t="s">
        <v>1059</v>
      </c>
      <c r="D1336" s="48" t="s">
        <v>109</v>
      </c>
      <c r="E1336" s="43">
        <v>343.33</v>
      </c>
      <c r="F1336" s="48" t="s">
        <v>109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1" t="s">
        <v>1063</v>
      </c>
      <c r="C1337" s="37" t="s">
        <v>1059</v>
      </c>
      <c r="D1337" s="48" t="s">
        <v>109</v>
      </c>
      <c r="E1337" s="43">
        <v>343.33</v>
      </c>
      <c r="F1337" s="48" t="s">
        <v>109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1" t="s">
        <v>1064</v>
      </c>
      <c r="C1338" s="37" t="s">
        <v>1059</v>
      </c>
      <c r="D1338" s="48" t="s">
        <v>109</v>
      </c>
      <c r="E1338" s="43">
        <v>343.33</v>
      </c>
      <c r="F1338" s="48" t="s">
        <v>109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6" t="s">
        <v>1065</v>
      </c>
      <c r="C1339" s="37" t="s">
        <v>1059</v>
      </c>
      <c r="D1339" s="48" t="s">
        <v>109</v>
      </c>
      <c r="E1339" s="43">
        <v>343.33</v>
      </c>
      <c r="F1339" s="48" t="s">
        <v>109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1066</v>
      </c>
      <c r="C1340" s="37" t="s">
        <v>1059</v>
      </c>
      <c r="D1340" s="48" t="s">
        <v>109</v>
      </c>
      <c r="E1340" s="43">
        <v>343.33</v>
      </c>
      <c r="F1340" s="48" t="s">
        <v>109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1" t="s">
        <v>1067</v>
      </c>
      <c r="C1341" s="37" t="s">
        <v>1059</v>
      </c>
      <c r="D1341" s="48" t="s">
        <v>109</v>
      </c>
      <c r="E1341" s="43">
        <v>343.33</v>
      </c>
      <c r="F1341" s="48" t="s">
        <v>109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1" t="s">
        <v>1068</v>
      </c>
      <c r="C1342" s="37" t="s">
        <v>1059</v>
      </c>
      <c r="D1342" s="48" t="s">
        <v>109</v>
      </c>
      <c r="E1342" s="43">
        <v>343.33</v>
      </c>
      <c r="F1342" s="48" t="s">
        <v>109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1" t="s">
        <v>1069</v>
      </c>
      <c r="C1343" s="37" t="s">
        <v>1059</v>
      </c>
      <c r="D1343" s="48" t="s">
        <v>109</v>
      </c>
      <c r="E1343" s="43">
        <v>343.33</v>
      </c>
      <c r="F1343" s="48" t="s">
        <v>109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1" t="s">
        <v>1070</v>
      </c>
      <c r="C1344" s="37" t="s">
        <v>1059</v>
      </c>
      <c r="D1344" s="48" t="s">
        <v>109</v>
      </c>
      <c r="E1344" s="43">
        <v>343.33</v>
      </c>
      <c r="F1344" s="48" t="s">
        <v>109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1" t="s">
        <v>1071</v>
      </c>
      <c r="C1345" s="37" t="s">
        <v>1059</v>
      </c>
      <c r="D1345" s="48" t="s">
        <v>109</v>
      </c>
      <c r="E1345" s="43">
        <v>343.33</v>
      </c>
      <c r="F1345" s="48" t="s">
        <v>109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1" t="s">
        <v>1072</v>
      </c>
      <c r="C1346" s="37" t="s">
        <v>1059</v>
      </c>
      <c r="D1346" s="48" t="s">
        <v>109</v>
      </c>
      <c r="E1346" s="43">
        <v>343.33</v>
      </c>
      <c r="F1346" s="48" t="s">
        <v>109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1" t="s">
        <v>1073</v>
      </c>
      <c r="C1347" s="37" t="s">
        <v>1059</v>
      </c>
      <c r="D1347" s="48" t="s">
        <v>109</v>
      </c>
      <c r="E1347" s="43">
        <v>343.33</v>
      </c>
      <c r="F1347" s="48" t="s">
        <v>109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1" t="s">
        <v>1074</v>
      </c>
      <c r="C1348" s="37" t="s">
        <v>1059</v>
      </c>
      <c r="D1348" s="48" t="s">
        <v>109</v>
      </c>
      <c r="E1348" s="43">
        <v>343.33</v>
      </c>
      <c r="F1348" s="48" t="s">
        <v>109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1" t="s">
        <v>1075</v>
      </c>
      <c r="C1349" s="37" t="s">
        <v>1059</v>
      </c>
      <c r="D1349" s="48" t="s">
        <v>109</v>
      </c>
      <c r="E1349" s="43">
        <v>343.33</v>
      </c>
      <c r="F1349" s="48" t="s">
        <v>109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1076</v>
      </c>
      <c r="C1350" s="37" t="s">
        <v>1059</v>
      </c>
      <c r="D1350" s="48" t="s">
        <v>109</v>
      </c>
      <c r="E1350" s="43">
        <v>343.33</v>
      </c>
      <c r="F1350" s="48" t="s">
        <v>109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1" t="s">
        <v>1077</v>
      </c>
      <c r="C1351" s="37" t="s">
        <v>1059</v>
      </c>
      <c r="D1351" s="48" t="s">
        <v>109</v>
      </c>
      <c r="E1351" s="43">
        <v>343.33</v>
      </c>
      <c r="F1351" s="48" t="s">
        <v>109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1" t="s">
        <v>1078</v>
      </c>
      <c r="C1352" s="37" t="s">
        <v>1059</v>
      </c>
      <c r="D1352" s="48" t="s">
        <v>109</v>
      </c>
      <c r="E1352" s="43">
        <v>343.33</v>
      </c>
      <c r="F1352" s="48" t="s">
        <v>109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1" t="s">
        <v>1079</v>
      </c>
      <c r="C1353" s="37" t="s">
        <v>1059</v>
      </c>
      <c r="D1353" s="48" t="s">
        <v>109</v>
      </c>
      <c r="E1353" s="43">
        <v>308.33</v>
      </c>
      <c r="F1353" s="48" t="s">
        <v>109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1" t="s">
        <v>1080</v>
      </c>
      <c r="C1354" s="37" t="s">
        <v>1059</v>
      </c>
      <c r="D1354" s="48" t="s">
        <v>1081</v>
      </c>
      <c r="E1354" s="43">
        <v>42631</v>
      </c>
      <c r="F1354" s="175" t="s">
        <v>1081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1" t="s">
        <v>1082</v>
      </c>
      <c r="C1355" s="37" t="s">
        <v>1059</v>
      </c>
      <c r="D1355" s="48" t="s">
        <v>1083</v>
      </c>
      <c r="E1355" s="43">
        <v>6081.3</v>
      </c>
      <c r="F1355" s="175" t="s">
        <v>1083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1" t="s">
        <v>1084</v>
      </c>
      <c r="C1356" s="37" t="s">
        <v>1059</v>
      </c>
      <c r="D1356" s="48" t="s">
        <v>1085</v>
      </c>
      <c r="E1356" s="43">
        <v>19776</v>
      </c>
      <c r="F1356" s="175" t="s">
        <v>1085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6" t="s">
        <v>1086</v>
      </c>
      <c r="C1357" s="37" t="s">
        <v>1059</v>
      </c>
      <c r="D1357" s="48" t="s">
        <v>1083</v>
      </c>
      <c r="E1357" s="43">
        <v>16133.3</v>
      </c>
      <c r="F1357" s="175" t="s">
        <v>1083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6" t="s">
        <v>1087</v>
      </c>
      <c r="C1358" s="37" t="s">
        <v>1059</v>
      </c>
      <c r="D1358" s="48" t="s">
        <v>1088</v>
      </c>
      <c r="E1358" s="43">
        <v>17300</v>
      </c>
      <c r="F1358" s="175" t="s">
        <v>1088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89" t="s">
        <v>1089</v>
      </c>
      <c r="C1359" s="37" t="s">
        <v>1059</v>
      </c>
      <c r="D1359" s="48" t="s">
        <v>109</v>
      </c>
      <c r="E1359" s="43"/>
      <c r="F1359" s="175" t="s">
        <v>109</v>
      </c>
      <c r="G1359" s="92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1" t="s">
        <v>1090</v>
      </c>
      <c r="C1360" s="37" t="s">
        <v>1059</v>
      </c>
      <c r="D1360" s="48" t="s">
        <v>1091</v>
      </c>
      <c r="E1360" s="43">
        <v>1583.1533333333334</v>
      </c>
      <c r="F1360" s="175" t="s">
        <v>1091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1" t="s">
        <v>1092</v>
      </c>
      <c r="C1361" s="37" t="s">
        <v>1059</v>
      </c>
      <c r="D1361" s="48" t="s">
        <v>253</v>
      </c>
      <c r="E1361" s="43">
        <v>4180</v>
      </c>
      <c r="F1361" s="175" t="s">
        <v>253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6" t="s">
        <v>1093</v>
      </c>
      <c r="C1362" s="37" t="s">
        <v>1059</v>
      </c>
      <c r="D1362" s="48" t="s">
        <v>109</v>
      </c>
      <c r="E1362" s="43">
        <v>9522.5084745762706</v>
      </c>
      <c r="F1362" s="175" t="s">
        <v>109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89" t="s">
        <v>1094</v>
      </c>
      <c r="C1363" s="37" t="s">
        <v>1059</v>
      </c>
      <c r="D1363" s="48" t="s">
        <v>216</v>
      </c>
      <c r="E1363" s="43"/>
      <c r="F1363" s="175" t="s">
        <v>109</v>
      </c>
      <c r="G1363" s="92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89" t="s">
        <v>1095</v>
      </c>
      <c r="C1364" s="37" t="s">
        <v>1059</v>
      </c>
      <c r="D1364" s="48" t="s">
        <v>216</v>
      </c>
      <c r="E1364" s="43"/>
      <c r="F1364" s="175" t="s">
        <v>109</v>
      </c>
      <c r="G1364" s="92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0" t="s">
        <v>1096</v>
      </c>
      <c r="C1365" s="37" t="s">
        <v>1059</v>
      </c>
      <c r="D1365" s="93" t="s">
        <v>239</v>
      </c>
      <c r="E1365" s="43">
        <v>0</v>
      </c>
      <c r="F1365" s="175" t="s">
        <v>239</v>
      </c>
      <c r="G1365" s="9" t="e">
        <f>IF(BD!#REF!="","",(E1365/(H1365*I1365)))</f>
        <v>#REF!</v>
      </c>
      <c r="H1365" s="92">
        <v>1</v>
      </c>
      <c r="I1365" s="92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6" t="s">
        <v>1097</v>
      </c>
      <c r="C1366" s="37" t="s">
        <v>1059</v>
      </c>
      <c r="D1366" s="48" t="s">
        <v>109</v>
      </c>
      <c r="E1366" s="43">
        <v>4000</v>
      </c>
      <c r="F1366" s="175" t="s">
        <v>109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2" t="s">
        <v>1098</v>
      </c>
      <c r="C1367" s="37" t="s">
        <v>1059</v>
      </c>
      <c r="D1367" s="48" t="s">
        <v>109</v>
      </c>
      <c r="E1367" s="43">
        <v>51000</v>
      </c>
      <c r="F1367" s="175" t="s">
        <v>109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2" t="s">
        <v>1099</v>
      </c>
      <c r="C1368" s="37" t="s">
        <v>1059</v>
      </c>
      <c r="D1368" s="48" t="s">
        <v>109</v>
      </c>
      <c r="E1368" s="43">
        <v>1600</v>
      </c>
      <c r="F1368" s="175" t="s">
        <v>109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6" t="s">
        <v>1100</v>
      </c>
      <c r="C1369" s="37" t="s">
        <v>1059</v>
      </c>
      <c r="D1369" s="48" t="s">
        <v>109</v>
      </c>
      <c r="E1369" s="43">
        <v>1233.6600000000001</v>
      </c>
      <c r="F1369" s="175" t="s">
        <v>109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6" t="s">
        <v>1101</v>
      </c>
      <c r="C1370" s="37" t="s">
        <v>1059</v>
      </c>
      <c r="D1370" s="48" t="s">
        <v>109</v>
      </c>
      <c r="E1370" s="43">
        <v>500</v>
      </c>
      <c r="F1370" s="175" t="s">
        <v>109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2" t="s">
        <v>1102</v>
      </c>
      <c r="C1371" s="37" t="s">
        <v>1059</v>
      </c>
      <c r="D1371" s="48" t="s">
        <v>109</v>
      </c>
      <c r="E1371" s="43">
        <v>5900</v>
      </c>
      <c r="F1371" s="175" t="s">
        <v>109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6" t="s">
        <v>1103</v>
      </c>
      <c r="C1372" s="37" t="s">
        <v>1059</v>
      </c>
      <c r="D1372" s="48" t="s">
        <v>109</v>
      </c>
      <c r="E1372" s="43">
        <v>5900</v>
      </c>
      <c r="F1372" s="175" t="s">
        <v>109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59" t="s">
        <v>1104</v>
      </c>
      <c r="C1373" s="37" t="s">
        <v>1059</v>
      </c>
      <c r="D1373" s="48" t="s">
        <v>109</v>
      </c>
      <c r="E1373" s="43">
        <v>288766.66666666669</v>
      </c>
      <c r="F1373" s="175" t="s">
        <v>109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2" t="s">
        <v>1105</v>
      </c>
      <c r="C1374" s="37" t="s">
        <v>1059</v>
      </c>
      <c r="D1374" s="82" t="s">
        <v>1106</v>
      </c>
      <c r="E1374" s="155">
        <v>23233.4</v>
      </c>
      <c r="F1374" s="179" t="s">
        <v>1106</v>
      </c>
      <c r="G1374" s="263">
        <f>IF(BD!$E1368="","",(E1374/(H1374*I1374)))</f>
        <v>23233.4</v>
      </c>
      <c r="H1374" s="161">
        <v>1</v>
      </c>
      <c r="I1374" s="161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1" t="s">
        <v>1107</v>
      </c>
      <c r="C1375" s="206" t="s">
        <v>1059</v>
      </c>
      <c r="D1375" s="82" t="s">
        <v>109</v>
      </c>
      <c r="E1375" s="155">
        <v>219.5</v>
      </c>
      <c r="F1375" s="179" t="s">
        <v>109</v>
      </c>
      <c r="G1375" s="263">
        <f>IF(BD!$E1369="","",(E1375/(H1375*I1375)))</f>
        <v>219.5</v>
      </c>
      <c r="H1375" s="161">
        <v>1</v>
      </c>
      <c r="I1375" s="161">
        <v>1</v>
      </c>
      <c r="J1375" s="205" t="str">
        <f t="shared" si="42"/>
        <v>ICO262</v>
      </c>
    </row>
    <row r="1376" spans="1:10" ht="30">
      <c r="A1376" s="79">
        <f t="shared" si="41"/>
        <v>263</v>
      </c>
      <c r="B1376" s="291" t="s">
        <v>1108</v>
      </c>
      <c r="C1376" s="206" t="s">
        <v>1059</v>
      </c>
      <c r="D1376" s="82" t="s">
        <v>109</v>
      </c>
      <c r="E1376" s="155">
        <v>907</v>
      </c>
      <c r="F1376" s="179" t="s">
        <v>109</v>
      </c>
      <c r="G1376" s="263">
        <f>IF(BD!$E1370="","",(E1376/(H1376*I1376)))</f>
        <v>907</v>
      </c>
      <c r="H1376" s="161">
        <v>1</v>
      </c>
      <c r="I1376" s="161">
        <v>1</v>
      </c>
      <c r="J1376" s="205" t="str">
        <f t="shared" si="42"/>
        <v>ICO263</v>
      </c>
    </row>
    <row r="1377" spans="1:10">
      <c r="A1377" s="79">
        <f t="shared" si="41"/>
        <v>264</v>
      </c>
      <c r="B1377" s="258" t="s">
        <v>1109</v>
      </c>
      <c r="C1377" s="206" t="s">
        <v>1059</v>
      </c>
      <c r="D1377" s="48" t="s">
        <v>109</v>
      </c>
      <c r="E1377" s="155">
        <v>5333.34</v>
      </c>
      <c r="F1377" s="179" t="s">
        <v>109</v>
      </c>
      <c r="G1377" s="263">
        <f>IF(BD!$E1371="","",(E1377/(H1377*I1377)))</f>
        <v>5333.34</v>
      </c>
      <c r="H1377" s="161">
        <v>1</v>
      </c>
      <c r="I1377" s="161">
        <v>1</v>
      </c>
      <c r="J1377" s="205" t="str">
        <f t="shared" si="42"/>
        <v>ICO264</v>
      </c>
    </row>
    <row r="1378" spans="1:10" ht="30">
      <c r="A1378" s="79">
        <f t="shared" si="41"/>
        <v>265</v>
      </c>
      <c r="B1378" s="259" t="s">
        <v>1110</v>
      </c>
      <c r="C1378" s="206" t="s">
        <v>1059</v>
      </c>
      <c r="D1378" s="48" t="s">
        <v>242</v>
      </c>
      <c r="E1378" s="155">
        <v>867804</v>
      </c>
      <c r="F1378" s="179" t="s">
        <v>242</v>
      </c>
      <c r="G1378" s="263">
        <f>IF(BD!$E1372="","",(E1378/(H1378*I1378)))</f>
        <v>867804</v>
      </c>
      <c r="H1378" s="161">
        <v>1</v>
      </c>
      <c r="I1378" s="161">
        <v>1</v>
      </c>
      <c r="J1378" s="205" t="str">
        <f t="shared" si="42"/>
        <v>ICO265</v>
      </c>
    </row>
    <row r="1379" spans="1:10" ht="30">
      <c r="A1379" s="79">
        <f t="shared" si="41"/>
        <v>266</v>
      </c>
      <c r="B1379" s="218" t="s">
        <v>1111</v>
      </c>
      <c r="C1379" s="206" t="s">
        <v>1059</v>
      </c>
      <c r="D1379" s="48" t="s">
        <v>242</v>
      </c>
      <c r="E1379" s="155">
        <v>1097662</v>
      </c>
      <c r="F1379" s="179" t="s">
        <v>242</v>
      </c>
      <c r="G1379" s="263">
        <f>IF(BD!$E1373="","",(E1379/(H1379*I1379)))</f>
        <v>1097662</v>
      </c>
      <c r="H1379" s="161">
        <v>1</v>
      </c>
      <c r="I1379" s="161">
        <v>1</v>
      </c>
      <c r="J1379" s="205" t="str">
        <f t="shared" si="42"/>
        <v>ICO266</v>
      </c>
    </row>
    <row r="1380" spans="1:10">
      <c r="A1380" s="79">
        <f t="shared" si="41"/>
        <v>267</v>
      </c>
      <c r="B1380" s="258" t="s">
        <v>1112</v>
      </c>
      <c r="C1380" s="206" t="s">
        <v>1059</v>
      </c>
      <c r="D1380" s="48" t="s">
        <v>109</v>
      </c>
      <c r="E1380" s="155">
        <v>74866.666666666672</v>
      </c>
      <c r="F1380" s="179" t="s">
        <v>1081</v>
      </c>
      <c r="G1380" s="263">
        <f>IF(BD!$E1374="","",(E1380/(H1380*I1380)))</f>
        <v>74866.666666666672</v>
      </c>
      <c r="H1380" s="161">
        <v>1</v>
      </c>
      <c r="I1380" s="161">
        <v>1</v>
      </c>
      <c r="J1380" s="205" t="str">
        <f t="shared" si="42"/>
        <v>ICO267</v>
      </c>
    </row>
    <row r="1381" spans="1:10">
      <c r="A1381" s="79">
        <f t="shared" si="41"/>
        <v>268</v>
      </c>
      <c r="B1381" s="258" t="s">
        <v>1113</v>
      </c>
      <c r="C1381" s="206" t="s">
        <v>1059</v>
      </c>
      <c r="D1381" s="48" t="s">
        <v>461</v>
      </c>
      <c r="E1381" s="155">
        <v>74866.666666666672</v>
      </c>
      <c r="F1381" s="179" t="s">
        <v>1114</v>
      </c>
      <c r="G1381" s="263">
        <f>IF(BD!$E1375="","",(E1381/(H1381*I1381)))</f>
        <v>74866.666666666672</v>
      </c>
      <c r="H1381" s="161">
        <v>1</v>
      </c>
      <c r="I1381" s="161">
        <v>1</v>
      </c>
      <c r="J1381" s="205" t="str">
        <f t="shared" si="42"/>
        <v>ICO268</v>
      </c>
    </row>
    <row r="1382" spans="1:10">
      <c r="A1382" s="79">
        <f t="shared" si="41"/>
        <v>269</v>
      </c>
      <c r="B1382" s="218" t="s">
        <v>1115</v>
      </c>
      <c r="C1382" s="206" t="s">
        <v>1059</v>
      </c>
      <c r="D1382" s="48" t="s">
        <v>109</v>
      </c>
      <c r="E1382" s="155">
        <v>19073</v>
      </c>
      <c r="F1382" s="179" t="s">
        <v>109</v>
      </c>
      <c r="G1382" s="263">
        <f>IF(BD!$E1376="","",(E1382/(H1382*I1382)))</f>
        <v>19073</v>
      </c>
      <c r="H1382" s="161">
        <v>1</v>
      </c>
      <c r="I1382" s="161">
        <v>1</v>
      </c>
      <c r="J1382" s="205" t="str">
        <f t="shared" si="42"/>
        <v>ICO269</v>
      </c>
    </row>
    <row r="1383" spans="1:10" ht="30">
      <c r="A1383" s="79">
        <f t="shared" si="41"/>
        <v>270</v>
      </c>
      <c r="B1383" s="258" t="s">
        <v>1116</v>
      </c>
      <c r="C1383" s="206" t="s">
        <v>1059</v>
      </c>
      <c r="D1383" s="48" t="s">
        <v>109</v>
      </c>
      <c r="E1383" s="155">
        <v>866.66499999999996</v>
      </c>
      <c r="F1383" s="179" t="s">
        <v>109</v>
      </c>
      <c r="G1383" s="263">
        <f>IF(BD!$E1377="","",(E1383/(H1383*I1383)))</f>
        <v>866.66499999999996</v>
      </c>
      <c r="H1383" s="264">
        <v>1</v>
      </c>
      <c r="I1383" s="264">
        <v>1</v>
      </c>
      <c r="J1383" s="205" t="str">
        <f t="shared" si="42"/>
        <v>ICO270</v>
      </c>
    </row>
    <row r="1384" spans="1:10">
      <c r="A1384" s="79">
        <f t="shared" si="41"/>
        <v>271</v>
      </c>
      <c r="B1384" s="270" t="s">
        <v>1117</v>
      </c>
      <c r="C1384" s="206" t="s">
        <v>1059</v>
      </c>
      <c r="D1384" s="48" t="s">
        <v>216</v>
      </c>
      <c r="E1384" s="155"/>
      <c r="F1384" s="179" t="s">
        <v>109</v>
      </c>
      <c r="G1384" s="115"/>
      <c r="H1384" s="161">
        <v>1</v>
      </c>
      <c r="I1384" s="161">
        <v>1</v>
      </c>
      <c r="J1384" s="205" t="str">
        <f t="shared" si="42"/>
        <v>ICO271</v>
      </c>
    </row>
    <row r="1385" spans="1:10">
      <c r="A1385" s="79">
        <f t="shared" si="41"/>
        <v>272</v>
      </c>
      <c r="B1385" s="270" t="s">
        <v>1118</v>
      </c>
      <c r="C1385" s="206" t="s">
        <v>1059</v>
      </c>
      <c r="D1385" s="48" t="s">
        <v>216</v>
      </c>
      <c r="E1385" s="155"/>
      <c r="F1385" s="179" t="s">
        <v>109</v>
      </c>
      <c r="G1385" s="115"/>
      <c r="H1385" s="161">
        <v>1</v>
      </c>
      <c r="I1385" s="161">
        <v>1</v>
      </c>
      <c r="J1385" s="205" t="str">
        <f t="shared" si="42"/>
        <v>ICO272</v>
      </c>
    </row>
    <row r="1386" spans="1:10">
      <c r="A1386" s="79">
        <f t="shared" si="41"/>
        <v>273</v>
      </c>
      <c r="B1386" s="258" t="s">
        <v>1119</v>
      </c>
      <c r="C1386" s="206" t="s">
        <v>1059</v>
      </c>
      <c r="D1386" s="48" t="s">
        <v>1091</v>
      </c>
      <c r="E1386" s="155">
        <v>513.33285714285716</v>
      </c>
      <c r="F1386" s="179" t="s">
        <v>1091</v>
      </c>
      <c r="G1386" s="263">
        <f>IF(BD!$E1378="","",(E1386/(H1386*I1386)))</f>
        <v>513.33285714285716</v>
      </c>
      <c r="H1386" s="161">
        <v>1</v>
      </c>
      <c r="I1386" s="161">
        <v>1</v>
      </c>
      <c r="J1386" s="205" t="str">
        <f t="shared" si="42"/>
        <v>ICO273</v>
      </c>
    </row>
    <row r="1387" spans="1:10">
      <c r="A1387" s="79">
        <f t="shared" si="41"/>
        <v>274</v>
      </c>
      <c r="B1387" s="218" t="s">
        <v>1120</v>
      </c>
      <c r="C1387" s="206" t="s">
        <v>1059</v>
      </c>
      <c r="D1387" s="48" t="s">
        <v>109</v>
      </c>
      <c r="E1387" s="155">
        <v>19000</v>
      </c>
      <c r="F1387" s="179" t="s">
        <v>109</v>
      </c>
      <c r="G1387" s="263">
        <f>IF(BD!$E1379="","",(E1387/(H1387*I1387)))</f>
        <v>19000</v>
      </c>
      <c r="H1387" s="161">
        <v>1</v>
      </c>
      <c r="I1387" s="161">
        <v>1</v>
      </c>
      <c r="J1387" s="205" t="str">
        <f t="shared" si="42"/>
        <v>ICO274</v>
      </c>
    </row>
    <row r="1388" spans="1:10">
      <c r="A1388" s="79">
        <f t="shared" si="41"/>
        <v>275</v>
      </c>
      <c r="B1388" s="258" t="s">
        <v>1121</v>
      </c>
      <c r="C1388" s="206" t="s">
        <v>1059</v>
      </c>
      <c r="D1388" s="48" t="s">
        <v>109</v>
      </c>
      <c r="E1388" s="155">
        <v>3800</v>
      </c>
      <c r="F1388" s="179" t="s">
        <v>109</v>
      </c>
      <c r="G1388" s="263">
        <f>IF(BD!$E1380="","",(E1388/(H1388*I1388)))</f>
        <v>3800</v>
      </c>
      <c r="H1388" s="264">
        <v>1</v>
      </c>
      <c r="I1388" s="264">
        <v>1</v>
      </c>
      <c r="J1388" s="84" t="str">
        <f t="shared" si="42"/>
        <v>ICO275</v>
      </c>
    </row>
    <row r="1389" spans="1:10" ht="30">
      <c r="A1389" s="256">
        <f t="shared" si="41"/>
        <v>276</v>
      </c>
      <c r="B1389" s="258" t="s">
        <v>1122</v>
      </c>
      <c r="C1389" s="206" t="s">
        <v>1059</v>
      </c>
      <c r="D1389" s="48" t="s">
        <v>174</v>
      </c>
      <c r="E1389" s="155">
        <v>3200</v>
      </c>
      <c r="F1389" s="179" t="s">
        <v>174</v>
      </c>
      <c r="G1389" s="261">
        <f>IF(BD!$E1381="","",(E1389/(H1389*I1389)))</f>
        <v>3200</v>
      </c>
      <c r="H1389" s="264">
        <v>1</v>
      </c>
      <c r="I1389" s="264">
        <v>1</v>
      </c>
      <c r="J1389" s="84" t="str">
        <f t="shared" si="42"/>
        <v>ICO276</v>
      </c>
    </row>
    <row r="1390" spans="1:10">
      <c r="A1390" s="256">
        <f t="shared" si="41"/>
        <v>277</v>
      </c>
      <c r="B1390" s="270" t="s">
        <v>1123</v>
      </c>
      <c r="C1390" s="206" t="s">
        <v>1059</v>
      </c>
      <c r="D1390" s="48" t="s">
        <v>216</v>
      </c>
      <c r="E1390" s="155"/>
      <c r="F1390" s="179" t="s">
        <v>109</v>
      </c>
      <c r="H1390" s="161">
        <v>1</v>
      </c>
      <c r="I1390" s="161">
        <v>1</v>
      </c>
      <c r="J1390" s="84" t="str">
        <f t="shared" si="42"/>
        <v>ICO277</v>
      </c>
    </row>
    <row r="1391" spans="1:10">
      <c r="A1391" s="256">
        <f t="shared" si="41"/>
        <v>278</v>
      </c>
      <c r="B1391" s="259" t="s">
        <v>1124</v>
      </c>
      <c r="C1391" s="206" t="s">
        <v>1059</v>
      </c>
      <c r="D1391" s="48" t="s">
        <v>216</v>
      </c>
      <c r="E1391" s="155">
        <v>7200</v>
      </c>
      <c r="F1391" s="179" t="s">
        <v>1081</v>
      </c>
      <c r="G1391" s="261">
        <f>IF(BD!$E1382="","",(E1391/(H1391*I1391)))</f>
        <v>7200</v>
      </c>
      <c r="H1391" s="161">
        <v>1</v>
      </c>
      <c r="I1391" s="161">
        <v>1</v>
      </c>
      <c r="J1391" s="84" t="str">
        <f t="shared" si="42"/>
        <v>ICO278</v>
      </c>
    </row>
    <row r="1392" spans="1:10">
      <c r="A1392" s="256">
        <f t="shared" si="41"/>
        <v>279</v>
      </c>
      <c r="B1392" s="270" t="s">
        <v>1125</v>
      </c>
      <c r="C1392" s="206" t="s">
        <v>1059</v>
      </c>
      <c r="D1392" s="48" t="s">
        <v>216</v>
      </c>
      <c r="E1392" s="155"/>
      <c r="F1392" s="179" t="s">
        <v>109</v>
      </c>
      <c r="H1392" s="161">
        <v>1</v>
      </c>
      <c r="I1392" s="161">
        <v>1</v>
      </c>
      <c r="J1392" s="84" t="str">
        <f t="shared" si="42"/>
        <v>ICO279</v>
      </c>
    </row>
    <row r="1393" spans="1:10">
      <c r="A1393" s="256">
        <f t="shared" si="41"/>
        <v>280</v>
      </c>
      <c r="B1393" s="145" t="s">
        <v>1126</v>
      </c>
      <c r="C1393" s="206" t="s">
        <v>1059</v>
      </c>
      <c r="D1393" s="48" t="s">
        <v>109</v>
      </c>
      <c r="E1393" s="155">
        <v>6013.33</v>
      </c>
      <c r="F1393" s="179" t="s">
        <v>109</v>
      </c>
      <c r="G1393" s="261">
        <f>IF(BD!$E1383="","",(E1393/(H1393*I1393)))</f>
        <v>6013.33</v>
      </c>
      <c r="H1393" s="161">
        <v>1</v>
      </c>
      <c r="I1393" s="161">
        <v>1</v>
      </c>
      <c r="J1393" s="84" t="str">
        <f t="shared" si="42"/>
        <v>ICO280</v>
      </c>
    </row>
    <row r="1394" spans="1:10">
      <c r="A1394" s="256">
        <f t="shared" si="41"/>
        <v>281</v>
      </c>
      <c r="B1394" s="218" t="s">
        <v>1127</v>
      </c>
      <c r="C1394" s="206" t="s">
        <v>1059</v>
      </c>
      <c r="D1394" s="48" t="s">
        <v>109</v>
      </c>
      <c r="E1394" s="155">
        <v>1101.5</v>
      </c>
      <c r="F1394" s="179" t="s">
        <v>109</v>
      </c>
      <c r="G1394" s="261" t="str">
        <f>IF(BD!$E1384="","",(E1394/(H1394*I1394)))</f>
        <v/>
      </c>
      <c r="H1394" s="161">
        <v>1</v>
      </c>
      <c r="I1394" s="161">
        <v>1</v>
      </c>
      <c r="J1394" s="84" t="str">
        <f t="shared" si="42"/>
        <v>ICO281</v>
      </c>
    </row>
    <row r="1395" spans="1:10">
      <c r="A1395" s="256">
        <f t="shared" si="41"/>
        <v>282</v>
      </c>
      <c r="B1395" s="218" t="s">
        <v>1128</v>
      </c>
      <c r="C1395" s="206" t="s">
        <v>1059</v>
      </c>
      <c r="D1395" s="48" t="s">
        <v>109</v>
      </c>
      <c r="E1395" s="155">
        <v>11100</v>
      </c>
      <c r="F1395" s="179" t="s">
        <v>109</v>
      </c>
      <c r="G1395" s="261" t="str">
        <f>IF(BD!$E1385="","",(E1395/(H1395*I1395)))</f>
        <v/>
      </c>
      <c r="H1395" s="161">
        <v>1</v>
      </c>
      <c r="I1395" s="161">
        <v>1</v>
      </c>
      <c r="J1395" s="84" t="str">
        <f t="shared" si="42"/>
        <v>ICO282</v>
      </c>
    </row>
    <row r="1396" spans="1:10">
      <c r="A1396" s="257">
        <f t="shared" si="41"/>
        <v>283</v>
      </c>
      <c r="B1396" s="270" t="s">
        <v>1129</v>
      </c>
      <c r="C1396" s="206" t="s">
        <v>1059</v>
      </c>
      <c r="D1396" s="48" t="s">
        <v>216</v>
      </c>
      <c r="E1396" s="207"/>
      <c r="F1396" s="179" t="s">
        <v>109</v>
      </c>
      <c r="H1396" s="161">
        <v>1</v>
      </c>
      <c r="I1396" s="161">
        <v>1</v>
      </c>
      <c r="J1396" s="84" t="str">
        <f t="shared" si="42"/>
        <v>ICO283</v>
      </c>
    </row>
    <row r="1397" spans="1:10">
      <c r="B1397" s="106"/>
      <c r="C1397"/>
      <c r="D1397"/>
      <c r="E1397"/>
      <c r="F1397" s="176"/>
      <c r="H1397"/>
      <c r="I1397"/>
    </row>
    <row r="1398" spans="1:10">
      <c r="B1398" s="106"/>
      <c r="C1398"/>
      <c r="D1398"/>
      <c r="E1398"/>
      <c r="F1398" s="176"/>
      <c r="H1398"/>
      <c r="I1398"/>
    </row>
    <row r="1399" spans="1:10">
      <c r="B1399" s="106"/>
      <c r="C1399"/>
      <c r="D1399"/>
      <c r="E1399"/>
      <c r="F1399" s="176"/>
      <c r="H1399"/>
      <c r="I1399"/>
    </row>
    <row r="1400" spans="1:10">
      <c r="B1400" s="106"/>
      <c r="C1400"/>
      <c r="D1400"/>
      <c r="E1400"/>
      <c r="F1400" s="176"/>
      <c r="H1400"/>
      <c r="I1400"/>
    </row>
    <row r="1401" spans="1:10">
      <c r="B1401" s="106"/>
      <c r="C1401"/>
      <c r="D1401"/>
      <c r="E1401"/>
      <c r="F1401" s="176"/>
      <c r="H1401"/>
      <c r="I1401"/>
    </row>
    <row r="1402" spans="1:10">
      <c r="B1402"/>
      <c r="C1402"/>
      <c r="D1402"/>
      <c r="E1402"/>
      <c r="F1402" s="176"/>
      <c r="H1402"/>
      <c r="I1402"/>
    </row>
    <row r="1403" spans="1:10">
      <c r="B1403"/>
      <c r="C1403"/>
      <c r="D1403"/>
      <c r="E1403"/>
      <c r="F1403" s="176"/>
      <c r="H1403"/>
      <c r="I1403"/>
    </row>
    <row r="1404" spans="1:10">
      <c r="B1404"/>
      <c r="C1404"/>
      <c r="D1404"/>
      <c r="E1404"/>
      <c r="F1404" s="176"/>
      <c r="H1404"/>
      <c r="I1404"/>
    </row>
    <row r="1405" spans="1:10">
      <c r="B1405"/>
      <c r="C1405"/>
      <c r="D1405"/>
      <c r="E1405"/>
      <c r="F1405" s="176"/>
      <c r="H1405"/>
      <c r="I1405"/>
    </row>
    <row r="1406" spans="1:10">
      <c r="B1406"/>
      <c r="C1406"/>
      <c r="D1406"/>
      <c r="E1406"/>
      <c r="F1406" s="176"/>
      <c r="H1406"/>
      <c r="I1406"/>
    </row>
    <row r="1407" spans="1:10">
      <c r="B1407"/>
      <c r="C1407"/>
      <c r="D1407"/>
      <c r="E1407"/>
      <c r="F1407" s="176"/>
      <c r="H1407"/>
      <c r="I1407"/>
    </row>
    <row r="1408" spans="1:10">
      <c r="B1408"/>
      <c r="C1408"/>
      <c r="D1408"/>
      <c r="E1408"/>
      <c r="F1408" s="176"/>
      <c r="H1408"/>
      <c r="I1408"/>
    </row>
    <row r="1409" spans="1:11">
      <c r="B1409"/>
      <c r="C1409"/>
      <c r="D1409"/>
      <c r="E1409"/>
      <c r="F1409" s="176"/>
      <c r="H1409"/>
      <c r="I1409"/>
    </row>
    <row r="1410" spans="1:11">
      <c r="B1410"/>
      <c r="C1410"/>
      <c r="D1410"/>
      <c r="E1410"/>
      <c r="F1410" s="176"/>
      <c r="H1410"/>
      <c r="I1410"/>
    </row>
    <row r="1411" spans="1:11">
      <c r="B1411"/>
      <c r="C1411"/>
      <c r="D1411"/>
      <c r="E1411"/>
      <c r="F1411" s="176"/>
      <c r="H1411"/>
      <c r="I1411"/>
    </row>
    <row r="1412" spans="1:11">
      <c r="B1412"/>
      <c r="C1412"/>
      <c r="D1412"/>
      <c r="E1412"/>
      <c r="F1412" s="176"/>
      <c r="H1412"/>
      <c r="I1412"/>
    </row>
    <row r="1413" spans="1:11">
      <c r="B1413"/>
      <c r="C1413"/>
      <c r="D1413"/>
      <c r="E1413"/>
      <c r="F1413" s="176"/>
      <c r="H1413"/>
      <c r="I1413"/>
    </row>
    <row r="1414" spans="1:11" ht="15.75">
      <c r="A1414" s="75"/>
      <c r="B1414" s="76" t="s">
        <v>120</v>
      </c>
      <c r="C1414" s="75"/>
      <c r="D1414" s="75"/>
      <c r="E1414" s="75"/>
      <c r="F1414" s="177"/>
      <c r="G1414" s="75"/>
      <c r="H1414" s="75"/>
      <c r="I1414" s="75"/>
      <c r="J1414" s="75"/>
    </row>
    <row r="1415" spans="1:11">
      <c r="B1415"/>
      <c r="C1415"/>
      <c r="D1415"/>
      <c r="E1415"/>
      <c r="F1415" s="176"/>
      <c r="H1415"/>
      <c r="I1415"/>
    </row>
    <row r="1416" spans="1:11" ht="26.25">
      <c r="A1416" s="129" t="s">
        <v>90</v>
      </c>
      <c r="B1416" s="247">
        <f>SUBTOTAL(3,Tabla34[Material])</f>
        <v>82</v>
      </c>
      <c r="C1416" s="489"/>
      <c r="D1416" s="489"/>
      <c r="E1416"/>
      <c r="F1416" s="176"/>
      <c r="H1416"/>
      <c r="I1416"/>
    </row>
    <row r="1417" spans="1:11" ht="47.25">
      <c r="A1417" s="127" t="s">
        <v>72</v>
      </c>
      <c r="B1417" s="66" t="s">
        <v>92</v>
      </c>
      <c r="C1417" s="114" t="s">
        <v>93</v>
      </c>
      <c r="D1417" s="128" t="s">
        <v>94</v>
      </c>
      <c r="E1417" s="59" t="s">
        <v>95</v>
      </c>
      <c r="F1417" s="182" t="s">
        <v>96</v>
      </c>
      <c r="G1417" s="60" t="s">
        <v>97</v>
      </c>
      <c r="H1417" s="61" t="s">
        <v>98</v>
      </c>
      <c r="I1417" s="61" t="s">
        <v>99</v>
      </c>
      <c r="J1417" s="72" t="s">
        <v>100</v>
      </c>
      <c r="K1417" s="254" t="s">
        <v>101</v>
      </c>
    </row>
    <row r="1418" spans="1:11">
      <c r="A1418" s="41">
        <v>1</v>
      </c>
      <c r="B1418" s="42" t="s">
        <v>1130</v>
      </c>
      <c r="C1418" s="204" t="s">
        <v>52</v>
      </c>
      <c r="D1418" s="221" t="s">
        <v>1131</v>
      </c>
      <c r="E1418" s="43">
        <v>35093.533333333333</v>
      </c>
      <c r="F1418" s="175" t="s">
        <v>1131</v>
      </c>
      <c r="G1418" s="9">
        <f>IF(BD!$E1418="","",(E1418/(H1418*I1418)))</f>
        <v>2924.4611111111112</v>
      </c>
      <c r="H1418" s="8">
        <v>12</v>
      </c>
      <c r="I1418" s="8">
        <v>1</v>
      </c>
      <c r="J1418" s="205" t="str">
        <f t="shared" ref="J1418:J1449" si="43">CONCATENATE(LEFT(C1418,1),MID(C1418,SEARCH("_",C1418)+1,2),TEXT(A1418,"000"))</f>
        <v>PP001</v>
      </c>
      <c r="K1418" s="115"/>
    </row>
    <row r="1419" spans="1:11">
      <c r="A1419" s="41">
        <f t="shared" ref="A1419:A1450" si="44">A1418+1</f>
        <v>2</v>
      </c>
      <c r="B1419" s="42" t="s">
        <v>1132</v>
      </c>
      <c r="C1419" s="204" t="s">
        <v>52</v>
      </c>
      <c r="D1419" s="57" t="s">
        <v>109</v>
      </c>
      <c r="E1419" s="43">
        <v>3146.625</v>
      </c>
      <c r="F1419" s="175" t="s">
        <v>109</v>
      </c>
      <c r="G1419" s="9">
        <f>IF(BD!$E1419="","",(E1419/(H1419*I1419)))</f>
        <v>3146.625</v>
      </c>
      <c r="H1419" s="8">
        <v>1</v>
      </c>
      <c r="I1419" s="8">
        <v>1</v>
      </c>
      <c r="J1419" s="205" t="str">
        <f t="shared" si="43"/>
        <v>PP002</v>
      </c>
      <c r="K1419" s="115"/>
    </row>
    <row r="1420" spans="1:11">
      <c r="A1420" s="41">
        <f t="shared" si="44"/>
        <v>3</v>
      </c>
      <c r="B1420" s="36" t="s">
        <v>1133</v>
      </c>
      <c r="C1420" s="204" t="s">
        <v>52</v>
      </c>
      <c r="D1420" s="48" t="s">
        <v>109</v>
      </c>
      <c r="E1420" s="43">
        <v>8731.5333333333328</v>
      </c>
      <c r="F1420" s="175" t="s">
        <v>109</v>
      </c>
      <c r="G1420" s="9">
        <f>IF(BD!$E1420="","",(E1420/(H1420*I1420)))</f>
        <v>8731.5333333333328</v>
      </c>
      <c r="H1420" s="8">
        <v>1</v>
      </c>
      <c r="I1420" s="8">
        <v>1</v>
      </c>
      <c r="J1420" s="205" t="str">
        <f t="shared" si="43"/>
        <v>PP003</v>
      </c>
      <c r="K1420" s="115"/>
    </row>
    <row r="1421" spans="1:11">
      <c r="A1421" s="41">
        <f t="shared" si="44"/>
        <v>4</v>
      </c>
      <c r="B1421" s="42" t="s">
        <v>1134</v>
      </c>
      <c r="C1421" s="204" t="s">
        <v>52</v>
      </c>
      <c r="D1421" s="48" t="s">
        <v>109</v>
      </c>
      <c r="E1421" s="43">
        <v>5376.625</v>
      </c>
      <c r="F1421" s="175" t="s">
        <v>109</v>
      </c>
      <c r="G1421" s="9">
        <f>IF(BD!$E1421="","",(E1421/(H1421*I1421)))</f>
        <v>5376.625</v>
      </c>
      <c r="H1421" s="8">
        <v>1</v>
      </c>
      <c r="I1421" s="8">
        <v>1</v>
      </c>
      <c r="J1421" s="205" t="str">
        <f t="shared" si="43"/>
        <v>PP004</v>
      </c>
      <c r="K1421" s="115"/>
    </row>
    <row r="1422" spans="1:11">
      <c r="A1422" s="41">
        <f t="shared" si="44"/>
        <v>5</v>
      </c>
      <c r="B1422" s="42" t="s">
        <v>1135</v>
      </c>
      <c r="C1422" s="204" t="s">
        <v>52</v>
      </c>
      <c r="D1422" s="48" t="s">
        <v>109</v>
      </c>
      <c r="E1422" s="43">
        <v>7039.5</v>
      </c>
      <c r="F1422" s="175" t="s">
        <v>109</v>
      </c>
      <c r="G1422" s="9">
        <f>IF(BD!$E1422="","",(E1422/(H1422*I1422)))</f>
        <v>7039.5</v>
      </c>
      <c r="H1422" s="8">
        <v>1</v>
      </c>
      <c r="I1422" s="8">
        <v>1</v>
      </c>
      <c r="J1422" s="205" t="str">
        <f t="shared" si="43"/>
        <v>PP005</v>
      </c>
      <c r="K1422" s="115"/>
    </row>
    <row r="1423" spans="1:11">
      <c r="A1423" s="41">
        <f t="shared" si="44"/>
        <v>6</v>
      </c>
      <c r="B1423" s="42" t="s">
        <v>1136</v>
      </c>
      <c r="C1423" s="204" t="s">
        <v>52</v>
      </c>
      <c r="D1423" s="48" t="s">
        <v>109</v>
      </c>
      <c r="E1423" s="43">
        <v>13260</v>
      </c>
      <c r="F1423" s="175" t="s">
        <v>109</v>
      </c>
      <c r="G1423" s="9">
        <f>IF(BD!$E1423="","",(E1423/(H1423*I1423)))</f>
        <v>13260</v>
      </c>
      <c r="H1423" s="8">
        <v>1</v>
      </c>
      <c r="I1423" s="8">
        <v>1</v>
      </c>
      <c r="J1423" s="205" t="str">
        <f t="shared" si="43"/>
        <v>PP006</v>
      </c>
      <c r="K1423" s="115"/>
    </row>
    <row r="1424" spans="1:11">
      <c r="A1424" s="41">
        <f t="shared" si="44"/>
        <v>7</v>
      </c>
      <c r="B1424" s="42" t="s">
        <v>1137</v>
      </c>
      <c r="C1424" s="204" t="s">
        <v>52</v>
      </c>
      <c r="D1424" s="48" t="s">
        <v>109</v>
      </c>
      <c r="E1424" s="43">
        <v>5136.2</v>
      </c>
      <c r="F1424" s="175" t="s">
        <v>109</v>
      </c>
      <c r="G1424" s="9">
        <f>IF(BD!$E1424="","",(E1424/(H1424*I1424)))</f>
        <v>5136.2</v>
      </c>
      <c r="H1424" s="8">
        <v>1</v>
      </c>
      <c r="I1424" s="8">
        <v>1</v>
      </c>
      <c r="J1424" s="205" t="str">
        <f t="shared" si="43"/>
        <v>PP007</v>
      </c>
      <c r="K1424" s="115"/>
    </row>
    <row r="1425" spans="1:11">
      <c r="A1425" s="41">
        <f t="shared" si="44"/>
        <v>8</v>
      </c>
      <c r="B1425" s="42" t="s">
        <v>1138</v>
      </c>
      <c r="C1425" s="204" t="s">
        <v>52</v>
      </c>
      <c r="D1425" s="48" t="s">
        <v>109</v>
      </c>
      <c r="E1425" s="43">
        <v>5628.6</v>
      </c>
      <c r="F1425" s="175" t="s">
        <v>109</v>
      </c>
      <c r="G1425" s="9">
        <f>IF(BD!$E1425="","",(E1425/(H1425*I1425)))</f>
        <v>5628.6</v>
      </c>
      <c r="H1425" s="8">
        <v>1</v>
      </c>
      <c r="I1425" s="8">
        <v>1</v>
      </c>
      <c r="J1425" s="205" t="str">
        <f t="shared" si="43"/>
        <v>PP008</v>
      </c>
      <c r="K1425" s="115"/>
    </row>
    <row r="1426" spans="1:11">
      <c r="A1426" s="41">
        <f t="shared" si="44"/>
        <v>9</v>
      </c>
      <c r="B1426" s="36" t="s">
        <v>1139</v>
      </c>
      <c r="C1426" s="204" t="s">
        <v>52</v>
      </c>
      <c r="D1426" s="48" t="s">
        <v>109</v>
      </c>
      <c r="E1426" s="46">
        <v>7204.6</v>
      </c>
      <c r="F1426" s="175" t="s">
        <v>109</v>
      </c>
      <c r="G1426" s="9">
        <f>IF(BD!$E1426="","",(E1426/(H1426*I1426)))</f>
        <v>7204.6</v>
      </c>
      <c r="H1426" s="8">
        <v>1</v>
      </c>
      <c r="I1426" s="8">
        <v>1</v>
      </c>
      <c r="J1426" s="205" t="str">
        <f t="shared" si="43"/>
        <v>PP009</v>
      </c>
      <c r="K1426" s="115"/>
    </row>
    <row r="1427" spans="1:11">
      <c r="A1427" s="41">
        <f t="shared" si="44"/>
        <v>10</v>
      </c>
      <c r="B1427" s="42" t="s">
        <v>1140</v>
      </c>
      <c r="C1427" s="204" t="s">
        <v>52</v>
      </c>
      <c r="D1427" s="48" t="s">
        <v>109</v>
      </c>
      <c r="E1427" s="46">
        <v>12510</v>
      </c>
      <c r="F1427" s="175" t="s">
        <v>109</v>
      </c>
      <c r="G1427" s="9">
        <f>IF(BD!$E1427="","",(E1427/(H1427*I1427)))</f>
        <v>12510</v>
      </c>
      <c r="H1427" s="8">
        <v>1</v>
      </c>
      <c r="I1427" s="8">
        <v>1</v>
      </c>
      <c r="J1427" s="205" t="str">
        <f t="shared" si="43"/>
        <v>PP010</v>
      </c>
      <c r="K1427" s="115"/>
    </row>
    <row r="1428" spans="1:11">
      <c r="A1428" s="41">
        <f t="shared" si="44"/>
        <v>11</v>
      </c>
      <c r="B1428" s="42" t="s">
        <v>1141</v>
      </c>
      <c r="C1428" s="204" t="s">
        <v>52</v>
      </c>
      <c r="D1428" s="48" t="s">
        <v>109</v>
      </c>
      <c r="E1428" s="46">
        <v>8789</v>
      </c>
      <c r="F1428" s="175" t="s">
        <v>109</v>
      </c>
      <c r="G1428" s="9">
        <f>IF(BD!$E1428="","",(E1428/(H1428*I1428)))</f>
        <v>8789</v>
      </c>
      <c r="H1428" s="8">
        <v>1</v>
      </c>
      <c r="I1428" s="8">
        <v>1</v>
      </c>
      <c r="J1428" s="205" t="str">
        <f t="shared" si="43"/>
        <v>PP011</v>
      </c>
      <c r="K1428" s="115"/>
    </row>
    <row r="1429" spans="1:11">
      <c r="A1429" s="41">
        <f t="shared" si="44"/>
        <v>12</v>
      </c>
      <c r="B1429" s="42" t="s">
        <v>1142</v>
      </c>
      <c r="C1429" s="204" t="s">
        <v>52</v>
      </c>
      <c r="D1429" s="48" t="s">
        <v>109</v>
      </c>
      <c r="E1429" s="46">
        <v>20643.5</v>
      </c>
      <c r="F1429" s="175" t="s">
        <v>109</v>
      </c>
      <c r="G1429" s="9">
        <f>IF(BD!$E1429="","",(E1429/(H1429*I1429)))</f>
        <v>20643.5</v>
      </c>
      <c r="H1429" s="8">
        <v>1</v>
      </c>
      <c r="I1429" s="8">
        <v>1</v>
      </c>
      <c r="J1429" s="205" t="str">
        <f t="shared" si="43"/>
        <v>PP012</v>
      </c>
      <c r="K1429" s="115"/>
    </row>
    <row r="1430" spans="1:11">
      <c r="A1430" s="41">
        <f t="shared" si="44"/>
        <v>13</v>
      </c>
      <c r="B1430" s="42" t="s">
        <v>1143</v>
      </c>
      <c r="C1430" s="204" t="s">
        <v>52</v>
      </c>
      <c r="D1430" s="48" t="s">
        <v>109</v>
      </c>
      <c r="E1430" s="46">
        <v>2006</v>
      </c>
      <c r="F1430" s="175" t="s">
        <v>109</v>
      </c>
      <c r="G1430" s="9">
        <f>IF(BD!$E1430="","",(E1430/(H1430*I1430)))</f>
        <v>2006</v>
      </c>
      <c r="H1430" s="8">
        <v>1</v>
      </c>
      <c r="I1430" s="8">
        <v>1</v>
      </c>
      <c r="J1430" s="205" t="str">
        <f t="shared" si="43"/>
        <v>PP013</v>
      </c>
      <c r="K1430" s="115"/>
    </row>
    <row r="1431" spans="1:11">
      <c r="A1431" s="41">
        <f t="shared" si="44"/>
        <v>14</v>
      </c>
      <c r="B1431" s="42" t="s">
        <v>1144</v>
      </c>
      <c r="C1431" s="204" t="s">
        <v>52</v>
      </c>
      <c r="D1431" s="48" t="s">
        <v>109</v>
      </c>
      <c r="E1431" s="46">
        <v>36293.5</v>
      </c>
      <c r="F1431" s="175" t="s">
        <v>109</v>
      </c>
      <c r="G1431" s="9">
        <f>IF(BD!$E1431="","",(E1431/(H1431*I1431)))</f>
        <v>36293.5</v>
      </c>
      <c r="H1431" s="8">
        <v>1</v>
      </c>
      <c r="I1431" s="8">
        <v>1</v>
      </c>
      <c r="J1431" s="205" t="str">
        <f t="shared" si="43"/>
        <v>PP014</v>
      </c>
      <c r="K1431" s="115"/>
    </row>
    <row r="1432" spans="1:11">
      <c r="A1432" s="41">
        <f t="shared" si="44"/>
        <v>15</v>
      </c>
      <c r="B1432" s="36" t="s">
        <v>1145</v>
      </c>
      <c r="C1432" s="204" t="s">
        <v>52</v>
      </c>
      <c r="D1432" s="48" t="s">
        <v>109</v>
      </c>
      <c r="E1432" s="46">
        <v>9613.3333333333339</v>
      </c>
      <c r="F1432" s="175" t="s">
        <v>109</v>
      </c>
      <c r="G1432" s="9">
        <f>IF(BD!$E1432="","",(E1432/(H1432*I1432)))</f>
        <v>9613.3333333333339</v>
      </c>
      <c r="H1432" s="8">
        <v>1</v>
      </c>
      <c r="I1432" s="8">
        <v>1</v>
      </c>
      <c r="J1432" s="205" t="str">
        <f t="shared" si="43"/>
        <v>PP015</v>
      </c>
      <c r="K1432" s="115"/>
    </row>
    <row r="1433" spans="1:11">
      <c r="A1433" s="41">
        <f t="shared" si="44"/>
        <v>16</v>
      </c>
      <c r="B1433" s="36" t="s">
        <v>1146</v>
      </c>
      <c r="C1433" s="204" t="s">
        <v>52</v>
      </c>
      <c r="D1433" s="48" t="s">
        <v>109</v>
      </c>
      <c r="E1433" s="46">
        <v>76295</v>
      </c>
      <c r="F1433" s="175" t="s">
        <v>109</v>
      </c>
      <c r="G1433" s="9">
        <f>IF(BD!$E1433="","",(E1433/(H1433*I1433)))</f>
        <v>76295</v>
      </c>
      <c r="H1433" s="8">
        <v>1</v>
      </c>
      <c r="I1433" s="8">
        <v>1</v>
      </c>
      <c r="J1433" s="205" t="str">
        <f t="shared" si="43"/>
        <v>PP016</v>
      </c>
      <c r="K1433" s="115"/>
    </row>
    <row r="1434" spans="1:11">
      <c r="A1434" s="41">
        <f t="shared" si="44"/>
        <v>17</v>
      </c>
      <c r="B1434" s="36" t="s">
        <v>1147</v>
      </c>
      <c r="C1434" s="204" t="s">
        <v>52</v>
      </c>
      <c r="D1434" s="48" t="s">
        <v>109</v>
      </c>
      <c r="E1434" s="46">
        <v>3326.46</v>
      </c>
      <c r="F1434" s="175" t="s">
        <v>109</v>
      </c>
      <c r="G1434" s="9">
        <f>IF(BD!$E1434="","",(E1434/(H1434*I1434)))</f>
        <v>3326.46</v>
      </c>
      <c r="H1434" s="8">
        <v>1</v>
      </c>
      <c r="I1434" s="8">
        <v>1</v>
      </c>
      <c r="J1434" s="205" t="str">
        <f t="shared" si="43"/>
        <v>PP017</v>
      </c>
      <c r="K1434" s="115"/>
    </row>
    <row r="1435" spans="1:11" ht="30">
      <c r="A1435" s="41">
        <f t="shared" si="44"/>
        <v>18</v>
      </c>
      <c r="B1435" s="36" t="s">
        <v>1148</v>
      </c>
      <c r="C1435" s="204" t="s">
        <v>52</v>
      </c>
      <c r="D1435" s="48" t="s">
        <v>109</v>
      </c>
      <c r="E1435" s="46">
        <v>61667.5</v>
      </c>
      <c r="F1435" s="175" t="s">
        <v>109</v>
      </c>
      <c r="G1435" s="9">
        <f>IF(BD!$E1435="","",(E1435/(H1435*I1435)))</f>
        <v>61667.5</v>
      </c>
      <c r="H1435" s="8">
        <v>1</v>
      </c>
      <c r="I1435" s="8">
        <v>1</v>
      </c>
      <c r="J1435" s="205" t="str">
        <f t="shared" si="43"/>
        <v>PP018</v>
      </c>
      <c r="K1435" s="115"/>
    </row>
    <row r="1436" spans="1:11" ht="30">
      <c r="A1436" s="41">
        <f t="shared" si="44"/>
        <v>19</v>
      </c>
      <c r="B1436" s="36" t="s">
        <v>1149</v>
      </c>
      <c r="C1436" s="204" t="s">
        <v>52</v>
      </c>
      <c r="D1436" s="48" t="s">
        <v>109</v>
      </c>
      <c r="E1436" s="43">
        <v>720750</v>
      </c>
      <c r="F1436" s="175" t="s">
        <v>109</v>
      </c>
      <c r="G1436" s="9">
        <f>IF(BD!$E1436="","",(E1436/(H1436*I1436)))</f>
        <v>720750</v>
      </c>
      <c r="H1436" s="8">
        <v>1</v>
      </c>
      <c r="I1436" s="8">
        <v>1</v>
      </c>
      <c r="J1436" s="205" t="str">
        <f t="shared" si="43"/>
        <v>PP019</v>
      </c>
      <c r="K1436" s="115"/>
    </row>
    <row r="1437" spans="1:11">
      <c r="A1437" s="41">
        <f t="shared" si="44"/>
        <v>20</v>
      </c>
      <c r="B1437" s="42" t="s">
        <v>1150</v>
      </c>
      <c r="C1437" s="204" t="s">
        <v>52</v>
      </c>
      <c r="D1437" s="48" t="s">
        <v>1091</v>
      </c>
      <c r="E1437" s="43">
        <v>3215</v>
      </c>
      <c r="F1437" s="175" t="s">
        <v>1091</v>
      </c>
      <c r="G1437" s="9">
        <f>IF(BD!$E1437="","",(E1437/(H1437*I1437)))</f>
        <v>3215</v>
      </c>
      <c r="H1437" s="8">
        <v>1</v>
      </c>
      <c r="I1437" s="8">
        <v>1</v>
      </c>
      <c r="J1437" s="205" t="str">
        <f t="shared" si="43"/>
        <v>PP020</v>
      </c>
      <c r="K1437" s="115"/>
    </row>
    <row r="1438" spans="1:11">
      <c r="A1438" s="41">
        <f t="shared" si="44"/>
        <v>21</v>
      </c>
      <c r="B1438" s="42" t="s">
        <v>1151</v>
      </c>
      <c r="C1438" s="204" t="s">
        <v>52</v>
      </c>
      <c r="D1438" s="48" t="s">
        <v>1091</v>
      </c>
      <c r="E1438" s="43">
        <v>8300</v>
      </c>
      <c r="F1438" s="175" t="s">
        <v>1091</v>
      </c>
      <c r="G1438" s="9">
        <f>IF(BD!$E1438="","",(E1438/(H1438*I1438)))</f>
        <v>8300</v>
      </c>
      <c r="H1438" s="8">
        <v>1</v>
      </c>
      <c r="I1438" s="8">
        <v>1</v>
      </c>
      <c r="J1438" s="205" t="str">
        <f t="shared" si="43"/>
        <v>PP021</v>
      </c>
      <c r="K1438" s="115"/>
    </row>
    <row r="1439" spans="1:11">
      <c r="A1439" s="41">
        <f t="shared" si="44"/>
        <v>22</v>
      </c>
      <c r="B1439" s="42" t="s">
        <v>1152</v>
      </c>
      <c r="C1439" s="204" t="s">
        <v>52</v>
      </c>
      <c r="D1439" s="48" t="s">
        <v>1091</v>
      </c>
      <c r="E1439" s="43">
        <v>3276</v>
      </c>
      <c r="F1439" s="175" t="s">
        <v>1091</v>
      </c>
      <c r="G1439" s="9">
        <f>IF(BD!$E1439="","",(E1439/(H1439*I1439)))</f>
        <v>3276</v>
      </c>
      <c r="H1439" s="8">
        <v>1</v>
      </c>
      <c r="I1439" s="8">
        <v>1</v>
      </c>
      <c r="J1439" s="205" t="str">
        <f t="shared" si="43"/>
        <v>PP022</v>
      </c>
      <c r="K1439" s="115"/>
    </row>
    <row r="1440" spans="1:11">
      <c r="A1440" s="41">
        <f t="shared" si="44"/>
        <v>23</v>
      </c>
      <c r="B1440" s="42" t="s">
        <v>1153</v>
      </c>
      <c r="C1440" s="204" t="s">
        <v>52</v>
      </c>
      <c r="D1440" s="48" t="s">
        <v>109</v>
      </c>
      <c r="E1440" s="43">
        <v>34700</v>
      </c>
      <c r="F1440" s="175" t="s">
        <v>109</v>
      </c>
      <c r="G1440" s="9">
        <f>IF(BD!$E1440="","",(E1440/(H1440*I1440)))</f>
        <v>34700</v>
      </c>
      <c r="H1440" s="8">
        <v>1</v>
      </c>
      <c r="I1440" s="8">
        <v>1</v>
      </c>
      <c r="J1440" s="205" t="str">
        <f t="shared" si="43"/>
        <v>PP023</v>
      </c>
      <c r="K1440" s="115"/>
    </row>
    <row r="1441" spans="1:11">
      <c r="A1441" s="41">
        <f t="shared" si="44"/>
        <v>24</v>
      </c>
      <c r="B1441" s="42" t="s">
        <v>1154</v>
      </c>
      <c r="C1441" s="204" t="s">
        <v>52</v>
      </c>
      <c r="D1441" s="48" t="s">
        <v>109</v>
      </c>
      <c r="E1441" s="43">
        <v>16695</v>
      </c>
      <c r="F1441" s="175" t="s">
        <v>109</v>
      </c>
      <c r="G1441" s="9">
        <f>IF(BD!$E1441="","",(E1441/(H1441*I1441)))</f>
        <v>16695</v>
      </c>
      <c r="H1441" s="8">
        <v>1</v>
      </c>
      <c r="I1441" s="8">
        <v>1</v>
      </c>
      <c r="J1441" s="205" t="str">
        <f t="shared" si="43"/>
        <v>PP024</v>
      </c>
      <c r="K1441" s="115"/>
    </row>
    <row r="1442" spans="1:11">
      <c r="A1442" s="41">
        <f t="shared" si="44"/>
        <v>25</v>
      </c>
      <c r="B1442" s="42" t="s">
        <v>1155</v>
      </c>
      <c r="C1442" s="204" t="s">
        <v>52</v>
      </c>
      <c r="D1442" s="48" t="s">
        <v>109</v>
      </c>
      <c r="E1442" s="43">
        <v>20585</v>
      </c>
      <c r="F1442" s="175" t="s">
        <v>109</v>
      </c>
      <c r="G1442" s="9">
        <f>IF(BD!$E1442="","",(E1442/(H1442*I1442)))</f>
        <v>20585</v>
      </c>
      <c r="H1442" s="8">
        <v>1</v>
      </c>
      <c r="I1442" s="8">
        <v>1</v>
      </c>
      <c r="J1442" s="205" t="str">
        <f t="shared" si="43"/>
        <v>PP025</v>
      </c>
      <c r="K1442" s="115"/>
    </row>
    <row r="1443" spans="1:11">
      <c r="A1443" s="41">
        <f t="shared" si="44"/>
        <v>26</v>
      </c>
      <c r="B1443" s="42" t="s">
        <v>1156</v>
      </c>
      <c r="C1443" s="204" t="s">
        <v>52</v>
      </c>
      <c r="D1443" s="48" t="s">
        <v>109</v>
      </c>
      <c r="E1443" s="43">
        <v>2912.52</v>
      </c>
      <c r="F1443" s="175" t="s">
        <v>109</v>
      </c>
      <c r="G1443" s="9">
        <f>IF(BD!$E1443="","",(E1443/(H1443*I1443)))</f>
        <v>2912.52</v>
      </c>
      <c r="H1443" s="8">
        <v>1</v>
      </c>
      <c r="I1443" s="8">
        <v>1</v>
      </c>
      <c r="J1443" s="205" t="str">
        <f t="shared" si="43"/>
        <v>PP026</v>
      </c>
      <c r="K1443" s="115"/>
    </row>
    <row r="1444" spans="1:11">
      <c r="A1444" s="41">
        <f t="shared" si="44"/>
        <v>27</v>
      </c>
      <c r="B1444" s="42" t="s">
        <v>1157</v>
      </c>
      <c r="C1444" s="204" t="s">
        <v>52</v>
      </c>
      <c r="D1444" s="48" t="s">
        <v>109</v>
      </c>
      <c r="E1444" s="43">
        <v>18486</v>
      </c>
      <c r="F1444" s="175" t="s">
        <v>109</v>
      </c>
      <c r="G1444" s="9">
        <f>IF(BD!$E1444="","",(E1444/(H1444*I1444)))</f>
        <v>18486</v>
      </c>
      <c r="H1444" s="8">
        <v>1</v>
      </c>
      <c r="I1444" s="8">
        <v>1</v>
      </c>
      <c r="J1444" s="205" t="str">
        <f t="shared" si="43"/>
        <v>PP027</v>
      </c>
      <c r="K1444" s="115"/>
    </row>
    <row r="1445" spans="1:11">
      <c r="A1445" s="41">
        <f t="shared" si="44"/>
        <v>28</v>
      </c>
      <c r="B1445" s="42" t="s">
        <v>1158</v>
      </c>
      <c r="C1445" s="204" t="s">
        <v>52</v>
      </c>
      <c r="D1445" s="48" t="s">
        <v>109</v>
      </c>
      <c r="E1445" s="43">
        <v>18895</v>
      </c>
      <c r="F1445" s="175" t="s">
        <v>109</v>
      </c>
      <c r="G1445" s="9">
        <f>IF(BD!$E1445="","",(E1445/(H1445*I1445)))</f>
        <v>18895</v>
      </c>
      <c r="H1445" s="8">
        <v>1</v>
      </c>
      <c r="I1445" s="8">
        <v>1</v>
      </c>
      <c r="J1445" s="205" t="str">
        <f t="shared" si="43"/>
        <v>PP028</v>
      </c>
      <c r="K1445" s="115"/>
    </row>
    <row r="1446" spans="1:11">
      <c r="A1446" s="41">
        <f t="shared" si="44"/>
        <v>29</v>
      </c>
      <c r="B1446" s="42" t="s">
        <v>1159</v>
      </c>
      <c r="C1446" s="204" t="s">
        <v>52</v>
      </c>
      <c r="D1446" s="48" t="s">
        <v>109</v>
      </c>
      <c r="E1446" s="43">
        <v>35150</v>
      </c>
      <c r="F1446" s="175" t="s">
        <v>109</v>
      </c>
      <c r="G1446" s="9">
        <f>IF(BD!$E1446="","",(E1446/(H1446*I1446)))</f>
        <v>35150</v>
      </c>
      <c r="H1446" s="8">
        <v>1</v>
      </c>
      <c r="I1446" s="8">
        <v>1</v>
      </c>
      <c r="J1446" s="205" t="str">
        <f t="shared" si="43"/>
        <v>PP029</v>
      </c>
      <c r="K1446" s="115"/>
    </row>
    <row r="1447" spans="1:11">
      <c r="A1447" s="41">
        <f t="shared" si="44"/>
        <v>30</v>
      </c>
      <c r="B1447" s="42" t="s">
        <v>1160</v>
      </c>
      <c r="C1447" s="204" t="s">
        <v>52</v>
      </c>
      <c r="D1447" s="48" t="s">
        <v>1091</v>
      </c>
      <c r="E1447" s="43">
        <v>3145</v>
      </c>
      <c r="F1447" s="175" t="s">
        <v>256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5" t="str">
        <f t="shared" si="43"/>
        <v>PP030</v>
      </c>
      <c r="K1447" s="115"/>
    </row>
    <row r="1448" spans="1:11">
      <c r="A1448" s="41">
        <f t="shared" si="44"/>
        <v>31</v>
      </c>
      <c r="B1448" s="42" t="s">
        <v>1161</v>
      </c>
      <c r="C1448" s="204" t="s">
        <v>52</v>
      </c>
      <c r="D1448" s="48" t="s">
        <v>109</v>
      </c>
      <c r="E1448" s="43">
        <v>8470</v>
      </c>
      <c r="F1448" s="175" t="s">
        <v>109</v>
      </c>
      <c r="G1448" s="9">
        <f>IF(BD!$E1448="","",(E1448/(H1448*I1448)))</f>
        <v>8470</v>
      </c>
      <c r="H1448" s="8">
        <v>1</v>
      </c>
      <c r="I1448" s="8">
        <v>1</v>
      </c>
      <c r="J1448" s="205" t="str">
        <f t="shared" si="43"/>
        <v>PP031</v>
      </c>
      <c r="K1448" s="115"/>
    </row>
    <row r="1449" spans="1:11">
      <c r="A1449" s="41">
        <f t="shared" si="44"/>
        <v>32</v>
      </c>
      <c r="B1449" s="42" t="s">
        <v>1162</v>
      </c>
      <c r="C1449" s="204" t="s">
        <v>52</v>
      </c>
      <c r="D1449" s="48" t="s">
        <v>109</v>
      </c>
      <c r="E1449" s="43">
        <v>2480</v>
      </c>
      <c r="F1449" s="175" t="s">
        <v>109</v>
      </c>
      <c r="G1449" s="9">
        <f>IF(BD!$E1449="","",(E1449/(H1449*I1449)))</f>
        <v>2480</v>
      </c>
      <c r="H1449" s="8">
        <v>1</v>
      </c>
      <c r="I1449" s="8">
        <v>1</v>
      </c>
      <c r="J1449" s="205" t="str">
        <f t="shared" si="43"/>
        <v>PP032</v>
      </c>
      <c r="K1449" s="115"/>
    </row>
    <row r="1450" spans="1:11">
      <c r="A1450" s="41">
        <f t="shared" si="44"/>
        <v>33</v>
      </c>
      <c r="B1450" s="42" t="s">
        <v>1163</v>
      </c>
      <c r="C1450" s="204" t="s">
        <v>52</v>
      </c>
      <c r="D1450" s="48" t="s">
        <v>109</v>
      </c>
      <c r="E1450" s="43">
        <v>100620</v>
      </c>
      <c r="F1450" s="175" t="s">
        <v>109</v>
      </c>
      <c r="G1450" s="9">
        <f>IF(BD!$E1450="","",(E1450/(H1450*I1450)))</f>
        <v>100620</v>
      </c>
      <c r="H1450" s="8">
        <v>1</v>
      </c>
      <c r="I1450" s="8">
        <v>1</v>
      </c>
      <c r="J1450" s="205" t="str">
        <f t="shared" ref="J1450:J1481" si="45">CONCATENATE(LEFT(C1450,1),MID(C1450,SEARCH("_",C1450)+1,2),TEXT(A1450,"000"))</f>
        <v>PP033</v>
      </c>
      <c r="K1450" s="115"/>
    </row>
    <row r="1451" spans="1:11">
      <c r="A1451" s="41">
        <f t="shared" ref="A1451:A1482" si="46">A1450+1</f>
        <v>34</v>
      </c>
      <c r="B1451" s="42" t="s">
        <v>1164</v>
      </c>
      <c r="C1451" s="204" t="s">
        <v>52</v>
      </c>
      <c r="D1451" s="48" t="s">
        <v>109</v>
      </c>
      <c r="E1451" s="43">
        <v>50245</v>
      </c>
      <c r="F1451" s="175" t="s">
        <v>109</v>
      </c>
      <c r="G1451" s="9">
        <f>IF(BD!$E1451="","",(E1451/(H1451*I1451)))</f>
        <v>50245</v>
      </c>
      <c r="H1451" s="8">
        <v>1</v>
      </c>
      <c r="I1451" s="8">
        <v>1</v>
      </c>
      <c r="J1451" s="205" t="str">
        <f t="shared" si="45"/>
        <v>PP034</v>
      </c>
      <c r="K1451" s="115"/>
    </row>
    <row r="1452" spans="1:11">
      <c r="A1452" s="41">
        <f t="shared" si="46"/>
        <v>35</v>
      </c>
      <c r="B1452" s="42" t="s">
        <v>1165</v>
      </c>
      <c r="C1452" s="204" t="s">
        <v>52</v>
      </c>
      <c r="D1452" s="48" t="s">
        <v>216</v>
      </c>
      <c r="E1452" s="43">
        <v>98275.666666666672</v>
      </c>
      <c r="F1452" s="175" t="s">
        <v>216</v>
      </c>
      <c r="G1452" s="9">
        <f>IF(BD!$E1452="","",(E1452/(H1452*I1452)))</f>
        <v>98275.666666666672</v>
      </c>
      <c r="H1452" s="8">
        <v>1</v>
      </c>
      <c r="I1452" s="8">
        <v>1</v>
      </c>
      <c r="J1452" s="205" t="str">
        <f t="shared" si="45"/>
        <v>PP035</v>
      </c>
      <c r="K1452" s="115"/>
    </row>
    <row r="1453" spans="1:11">
      <c r="A1453" s="41">
        <f t="shared" si="46"/>
        <v>36</v>
      </c>
      <c r="B1453" s="42" t="s">
        <v>1166</v>
      </c>
      <c r="C1453" s="204" t="s">
        <v>52</v>
      </c>
      <c r="D1453" s="48" t="s">
        <v>109</v>
      </c>
      <c r="E1453" s="43">
        <v>33709</v>
      </c>
      <c r="F1453" s="175" t="s">
        <v>109</v>
      </c>
      <c r="G1453" s="9">
        <f>IF(BD!$E1453="","",(E1453/(H1453*I1453)))</f>
        <v>33709</v>
      </c>
      <c r="H1453" s="8">
        <v>1</v>
      </c>
      <c r="I1453" s="8">
        <v>1</v>
      </c>
      <c r="J1453" s="205" t="str">
        <f t="shared" si="45"/>
        <v>PP036</v>
      </c>
      <c r="K1453" s="115"/>
    </row>
    <row r="1454" spans="1:11">
      <c r="A1454" s="41">
        <f t="shared" si="46"/>
        <v>37</v>
      </c>
      <c r="B1454" s="42" t="s">
        <v>1167</v>
      </c>
      <c r="C1454" s="204" t="s">
        <v>52</v>
      </c>
      <c r="D1454" s="48" t="s">
        <v>109</v>
      </c>
      <c r="E1454" s="43">
        <v>103948</v>
      </c>
      <c r="F1454" s="175" t="s">
        <v>109</v>
      </c>
      <c r="G1454" s="9">
        <f>IF(BD!$E1454="","",(E1454/(H1454*I1454)))</f>
        <v>103948</v>
      </c>
      <c r="H1454" s="8">
        <v>1</v>
      </c>
      <c r="I1454" s="8">
        <v>1</v>
      </c>
      <c r="J1454" s="205" t="str">
        <f t="shared" si="45"/>
        <v>PP037</v>
      </c>
      <c r="K1454" s="115"/>
    </row>
    <row r="1455" spans="1:11">
      <c r="A1455" s="41">
        <f t="shared" si="46"/>
        <v>38</v>
      </c>
      <c r="B1455" s="42" t="s">
        <v>1168</v>
      </c>
      <c r="C1455" s="204" t="s">
        <v>52</v>
      </c>
      <c r="D1455" s="48" t="s">
        <v>109</v>
      </c>
      <c r="E1455" s="43">
        <v>32370</v>
      </c>
      <c r="F1455" s="175" t="s">
        <v>109</v>
      </c>
      <c r="G1455" s="9">
        <f>IF(BD!$E1455="","",(E1455/(H1455*I1455)))</f>
        <v>32370</v>
      </c>
      <c r="H1455" s="8">
        <v>1</v>
      </c>
      <c r="I1455" s="8">
        <v>1</v>
      </c>
      <c r="J1455" s="205" t="str">
        <f t="shared" si="45"/>
        <v>PP038</v>
      </c>
      <c r="K1455" s="115"/>
    </row>
    <row r="1456" spans="1:11">
      <c r="A1456" s="41">
        <f t="shared" si="46"/>
        <v>39</v>
      </c>
      <c r="B1456" s="42" t="s">
        <v>1169</v>
      </c>
      <c r="C1456" s="204" t="s">
        <v>52</v>
      </c>
      <c r="D1456" s="48" t="s">
        <v>109</v>
      </c>
      <c r="E1456" s="43">
        <v>110153</v>
      </c>
      <c r="F1456" s="175" t="s">
        <v>109</v>
      </c>
      <c r="G1456" s="9">
        <f>IF(BD!$E1456="","",(E1456/(H1456*I1456)))</f>
        <v>110153</v>
      </c>
      <c r="H1456" s="8">
        <v>1</v>
      </c>
      <c r="I1456" s="8">
        <v>1</v>
      </c>
      <c r="J1456" s="205" t="str">
        <f t="shared" si="45"/>
        <v>PP039</v>
      </c>
      <c r="K1456" s="115"/>
    </row>
    <row r="1457" spans="1:11">
      <c r="A1457" s="41">
        <f t="shared" si="46"/>
        <v>40</v>
      </c>
      <c r="B1457" s="42" t="s">
        <v>1170</v>
      </c>
      <c r="C1457" s="204" t="s">
        <v>52</v>
      </c>
      <c r="D1457" s="48" t="s">
        <v>109</v>
      </c>
      <c r="E1457" s="43">
        <v>49830</v>
      </c>
      <c r="F1457" s="175" t="s">
        <v>109</v>
      </c>
      <c r="G1457" s="9">
        <f>IF(BD!$E1457="","",(E1457/(H1457*I1457)))</f>
        <v>49830</v>
      </c>
      <c r="H1457" s="8">
        <v>1</v>
      </c>
      <c r="I1457" s="8">
        <v>1</v>
      </c>
      <c r="J1457" s="205" t="str">
        <f t="shared" si="45"/>
        <v>PP040</v>
      </c>
      <c r="K1457" s="115"/>
    </row>
    <row r="1458" spans="1:11">
      <c r="A1458" s="41">
        <f t="shared" si="46"/>
        <v>41</v>
      </c>
      <c r="B1458" s="42" t="s">
        <v>1171</v>
      </c>
      <c r="C1458" s="204" t="s">
        <v>52</v>
      </c>
      <c r="D1458" s="48" t="s">
        <v>109</v>
      </c>
      <c r="E1458" s="43">
        <v>45846.5</v>
      </c>
      <c r="F1458" s="175" t="s">
        <v>109</v>
      </c>
      <c r="G1458" s="9">
        <f>IF(BD!$E1458="","",(E1458/(H1458*I1458)))</f>
        <v>45846.5</v>
      </c>
      <c r="H1458" s="8">
        <v>1</v>
      </c>
      <c r="I1458" s="8">
        <v>1</v>
      </c>
      <c r="J1458" s="205" t="str">
        <f t="shared" si="45"/>
        <v>PP041</v>
      </c>
      <c r="K1458" s="115"/>
    </row>
    <row r="1459" spans="1:11">
      <c r="A1459" s="41">
        <f t="shared" si="46"/>
        <v>42</v>
      </c>
      <c r="B1459" s="42" t="s">
        <v>1172</v>
      </c>
      <c r="C1459" s="204" t="s">
        <v>52</v>
      </c>
      <c r="D1459" s="48" t="s">
        <v>109</v>
      </c>
      <c r="E1459" s="43">
        <v>12830</v>
      </c>
      <c r="F1459" s="175" t="s">
        <v>109</v>
      </c>
      <c r="G1459" s="9">
        <f>IF(BD!$E1459="","",(E1459/(H1459*I1459)))</f>
        <v>12830</v>
      </c>
      <c r="H1459" s="8">
        <v>1</v>
      </c>
      <c r="I1459" s="8">
        <v>1</v>
      </c>
      <c r="J1459" s="205" t="str">
        <f t="shared" si="45"/>
        <v>PP042</v>
      </c>
      <c r="K1459" s="115"/>
    </row>
    <row r="1460" spans="1:11" ht="25.5" customHeight="1">
      <c r="A1460" s="41">
        <f t="shared" si="46"/>
        <v>43</v>
      </c>
      <c r="B1460" s="42" t="s">
        <v>1173</v>
      </c>
      <c r="C1460" s="204" t="s">
        <v>52</v>
      </c>
      <c r="D1460" s="48" t="s">
        <v>109</v>
      </c>
      <c r="E1460" s="43">
        <v>38888.571428571428</v>
      </c>
      <c r="F1460" s="175" t="s">
        <v>109</v>
      </c>
      <c r="G1460" s="9">
        <f>IF(BD!$E1460="","",(E1460/(H1460*I1460)))</f>
        <v>38888.571428571428</v>
      </c>
      <c r="H1460" s="8">
        <v>1</v>
      </c>
      <c r="I1460" s="8">
        <v>1</v>
      </c>
      <c r="J1460" s="205" t="str">
        <f t="shared" si="45"/>
        <v>PP043</v>
      </c>
      <c r="K1460" s="115"/>
    </row>
    <row r="1461" spans="1:11">
      <c r="A1461" s="41">
        <f t="shared" si="46"/>
        <v>44</v>
      </c>
      <c r="B1461" s="42" t="s">
        <v>1174</v>
      </c>
      <c r="C1461" s="204" t="s">
        <v>52</v>
      </c>
      <c r="D1461" s="48" t="s">
        <v>242</v>
      </c>
      <c r="E1461" s="43">
        <v>90973.666666666672</v>
      </c>
      <c r="F1461" s="175" t="s">
        <v>256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5" t="str">
        <f t="shared" si="45"/>
        <v>PP044</v>
      </c>
      <c r="K1461" s="115"/>
    </row>
    <row r="1462" spans="1:11">
      <c r="A1462" s="41">
        <f t="shared" si="46"/>
        <v>45</v>
      </c>
      <c r="B1462" s="42" t="s">
        <v>1175</v>
      </c>
      <c r="C1462" s="204" t="s">
        <v>52</v>
      </c>
      <c r="D1462" s="48" t="s">
        <v>109</v>
      </c>
      <c r="E1462" s="43">
        <v>22475</v>
      </c>
      <c r="F1462" s="175" t="s">
        <v>109</v>
      </c>
      <c r="G1462" s="9">
        <f>IF(BD!$E1462="","",(E1462/(H1462*I1462)))</f>
        <v>22475</v>
      </c>
      <c r="H1462" s="8">
        <v>1</v>
      </c>
      <c r="I1462" s="8">
        <v>1</v>
      </c>
      <c r="J1462" s="205" t="str">
        <f t="shared" si="45"/>
        <v>PP045</v>
      </c>
      <c r="K1462" s="115"/>
    </row>
    <row r="1463" spans="1:11">
      <c r="A1463" s="41">
        <f t="shared" si="46"/>
        <v>46</v>
      </c>
      <c r="B1463" s="42" t="s">
        <v>1176</v>
      </c>
      <c r="C1463" s="204" t="s">
        <v>52</v>
      </c>
      <c r="D1463" s="48" t="s">
        <v>109</v>
      </c>
      <c r="E1463" s="43">
        <v>95966.7</v>
      </c>
      <c r="F1463" s="175" t="s">
        <v>109</v>
      </c>
      <c r="G1463" s="9">
        <f>IF(BD!$E1463="","",(E1463/(H1463*I1463)))</f>
        <v>95966.7</v>
      </c>
      <c r="H1463" s="80">
        <v>1</v>
      </c>
      <c r="I1463" s="80">
        <v>1</v>
      </c>
      <c r="J1463" s="205" t="str">
        <f t="shared" si="45"/>
        <v>PP046</v>
      </c>
      <c r="K1463" s="115"/>
    </row>
    <row r="1464" spans="1:11">
      <c r="A1464" s="41">
        <f t="shared" si="46"/>
        <v>47</v>
      </c>
      <c r="B1464" s="42" t="s">
        <v>1177</v>
      </c>
      <c r="C1464" s="204" t="s">
        <v>52</v>
      </c>
      <c r="D1464" s="48" t="s">
        <v>109</v>
      </c>
      <c r="E1464" s="43">
        <v>22654</v>
      </c>
      <c r="F1464" s="175" t="s">
        <v>109</v>
      </c>
      <c r="G1464" s="9">
        <f>IF(BD!$E1464="","",(E1464/(H1464*I1464)))</f>
        <v>22654</v>
      </c>
      <c r="H1464" s="8">
        <v>1</v>
      </c>
      <c r="I1464" s="8">
        <v>1</v>
      </c>
      <c r="J1464" s="205" t="str">
        <f t="shared" si="45"/>
        <v>PP047</v>
      </c>
      <c r="K1464" s="115"/>
    </row>
    <row r="1465" spans="1:11">
      <c r="A1465" s="41">
        <f t="shared" si="46"/>
        <v>48</v>
      </c>
      <c r="B1465" s="42" t="s">
        <v>1178</v>
      </c>
      <c r="C1465" s="204" t="s">
        <v>52</v>
      </c>
      <c r="D1465" s="48" t="s">
        <v>109</v>
      </c>
      <c r="E1465" s="43">
        <v>73154</v>
      </c>
      <c r="F1465" s="175" t="s">
        <v>109</v>
      </c>
      <c r="G1465" s="9">
        <f>IF(BD!$E1465="","",(E1465/(H1465*I1465)))</f>
        <v>73154</v>
      </c>
      <c r="H1465" s="8">
        <v>1</v>
      </c>
      <c r="I1465" s="8">
        <v>1</v>
      </c>
      <c r="J1465" s="205" t="str">
        <f t="shared" si="45"/>
        <v>PP048</v>
      </c>
      <c r="K1465" s="115"/>
    </row>
    <row r="1466" spans="1:11">
      <c r="A1466" s="41">
        <f t="shared" si="46"/>
        <v>49</v>
      </c>
      <c r="B1466" s="42" t="s">
        <v>1179</v>
      </c>
      <c r="C1466" s="204" t="s">
        <v>52</v>
      </c>
      <c r="D1466" s="48" t="s">
        <v>109</v>
      </c>
      <c r="E1466" s="43">
        <v>22053.571428571428</v>
      </c>
      <c r="F1466" s="175" t="s">
        <v>109</v>
      </c>
      <c r="G1466" s="9">
        <f>IF(BD!$E1466="","",(E1466/(H1466*I1466)))</f>
        <v>22053.571428571428</v>
      </c>
      <c r="H1466" s="8">
        <v>1</v>
      </c>
      <c r="I1466" s="8">
        <v>1</v>
      </c>
      <c r="J1466" s="205" t="str">
        <f t="shared" si="45"/>
        <v>PP049</v>
      </c>
      <c r="K1466" s="115"/>
    </row>
    <row r="1467" spans="1:11">
      <c r="A1467" s="41">
        <f t="shared" si="46"/>
        <v>50</v>
      </c>
      <c r="B1467" s="42" t="s">
        <v>1180</v>
      </c>
      <c r="C1467" s="204" t="s">
        <v>52</v>
      </c>
      <c r="D1467" s="48" t="s">
        <v>109</v>
      </c>
      <c r="E1467" s="43">
        <v>132350</v>
      </c>
      <c r="F1467" s="175" t="s">
        <v>109</v>
      </c>
      <c r="G1467" s="9">
        <f>IF(BD!$E1467="","",(E1467/(H1467*I1467)))</f>
        <v>132350</v>
      </c>
      <c r="H1467" s="8">
        <v>1</v>
      </c>
      <c r="I1467" s="8">
        <v>1</v>
      </c>
      <c r="J1467" s="205" t="str">
        <f t="shared" si="45"/>
        <v>PP050</v>
      </c>
      <c r="K1467" s="115"/>
    </row>
    <row r="1468" spans="1:11">
      <c r="A1468" s="41">
        <f t="shared" si="46"/>
        <v>51</v>
      </c>
      <c r="B1468" s="42" t="s">
        <v>1181</v>
      </c>
      <c r="C1468" s="204" t="s">
        <v>52</v>
      </c>
      <c r="D1468" s="48" t="s">
        <v>109</v>
      </c>
      <c r="E1468" s="43">
        <v>22518.5</v>
      </c>
      <c r="F1468" s="175" t="s">
        <v>109</v>
      </c>
      <c r="G1468" s="9">
        <f>IF(BD!$E1468="","",(E1468/(H1468*I1468)))</f>
        <v>22518.5</v>
      </c>
      <c r="H1468" s="8">
        <v>1</v>
      </c>
      <c r="I1468" s="8">
        <v>1</v>
      </c>
      <c r="J1468" s="205" t="str">
        <f t="shared" si="45"/>
        <v>PP051</v>
      </c>
      <c r="K1468" s="115"/>
    </row>
    <row r="1469" spans="1:11">
      <c r="A1469" s="41">
        <f t="shared" si="46"/>
        <v>52</v>
      </c>
      <c r="B1469" s="42" t="s">
        <v>1182</v>
      </c>
      <c r="C1469" s="204" t="s">
        <v>52</v>
      </c>
      <c r="D1469" s="48" t="s">
        <v>109</v>
      </c>
      <c r="E1469" s="43">
        <v>2242.6</v>
      </c>
      <c r="F1469" s="175" t="s">
        <v>109</v>
      </c>
      <c r="G1469" s="9">
        <f>IF(BD!$E1469="","",(E1469/(H1469*I1469)))</f>
        <v>2242.6</v>
      </c>
      <c r="H1469" s="8">
        <v>1</v>
      </c>
      <c r="I1469" s="8">
        <v>1</v>
      </c>
      <c r="J1469" s="205" t="str">
        <f t="shared" si="45"/>
        <v>PP052</v>
      </c>
      <c r="K1469" s="115"/>
    </row>
    <row r="1470" spans="1:11">
      <c r="A1470" s="41">
        <f t="shared" si="46"/>
        <v>53</v>
      </c>
      <c r="B1470" s="42" t="s">
        <v>1183</v>
      </c>
      <c r="C1470" s="204" t="s">
        <v>52</v>
      </c>
      <c r="D1470" s="48" t="s">
        <v>109</v>
      </c>
      <c r="E1470" s="43">
        <v>1875.65</v>
      </c>
      <c r="F1470" s="175" t="s">
        <v>109</v>
      </c>
      <c r="G1470" s="9">
        <f>IF(BD!$E1470="","",(E1470/(H1470*I1470)))</f>
        <v>1875.65</v>
      </c>
      <c r="H1470" s="8">
        <v>1</v>
      </c>
      <c r="I1470" s="8">
        <v>1</v>
      </c>
      <c r="J1470" s="205" t="str">
        <f t="shared" si="45"/>
        <v>PP053</v>
      </c>
      <c r="K1470" s="115"/>
    </row>
    <row r="1471" spans="1:11" ht="45">
      <c r="A1471" s="41">
        <f t="shared" si="46"/>
        <v>54</v>
      </c>
      <c r="B1471" s="42" t="s">
        <v>1184</v>
      </c>
      <c r="C1471" s="204" t="s">
        <v>52</v>
      </c>
      <c r="D1471" s="48" t="s">
        <v>208</v>
      </c>
      <c r="E1471" s="43">
        <v>3130</v>
      </c>
      <c r="F1471" s="175" t="s">
        <v>208</v>
      </c>
      <c r="G1471" s="9">
        <f>IF(BD!$E1471="","",(E1471/(H1471*I1471)))</f>
        <v>3130</v>
      </c>
      <c r="H1471" s="8">
        <v>1</v>
      </c>
      <c r="I1471" s="8">
        <v>1</v>
      </c>
      <c r="J1471" s="205" t="str">
        <f t="shared" si="45"/>
        <v>PP054</v>
      </c>
      <c r="K1471" s="115"/>
    </row>
    <row r="1472" spans="1:11" ht="45">
      <c r="A1472" s="41">
        <f t="shared" si="46"/>
        <v>55</v>
      </c>
      <c r="B1472" s="42" t="s">
        <v>1185</v>
      </c>
      <c r="C1472" s="204" t="s">
        <v>52</v>
      </c>
      <c r="D1472" s="48" t="s">
        <v>208</v>
      </c>
      <c r="E1472" s="43">
        <v>5010</v>
      </c>
      <c r="F1472" s="175" t="s">
        <v>208</v>
      </c>
      <c r="G1472" s="9">
        <f>IF(BD!$E1472="","",(E1472/(H1472*I1472)))</f>
        <v>5010</v>
      </c>
      <c r="H1472" s="8">
        <v>1</v>
      </c>
      <c r="I1472" s="8">
        <v>1</v>
      </c>
      <c r="J1472" s="205" t="str">
        <f t="shared" si="45"/>
        <v>PP055</v>
      </c>
      <c r="K1472" s="115"/>
    </row>
    <row r="1473" spans="1:11">
      <c r="A1473" s="41">
        <f t="shared" si="46"/>
        <v>56</v>
      </c>
      <c r="B1473" s="42" t="s">
        <v>1186</v>
      </c>
      <c r="C1473" s="204" t="s">
        <v>52</v>
      </c>
      <c r="D1473" s="48" t="s">
        <v>109</v>
      </c>
      <c r="E1473" s="43">
        <v>37950</v>
      </c>
      <c r="F1473" s="175" t="s">
        <v>109</v>
      </c>
      <c r="G1473" s="9">
        <f>IF(BD!$E1473="","",(E1473/(H1473*I1473)))</f>
        <v>37950</v>
      </c>
      <c r="H1473" s="8">
        <v>1</v>
      </c>
      <c r="I1473" s="8">
        <v>1</v>
      </c>
      <c r="J1473" s="205" t="str">
        <f t="shared" si="45"/>
        <v>PP056</v>
      </c>
      <c r="K1473" s="115"/>
    </row>
    <row r="1474" spans="1:11">
      <c r="A1474" s="41">
        <f t="shared" si="46"/>
        <v>57</v>
      </c>
      <c r="B1474" s="42" t="s">
        <v>1187</v>
      </c>
      <c r="C1474" s="204" t="s">
        <v>52</v>
      </c>
      <c r="D1474" s="48" t="s">
        <v>1188</v>
      </c>
      <c r="E1474" s="43">
        <v>17375</v>
      </c>
      <c r="F1474" s="175" t="s">
        <v>1188</v>
      </c>
      <c r="G1474" s="9">
        <f>IF(BD!$E1474="","",(E1474/(H1474*I1474)))</f>
        <v>17375</v>
      </c>
      <c r="H1474" s="8">
        <v>1</v>
      </c>
      <c r="I1474" s="8">
        <v>1</v>
      </c>
      <c r="J1474" s="205" t="str">
        <f t="shared" si="45"/>
        <v>PP057</v>
      </c>
      <c r="K1474" s="115"/>
    </row>
    <row r="1475" spans="1:11">
      <c r="A1475" s="41">
        <f t="shared" si="46"/>
        <v>58</v>
      </c>
      <c r="B1475" s="42" t="s">
        <v>1189</v>
      </c>
      <c r="C1475" s="204" t="s">
        <v>52</v>
      </c>
      <c r="D1475" s="48" t="s">
        <v>253</v>
      </c>
      <c r="E1475" s="43">
        <v>107770</v>
      </c>
      <c r="F1475" s="175" t="s">
        <v>253</v>
      </c>
      <c r="G1475" s="9">
        <f>IF(BD!$E1475="","",(E1475/(H1475*I1475)))</f>
        <v>5388.5</v>
      </c>
      <c r="H1475" s="8">
        <v>20</v>
      </c>
      <c r="I1475" s="8">
        <v>1</v>
      </c>
      <c r="J1475" s="205" t="str">
        <f t="shared" si="45"/>
        <v>PP058</v>
      </c>
      <c r="K1475" s="115"/>
    </row>
    <row r="1476" spans="1:11">
      <c r="A1476" s="41">
        <f t="shared" si="46"/>
        <v>59</v>
      </c>
      <c r="B1476" s="42" t="s">
        <v>1190</v>
      </c>
      <c r="C1476" s="204" t="s">
        <v>52</v>
      </c>
      <c r="D1476" s="48" t="s">
        <v>109</v>
      </c>
      <c r="E1476" s="43">
        <v>2670.7666666666669</v>
      </c>
      <c r="F1476" s="175" t="s">
        <v>109</v>
      </c>
      <c r="G1476" s="9">
        <f>IF(BD!$E1476="","",(E1476/(H1476*I1476)))</f>
        <v>2670.7666666666669</v>
      </c>
      <c r="H1476" s="8">
        <v>1</v>
      </c>
      <c r="I1476" s="8">
        <v>1</v>
      </c>
      <c r="J1476" s="205" t="str">
        <f t="shared" si="45"/>
        <v>PP059</v>
      </c>
      <c r="K1476" s="115"/>
    </row>
    <row r="1477" spans="1:11">
      <c r="A1477" s="41">
        <f t="shared" si="46"/>
        <v>60</v>
      </c>
      <c r="B1477" s="42" t="s">
        <v>1191</v>
      </c>
      <c r="C1477" s="204" t="s">
        <v>52</v>
      </c>
      <c r="D1477" s="48" t="s">
        <v>208</v>
      </c>
      <c r="E1477" s="43">
        <v>21800</v>
      </c>
      <c r="F1477" s="175" t="s">
        <v>208</v>
      </c>
      <c r="G1477" s="9">
        <f>IF(BD!$E1477="","",(E1477/(H1477*I1477)))</f>
        <v>436</v>
      </c>
      <c r="H1477" s="8">
        <v>50</v>
      </c>
      <c r="I1477" s="8">
        <v>1</v>
      </c>
      <c r="J1477" s="205" t="str">
        <f t="shared" si="45"/>
        <v>PP060</v>
      </c>
      <c r="K1477" s="115"/>
    </row>
    <row r="1478" spans="1:11">
      <c r="A1478" s="41">
        <f t="shared" si="46"/>
        <v>61</v>
      </c>
      <c r="B1478" s="42" t="s">
        <v>1192</v>
      </c>
      <c r="C1478" s="204" t="s">
        <v>52</v>
      </c>
      <c r="D1478" s="48" t="s">
        <v>1091</v>
      </c>
      <c r="E1478" s="43">
        <v>9196.3666666666668</v>
      </c>
      <c r="F1478" s="175" t="s">
        <v>256</v>
      </c>
      <c r="G1478" s="9">
        <f>IF(BD!$E1478="","",(E1478/(H1478*I1478)))</f>
        <v>1.3137666666666667</v>
      </c>
      <c r="H1478" s="8">
        <v>70</v>
      </c>
      <c r="I1478" s="8">
        <v>100</v>
      </c>
      <c r="J1478" s="205" t="str">
        <f t="shared" si="45"/>
        <v>PP061</v>
      </c>
      <c r="K1478" s="115"/>
    </row>
    <row r="1479" spans="1:11">
      <c r="A1479" s="41">
        <f t="shared" si="46"/>
        <v>62</v>
      </c>
      <c r="B1479" s="42" t="s">
        <v>1193</v>
      </c>
      <c r="C1479" s="204" t="s">
        <v>52</v>
      </c>
      <c r="D1479" s="48" t="s">
        <v>1091</v>
      </c>
      <c r="E1479" s="43">
        <v>9275</v>
      </c>
      <c r="F1479" s="175" t="s">
        <v>1091</v>
      </c>
      <c r="G1479" s="9">
        <f>IF(BD!$E1479="","",(E1479/(H1479*I1479)))</f>
        <v>9275</v>
      </c>
      <c r="H1479" s="8">
        <v>1</v>
      </c>
      <c r="I1479" s="8">
        <v>1</v>
      </c>
      <c r="J1479" s="205" t="str">
        <f t="shared" si="45"/>
        <v>PP062</v>
      </c>
      <c r="K1479" s="115"/>
    </row>
    <row r="1480" spans="1:11">
      <c r="A1480" s="41">
        <f t="shared" si="46"/>
        <v>63</v>
      </c>
      <c r="B1480" s="42" t="s">
        <v>1194</v>
      </c>
      <c r="C1480" s="204" t="s">
        <v>52</v>
      </c>
      <c r="D1480" s="48" t="s">
        <v>109</v>
      </c>
      <c r="E1480" s="43">
        <v>46106.7</v>
      </c>
      <c r="F1480" s="175" t="s">
        <v>109</v>
      </c>
      <c r="G1480" s="9">
        <f>IF(BD!$E1480="","",(E1480/(H1480*I1480)))</f>
        <v>46106.7</v>
      </c>
      <c r="H1480" s="8">
        <v>1</v>
      </c>
      <c r="I1480" s="8">
        <v>1</v>
      </c>
      <c r="J1480" s="205" t="str">
        <f t="shared" si="45"/>
        <v>PP063</v>
      </c>
      <c r="K1480" s="115"/>
    </row>
    <row r="1481" spans="1:11">
      <c r="A1481" s="41">
        <f t="shared" si="46"/>
        <v>64</v>
      </c>
      <c r="B1481" s="42" t="s">
        <v>1195</v>
      </c>
      <c r="C1481" s="204" t="s">
        <v>52</v>
      </c>
      <c r="D1481" s="48" t="s">
        <v>253</v>
      </c>
      <c r="E1481" s="43">
        <v>38155</v>
      </c>
      <c r="F1481" s="175" t="s">
        <v>253</v>
      </c>
      <c r="G1481" s="9">
        <f>IF(BD!$E1481="","",(E1481/(H1481*I1481)))</f>
        <v>763.1</v>
      </c>
      <c r="H1481" s="8">
        <v>50</v>
      </c>
      <c r="I1481" s="8">
        <v>1</v>
      </c>
      <c r="J1481" s="205" t="str">
        <f t="shared" si="45"/>
        <v>PP064</v>
      </c>
      <c r="K1481" s="115"/>
    </row>
    <row r="1482" spans="1:11">
      <c r="A1482" s="41">
        <f t="shared" si="46"/>
        <v>65</v>
      </c>
      <c r="B1482" s="42" t="s">
        <v>1196</v>
      </c>
      <c r="C1482" s="204" t="s">
        <v>52</v>
      </c>
      <c r="D1482" s="48" t="s">
        <v>1091</v>
      </c>
      <c r="E1482" s="43">
        <v>189.5</v>
      </c>
      <c r="F1482" s="175" t="s">
        <v>1091</v>
      </c>
      <c r="G1482" s="9">
        <f>IF(BD!$E1482="","",(E1482/(H1482*I1482)))</f>
        <v>189.5</v>
      </c>
      <c r="H1482" s="8">
        <v>1</v>
      </c>
      <c r="I1482" s="8">
        <v>1</v>
      </c>
      <c r="J1482" s="205" t="str">
        <f t="shared" ref="J1482:J1499" si="47">CONCATENATE(LEFT(C1482,1),MID(C1482,SEARCH("_",C1482)+1,2),TEXT(A1482,"000"))</f>
        <v>PP065</v>
      </c>
      <c r="K1482" s="115"/>
    </row>
    <row r="1483" spans="1:11">
      <c r="A1483" s="41">
        <f t="shared" ref="A1483:A1499" si="48">A1482+1</f>
        <v>66</v>
      </c>
      <c r="B1483" s="42" t="s">
        <v>1197</v>
      </c>
      <c r="C1483" s="204" t="s">
        <v>52</v>
      </c>
      <c r="D1483" s="48" t="s">
        <v>109</v>
      </c>
      <c r="E1483" s="43">
        <v>13585</v>
      </c>
      <c r="F1483" s="175" t="s">
        <v>109</v>
      </c>
      <c r="G1483" s="9">
        <f>IF(BD!$E1483="","",(E1483/(H1483*I1483)))</f>
        <v>13585</v>
      </c>
      <c r="H1483" s="8">
        <v>1</v>
      </c>
      <c r="I1483" s="8">
        <v>1</v>
      </c>
      <c r="J1483" s="205" t="str">
        <f t="shared" si="47"/>
        <v>PP066</v>
      </c>
      <c r="K1483" s="115"/>
    </row>
    <row r="1484" spans="1:11">
      <c r="A1484" s="41">
        <f t="shared" si="48"/>
        <v>67</v>
      </c>
      <c r="B1484" s="42" t="s">
        <v>1198</v>
      </c>
      <c r="C1484" s="204" t="s">
        <v>52</v>
      </c>
      <c r="D1484" s="48" t="s">
        <v>1199</v>
      </c>
      <c r="E1484" s="43">
        <v>5850</v>
      </c>
      <c r="F1484" s="175" t="s">
        <v>1199</v>
      </c>
      <c r="G1484" s="9">
        <f>IF(BD!$E1484="","",(E1484/(H1484*I1484)))</f>
        <v>5850</v>
      </c>
      <c r="H1484" s="8">
        <v>1</v>
      </c>
      <c r="I1484" s="8">
        <v>1</v>
      </c>
      <c r="J1484" s="205" t="str">
        <f t="shared" si="47"/>
        <v>PP067</v>
      </c>
      <c r="K1484" s="115"/>
    </row>
    <row r="1485" spans="1:11">
      <c r="A1485" s="41">
        <f t="shared" si="48"/>
        <v>68</v>
      </c>
      <c r="B1485" s="42" t="s">
        <v>1200</v>
      </c>
      <c r="C1485" s="204" t="s">
        <v>52</v>
      </c>
      <c r="D1485" s="48" t="s">
        <v>109</v>
      </c>
      <c r="E1485" s="43">
        <v>25650</v>
      </c>
      <c r="F1485" s="175" t="s">
        <v>109</v>
      </c>
      <c r="G1485" s="9">
        <f>IF(BD!$E1485="","",(E1485/(H1485*I1485)))</f>
        <v>25650</v>
      </c>
      <c r="H1485" s="8">
        <v>1</v>
      </c>
      <c r="I1485" s="8">
        <v>1</v>
      </c>
      <c r="J1485" s="205" t="str">
        <f t="shared" si="47"/>
        <v>PP068</v>
      </c>
      <c r="K1485" s="115"/>
    </row>
    <row r="1486" spans="1:11">
      <c r="A1486" s="41">
        <f t="shared" si="48"/>
        <v>69</v>
      </c>
      <c r="B1486" s="42" t="s">
        <v>1201</v>
      </c>
      <c r="C1486" s="204" t="s">
        <v>52</v>
      </c>
      <c r="D1486" s="48" t="s">
        <v>109</v>
      </c>
      <c r="E1486" s="43">
        <v>2760</v>
      </c>
      <c r="F1486" s="175" t="s">
        <v>109</v>
      </c>
      <c r="G1486" s="9">
        <f>IF(BD!$E1486="","",(E1486/(H1486*I1486)))</f>
        <v>2760</v>
      </c>
      <c r="H1486" s="8">
        <v>1</v>
      </c>
      <c r="I1486" s="8">
        <v>1</v>
      </c>
      <c r="J1486" s="205" t="str">
        <f t="shared" si="47"/>
        <v>PP069</v>
      </c>
      <c r="K1486" s="115"/>
    </row>
    <row r="1487" spans="1:11">
      <c r="A1487" s="41">
        <f t="shared" si="48"/>
        <v>70</v>
      </c>
      <c r="B1487" s="42" t="s">
        <v>1202</v>
      </c>
      <c r="C1487" s="204" t="s">
        <v>52</v>
      </c>
      <c r="D1487" s="48" t="s">
        <v>109</v>
      </c>
      <c r="E1487" s="43">
        <v>109000</v>
      </c>
      <c r="F1487" s="175" t="s">
        <v>109</v>
      </c>
      <c r="G1487" s="9">
        <f>IF(BD!$E1487="","",(E1487/(H1487*I1487)))</f>
        <v>109000</v>
      </c>
      <c r="H1487" s="8">
        <v>1</v>
      </c>
      <c r="I1487" s="8">
        <v>1</v>
      </c>
      <c r="J1487" s="205" t="str">
        <f t="shared" si="47"/>
        <v>PP070</v>
      </c>
      <c r="K1487" s="115"/>
    </row>
    <row r="1488" spans="1:11">
      <c r="A1488" s="41">
        <f t="shared" si="48"/>
        <v>71</v>
      </c>
      <c r="B1488" s="42" t="s">
        <v>1203</v>
      </c>
      <c r="C1488" s="204" t="s">
        <v>52</v>
      </c>
      <c r="D1488" s="48" t="s">
        <v>109</v>
      </c>
      <c r="E1488" s="43">
        <v>758.33233532934105</v>
      </c>
      <c r="F1488" s="175" t="s">
        <v>109</v>
      </c>
      <c r="G1488" s="9">
        <f>IF(BD!$E1488="","",(E1488/(H1488*I1488)))</f>
        <v>758.33233532934105</v>
      </c>
      <c r="H1488" s="8">
        <v>1</v>
      </c>
      <c r="I1488" s="8">
        <v>1</v>
      </c>
      <c r="J1488" s="205" t="str">
        <f t="shared" si="47"/>
        <v>PP071</v>
      </c>
      <c r="K1488" s="115"/>
    </row>
    <row r="1489" spans="1:11">
      <c r="A1489" s="41">
        <f t="shared" si="48"/>
        <v>72</v>
      </c>
      <c r="B1489" s="42" t="s">
        <v>1204</v>
      </c>
      <c r="C1489" s="204" t="s">
        <v>52</v>
      </c>
      <c r="D1489" s="48" t="s">
        <v>109</v>
      </c>
      <c r="E1489" s="43">
        <v>2233.3000000000002</v>
      </c>
      <c r="F1489" s="175" t="s">
        <v>109</v>
      </c>
      <c r="G1489" s="9">
        <f>IF(BD!$E1489="","",(E1489/(H1489*I1489)))</f>
        <v>2233.3000000000002</v>
      </c>
      <c r="H1489" s="8">
        <v>1</v>
      </c>
      <c r="I1489" s="8">
        <v>1</v>
      </c>
      <c r="J1489" s="205" t="str">
        <f t="shared" si="47"/>
        <v>PP072</v>
      </c>
      <c r="K1489" s="115"/>
    </row>
    <row r="1490" spans="1:11">
      <c r="A1490" s="41">
        <f t="shared" si="48"/>
        <v>73</v>
      </c>
      <c r="B1490" s="42" t="s">
        <v>1205</v>
      </c>
      <c r="C1490" s="204" t="s">
        <v>52</v>
      </c>
      <c r="D1490" s="48" t="s">
        <v>109</v>
      </c>
      <c r="E1490" s="43">
        <v>17680</v>
      </c>
      <c r="F1490" s="175" t="s">
        <v>109</v>
      </c>
      <c r="G1490" s="9">
        <f>IF(BD!$E1490="","",(E1490/(H1490*I1490)))</f>
        <v>17680</v>
      </c>
      <c r="H1490" s="8">
        <v>1</v>
      </c>
      <c r="I1490" s="8">
        <v>1</v>
      </c>
      <c r="J1490" s="205" t="str">
        <f t="shared" si="47"/>
        <v>PP073</v>
      </c>
      <c r="K1490" s="115"/>
    </row>
    <row r="1491" spans="1:11">
      <c r="A1491" s="41">
        <f t="shared" si="48"/>
        <v>74</v>
      </c>
      <c r="B1491" s="42" t="s">
        <v>1206</v>
      </c>
      <c r="C1491" s="204" t="s">
        <v>52</v>
      </c>
      <c r="D1491" s="48" t="s">
        <v>109</v>
      </c>
      <c r="E1491" s="43">
        <v>16710</v>
      </c>
      <c r="F1491" s="175" t="s">
        <v>109</v>
      </c>
      <c r="G1491" s="9">
        <f>IF(BD!$E1491="","",(E1491/(H1491*I1491)))</f>
        <v>16710</v>
      </c>
      <c r="H1491" s="8">
        <v>1</v>
      </c>
      <c r="I1491" s="8">
        <v>1</v>
      </c>
      <c r="J1491" s="205" t="str">
        <f t="shared" si="47"/>
        <v>PP074</v>
      </c>
      <c r="K1491" s="115"/>
    </row>
    <row r="1492" spans="1:11" ht="30">
      <c r="A1492" s="41">
        <f t="shared" si="48"/>
        <v>75</v>
      </c>
      <c r="B1492" s="36" t="s">
        <v>1207</v>
      </c>
      <c r="C1492" s="204" t="s">
        <v>52</v>
      </c>
      <c r="D1492" s="48" t="s">
        <v>109</v>
      </c>
      <c r="E1492" s="43">
        <v>1270000</v>
      </c>
      <c r="F1492" s="175" t="s">
        <v>109</v>
      </c>
      <c r="G1492" s="9">
        <f>IF(BD!$E1499="","",(E1492/(H1492*I1492)))</f>
        <v>1270000</v>
      </c>
      <c r="H1492" s="8">
        <v>1</v>
      </c>
      <c r="I1492" s="8">
        <v>1</v>
      </c>
      <c r="J1492" s="205" t="str">
        <f t="shared" si="47"/>
        <v>PP075</v>
      </c>
      <c r="K1492" s="115"/>
    </row>
    <row r="1493" spans="1:11">
      <c r="A1493" s="41">
        <f t="shared" si="48"/>
        <v>76</v>
      </c>
      <c r="B1493" s="42" t="s">
        <v>1208</v>
      </c>
      <c r="C1493" s="204" t="s">
        <v>52</v>
      </c>
      <c r="D1493" s="48" t="s">
        <v>109</v>
      </c>
      <c r="E1493" s="43">
        <v>4120</v>
      </c>
      <c r="F1493" s="175" t="s">
        <v>109</v>
      </c>
      <c r="G1493" s="9">
        <f>IF(BD!$E1492="","",(E1493/(H1493*I1493)))</f>
        <v>4120</v>
      </c>
      <c r="H1493" s="8">
        <v>1</v>
      </c>
      <c r="I1493" s="8">
        <v>1</v>
      </c>
      <c r="J1493" s="205" t="str">
        <f t="shared" si="47"/>
        <v>PP076</v>
      </c>
      <c r="K1493" s="115"/>
    </row>
    <row r="1494" spans="1:11" ht="30">
      <c r="A1494" s="41">
        <f t="shared" si="48"/>
        <v>77</v>
      </c>
      <c r="B1494" s="42" t="s">
        <v>1209</v>
      </c>
      <c r="C1494" s="204" t="s">
        <v>52</v>
      </c>
      <c r="D1494" s="48" t="s">
        <v>216</v>
      </c>
      <c r="E1494" s="43">
        <v>45500</v>
      </c>
      <c r="F1494" s="175" t="s">
        <v>216</v>
      </c>
      <c r="G1494" s="9">
        <f>IF(BD!$E1493="","",(E1494/(H1494*I1494)))</f>
        <v>45500</v>
      </c>
      <c r="H1494" s="8">
        <v>1</v>
      </c>
      <c r="I1494" s="8">
        <v>1</v>
      </c>
      <c r="J1494" s="205" t="str">
        <f t="shared" si="47"/>
        <v>PP077</v>
      </c>
      <c r="K1494" s="115"/>
    </row>
    <row r="1495" spans="1:11" ht="30">
      <c r="A1495" s="41">
        <f t="shared" si="48"/>
        <v>78</v>
      </c>
      <c r="B1495" s="42" t="s">
        <v>1210</v>
      </c>
      <c r="C1495" s="204" t="s">
        <v>52</v>
      </c>
      <c r="D1495" s="48" t="s">
        <v>216</v>
      </c>
      <c r="E1495" s="43">
        <v>44156.666666666664</v>
      </c>
      <c r="F1495" s="175" t="s">
        <v>216</v>
      </c>
      <c r="G1495" s="9">
        <f>IF(BD!$E1494="","",(E1495/(H1495*I1495)))</f>
        <v>44156.666666666664</v>
      </c>
      <c r="H1495" s="8">
        <v>1</v>
      </c>
      <c r="I1495" s="8">
        <v>1</v>
      </c>
      <c r="J1495" s="205" t="str">
        <f t="shared" si="47"/>
        <v>PP078</v>
      </c>
      <c r="K1495" s="115"/>
    </row>
    <row r="1496" spans="1:11">
      <c r="A1496" s="41">
        <f t="shared" si="48"/>
        <v>79</v>
      </c>
      <c r="B1496" s="42" t="s">
        <v>1211</v>
      </c>
      <c r="C1496" s="204" t="s">
        <v>52</v>
      </c>
      <c r="D1496" s="48" t="s">
        <v>216</v>
      </c>
      <c r="E1496" s="43">
        <v>43333.333333333336</v>
      </c>
      <c r="F1496" s="175" t="s">
        <v>216</v>
      </c>
      <c r="G1496" s="9">
        <f>IF(BD!$E1495="","",(E1496/(H1496*I1496)))</f>
        <v>43333.333333333336</v>
      </c>
      <c r="H1496" s="8">
        <v>1</v>
      </c>
      <c r="I1496" s="8">
        <v>1</v>
      </c>
      <c r="J1496" s="205" t="str">
        <f t="shared" si="47"/>
        <v>PP079</v>
      </c>
      <c r="K1496" s="115"/>
    </row>
    <row r="1497" spans="1:11">
      <c r="A1497" s="41">
        <f t="shared" si="48"/>
        <v>80</v>
      </c>
      <c r="B1497" s="42" t="s">
        <v>1212</v>
      </c>
      <c r="C1497" s="204" t="s">
        <v>52</v>
      </c>
      <c r="D1497" s="48" t="s">
        <v>109</v>
      </c>
      <c r="E1497" s="43">
        <v>2860</v>
      </c>
      <c r="F1497" s="175" t="s">
        <v>109</v>
      </c>
      <c r="G1497" s="9">
        <f>IF(BD!$E1496="","",(E1497/(H1497*I1497)))</f>
        <v>2860</v>
      </c>
      <c r="H1497" s="8">
        <v>1</v>
      </c>
      <c r="I1497" s="8">
        <v>1</v>
      </c>
      <c r="J1497" s="205" t="str">
        <f t="shared" si="47"/>
        <v>PP080</v>
      </c>
      <c r="K1497" s="115"/>
    </row>
    <row r="1498" spans="1:11">
      <c r="A1498" s="41">
        <f t="shared" si="48"/>
        <v>81</v>
      </c>
      <c r="B1498" s="83" t="s">
        <v>1213</v>
      </c>
      <c r="C1498" s="204" t="s">
        <v>52</v>
      </c>
      <c r="D1498" s="82" t="s">
        <v>109</v>
      </c>
      <c r="E1498" s="155">
        <v>212420</v>
      </c>
      <c r="F1498" s="179" t="s">
        <v>109</v>
      </c>
      <c r="G1498" s="9">
        <f>IF(BD!$E1497="","",(E1498/(H1498*I1498)))</f>
        <v>212420</v>
      </c>
      <c r="H1498" s="8">
        <v>1</v>
      </c>
      <c r="I1498" s="8">
        <v>1</v>
      </c>
      <c r="J1498" s="205" t="str">
        <f t="shared" si="47"/>
        <v>PP081</v>
      </c>
      <c r="K1498" s="115"/>
    </row>
    <row r="1499" spans="1:11">
      <c r="A1499" s="41">
        <f t="shared" si="48"/>
        <v>82</v>
      </c>
      <c r="B1499" s="42" t="s">
        <v>1214</v>
      </c>
      <c r="C1499" s="204" t="s">
        <v>52</v>
      </c>
      <c r="D1499" s="48" t="s">
        <v>109</v>
      </c>
      <c r="E1499" s="43">
        <v>245960</v>
      </c>
      <c r="F1499" s="175" t="s">
        <v>109</v>
      </c>
      <c r="G1499" s="9">
        <f>IF(BD!$E1498="","",(E1499/(H1499*I1499)))</f>
        <v>245960</v>
      </c>
      <c r="H1499" s="8">
        <v>1</v>
      </c>
      <c r="I1499" s="8">
        <v>1</v>
      </c>
      <c r="J1499" s="205" t="str">
        <f t="shared" si="47"/>
        <v>PP082</v>
      </c>
      <c r="K1499" s="115"/>
    </row>
    <row r="1500" spans="1:11">
      <c r="B1500"/>
      <c r="C1500"/>
      <c r="D1500"/>
      <c r="E1500"/>
      <c r="F1500" s="176"/>
      <c r="H1500"/>
      <c r="I1500"/>
    </row>
    <row r="1501" spans="1:11">
      <c r="B1501"/>
      <c r="C1501"/>
      <c r="D1501"/>
      <c r="E1501"/>
      <c r="F1501" s="176"/>
      <c r="H1501"/>
      <c r="I1501"/>
    </row>
    <row r="1502" spans="1:11">
      <c r="B1502"/>
      <c r="C1502"/>
      <c r="D1502"/>
      <c r="E1502"/>
      <c r="F1502" s="176"/>
      <c r="H1502"/>
      <c r="I1502"/>
    </row>
    <row r="1503" spans="1:11">
      <c r="B1503"/>
      <c r="C1503"/>
      <c r="D1503"/>
      <c r="E1503"/>
      <c r="F1503" s="176"/>
      <c r="H1503"/>
      <c r="I1503"/>
    </row>
    <row r="1504" spans="1:11">
      <c r="B1504"/>
      <c r="C1504"/>
      <c r="D1504"/>
      <c r="E1504"/>
      <c r="F1504" s="176"/>
      <c r="H1504"/>
      <c r="I1504"/>
    </row>
    <row r="1505" spans="1:11">
      <c r="B1505"/>
      <c r="C1505"/>
      <c r="D1505"/>
      <c r="E1505"/>
      <c r="F1505" s="176"/>
      <c r="H1505"/>
      <c r="I1505"/>
    </row>
    <row r="1506" spans="1:11">
      <c r="B1506"/>
      <c r="C1506"/>
      <c r="D1506"/>
      <c r="E1506"/>
      <c r="F1506" s="176"/>
      <c r="H1506"/>
      <c r="I1506"/>
    </row>
    <row r="1507" spans="1:11" ht="15.75">
      <c r="A1507" s="75"/>
      <c r="B1507" s="76" t="s">
        <v>120</v>
      </c>
      <c r="C1507" s="75"/>
      <c r="D1507" s="75"/>
      <c r="E1507" s="75"/>
      <c r="F1507" s="177"/>
      <c r="G1507" s="75"/>
      <c r="H1507" s="75"/>
      <c r="I1507" s="75"/>
      <c r="J1507" s="75"/>
    </row>
    <row r="1508" spans="1:11">
      <c r="B1508"/>
      <c r="C1508"/>
      <c r="D1508"/>
      <c r="E1508"/>
      <c r="F1508" s="176"/>
      <c r="H1508"/>
      <c r="I1508"/>
    </row>
    <row r="1510" spans="1:11" ht="28.5" customHeight="1">
      <c r="A1510" s="130" t="s">
        <v>90</v>
      </c>
      <c r="B1510" s="248">
        <f>SUBTOTAL(3,(B1512:B1597))</f>
        <v>86</v>
      </c>
      <c r="C1510" s="489"/>
      <c r="D1510" s="489"/>
      <c r="E1510"/>
      <c r="F1510" s="176"/>
      <c r="H1510"/>
      <c r="I1510"/>
    </row>
    <row r="1511" spans="1:11" ht="47.25">
      <c r="A1511" s="87" t="s">
        <v>72</v>
      </c>
      <c r="B1511" s="131" t="s">
        <v>92</v>
      </c>
      <c r="C1511" s="97" t="s">
        <v>93</v>
      </c>
      <c r="D1511" s="98" t="s">
        <v>94</v>
      </c>
      <c r="E1511" s="86" t="s">
        <v>95</v>
      </c>
      <c r="F1511" s="183" t="s">
        <v>96</v>
      </c>
      <c r="G1511" s="99" t="s">
        <v>97</v>
      </c>
      <c r="H1511" s="100" t="s">
        <v>98</v>
      </c>
      <c r="I1511" s="100" t="s">
        <v>99</v>
      </c>
      <c r="J1511" s="101" t="s">
        <v>100</v>
      </c>
      <c r="K1511" s="255" t="s">
        <v>101</v>
      </c>
    </row>
    <row r="1512" spans="1:11">
      <c r="A1512" s="79">
        <v>1</v>
      </c>
      <c r="B1512" s="96" t="s">
        <v>1215</v>
      </c>
      <c r="C1512" s="95" t="s">
        <v>1216</v>
      </c>
      <c r="D1512" s="91" t="s">
        <v>103</v>
      </c>
      <c r="E1512" s="89"/>
      <c r="F1512" s="184" t="s">
        <v>103</v>
      </c>
      <c r="G1512" s="92"/>
      <c r="H1512" s="93"/>
      <c r="I1512" s="93"/>
      <c r="J1512" s="94"/>
    </row>
    <row r="1513" spans="1:11">
      <c r="A1513" s="79">
        <f>A1512+1</f>
        <v>2</v>
      </c>
      <c r="B1513" s="96" t="s">
        <v>1217</v>
      </c>
      <c r="C1513" s="95" t="s">
        <v>1216</v>
      </c>
      <c r="D1513" s="88" t="s">
        <v>103</v>
      </c>
      <c r="E1513" s="89"/>
      <c r="F1513" s="185" t="s">
        <v>103</v>
      </c>
      <c r="G1513" s="11"/>
      <c r="H1513" s="90"/>
      <c r="I1513" s="90"/>
      <c r="J1513" s="84"/>
    </row>
    <row r="1514" spans="1:11">
      <c r="A1514" s="79">
        <f t="shared" ref="A1514:A1577" si="49">A1513+1</f>
        <v>3</v>
      </c>
      <c r="B1514" s="96" t="s">
        <v>1218</v>
      </c>
      <c r="C1514" s="95" t="s">
        <v>1216</v>
      </c>
      <c r="D1514" s="88" t="s">
        <v>1219</v>
      </c>
      <c r="E1514" s="89"/>
      <c r="F1514" s="185" t="s">
        <v>1219</v>
      </c>
      <c r="G1514" s="11"/>
      <c r="H1514" s="90"/>
      <c r="I1514" s="90"/>
      <c r="J1514" s="84"/>
    </row>
    <row r="1515" spans="1:11">
      <c r="A1515" s="79">
        <f t="shared" si="49"/>
        <v>4</v>
      </c>
      <c r="B1515" s="96" t="s">
        <v>1220</v>
      </c>
      <c r="C1515" s="95" t="s">
        <v>1216</v>
      </c>
      <c r="D1515" s="91" t="s">
        <v>103</v>
      </c>
      <c r="E1515" s="89"/>
      <c r="F1515" s="184" t="s">
        <v>103</v>
      </c>
      <c r="G1515" s="92"/>
      <c r="H1515" s="93"/>
      <c r="I1515" s="93"/>
      <c r="J1515" s="94"/>
    </row>
    <row r="1516" spans="1:11">
      <c r="A1516" s="79">
        <f t="shared" si="49"/>
        <v>5</v>
      </c>
      <c r="B1516" s="96" t="s">
        <v>1221</v>
      </c>
      <c r="C1516" s="95" t="s">
        <v>1216</v>
      </c>
      <c r="D1516" s="88" t="s">
        <v>103</v>
      </c>
      <c r="E1516" s="89"/>
      <c r="F1516" s="185" t="s">
        <v>103</v>
      </c>
      <c r="G1516" s="11"/>
      <c r="H1516" s="90"/>
      <c r="I1516" s="90"/>
      <c r="J1516" s="84"/>
    </row>
    <row r="1517" spans="1:11">
      <c r="A1517" s="79">
        <f t="shared" si="49"/>
        <v>6</v>
      </c>
      <c r="B1517" s="96" t="s">
        <v>1222</v>
      </c>
      <c r="C1517" s="95" t="s">
        <v>1216</v>
      </c>
      <c r="D1517" s="88" t="s">
        <v>103</v>
      </c>
      <c r="E1517" s="89"/>
      <c r="F1517" s="185" t="s">
        <v>103</v>
      </c>
      <c r="G1517" s="11"/>
      <c r="H1517" s="90"/>
      <c r="I1517" s="90"/>
      <c r="J1517" s="84"/>
    </row>
    <row r="1518" spans="1:11">
      <c r="A1518" s="79">
        <f t="shared" si="49"/>
        <v>7</v>
      </c>
      <c r="B1518" s="96" t="s">
        <v>1223</v>
      </c>
      <c r="C1518" s="95" t="s">
        <v>1216</v>
      </c>
      <c r="D1518" s="91" t="s">
        <v>103</v>
      </c>
      <c r="E1518" s="89"/>
      <c r="F1518" s="184" t="s">
        <v>103</v>
      </c>
      <c r="G1518" s="92"/>
      <c r="H1518" s="93"/>
      <c r="I1518" s="93"/>
      <c r="J1518" s="94"/>
    </row>
    <row r="1519" spans="1:11">
      <c r="A1519" s="79">
        <f t="shared" si="49"/>
        <v>8</v>
      </c>
      <c r="B1519" s="96" t="s">
        <v>1224</v>
      </c>
      <c r="C1519" s="95" t="s">
        <v>1216</v>
      </c>
      <c r="D1519" s="91" t="s">
        <v>104</v>
      </c>
      <c r="E1519" s="89"/>
      <c r="F1519" s="184" t="s">
        <v>104</v>
      </c>
      <c r="G1519" s="92"/>
      <c r="H1519" s="93"/>
      <c r="I1519" s="93"/>
      <c r="J1519" s="94"/>
    </row>
    <row r="1520" spans="1:11">
      <c r="A1520" s="79">
        <f t="shared" si="49"/>
        <v>9</v>
      </c>
      <c r="B1520" s="96" t="s">
        <v>1225</v>
      </c>
      <c r="C1520" s="95" t="s">
        <v>1216</v>
      </c>
      <c r="D1520" s="88" t="s">
        <v>483</v>
      </c>
      <c r="E1520" s="89"/>
      <c r="F1520" s="185" t="s">
        <v>483</v>
      </c>
      <c r="G1520" s="11"/>
      <c r="H1520" s="90"/>
      <c r="I1520" s="90"/>
      <c r="J1520" s="84"/>
    </row>
    <row r="1521" spans="1:10">
      <c r="A1521" s="79">
        <f t="shared" si="49"/>
        <v>10</v>
      </c>
      <c r="B1521" s="96" t="s">
        <v>1226</v>
      </c>
      <c r="C1521" s="95" t="s">
        <v>1216</v>
      </c>
      <c r="D1521" s="91" t="s">
        <v>1219</v>
      </c>
      <c r="E1521" s="89"/>
      <c r="F1521" s="184" t="s">
        <v>1219</v>
      </c>
      <c r="G1521" s="92"/>
      <c r="H1521" s="93"/>
      <c r="I1521" s="93"/>
      <c r="J1521" s="94"/>
    </row>
    <row r="1522" spans="1:10">
      <c r="A1522" s="79">
        <f t="shared" si="49"/>
        <v>11</v>
      </c>
      <c r="B1522" s="96" t="s">
        <v>1227</v>
      </c>
      <c r="C1522" s="95" t="s">
        <v>1216</v>
      </c>
      <c r="D1522" s="91" t="s">
        <v>103</v>
      </c>
      <c r="E1522" s="89"/>
      <c r="F1522" s="184" t="s">
        <v>103</v>
      </c>
      <c r="G1522" s="92"/>
      <c r="H1522" s="93"/>
      <c r="I1522" s="93"/>
      <c r="J1522" s="94"/>
    </row>
    <row r="1523" spans="1:10">
      <c r="A1523" s="79">
        <f t="shared" si="49"/>
        <v>12</v>
      </c>
      <c r="B1523" s="96" t="s">
        <v>1228</v>
      </c>
      <c r="C1523" s="95" t="s">
        <v>1216</v>
      </c>
      <c r="D1523" s="88" t="s">
        <v>1219</v>
      </c>
      <c r="E1523" s="89"/>
      <c r="F1523" s="185" t="s">
        <v>1219</v>
      </c>
      <c r="G1523" s="92"/>
      <c r="H1523" s="93"/>
      <c r="I1523" s="93"/>
      <c r="J1523" s="94"/>
    </row>
    <row r="1524" spans="1:10">
      <c r="A1524" s="79">
        <f t="shared" si="49"/>
        <v>13</v>
      </c>
      <c r="B1524" s="96" t="s">
        <v>1229</v>
      </c>
      <c r="C1524" s="95" t="s">
        <v>1216</v>
      </c>
      <c r="D1524" s="91" t="s">
        <v>104</v>
      </c>
      <c r="E1524" s="89"/>
      <c r="F1524" s="184" t="s">
        <v>104</v>
      </c>
      <c r="G1524" s="92"/>
      <c r="H1524" s="93"/>
      <c r="I1524" s="93"/>
      <c r="J1524" s="94"/>
    </row>
    <row r="1525" spans="1:10">
      <c r="A1525" s="79">
        <f t="shared" si="49"/>
        <v>14</v>
      </c>
      <c r="B1525" s="96" t="s">
        <v>1230</v>
      </c>
      <c r="C1525" s="95" t="s">
        <v>1216</v>
      </c>
      <c r="D1525" s="91" t="s">
        <v>103</v>
      </c>
      <c r="E1525" s="89"/>
      <c r="F1525" s="184" t="s">
        <v>103</v>
      </c>
      <c r="G1525" s="92"/>
      <c r="H1525" s="93"/>
      <c r="I1525" s="93"/>
      <c r="J1525" s="94"/>
    </row>
    <row r="1526" spans="1:10">
      <c r="A1526" s="79">
        <f t="shared" si="49"/>
        <v>15</v>
      </c>
      <c r="B1526" s="96" t="s">
        <v>1231</v>
      </c>
      <c r="C1526" s="95" t="s">
        <v>1216</v>
      </c>
      <c r="D1526" s="88" t="s">
        <v>103</v>
      </c>
      <c r="E1526" s="89"/>
      <c r="F1526" s="185" t="s">
        <v>103</v>
      </c>
      <c r="G1526" s="11"/>
      <c r="H1526" s="90"/>
      <c r="I1526" s="90"/>
      <c r="J1526" s="84"/>
    </row>
    <row r="1527" spans="1:10">
      <c r="A1527" s="79">
        <f t="shared" si="49"/>
        <v>16</v>
      </c>
      <c r="B1527" s="96" t="s">
        <v>1232</v>
      </c>
      <c r="C1527" s="95" t="s">
        <v>1216</v>
      </c>
      <c r="D1527" s="88" t="s">
        <v>103</v>
      </c>
      <c r="E1527" s="89"/>
      <c r="F1527" s="185" t="s">
        <v>103</v>
      </c>
      <c r="G1527" s="11"/>
      <c r="H1527" s="90"/>
      <c r="I1527" s="90"/>
      <c r="J1527" s="84"/>
    </row>
    <row r="1528" spans="1:10">
      <c r="A1528" s="79">
        <f t="shared" si="49"/>
        <v>17</v>
      </c>
      <c r="B1528" s="96" t="s">
        <v>1233</v>
      </c>
      <c r="C1528" s="95" t="s">
        <v>1216</v>
      </c>
      <c r="D1528" s="88" t="s">
        <v>483</v>
      </c>
      <c r="E1528" s="89"/>
      <c r="F1528" s="185" t="s">
        <v>483</v>
      </c>
      <c r="G1528" s="11"/>
      <c r="H1528" s="90"/>
      <c r="I1528" s="90"/>
      <c r="J1528" s="84"/>
    </row>
    <row r="1529" spans="1:10">
      <c r="A1529" s="79">
        <f t="shared" si="49"/>
        <v>18</v>
      </c>
      <c r="B1529" s="96" t="s">
        <v>1234</v>
      </c>
      <c r="C1529" s="95" t="s">
        <v>1216</v>
      </c>
      <c r="D1529" s="88" t="s">
        <v>103</v>
      </c>
      <c r="E1529" s="89"/>
      <c r="F1529" s="185" t="s">
        <v>103</v>
      </c>
      <c r="G1529" s="11"/>
      <c r="H1529" s="90"/>
      <c r="I1529" s="90"/>
      <c r="J1529" s="84"/>
    </row>
    <row r="1530" spans="1:10">
      <c r="A1530" s="79">
        <f t="shared" si="49"/>
        <v>19</v>
      </c>
      <c r="B1530" s="96" t="s">
        <v>1235</v>
      </c>
      <c r="C1530" s="95" t="s">
        <v>1216</v>
      </c>
      <c r="D1530" s="88" t="s">
        <v>483</v>
      </c>
      <c r="E1530" s="89"/>
      <c r="F1530" s="185" t="s">
        <v>483</v>
      </c>
      <c r="G1530" s="11"/>
      <c r="H1530" s="90"/>
      <c r="I1530" s="90"/>
      <c r="J1530" s="84"/>
    </row>
    <row r="1531" spans="1:10">
      <c r="A1531" s="79">
        <f t="shared" si="49"/>
        <v>20</v>
      </c>
      <c r="B1531" s="96" t="s">
        <v>1236</v>
      </c>
      <c r="C1531" s="95" t="s">
        <v>1216</v>
      </c>
      <c r="D1531" s="88" t="s">
        <v>1051</v>
      </c>
      <c r="E1531" s="89"/>
      <c r="F1531" s="185" t="s">
        <v>1051</v>
      </c>
      <c r="G1531" s="11"/>
      <c r="H1531" s="90"/>
      <c r="I1531" s="90"/>
      <c r="J1531" s="84"/>
    </row>
    <row r="1532" spans="1:10">
      <c r="A1532" s="79">
        <f t="shared" si="49"/>
        <v>21</v>
      </c>
      <c r="B1532" s="96" t="s">
        <v>1237</v>
      </c>
      <c r="C1532" s="95" t="s">
        <v>1216</v>
      </c>
      <c r="D1532" s="88" t="s">
        <v>483</v>
      </c>
      <c r="E1532" s="89"/>
      <c r="F1532" s="185" t="s">
        <v>483</v>
      </c>
      <c r="G1532" s="11"/>
      <c r="H1532" s="90"/>
      <c r="I1532" s="90"/>
      <c r="J1532" s="84"/>
    </row>
    <row r="1533" spans="1:10">
      <c r="A1533" s="79">
        <f t="shared" si="49"/>
        <v>22</v>
      </c>
      <c r="B1533" s="96" t="s">
        <v>1238</v>
      </c>
      <c r="C1533" s="95" t="s">
        <v>1216</v>
      </c>
      <c r="D1533" s="88" t="s">
        <v>104</v>
      </c>
      <c r="E1533" s="89"/>
      <c r="F1533" s="185" t="s">
        <v>104</v>
      </c>
      <c r="G1533" s="11"/>
      <c r="H1533" s="90"/>
      <c r="I1533" s="90"/>
      <c r="J1533" s="84"/>
    </row>
    <row r="1534" spans="1:10">
      <c r="A1534" s="79">
        <f t="shared" si="49"/>
        <v>23</v>
      </c>
      <c r="B1534" s="96" t="s">
        <v>1239</v>
      </c>
      <c r="C1534" s="95" t="s">
        <v>1216</v>
      </c>
      <c r="D1534" s="88" t="s">
        <v>1051</v>
      </c>
      <c r="E1534" s="89"/>
      <c r="F1534" s="185" t="s">
        <v>1051</v>
      </c>
      <c r="G1534" s="11"/>
      <c r="H1534" s="90"/>
      <c r="I1534" s="90"/>
      <c r="J1534" s="84"/>
    </row>
    <row r="1535" spans="1:10">
      <c r="A1535" s="79">
        <f t="shared" si="49"/>
        <v>24</v>
      </c>
      <c r="B1535" s="96" t="s">
        <v>1240</v>
      </c>
      <c r="C1535" s="95" t="s">
        <v>1216</v>
      </c>
      <c r="D1535" s="91" t="s">
        <v>483</v>
      </c>
      <c r="E1535" s="89"/>
      <c r="F1535" s="184" t="s">
        <v>483</v>
      </c>
      <c r="G1535" s="92"/>
      <c r="H1535" s="93"/>
      <c r="I1535" s="93"/>
      <c r="J1535" s="94"/>
    </row>
    <row r="1536" spans="1:10">
      <c r="A1536" s="79">
        <f t="shared" si="49"/>
        <v>25</v>
      </c>
      <c r="B1536" s="96" t="s">
        <v>1241</v>
      </c>
      <c r="C1536" s="95" t="s">
        <v>1216</v>
      </c>
      <c r="D1536" s="91" t="s">
        <v>483</v>
      </c>
      <c r="E1536" s="89"/>
      <c r="F1536" s="184" t="s">
        <v>483</v>
      </c>
      <c r="G1536" s="92"/>
      <c r="H1536" s="93"/>
      <c r="I1536" s="93"/>
      <c r="J1536" s="94"/>
    </row>
    <row r="1537" spans="1:10">
      <c r="A1537" s="79">
        <f t="shared" si="49"/>
        <v>26</v>
      </c>
      <c r="B1537" s="96" t="s">
        <v>1242</v>
      </c>
      <c r="C1537" s="95" t="s">
        <v>1216</v>
      </c>
      <c r="D1537" s="88" t="s">
        <v>483</v>
      </c>
      <c r="E1537" s="89"/>
      <c r="F1537" s="185" t="s">
        <v>483</v>
      </c>
      <c r="G1537" s="11"/>
      <c r="H1537" s="90"/>
      <c r="I1537" s="90"/>
      <c r="J1537" s="84"/>
    </row>
    <row r="1538" spans="1:10">
      <c r="A1538" s="79">
        <f t="shared" si="49"/>
        <v>27</v>
      </c>
      <c r="B1538" s="96" t="s">
        <v>1243</v>
      </c>
      <c r="C1538" s="95" t="s">
        <v>1216</v>
      </c>
      <c r="D1538" s="88" t="s">
        <v>483</v>
      </c>
      <c r="E1538" s="89"/>
      <c r="F1538" s="185" t="s">
        <v>483</v>
      </c>
      <c r="G1538" s="11"/>
      <c r="H1538" s="90"/>
      <c r="I1538" s="90"/>
      <c r="J1538" s="84"/>
    </row>
    <row r="1539" spans="1:10">
      <c r="A1539" s="79">
        <f t="shared" si="49"/>
        <v>28</v>
      </c>
      <c r="B1539" s="96" t="s">
        <v>1244</v>
      </c>
      <c r="C1539" s="95" t="s">
        <v>1216</v>
      </c>
      <c r="D1539" s="91" t="s">
        <v>483</v>
      </c>
      <c r="E1539" s="89"/>
      <c r="F1539" s="184" t="s">
        <v>483</v>
      </c>
      <c r="G1539" s="92"/>
      <c r="H1539" s="93"/>
      <c r="I1539" s="93"/>
      <c r="J1539" s="94"/>
    </row>
    <row r="1540" spans="1:10">
      <c r="A1540" s="79">
        <f t="shared" si="49"/>
        <v>29</v>
      </c>
      <c r="B1540" s="96" t="s">
        <v>1245</v>
      </c>
      <c r="C1540" s="95" t="s">
        <v>1216</v>
      </c>
      <c r="D1540" s="88" t="s">
        <v>1051</v>
      </c>
      <c r="E1540" s="89"/>
      <c r="F1540" s="185" t="s">
        <v>1051</v>
      </c>
      <c r="G1540" s="11"/>
      <c r="H1540" s="90"/>
      <c r="I1540" s="90"/>
      <c r="J1540" s="84"/>
    </row>
    <row r="1541" spans="1:10">
      <c r="A1541" s="79">
        <f t="shared" si="49"/>
        <v>30</v>
      </c>
      <c r="B1541" s="96" t="s">
        <v>1246</v>
      </c>
      <c r="C1541" s="95" t="s">
        <v>1216</v>
      </c>
      <c r="D1541" s="88" t="s">
        <v>103</v>
      </c>
      <c r="E1541" s="89"/>
      <c r="F1541" s="185" t="s">
        <v>103</v>
      </c>
      <c r="G1541" s="11"/>
      <c r="H1541" s="90"/>
      <c r="I1541" s="90"/>
      <c r="J1541" s="84"/>
    </row>
    <row r="1542" spans="1:10">
      <c r="A1542" s="79">
        <f t="shared" si="49"/>
        <v>31</v>
      </c>
      <c r="B1542" s="96" t="s">
        <v>1247</v>
      </c>
      <c r="C1542" s="95" t="s">
        <v>1216</v>
      </c>
      <c r="D1542" s="88" t="s">
        <v>103</v>
      </c>
      <c r="E1542" s="89"/>
      <c r="F1542" s="185" t="s">
        <v>103</v>
      </c>
      <c r="G1542" s="11"/>
      <c r="H1542" s="90"/>
      <c r="I1542" s="90"/>
      <c r="J1542" s="84"/>
    </row>
    <row r="1543" spans="1:10">
      <c r="A1543" s="79">
        <f t="shared" si="49"/>
        <v>32</v>
      </c>
      <c r="B1543" s="96" t="s">
        <v>1248</v>
      </c>
      <c r="C1543" s="95" t="s">
        <v>1216</v>
      </c>
      <c r="D1543" s="88" t="s">
        <v>1219</v>
      </c>
      <c r="E1543" s="89"/>
      <c r="F1543" s="185" t="s">
        <v>1219</v>
      </c>
      <c r="G1543" s="11"/>
      <c r="H1543" s="90"/>
      <c r="I1543" s="90"/>
      <c r="J1543" s="84"/>
    </row>
    <row r="1544" spans="1:10">
      <c r="A1544" s="79">
        <f t="shared" si="49"/>
        <v>33</v>
      </c>
      <c r="B1544" s="96" t="s">
        <v>1249</v>
      </c>
      <c r="C1544" s="95" t="s">
        <v>1216</v>
      </c>
      <c r="D1544" s="91" t="s">
        <v>103</v>
      </c>
      <c r="E1544" s="89"/>
      <c r="F1544" s="184" t="s">
        <v>103</v>
      </c>
      <c r="G1544" s="92"/>
      <c r="H1544" s="93"/>
      <c r="I1544" s="93"/>
      <c r="J1544" s="94"/>
    </row>
    <row r="1545" spans="1:10">
      <c r="A1545" s="79">
        <f t="shared" si="49"/>
        <v>34</v>
      </c>
      <c r="B1545" s="96" t="s">
        <v>1250</v>
      </c>
      <c r="C1545" s="95" t="s">
        <v>1216</v>
      </c>
      <c r="D1545" s="88" t="s">
        <v>104</v>
      </c>
      <c r="E1545" s="89"/>
      <c r="F1545" s="185" t="s">
        <v>104</v>
      </c>
      <c r="G1545" s="11"/>
      <c r="H1545" s="90"/>
      <c r="I1545" s="90"/>
      <c r="J1545" s="84"/>
    </row>
    <row r="1546" spans="1:10">
      <c r="A1546" s="79">
        <f t="shared" si="49"/>
        <v>35</v>
      </c>
      <c r="B1546" s="96" t="s">
        <v>1251</v>
      </c>
      <c r="C1546" s="95" t="s">
        <v>1216</v>
      </c>
      <c r="D1546" s="91" t="s">
        <v>103</v>
      </c>
      <c r="E1546" s="89"/>
      <c r="F1546" s="184" t="s">
        <v>103</v>
      </c>
      <c r="G1546" s="92"/>
      <c r="H1546" s="93"/>
      <c r="I1546" s="93"/>
      <c r="J1546" s="94"/>
    </row>
    <row r="1547" spans="1:10">
      <c r="A1547" s="79">
        <f t="shared" si="49"/>
        <v>36</v>
      </c>
      <c r="B1547" s="96" t="s">
        <v>1252</v>
      </c>
      <c r="C1547" s="95" t="s">
        <v>1216</v>
      </c>
      <c r="D1547" s="91" t="s">
        <v>483</v>
      </c>
      <c r="E1547" s="89"/>
      <c r="F1547" s="184" t="s">
        <v>483</v>
      </c>
      <c r="G1547" s="92"/>
      <c r="H1547" s="93"/>
      <c r="I1547" s="93"/>
      <c r="J1547" s="94"/>
    </row>
    <row r="1548" spans="1:10">
      <c r="A1548" s="79">
        <f t="shared" si="49"/>
        <v>37</v>
      </c>
      <c r="B1548" s="96" t="s">
        <v>1253</v>
      </c>
      <c r="C1548" s="95" t="s">
        <v>1216</v>
      </c>
      <c r="D1548" s="88" t="s">
        <v>103</v>
      </c>
      <c r="E1548" s="89"/>
      <c r="F1548" s="185" t="s">
        <v>103</v>
      </c>
      <c r="G1548" s="11"/>
      <c r="H1548" s="90"/>
      <c r="I1548" s="90"/>
      <c r="J1548" s="84"/>
    </row>
    <row r="1549" spans="1:10">
      <c r="A1549" s="79">
        <f t="shared" si="49"/>
        <v>38</v>
      </c>
      <c r="B1549" s="96" t="s">
        <v>1254</v>
      </c>
      <c r="C1549" s="95" t="s">
        <v>1216</v>
      </c>
      <c r="D1549" s="88" t="s">
        <v>103</v>
      </c>
      <c r="E1549" s="89"/>
      <c r="F1549" s="185" t="s">
        <v>103</v>
      </c>
      <c r="G1549" s="11"/>
      <c r="H1549" s="90"/>
      <c r="I1549" s="90"/>
      <c r="J1549" s="84"/>
    </row>
    <row r="1550" spans="1:10">
      <c r="A1550" s="79">
        <f t="shared" si="49"/>
        <v>39</v>
      </c>
      <c r="B1550" s="96" t="s">
        <v>1255</v>
      </c>
      <c r="C1550" s="95" t="s">
        <v>1216</v>
      </c>
      <c r="D1550" s="88" t="s">
        <v>104</v>
      </c>
      <c r="E1550" s="89"/>
      <c r="F1550" s="185" t="s">
        <v>104</v>
      </c>
      <c r="G1550" s="11"/>
      <c r="H1550" s="90"/>
      <c r="I1550" s="90"/>
      <c r="J1550" s="84"/>
    </row>
    <row r="1551" spans="1:10">
      <c r="A1551" s="79">
        <f t="shared" si="49"/>
        <v>40</v>
      </c>
      <c r="B1551" s="96" t="s">
        <v>1256</v>
      </c>
      <c r="C1551" s="95" t="s">
        <v>1216</v>
      </c>
      <c r="D1551" s="91" t="s">
        <v>483</v>
      </c>
      <c r="E1551" s="89"/>
      <c r="F1551" s="184" t="s">
        <v>483</v>
      </c>
      <c r="G1551" s="92"/>
      <c r="H1551" s="93"/>
      <c r="I1551" s="93"/>
      <c r="J1551" s="94"/>
    </row>
    <row r="1552" spans="1:10">
      <c r="A1552" s="79">
        <f t="shared" si="49"/>
        <v>41</v>
      </c>
      <c r="B1552" s="96" t="s">
        <v>1257</v>
      </c>
      <c r="C1552" s="95" t="s">
        <v>1216</v>
      </c>
      <c r="D1552" s="91" t="s">
        <v>1051</v>
      </c>
      <c r="E1552" s="89"/>
      <c r="F1552" s="184" t="s">
        <v>1051</v>
      </c>
      <c r="G1552" s="92"/>
      <c r="H1552" s="93"/>
      <c r="I1552" s="93"/>
      <c r="J1552" s="94"/>
    </row>
    <row r="1553" spans="1:10">
      <c r="A1553" s="79">
        <f t="shared" si="49"/>
        <v>42</v>
      </c>
      <c r="B1553" s="96" t="s">
        <v>1258</v>
      </c>
      <c r="C1553" s="95" t="s">
        <v>1216</v>
      </c>
      <c r="D1553" s="91" t="s">
        <v>1259</v>
      </c>
      <c r="E1553" s="89"/>
      <c r="F1553" s="184" t="s">
        <v>1259</v>
      </c>
      <c r="G1553" s="92"/>
      <c r="H1553" s="93"/>
      <c r="I1553" s="93"/>
      <c r="J1553" s="94"/>
    </row>
    <row r="1554" spans="1:10">
      <c r="A1554" s="79">
        <f t="shared" si="49"/>
        <v>43</v>
      </c>
      <c r="B1554" s="96" t="s">
        <v>1260</v>
      </c>
      <c r="C1554" s="95" t="s">
        <v>1216</v>
      </c>
      <c r="D1554" s="88" t="s">
        <v>103</v>
      </c>
      <c r="E1554" s="89"/>
      <c r="F1554" s="185" t="s">
        <v>103</v>
      </c>
      <c r="G1554" s="11"/>
      <c r="H1554" s="90"/>
      <c r="I1554" s="90"/>
      <c r="J1554" s="84"/>
    </row>
    <row r="1555" spans="1:10">
      <c r="A1555" s="79">
        <f t="shared" si="49"/>
        <v>44</v>
      </c>
      <c r="B1555" s="96" t="s">
        <v>1261</v>
      </c>
      <c r="C1555" s="95" t="s">
        <v>1216</v>
      </c>
      <c r="D1555" s="91" t="s">
        <v>1051</v>
      </c>
      <c r="E1555" s="89"/>
      <c r="F1555" s="184" t="s">
        <v>1051</v>
      </c>
      <c r="G1555" s="92"/>
      <c r="H1555" s="93"/>
      <c r="I1555" s="93"/>
      <c r="J1555" s="94"/>
    </row>
    <row r="1556" spans="1:10">
      <c r="A1556" s="79">
        <f t="shared" si="49"/>
        <v>45</v>
      </c>
      <c r="B1556" s="96" t="s">
        <v>1262</v>
      </c>
      <c r="C1556" s="95" t="s">
        <v>1216</v>
      </c>
      <c r="D1556" s="88" t="s">
        <v>1051</v>
      </c>
      <c r="E1556" s="89"/>
      <c r="F1556" s="185" t="s">
        <v>1051</v>
      </c>
      <c r="G1556" s="11"/>
      <c r="H1556" s="90"/>
      <c r="I1556" s="90"/>
      <c r="J1556" s="84"/>
    </row>
    <row r="1557" spans="1:10">
      <c r="A1557" s="79">
        <f t="shared" si="49"/>
        <v>46</v>
      </c>
      <c r="B1557" s="96" t="s">
        <v>1263</v>
      </c>
      <c r="C1557" s="95" t="s">
        <v>1216</v>
      </c>
      <c r="D1557" s="91" t="s">
        <v>104</v>
      </c>
      <c r="E1557" s="89"/>
      <c r="F1557" s="184" t="s">
        <v>104</v>
      </c>
      <c r="G1557" s="92"/>
      <c r="H1557" s="93"/>
      <c r="I1557" s="93"/>
      <c r="J1557" s="94"/>
    </row>
    <row r="1558" spans="1:10">
      <c r="A1558" s="79">
        <f t="shared" si="49"/>
        <v>47</v>
      </c>
      <c r="B1558" s="96" t="s">
        <v>1264</v>
      </c>
      <c r="C1558" s="95" t="s">
        <v>1216</v>
      </c>
      <c r="D1558" s="88" t="s">
        <v>103</v>
      </c>
      <c r="E1558" s="89"/>
      <c r="F1558" s="185" t="s">
        <v>103</v>
      </c>
      <c r="G1558" s="11"/>
      <c r="H1558" s="90"/>
      <c r="I1558" s="90"/>
      <c r="J1558" s="84"/>
    </row>
    <row r="1559" spans="1:10" ht="26.25">
      <c r="A1559" s="79">
        <f t="shared" si="49"/>
        <v>48</v>
      </c>
      <c r="B1559" s="96" t="s">
        <v>1265</v>
      </c>
      <c r="C1559" s="95" t="s">
        <v>1216</v>
      </c>
      <c r="D1559" s="88" t="s">
        <v>1041</v>
      </c>
      <c r="E1559" s="152">
        <v>205766.7</v>
      </c>
      <c r="F1559" s="185" t="s">
        <v>1041</v>
      </c>
      <c r="G1559" s="153">
        <v>205766.7</v>
      </c>
      <c r="H1559" s="154">
        <v>1</v>
      </c>
      <c r="I1559" s="154">
        <v>1</v>
      </c>
      <c r="J1559" s="84"/>
    </row>
    <row r="1560" spans="1:10">
      <c r="A1560" s="79">
        <f t="shared" si="49"/>
        <v>49</v>
      </c>
      <c r="B1560" s="96" t="s">
        <v>1266</v>
      </c>
      <c r="C1560" s="95" t="s">
        <v>1216</v>
      </c>
      <c r="D1560" s="88" t="s">
        <v>1051</v>
      </c>
      <c r="E1560" s="89"/>
      <c r="F1560" s="185" t="s">
        <v>1051</v>
      </c>
      <c r="G1560" s="11"/>
      <c r="H1560" s="90"/>
      <c r="I1560" s="90"/>
      <c r="J1560" s="84"/>
    </row>
    <row r="1561" spans="1:10">
      <c r="A1561" s="79">
        <f t="shared" si="49"/>
        <v>50</v>
      </c>
      <c r="B1561" s="96" t="s">
        <v>1267</v>
      </c>
      <c r="C1561" s="95" t="s">
        <v>1216</v>
      </c>
      <c r="D1561" s="91" t="s">
        <v>103</v>
      </c>
      <c r="E1561" s="89"/>
      <c r="F1561" s="184" t="s">
        <v>103</v>
      </c>
      <c r="G1561" s="92"/>
      <c r="H1561" s="93"/>
      <c r="I1561" s="93"/>
      <c r="J1561" s="94"/>
    </row>
    <row r="1562" spans="1:10">
      <c r="A1562" s="79">
        <f t="shared" si="49"/>
        <v>51</v>
      </c>
      <c r="B1562" s="96" t="s">
        <v>1268</v>
      </c>
      <c r="C1562" s="95" t="s">
        <v>1216</v>
      </c>
      <c r="D1562" s="88" t="s">
        <v>483</v>
      </c>
      <c r="E1562" s="89"/>
      <c r="F1562" s="185" t="s">
        <v>483</v>
      </c>
      <c r="G1562" s="11"/>
      <c r="H1562" s="90"/>
      <c r="I1562" s="90"/>
      <c r="J1562" s="84"/>
    </row>
    <row r="1563" spans="1:10">
      <c r="A1563" s="79">
        <f t="shared" si="49"/>
        <v>52</v>
      </c>
      <c r="B1563" s="96" t="s">
        <v>1269</v>
      </c>
      <c r="C1563" s="95" t="s">
        <v>1216</v>
      </c>
      <c r="D1563" s="91" t="s">
        <v>483</v>
      </c>
      <c r="E1563" s="89"/>
      <c r="F1563" s="184" t="s">
        <v>483</v>
      </c>
      <c r="G1563" s="92"/>
      <c r="H1563" s="93"/>
      <c r="I1563" s="93"/>
      <c r="J1563" s="94"/>
    </row>
    <row r="1564" spans="1:10">
      <c r="A1564" s="79">
        <f t="shared" si="49"/>
        <v>53</v>
      </c>
      <c r="B1564" s="96" t="s">
        <v>1270</v>
      </c>
      <c r="C1564" s="95" t="s">
        <v>1216</v>
      </c>
      <c r="D1564" s="88" t="s">
        <v>483</v>
      </c>
      <c r="E1564" s="89"/>
      <c r="F1564" s="185" t="s">
        <v>483</v>
      </c>
      <c r="G1564" s="11"/>
      <c r="H1564" s="90"/>
      <c r="I1564" s="90"/>
      <c r="J1564" s="84"/>
    </row>
    <row r="1565" spans="1:10">
      <c r="A1565" s="79">
        <f t="shared" si="49"/>
        <v>54</v>
      </c>
      <c r="B1565" s="96" t="s">
        <v>1271</v>
      </c>
      <c r="C1565" s="95" t="s">
        <v>1216</v>
      </c>
      <c r="D1565" s="88" t="s">
        <v>103</v>
      </c>
      <c r="E1565" s="89"/>
      <c r="F1565" s="185" t="s">
        <v>103</v>
      </c>
      <c r="G1565" s="11"/>
      <c r="H1565" s="90"/>
      <c r="I1565" s="90"/>
      <c r="J1565" s="84"/>
    </row>
    <row r="1566" spans="1:10">
      <c r="A1566" s="79">
        <f t="shared" si="49"/>
        <v>55</v>
      </c>
      <c r="B1566" s="96" t="s">
        <v>1272</v>
      </c>
      <c r="C1566" s="95" t="s">
        <v>1216</v>
      </c>
      <c r="D1566" s="88" t="s">
        <v>483</v>
      </c>
      <c r="E1566" s="89"/>
      <c r="F1566" s="185" t="s">
        <v>483</v>
      </c>
      <c r="G1566" s="11"/>
      <c r="H1566" s="90"/>
      <c r="I1566" s="90"/>
      <c r="J1566" s="84"/>
    </row>
    <row r="1567" spans="1:10">
      <c r="A1567" s="79">
        <f t="shared" si="49"/>
        <v>56</v>
      </c>
      <c r="B1567" s="96" t="s">
        <v>1273</v>
      </c>
      <c r="C1567" s="95" t="s">
        <v>1216</v>
      </c>
      <c r="D1567" s="88" t="s">
        <v>103</v>
      </c>
      <c r="E1567" s="89"/>
      <c r="F1567" s="185" t="s">
        <v>103</v>
      </c>
      <c r="G1567" s="11"/>
      <c r="H1567" s="90"/>
      <c r="I1567" s="90"/>
      <c r="J1567" s="84"/>
    </row>
    <row r="1568" spans="1:10">
      <c r="A1568" s="79">
        <f t="shared" si="49"/>
        <v>57</v>
      </c>
      <c r="B1568" s="96" t="s">
        <v>1274</v>
      </c>
      <c r="C1568" s="95" t="s">
        <v>1216</v>
      </c>
      <c r="D1568" s="91" t="s">
        <v>483</v>
      </c>
      <c r="E1568" s="89"/>
      <c r="F1568" s="184" t="s">
        <v>483</v>
      </c>
      <c r="G1568" s="92"/>
      <c r="H1568" s="93"/>
      <c r="I1568" s="93"/>
      <c r="J1568" s="94"/>
    </row>
    <row r="1569" spans="1:10">
      <c r="A1569" s="79">
        <f t="shared" si="49"/>
        <v>58</v>
      </c>
      <c r="B1569" s="96" t="s">
        <v>1275</v>
      </c>
      <c r="C1569" s="95" t="s">
        <v>1216</v>
      </c>
      <c r="D1569" s="91" t="s">
        <v>104</v>
      </c>
      <c r="E1569" s="89"/>
      <c r="F1569" s="184" t="s">
        <v>104</v>
      </c>
      <c r="G1569" s="92"/>
      <c r="H1569" s="93"/>
      <c r="I1569" s="93"/>
      <c r="J1569" s="94"/>
    </row>
    <row r="1570" spans="1:10">
      <c r="A1570" s="79">
        <f t="shared" si="49"/>
        <v>59</v>
      </c>
      <c r="B1570" s="96" t="s">
        <v>1276</v>
      </c>
      <c r="C1570" s="95" t="s">
        <v>1216</v>
      </c>
      <c r="D1570" s="91" t="s">
        <v>103</v>
      </c>
      <c r="E1570" s="89"/>
      <c r="F1570" s="184" t="s">
        <v>103</v>
      </c>
      <c r="G1570" s="92"/>
      <c r="H1570" s="93"/>
      <c r="I1570" s="93"/>
      <c r="J1570" s="94"/>
    </row>
    <row r="1571" spans="1:10">
      <c r="A1571" s="79">
        <f t="shared" si="49"/>
        <v>60</v>
      </c>
      <c r="B1571" s="96" t="s">
        <v>1277</v>
      </c>
      <c r="C1571" s="95" t="s">
        <v>1216</v>
      </c>
      <c r="D1571" s="91" t="s">
        <v>103</v>
      </c>
      <c r="E1571" s="89"/>
      <c r="F1571" s="184" t="s">
        <v>103</v>
      </c>
      <c r="G1571" s="92"/>
      <c r="H1571" s="93"/>
      <c r="I1571" s="93"/>
      <c r="J1571" s="94"/>
    </row>
    <row r="1572" spans="1:10">
      <c r="A1572" s="79">
        <f t="shared" si="49"/>
        <v>61</v>
      </c>
      <c r="B1572" s="96" t="s">
        <v>1278</v>
      </c>
      <c r="C1572" s="95" t="s">
        <v>1216</v>
      </c>
      <c r="D1572" s="91" t="s">
        <v>104</v>
      </c>
      <c r="E1572" s="89"/>
      <c r="F1572" s="184" t="s">
        <v>104</v>
      </c>
      <c r="G1572" s="92"/>
      <c r="H1572" s="93"/>
      <c r="I1572" s="93"/>
      <c r="J1572" s="94"/>
    </row>
    <row r="1573" spans="1:10">
      <c r="A1573" s="79">
        <f t="shared" si="49"/>
        <v>62</v>
      </c>
      <c r="B1573" s="96" t="s">
        <v>1279</v>
      </c>
      <c r="C1573" s="95" t="s">
        <v>1216</v>
      </c>
      <c r="D1573" s="88" t="s">
        <v>103</v>
      </c>
      <c r="E1573" s="89"/>
      <c r="F1573" s="185" t="s">
        <v>103</v>
      </c>
      <c r="G1573" s="11"/>
      <c r="H1573" s="90"/>
      <c r="I1573" s="90"/>
      <c r="J1573" s="84"/>
    </row>
    <row r="1574" spans="1:10">
      <c r="A1574" s="79">
        <f t="shared" si="49"/>
        <v>63</v>
      </c>
      <c r="B1574" s="96" t="s">
        <v>1280</v>
      </c>
      <c r="C1574" s="95" t="s">
        <v>1216</v>
      </c>
      <c r="D1574" s="88" t="s">
        <v>1219</v>
      </c>
      <c r="E1574" s="89"/>
      <c r="F1574" s="185" t="s">
        <v>1219</v>
      </c>
      <c r="G1574" s="92"/>
      <c r="H1574" s="93"/>
      <c r="I1574" s="93"/>
      <c r="J1574" s="94"/>
    </row>
    <row r="1575" spans="1:10">
      <c r="A1575" s="79">
        <f t="shared" si="49"/>
        <v>64</v>
      </c>
      <c r="B1575" s="96" t="s">
        <v>1281</v>
      </c>
      <c r="C1575" s="95" t="s">
        <v>1216</v>
      </c>
      <c r="D1575" s="88" t="s">
        <v>1219</v>
      </c>
      <c r="E1575" s="89"/>
      <c r="F1575" s="185" t="s">
        <v>1219</v>
      </c>
      <c r="G1575" s="11"/>
      <c r="H1575" s="90"/>
      <c r="I1575" s="90"/>
      <c r="J1575" s="84"/>
    </row>
    <row r="1576" spans="1:10">
      <c r="A1576" s="79">
        <f t="shared" si="49"/>
        <v>65</v>
      </c>
      <c r="B1576" s="96" t="s">
        <v>1282</v>
      </c>
      <c r="C1576" s="95" t="s">
        <v>1216</v>
      </c>
      <c r="D1576" s="91" t="s">
        <v>483</v>
      </c>
      <c r="E1576" s="89"/>
      <c r="F1576" s="184" t="s">
        <v>483</v>
      </c>
      <c r="G1576" s="92"/>
      <c r="H1576" s="93"/>
      <c r="I1576" s="93"/>
      <c r="J1576" s="94"/>
    </row>
    <row r="1577" spans="1:10">
      <c r="A1577" s="79">
        <f t="shared" si="49"/>
        <v>66</v>
      </c>
      <c r="B1577" s="96" t="s">
        <v>1283</v>
      </c>
      <c r="C1577" s="95" t="s">
        <v>1216</v>
      </c>
      <c r="D1577" s="91" t="s">
        <v>103</v>
      </c>
      <c r="E1577" s="89"/>
      <c r="F1577" s="184" t="s">
        <v>103</v>
      </c>
      <c r="G1577" s="92"/>
      <c r="H1577" s="93"/>
      <c r="I1577" s="93"/>
      <c r="J1577" s="94"/>
    </row>
    <row r="1578" spans="1:10">
      <c r="A1578" s="79">
        <f t="shared" ref="A1578:A1597" si="50">A1577+1</f>
        <v>67</v>
      </c>
      <c r="B1578" s="96" t="s">
        <v>1284</v>
      </c>
      <c r="C1578" s="95" t="s">
        <v>1216</v>
      </c>
      <c r="D1578" s="91" t="s">
        <v>104</v>
      </c>
      <c r="E1578" s="89"/>
      <c r="F1578" s="184" t="s">
        <v>104</v>
      </c>
      <c r="G1578" s="92"/>
      <c r="H1578" s="93"/>
      <c r="I1578" s="93"/>
      <c r="J1578" s="94"/>
    </row>
    <row r="1579" spans="1:10">
      <c r="A1579" s="79">
        <f t="shared" si="50"/>
        <v>68</v>
      </c>
      <c r="B1579" s="96" t="s">
        <v>1285</v>
      </c>
      <c r="C1579" s="95" t="s">
        <v>1216</v>
      </c>
      <c r="D1579" s="91" t="s">
        <v>104</v>
      </c>
      <c r="E1579" s="89"/>
      <c r="F1579" s="184" t="s">
        <v>104</v>
      </c>
      <c r="G1579" s="92"/>
      <c r="H1579" s="93"/>
      <c r="I1579" s="93"/>
      <c r="J1579" s="94"/>
    </row>
    <row r="1580" spans="1:10">
      <c r="A1580" s="79">
        <f t="shared" si="50"/>
        <v>69</v>
      </c>
      <c r="B1580" s="96" t="s">
        <v>1286</v>
      </c>
      <c r="C1580" s="95" t="s">
        <v>1216</v>
      </c>
      <c r="D1580" s="91" t="s">
        <v>104</v>
      </c>
      <c r="E1580" s="89"/>
      <c r="F1580" s="184" t="s">
        <v>104</v>
      </c>
      <c r="G1580" s="92"/>
      <c r="H1580" s="93"/>
      <c r="I1580" s="93"/>
      <c r="J1580" s="94"/>
    </row>
    <row r="1581" spans="1:10">
      <c r="A1581" s="79">
        <f t="shared" si="50"/>
        <v>70</v>
      </c>
      <c r="B1581" s="96" t="s">
        <v>1287</v>
      </c>
      <c r="C1581" s="95" t="s">
        <v>1216</v>
      </c>
      <c r="D1581" s="88" t="s">
        <v>104</v>
      </c>
      <c r="E1581" s="89"/>
      <c r="F1581" s="185" t="s">
        <v>104</v>
      </c>
      <c r="G1581" s="11"/>
      <c r="H1581" s="90"/>
      <c r="I1581" s="90"/>
      <c r="J1581" s="84"/>
    </row>
    <row r="1582" spans="1:10">
      <c r="A1582" s="79">
        <f t="shared" si="50"/>
        <v>71</v>
      </c>
      <c r="B1582" s="96" t="s">
        <v>1288</v>
      </c>
      <c r="C1582" s="95" t="s">
        <v>1216</v>
      </c>
      <c r="D1582" s="91" t="s">
        <v>104</v>
      </c>
      <c r="E1582" s="89"/>
      <c r="F1582" s="184" t="s">
        <v>104</v>
      </c>
      <c r="G1582" s="92"/>
      <c r="H1582" s="93"/>
      <c r="I1582" s="93"/>
      <c r="J1582" s="94"/>
    </row>
    <row r="1583" spans="1:10">
      <c r="A1583" s="79">
        <f t="shared" si="50"/>
        <v>72</v>
      </c>
      <c r="B1583" s="96" t="s">
        <v>1289</v>
      </c>
      <c r="C1583" s="95" t="s">
        <v>1216</v>
      </c>
      <c r="D1583" s="88" t="s">
        <v>104</v>
      </c>
      <c r="E1583" s="89"/>
      <c r="F1583" s="185" t="s">
        <v>104</v>
      </c>
      <c r="G1583" s="11"/>
      <c r="H1583" s="90"/>
      <c r="I1583" s="90"/>
      <c r="J1583" s="84"/>
    </row>
    <row r="1584" spans="1:10">
      <c r="A1584" s="79">
        <f t="shared" si="50"/>
        <v>73</v>
      </c>
      <c r="B1584" s="96" t="s">
        <v>1290</v>
      </c>
      <c r="C1584" s="95" t="s">
        <v>1216</v>
      </c>
      <c r="D1584" s="88" t="s">
        <v>104</v>
      </c>
      <c r="E1584" s="89"/>
      <c r="F1584" s="185" t="s">
        <v>104</v>
      </c>
      <c r="G1584" s="11"/>
      <c r="H1584" s="90"/>
      <c r="I1584" s="90"/>
      <c r="J1584" s="84"/>
    </row>
    <row r="1585" spans="1:10">
      <c r="A1585" s="79">
        <f t="shared" si="50"/>
        <v>74</v>
      </c>
      <c r="B1585" s="96" t="s">
        <v>1291</v>
      </c>
      <c r="C1585" s="95" t="s">
        <v>1216</v>
      </c>
      <c r="D1585" s="88" t="s">
        <v>104</v>
      </c>
      <c r="E1585" s="89"/>
      <c r="F1585" s="185" t="s">
        <v>104</v>
      </c>
      <c r="G1585" s="11"/>
      <c r="H1585" s="90"/>
      <c r="I1585" s="90"/>
      <c r="J1585" s="84"/>
    </row>
    <row r="1586" spans="1:10">
      <c r="A1586" s="79">
        <f t="shared" si="50"/>
        <v>75</v>
      </c>
      <c r="B1586" s="96" t="s">
        <v>1292</v>
      </c>
      <c r="C1586" s="95" t="s">
        <v>1216</v>
      </c>
      <c r="D1586" s="91" t="s">
        <v>104</v>
      </c>
      <c r="E1586" s="89"/>
      <c r="F1586" s="184" t="s">
        <v>104</v>
      </c>
      <c r="G1586" s="92"/>
      <c r="H1586" s="93"/>
      <c r="I1586" s="93"/>
      <c r="J1586" s="94"/>
    </row>
    <row r="1587" spans="1:10">
      <c r="A1587" s="79">
        <f t="shared" si="50"/>
        <v>76</v>
      </c>
      <c r="B1587" s="96" t="s">
        <v>1293</v>
      </c>
      <c r="C1587" s="95" t="s">
        <v>1216</v>
      </c>
      <c r="D1587" s="91" t="s">
        <v>104</v>
      </c>
      <c r="E1587" s="89"/>
      <c r="F1587" s="184" t="s">
        <v>104</v>
      </c>
      <c r="G1587" s="92"/>
      <c r="H1587" s="93"/>
      <c r="I1587" s="93"/>
      <c r="J1587" s="94"/>
    </row>
    <row r="1588" spans="1:10">
      <c r="A1588" s="79">
        <f t="shared" si="50"/>
        <v>77</v>
      </c>
      <c r="B1588" s="96" t="s">
        <v>1294</v>
      </c>
      <c r="C1588" s="95" t="s">
        <v>1216</v>
      </c>
      <c r="D1588" s="91" t="s">
        <v>103</v>
      </c>
      <c r="E1588" s="89"/>
      <c r="F1588" s="184" t="s">
        <v>103</v>
      </c>
      <c r="G1588" s="92"/>
      <c r="H1588" s="93"/>
      <c r="I1588" s="93"/>
      <c r="J1588" s="94"/>
    </row>
    <row r="1589" spans="1:10">
      <c r="A1589" s="79">
        <f t="shared" si="50"/>
        <v>78</v>
      </c>
      <c r="B1589" s="96" t="s">
        <v>1295</v>
      </c>
      <c r="C1589" s="95" t="s">
        <v>1216</v>
      </c>
      <c r="D1589" s="91" t="s">
        <v>104</v>
      </c>
      <c r="E1589" s="89"/>
      <c r="F1589" s="184" t="s">
        <v>104</v>
      </c>
      <c r="G1589" s="11"/>
      <c r="H1589" s="90"/>
      <c r="I1589" s="90"/>
      <c r="J1589" s="84"/>
    </row>
    <row r="1590" spans="1:10">
      <c r="A1590" s="79">
        <f t="shared" si="50"/>
        <v>79</v>
      </c>
      <c r="B1590" s="96" t="s">
        <v>1296</v>
      </c>
      <c r="C1590" s="95" t="s">
        <v>1216</v>
      </c>
      <c r="D1590" s="91" t="s">
        <v>104</v>
      </c>
      <c r="E1590" s="89"/>
      <c r="F1590" s="184" t="s">
        <v>104</v>
      </c>
      <c r="G1590" s="92"/>
      <c r="H1590" s="93"/>
      <c r="I1590" s="93"/>
      <c r="J1590" s="94"/>
    </row>
    <row r="1591" spans="1:10">
      <c r="A1591" s="79">
        <f t="shared" si="50"/>
        <v>80</v>
      </c>
      <c r="B1591" s="96" t="s">
        <v>1297</v>
      </c>
      <c r="C1591" s="95" t="s">
        <v>1216</v>
      </c>
      <c r="D1591" s="88" t="s">
        <v>104</v>
      </c>
      <c r="E1591" s="89"/>
      <c r="F1591" s="185" t="s">
        <v>104</v>
      </c>
      <c r="G1591" s="11"/>
      <c r="H1591" s="90"/>
      <c r="I1591" s="90"/>
      <c r="J1591" s="84"/>
    </row>
    <row r="1592" spans="1:10">
      <c r="A1592" s="79">
        <f t="shared" si="50"/>
        <v>81</v>
      </c>
      <c r="B1592" s="96" t="s">
        <v>1298</v>
      </c>
      <c r="C1592" s="95" t="s">
        <v>1216</v>
      </c>
      <c r="D1592" s="91" t="s">
        <v>483</v>
      </c>
      <c r="E1592" s="89"/>
      <c r="F1592" s="184" t="s">
        <v>483</v>
      </c>
      <c r="G1592" s="92"/>
      <c r="H1592" s="93"/>
      <c r="I1592" s="93"/>
      <c r="J1592" s="94"/>
    </row>
    <row r="1593" spans="1:10">
      <c r="A1593" s="79">
        <f t="shared" si="50"/>
        <v>82</v>
      </c>
      <c r="B1593" s="96" t="s">
        <v>1299</v>
      </c>
      <c r="C1593" s="95" t="s">
        <v>1216</v>
      </c>
      <c r="D1593" s="91" t="s">
        <v>104</v>
      </c>
      <c r="E1593" s="89"/>
      <c r="F1593" s="184" t="s">
        <v>104</v>
      </c>
      <c r="G1593" s="92"/>
      <c r="H1593" s="93"/>
      <c r="I1593" s="93"/>
      <c r="J1593" s="94"/>
    </row>
    <row r="1594" spans="1:10">
      <c r="A1594" s="79">
        <f t="shared" si="50"/>
        <v>83</v>
      </c>
      <c r="B1594" s="96" t="s">
        <v>1300</v>
      </c>
      <c r="C1594" s="95" t="s">
        <v>1216</v>
      </c>
      <c r="D1594" s="88" t="s">
        <v>483</v>
      </c>
      <c r="E1594" s="89"/>
      <c r="F1594" s="185" t="s">
        <v>483</v>
      </c>
      <c r="G1594" s="11"/>
      <c r="H1594" s="90"/>
      <c r="I1594" s="90"/>
      <c r="J1594" s="84"/>
    </row>
    <row r="1595" spans="1:10">
      <c r="A1595" s="79">
        <f t="shared" si="50"/>
        <v>84</v>
      </c>
      <c r="B1595" s="96" t="s">
        <v>1301</v>
      </c>
      <c r="C1595" s="95" t="s">
        <v>1216</v>
      </c>
      <c r="D1595" s="91" t="s">
        <v>483</v>
      </c>
      <c r="E1595" s="89"/>
      <c r="F1595" s="184" t="s">
        <v>483</v>
      </c>
      <c r="G1595" s="92"/>
      <c r="H1595" s="93"/>
      <c r="I1595" s="93"/>
      <c r="J1595" s="94"/>
    </row>
    <row r="1596" spans="1:10">
      <c r="A1596" s="79">
        <f t="shared" si="50"/>
        <v>85</v>
      </c>
      <c r="B1596" s="96" t="s">
        <v>1302</v>
      </c>
      <c r="C1596" s="95" t="s">
        <v>1216</v>
      </c>
      <c r="D1596" s="91" t="s">
        <v>483</v>
      </c>
      <c r="E1596" s="89"/>
      <c r="F1596" s="184" t="s">
        <v>483</v>
      </c>
      <c r="G1596" s="92"/>
      <c r="H1596" s="93"/>
      <c r="I1596" s="93"/>
      <c r="J1596" s="94"/>
    </row>
    <row r="1597" spans="1:10">
      <c r="A1597" s="79">
        <f t="shared" si="50"/>
        <v>86</v>
      </c>
      <c r="B1597" s="96" t="s">
        <v>1303</v>
      </c>
      <c r="C1597" s="95" t="s">
        <v>1216</v>
      </c>
      <c r="D1597" s="88" t="s">
        <v>104</v>
      </c>
      <c r="E1597" s="89"/>
      <c r="F1597" s="185" t="s">
        <v>104</v>
      </c>
      <c r="G1597" s="11"/>
      <c r="H1597" s="90"/>
      <c r="I1597" s="90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17" activePane="bottomLeft" state="frozen"/>
      <selection pane="bottomLeft" activeCell="M21" sqref="M21"/>
      <selection activeCell="D13" sqref="D13:N13"/>
    </sheetView>
  </sheetViews>
  <sheetFormatPr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855468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1304</v>
      </c>
      <c r="F1" s="12" t="s">
        <v>1305</v>
      </c>
      <c r="H1" s="16" t="s">
        <v>1306</v>
      </c>
      <c r="I1" s="16" t="s">
        <v>1307</v>
      </c>
      <c r="K1" s="16" t="s">
        <v>24</v>
      </c>
      <c r="M1" s="16" t="s">
        <v>1308</v>
      </c>
      <c r="Z1" s="240" t="s">
        <v>1309</v>
      </c>
    </row>
    <row r="2" spans="1:26" ht="44.25" customHeight="1" outlineLevel="1">
      <c r="A2" s="14" t="s">
        <v>1310</v>
      </c>
      <c r="B2" s="14" t="s">
        <v>1311</v>
      </c>
      <c r="D2" s="253" t="s">
        <v>1312</v>
      </c>
      <c r="F2" s="3" t="s">
        <v>1313</v>
      </c>
      <c r="H2" s="17" t="s">
        <v>1314</v>
      </c>
      <c r="I2" s="18">
        <v>71765586</v>
      </c>
      <c r="K2" t="s">
        <v>30</v>
      </c>
      <c r="M2" s="75" t="s">
        <v>36</v>
      </c>
    </row>
    <row r="3" spans="1:26" outlineLevel="1">
      <c r="A3" s="3" t="s">
        <v>1315</v>
      </c>
      <c r="B3" s="5" t="s">
        <v>216</v>
      </c>
      <c r="D3" s="251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26</v>
      </c>
    </row>
    <row r="4" spans="1:26" outlineLevel="1">
      <c r="A4" s="2" t="s">
        <v>1320</v>
      </c>
      <c r="B4" s="5" t="s">
        <v>240</v>
      </c>
      <c r="D4" s="251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44</v>
      </c>
    </row>
    <row r="5" spans="1:26" ht="30" outlineLevel="1">
      <c r="A5" s="3" t="s">
        <v>1325</v>
      </c>
      <c r="B5" s="5" t="s">
        <v>1326</v>
      </c>
      <c r="D5" s="252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28</v>
      </c>
    </row>
    <row r="6" spans="1:26" ht="30" outlineLevel="1">
      <c r="A6" s="2" t="s">
        <v>343</v>
      </c>
      <c r="B6" s="5" t="s">
        <v>343</v>
      </c>
      <c r="D6" s="252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8" t="s">
        <v>1059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237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54</v>
      </c>
    </row>
    <row r="9" spans="1:26" outlineLevel="1">
      <c r="A9" s="2" t="s">
        <v>1345</v>
      </c>
      <c r="B9" s="5" t="s">
        <v>1199</v>
      </c>
      <c r="F9" s="2" t="s">
        <v>1346</v>
      </c>
      <c r="H9" s="22" t="s">
        <v>1347</v>
      </c>
      <c r="I9" s="23">
        <v>52714421</v>
      </c>
      <c r="K9" t="s">
        <v>1348</v>
      </c>
      <c r="M9" s="75" t="s">
        <v>56</v>
      </c>
    </row>
    <row r="10" spans="1:26" outlineLevel="1">
      <c r="A10" s="2" t="s">
        <v>1349</v>
      </c>
      <c r="B10" s="5" t="s">
        <v>103</v>
      </c>
      <c r="F10" s="3" t="s">
        <v>9</v>
      </c>
      <c r="H10" s="26" t="s">
        <v>1350</v>
      </c>
      <c r="I10" s="27">
        <v>70323724</v>
      </c>
      <c r="K10" t="s">
        <v>1351</v>
      </c>
      <c r="M10" s="219" t="s">
        <v>122</v>
      </c>
    </row>
    <row r="11" spans="1:26" outlineLevel="1">
      <c r="A11" s="2" t="s">
        <v>1352</v>
      </c>
      <c r="B11" s="5" t="s">
        <v>1353</v>
      </c>
      <c r="F11" s="2" t="s">
        <v>1354</v>
      </c>
      <c r="H11" s="25" t="s">
        <v>1355</v>
      </c>
      <c r="I11" s="21">
        <v>32142539</v>
      </c>
      <c r="K11" t="s">
        <v>1356</v>
      </c>
      <c r="M11" s="219" t="s">
        <v>52</v>
      </c>
    </row>
    <row r="12" spans="1:26" outlineLevel="1">
      <c r="A12" s="3" t="s">
        <v>1357</v>
      </c>
      <c r="B12" s="5" t="s">
        <v>1051</v>
      </c>
      <c r="F12" s="3"/>
      <c r="H12" s="22" t="s">
        <v>1358</v>
      </c>
      <c r="I12" s="23">
        <v>79897894</v>
      </c>
      <c r="M12" s="219" t="s">
        <v>1216</v>
      </c>
    </row>
    <row r="13" spans="1:26" outlineLevel="1">
      <c r="A13" s="3" t="s">
        <v>461</v>
      </c>
      <c r="B13" s="5" t="s">
        <v>461</v>
      </c>
      <c r="H13" s="28" t="s">
        <v>1359</v>
      </c>
      <c r="I13" s="29">
        <v>32184975</v>
      </c>
    </row>
    <row r="14" spans="1:26" outlineLevel="1">
      <c r="A14" s="3" t="s">
        <v>1360</v>
      </c>
      <c r="B14" s="5" t="s">
        <v>483</v>
      </c>
      <c r="H14" s="25" t="s">
        <v>1361</v>
      </c>
      <c r="I14" s="21">
        <v>70512283</v>
      </c>
    </row>
    <row r="15" spans="1:26" outlineLevel="1">
      <c r="A15" s="2" t="s">
        <v>206</v>
      </c>
      <c r="B15" s="5" t="s">
        <v>206</v>
      </c>
      <c r="H15" s="26" t="s">
        <v>1362</v>
      </c>
      <c r="I15" s="27">
        <v>16757142</v>
      </c>
    </row>
    <row r="16" spans="1:26" outlineLevel="1">
      <c r="A16" s="2" t="s">
        <v>1363</v>
      </c>
      <c r="B16" s="5" t="s">
        <v>242</v>
      </c>
      <c r="H16" s="25" t="s">
        <v>1364</v>
      </c>
      <c r="I16" s="21">
        <v>1152194903</v>
      </c>
    </row>
    <row r="17" spans="1:9" outlineLevel="1">
      <c r="A17" s="2" t="s">
        <v>1365</v>
      </c>
      <c r="B17" s="5" t="s">
        <v>447</v>
      </c>
      <c r="H17" s="26" t="s">
        <v>1366</v>
      </c>
      <c r="I17" s="30" t="s">
        <v>1367</v>
      </c>
    </row>
    <row r="18" spans="1:9" outlineLevel="1">
      <c r="A18" s="2" t="s">
        <v>1368</v>
      </c>
      <c r="B18" s="5" t="s">
        <v>1219</v>
      </c>
      <c r="H18" s="25" t="s">
        <v>1369</v>
      </c>
      <c r="I18" s="295">
        <v>71639999</v>
      </c>
    </row>
    <row r="19" spans="1:9" outlineLevel="1">
      <c r="A19" s="3" t="s">
        <v>1370</v>
      </c>
      <c r="B19" s="5" t="s">
        <v>239</v>
      </c>
      <c r="H19" s="26" t="s">
        <v>1371</v>
      </c>
      <c r="I19" s="27">
        <v>1121878447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43506380</v>
      </c>
    </row>
    <row r="21" spans="1:9" outlineLevel="1">
      <c r="A21" t="s">
        <v>1375</v>
      </c>
      <c r="B21" s="6" t="s">
        <v>104</v>
      </c>
      <c r="H21" s="25" t="s">
        <v>1376</v>
      </c>
      <c r="I21" s="21">
        <v>43498846</v>
      </c>
    </row>
    <row r="22" spans="1:9" outlineLevel="1">
      <c r="A22" t="s">
        <v>203</v>
      </c>
      <c r="B22" s="5" t="s">
        <v>203</v>
      </c>
      <c r="H22" s="22" t="s">
        <v>1377</v>
      </c>
      <c r="I22" s="23">
        <v>1128404319</v>
      </c>
    </row>
    <row r="23" spans="1:9" outlineLevel="1">
      <c r="A23" s="4" t="s">
        <v>1378</v>
      </c>
      <c r="B23" s="5" t="s">
        <v>208</v>
      </c>
      <c r="H23" s="17" t="s">
        <v>6</v>
      </c>
      <c r="I23" s="24">
        <v>19083108</v>
      </c>
    </row>
    <row r="24" spans="1:9" outlineLevel="1">
      <c r="A24" t="s">
        <v>1379</v>
      </c>
      <c r="B24" s="5" t="s">
        <v>174</v>
      </c>
      <c r="H24" s="26" t="s">
        <v>1380</v>
      </c>
      <c r="I24" s="27">
        <v>1111111111</v>
      </c>
    </row>
    <row r="25" spans="1:9" outlineLevel="1">
      <c r="A25" s="4" t="s">
        <v>1091</v>
      </c>
      <c r="B25" s="5" t="s">
        <v>1091</v>
      </c>
      <c r="H25" s="25" t="s">
        <v>1381</v>
      </c>
      <c r="I25" s="21">
        <v>5820573</v>
      </c>
    </row>
    <row r="26" spans="1:9" outlineLevel="1">
      <c r="A26" t="s">
        <v>1188</v>
      </c>
      <c r="B26" s="5" t="s">
        <v>1188</v>
      </c>
      <c r="H26" s="26" t="s">
        <v>1382</v>
      </c>
      <c r="I26" s="27">
        <v>80810881</v>
      </c>
    </row>
    <row r="27" spans="1:9" outlineLevel="1">
      <c r="A27" t="s">
        <v>253</v>
      </c>
      <c r="B27" s="5" t="s">
        <v>253</v>
      </c>
      <c r="H27" s="26" t="s">
        <v>1383</v>
      </c>
      <c r="I27" s="27">
        <v>70566616</v>
      </c>
    </row>
    <row r="28" spans="1:9" outlineLevel="1">
      <c r="A28" s="4" t="s">
        <v>1384</v>
      </c>
      <c r="B28" s="5" t="s">
        <v>109</v>
      </c>
      <c r="H28" s="31" t="s">
        <v>1385</v>
      </c>
      <c r="I28" s="24">
        <v>71765633</v>
      </c>
    </row>
    <row r="29" spans="1:9" outlineLevel="1">
      <c r="H29" s="250" t="s">
        <v>1386</v>
      </c>
      <c r="I29" s="23">
        <v>1040733121</v>
      </c>
    </row>
    <row r="30" spans="1:9" outlineLevel="1">
      <c r="H30" s="293" t="s">
        <v>1387</v>
      </c>
      <c r="I30" s="294">
        <v>37841713</v>
      </c>
    </row>
    <row r="31" spans="1:9" outlineLevel="1">
      <c r="H31" s="210" t="s">
        <v>1388</v>
      </c>
      <c r="I31" s="210">
        <v>43874217</v>
      </c>
    </row>
    <row r="32" spans="1:9" outlineLevel="1">
      <c r="H32" s="210"/>
      <c r="I32" s="210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Jader Albeiro Gomez Agudelo</cp:lastModifiedBy>
  <cp:revision/>
  <dcterms:created xsi:type="dcterms:W3CDTF">2012-12-07T12:25:35Z</dcterms:created>
  <dcterms:modified xsi:type="dcterms:W3CDTF">2024-10-24T20:49:47Z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