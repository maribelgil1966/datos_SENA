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mayo\"/>
    </mc:Choice>
  </mc:AlternateContent>
  <xr:revisionPtr revIDLastSave="43" documentId="8_{0AF0B863-F527-429B-98DE-096A69911C7A}" xr6:coauthVersionLast="47" xr6:coauthVersionMax="47" xr10:uidLastSave="{BB5307E0-8EEE-4C70-A4FE-7B0D8F023CC1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C32" i="59"/>
  <c r="S32" i="43"/>
  <c r="S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32" i="59" a="1"/>
  <c r="P31" i="59" a="1"/>
  <c r="P30" i="59" a="1"/>
  <c r="P29" i="59" a="1"/>
  <c r="P28" i="59" a="1"/>
  <c r="P27" i="59" a="1"/>
  <c r="P26" i="59" a="1"/>
  <c r="P25" i="59" a="1"/>
  <c r="P24" i="59" a="1"/>
  <c r="P23" i="59" a="1"/>
  <c r="P22" i="59" a="1"/>
  <c r="P21" i="59" a="1"/>
  <c r="P15" i="59" a="1"/>
  <c r="P20" i="59" a="1"/>
  <c r="P19" i="59" a="1"/>
  <c r="P18" i="59" a="1"/>
  <c r="P17" i="59" a="1"/>
  <c r="P16" i="59" a="1"/>
  <c r="P13" i="59" a="1"/>
  <c r="P12" i="59" a="1"/>
  <c r="P14" i="59" a="1"/>
  <c r="P32" i="59" l="1"/>
  <c r="P31" i="59"/>
  <c r="P30" i="59"/>
  <c r="P29" i="59"/>
  <c r="P28" i="59"/>
  <c r="P27" i="59"/>
  <c r="P26" i="59"/>
  <c r="P25" i="59"/>
  <c r="P24" i="59"/>
  <c r="P23" i="59"/>
  <c r="P22" i="59"/>
  <c r="P21" i="59"/>
  <c r="P20" i="59"/>
  <c r="P19" i="59"/>
  <c r="P18" i="59"/>
  <c r="P17" i="59"/>
  <c r="P16" i="59"/>
  <c r="P15" i="59"/>
  <c r="P14" i="59"/>
  <c r="P13" i="59"/>
  <c r="P12" i="59"/>
  <c r="R1" i="59"/>
  <c r="S10" i="43" l="1"/>
  <c r="S11" i="43"/>
  <c r="S12" i="43"/>
  <c r="H14" i="59" s="1" a="1"/>
  <c r="S13" i="43"/>
  <c r="S14" i="43"/>
  <c r="S15" i="43"/>
  <c r="H17" i="59" s="1" a="1"/>
  <c r="S16" i="43"/>
  <c r="W16" i="43" s="1"/>
  <c r="S17" i="43"/>
  <c r="W17" i="43" s="1"/>
  <c r="S18" i="43"/>
  <c r="S19" i="43"/>
  <c r="S20" i="43"/>
  <c r="H22" i="59" s="1" a="1"/>
  <c r="S21" i="43"/>
  <c r="S22" i="43"/>
  <c r="H24" i="59" s="1" a="1"/>
  <c r="S23" i="43"/>
  <c r="H25" i="59" s="1" a="1"/>
  <c r="S24" i="43"/>
  <c r="H26" i="59" s="1" a="1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20" i="43"/>
  <c r="W21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0" i="43"/>
  <c r="G22" i="59" s="1"/>
  <c r="O21" i="43"/>
  <c r="G23" i="59" s="1"/>
  <c r="O22" i="43"/>
  <c r="G24" i="59" s="1"/>
  <c r="O28" i="43"/>
  <c r="G30" i="59" s="1"/>
  <c r="O29" i="43"/>
  <c r="G31" i="59" s="1"/>
  <c r="O30" i="43"/>
  <c r="G32" i="59" s="1"/>
  <c r="B514" i="38"/>
  <c r="B6" i="38"/>
  <c r="B32" i="38"/>
  <c r="O23" i="43" s="1"/>
  <c r="G25" i="59" s="1"/>
  <c r="B560" i="38"/>
  <c r="O17" i="43" s="1"/>
  <c r="G19" i="59" s="1"/>
  <c r="W30" i="43"/>
  <c r="B1065" i="38"/>
  <c r="W27" i="43" s="1"/>
  <c r="B1520" i="38"/>
  <c r="A9" i="38"/>
  <c r="A10" i="38" s="1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N3" i="59"/>
  <c r="F1" i="43"/>
  <c r="N2" i="59" s="1"/>
  <c r="N1" i="59"/>
  <c r="V8" i="43"/>
  <c r="Y8" i="43" s="1"/>
  <c r="O2" i="43"/>
  <c r="J9" i="38"/>
  <c r="J1011" i="38"/>
  <c r="J562" i="38"/>
  <c r="H20" i="59" a="1"/>
  <c r="S10" i="59" a="1"/>
  <c r="H31" i="59" a="1"/>
  <c r="H16" i="59" a="1"/>
  <c r="H28" i="59" a="1"/>
  <c r="H15" i="59" a="1"/>
  <c r="H32" i="59" a="1"/>
  <c r="H12" i="59" a="1"/>
  <c r="H13" i="59" a="1"/>
  <c r="H21" i="59" a="1"/>
  <c r="H23" i="59" a="1"/>
  <c r="H29" i="59" a="1"/>
  <c r="H30" i="59" a="1"/>
  <c r="W19" i="43" l="1"/>
  <c r="O11" i="43"/>
  <c r="G13" i="59" s="1"/>
  <c r="O27" i="43"/>
  <c r="G29" i="59" s="1"/>
  <c r="O19" i="43"/>
  <c r="G21" i="59" s="1"/>
  <c r="W26" i="43"/>
  <c r="W18" i="43"/>
  <c r="H19" i="59" a="1"/>
  <c r="H19" i="59" s="1"/>
  <c r="B19" i="59" s="1"/>
  <c r="O26" i="43"/>
  <c r="G28" i="59" s="1"/>
  <c r="O18" i="43"/>
  <c r="G20" i="59" s="1"/>
  <c r="W25" i="43"/>
  <c r="W31" i="43"/>
  <c r="O32" i="43"/>
  <c r="W33" i="43"/>
  <c r="W32" i="43"/>
  <c r="O33" i="43"/>
  <c r="O25" i="43"/>
  <c r="G27" i="59" s="1"/>
  <c r="O16" i="43"/>
  <c r="G18" i="59" s="1"/>
  <c r="W24" i="43"/>
  <c r="O24" i="43"/>
  <c r="G26" i="59" s="1"/>
  <c r="W23" i="43"/>
  <c r="W29" i="43"/>
  <c r="H18" i="59" a="1"/>
  <c r="H18" i="59" s="1"/>
  <c r="O18" i="59" s="1"/>
  <c r="O31" i="43"/>
  <c r="W22" i="43"/>
  <c r="S10" i="59"/>
  <c r="R3" i="59"/>
  <c r="R6" i="59" s="1"/>
  <c r="H17" i="59"/>
  <c r="O17" i="59" s="1"/>
  <c r="H25" i="59"/>
  <c r="B25" i="59" s="1"/>
  <c r="H24" i="59"/>
  <c r="B24" i="59" s="1"/>
  <c r="H16" i="59"/>
  <c r="B16" i="59" s="1"/>
  <c r="H15" i="59"/>
  <c r="B15" i="59" s="1"/>
  <c r="H28" i="59"/>
  <c r="O28" i="59" s="1"/>
  <c r="H27" i="59"/>
  <c r="O27" i="59" s="1"/>
  <c r="H26" i="59"/>
  <c r="B26" i="59" s="1"/>
  <c r="H32" i="59"/>
  <c r="B32" i="59" s="1"/>
  <c r="H30" i="59"/>
  <c r="B30" i="59" s="1"/>
  <c r="H22" i="59"/>
  <c r="B22" i="59" s="1"/>
  <c r="H14" i="59"/>
  <c r="O14" i="59" s="1"/>
  <c r="H20" i="59"/>
  <c r="B20" i="59" s="1"/>
  <c r="H23" i="59"/>
  <c r="B23" i="59" s="1"/>
  <c r="H31" i="59"/>
  <c r="B31" i="59" s="1"/>
  <c r="H29" i="59"/>
  <c r="B29" i="59" s="1"/>
  <c r="H21" i="59"/>
  <c r="B21" i="59" s="1"/>
  <c r="H13" i="59"/>
  <c r="B13" i="59" s="1"/>
  <c r="H12" i="59"/>
  <c r="B12" i="59" s="1"/>
  <c r="J517" i="38"/>
  <c r="J563" i="38"/>
  <c r="J163" i="38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29" i="59" a="1"/>
  <c r="K32" i="59" a="1"/>
  <c r="O26" i="59" l="1"/>
  <c r="K26" i="59" a="1"/>
  <c r="K30" i="59" a="1"/>
  <c r="K30" i="59" s="1"/>
  <c r="K15" i="59" a="1"/>
  <c r="K15" i="59" s="1"/>
  <c r="K20" i="59" a="1"/>
  <c r="K20" i="59" s="1"/>
  <c r="K19" i="59" a="1"/>
  <c r="K19" i="59" s="1"/>
  <c r="K17" i="59" a="1"/>
  <c r="K17" i="59" s="1"/>
  <c r="K31" i="59" a="1"/>
  <c r="K31" i="59" s="1"/>
  <c r="K27" i="59" a="1"/>
  <c r="K27" i="59" s="1"/>
  <c r="B27" i="59"/>
  <c r="O19" i="59"/>
  <c r="B18" i="59"/>
  <c r="O29" i="59"/>
  <c r="O12" i="59"/>
  <c r="O25" i="59"/>
  <c r="O21" i="59"/>
  <c r="O15" i="59"/>
  <c r="O30" i="59"/>
  <c r="O13" i="59"/>
  <c r="B17" i="59"/>
  <c r="O32" i="59"/>
  <c r="K32" i="59"/>
  <c r="K26" i="59"/>
  <c r="K29" i="59"/>
  <c r="B28" i="59"/>
  <c r="B14" i="59"/>
  <c r="O22" i="59"/>
  <c r="O16" i="59"/>
  <c r="O23" i="59"/>
  <c r="O20" i="59"/>
  <c r="O24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8" i="59" a="1"/>
  <c r="K28" i="59" a="1"/>
  <c r="K21" i="59" a="1"/>
  <c r="K16" i="59" a="1"/>
  <c r="K25" i="59" a="1"/>
  <c r="K23" i="59" a="1"/>
  <c r="K14" i="59" a="1"/>
  <c r="K22" i="59" a="1"/>
  <c r="K12" i="59" a="1"/>
  <c r="K24" i="59" a="1"/>
  <c r="K13" i="59" a="1"/>
  <c r="K21" i="59" l="1"/>
  <c r="K18" i="59"/>
  <c r="K25" i="59"/>
  <c r="K24" i="59"/>
  <c r="K16" i="59"/>
  <c r="K28" i="59"/>
  <c r="K22" i="59"/>
  <c r="K13" i="59"/>
  <c r="K12" i="59"/>
  <c r="K23" i="59"/>
  <c r="K14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<sst xmlns="http://schemas.openxmlformats.org/spreadsheetml/2006/main" count="5075" uniqueCount="1394">
  <si>
    <t xml:space="preserve">CÓDIGO ÚNICO  DE   PEDIDO
</t>
  </si>
  <si>
    <t xml:space="preserve"> Pedido #</t>
  </si>
  <si>
    <t>FECHA DE 
ELABORACION</t>
  </si>
  <si>
    <t>Soli</t>
  </si>
  <si>
    <t>INSTRUCTOR ENCARGADO</t>
  </si>
  <si>
    <t>María Bolivar Agudelo</t>
  </si>
  <si>
    <t>CÉDULA</t>
  </si>
  <si>
    <t>PROGRAMA</t>
  </si>
  <si>
    <t>PRODUCCION MARROQUINERIA</t>
  </si>
  <si>
    <t>FICHA(#)</t>
  </si>
  <si>
    <t>NOMBRE DEL PRODUCTO</t>
  </si>
  <si>
    <t>bolso giro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</si>
  <si>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</si>
  <si>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</si>
  <si>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</si>
  <si>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</si>
  <si>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</si>
  <si>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</si>
  <si>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</si>
  <si>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</si>
  <si>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</si>
  <si>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</si>
  <si>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</si>
  <si>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</si>
  <si>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SiNTETICOS_TEXTILES</t>
  </si>
  <si>
    <t>SINTETICO PVC</t>
  </si>
  <si>
    <t>ADHESIVOS_Solventes</t>
  </si>
  <si>
    <t xml:space="preserve">PEGANTE CEMENTO DE CONTACTO BASE CLOROPRENO
</t>
  </si>
  <si>
    <t>SECUNDARIO_MEDULAR</t>
  </si>
  <si>
    <t xml:space="preserve">HILO ENCERADO </t>
  </si>
  <si>
    <t>Café</t>
  </si>
  <si>
    <t xml:space="preserve">HILO NYLON #60
</t>
  </si>
  <si>
    <t>INSUMOS_COMPL_</t>
  </si>
  <si>
    <t xml:space="preserve">HILO NYLON #40
</t>
  </si>
  <si>
    <t>ESPUMA DE POLIETILENO
JUMBOLÓN</t>
  </si>
  <si>
    <t>CUERO</t>
  </si>
  <si>
    <t>TALA</t>
  </si>
  <si>
    <t>HERRAJES</t>
  </si>
  <si>
    <t>HERRAMIENTAS_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</si>
  <si>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</si>
  <si>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</si>
  <si>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</si>
  <si>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</si>
  <si>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</si>
  <si>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</si>
  <si>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</si>
  <si>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</si>
  <si>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</si>
  <si>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</si>
  <si>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</si>
  <si>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</si>
  <si>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</si>
  <si>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</si>
  <si>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</si>
  <si>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</si>
  <si>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</si>
  <si>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</si>
  <si>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</si>
  <si>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</si>
  <si>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</si>
  <si>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</si>
  <si>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</si>
  <si>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</si>
  <si>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</si>
  <si>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</si>
  <si>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</si>
  <si>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</si>
  <si>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</si>
  <si>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</si>
  <si>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</si>
  <si>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</si>
  <si>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</si>
  <si>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</si>
  <si>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</si>
  <si>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</si>
  <si>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</si>
  <si>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</si>
  <si>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</si>
  <si>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</si>
  <si>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</si>
  <si>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</si>
  <si>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</si>
  <si>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</si>
  <si>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</si>
  <si>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</si>
  <si>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</si>
  <si>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</si>
  <si>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</si>
  <si>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</si>
  <si>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</si>
  <si>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</si>
  <si>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</si>
  <si>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remplaza por sitetico</t>
  </si>
  <si>
    <t>1 MT</t>
  </si>
  <si>
    <t>RETAL DE CUERO RESPONSABLE ORLANDO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</si>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</sst>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415</xdr:rowOff>
    </xdr:from>
    <xdr:to>
      <xdr:col>1</xdr:col>
      <xdr:colOff>442754</xdr:colOff>
      <xdr:row>2</xdr:row>
      <xdr:rowOff>415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415"/>
          <a:ext cx="776129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0" zoomScaleNormal="110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MB0305-1</v>
      </c>
      <c r="G1" s="330"/>
      <c r="H1" s="331"/>
      <c r="I1" s="332" t="s">
        <v>1</v>
      </c>
      <c r="J1" s="333"/>
      <c r="K1" s="247">
        <v>1</v>
      </c>
      <c r="L1" s="334" t="s">
        <v>2</v>
      </c>
      <c r="M1" s="335"/>
      <c r="N1" s="335"/>
      <c r="O1" s="336">
        <v>45415</v>
      </c>
      <c r="P1" s="336"/>
      <c r="Q1" s="336"/>
      <c r="R1" s="337"/>
      <c r="S1" s="382" t="e" vm="1">
        <v>#VALUE!</v>
      </c>
      <c r="T1" s="383"/>
      <c r="U1" s="383"/>
      <c r="V1" s="383"/>
      <c r="W1" s="383"/>
      <c r="X1" s="383"/>
      <c r="Y1" s="384"/>
      <c r="Z1" s="254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IF(E2="","",INDEX(Listas!H2:I30,MATCH('Soli_citud '!E2,Listas!H2:H30,0),2))</f>
        <v>43506380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 t="s">
        <v>8</v>
      </c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2707567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2605.828526137007</v>
      </c>
      <c r="E5" s="367"/>
      <c r="F5" s="368"/>
      <c r="G5" s="351" t="s">
        <v>15</v>
      </c>
      <c r="H5" s="369"/>
      <c r="I5" s="369"/>
      <c r="J5" s="352"/>
      <c r="K5" s="325">
        <v>14</v>
      </c>
      <c r="L5" s="325"/>
      <c r="M5" s="326" t="s">
        <v>16</v>
      </c>
      <c r="N5" s="326"/>
      <c r="O5" s="379">
        <f ca="1">IFERROR(IF(K5=0,"",D5*K5),"")</f>
        <v>36481.599365918097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7.1428571428571425E-2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cm2</v>
      </c>
      <c r="P10" s="312"/>
      <c r="Q10" s="313">
        <v>40</v>
      </c>
      <c r="R10" s="314"/>
      <c r="S10" s="315">
        <f>IFERROR(IF(Q10="Unidad","1",(Q10*$K$5)),"")</f>
        <v>560</v>
      </c>
      <c r="T10" s="316"/>
      <c r="U10" s="317"/>
      <c r="V10" s="323"/>
      <c r="W10" s="318">
        <f ca="1">IFERROR(IF(D10="","",INDEX(Tabla_Completa,MATCH('Soli_citud '!D10,Materiales,0),7)*S10),"")</f>
        <v>1564</v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ml</v>
      </c>
      <c r="P11" s="312"/>
      <c r="Q11" s="313">
        <v>142.80000000000001</v>
      </c>
      <c r="R11" s="314"/>
      <c r="S11" s="315">
        <f t="shared" ref="S11:S31" si="1">IFERROR(IF(Q11="Unidad","1",(Q11*$K$5)),"")</f>
        <v>1999.2000000000003</v>
      </c>
      <c r="T11" s="316"/>
      <c r="U11" s="317"/>
      <c r="V11" s="317"/>
      <c r="W11" s="318">
        <f ca="1">IFERROR(IF(D11="","",INDEX(Tabla_Completa,MATCH('Soli_citud '!D11,Materiales,0),7)*S11),"")</f>
        <v>34917.599365918097</v>
      </c>
      <c r="X11" s="318"/>
      <c r="Y11" s="318"/>
    </row>
    <row r="12" spans="1:28" ht="15.75" customHeight="1">
      <c r="A12" s="305" t="s">
        <v>28</v>
      </c>
      <c r="B12" s="306"/>
      <c r="C12" s="307"/>
      <c r="D12" s="322" t="s">
        <v>29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Cono</v>
      </c>
      <c r="P12" s="312"/>
      <c r="Q12" s="313"/>
      <c r="R12" s="314"/>
      <c r="S12" s="315">
        <f t="shared" si="1"/>
        <v>0</v>
      </c>
      <c r="T12" s="316"/>
      <c r="U12" s="317" t="s">
        <v>30</v>
      </c>
      <c r="V12" s="317"/>
      <c r="W12" s="318">
        <f ca="1">IFERROR(IF(D12="","",INDEX(Tabla_Completa,MATCH('Soli_citud '!D12,Materiales,0),7)*S12),"")</f>
        <v>0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31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Cono</v>
      </c>
      <c r="P13" s="312"/>
      <c r="Q13" s="313"/>
      <c r="R13" s="314"/>
      <c r="S13" s="315">
        <f t="shared" si="1"/>
        <v>0</v>
      </c>
      <c r="T13" s="316"/>
      <c r="U13" s="317"/>
      <c r="V13" s="317"/>
      <c r="W13" s="318">
        <f ca="1">IFERROR(IF(D13="","",INDEX(Tabla_Completa,MATCH('Soli_citud '!D13,Materiales,0),7)*S13),"")</f>
        <v>0</v>
      </c>
      <c r="X13" s="318"/>
      <c r="Y13" s="318"/>
    </row>
    <row r="14" spans="1:28" ht="17.25" customHeight="1">
      <c r="A14" s="305" t="s">
        <v>32</v>
      </c>
      <c r="B14" s="306"/>
      <c r="C14" s="307"/>
      <c r="D14" s="319" t="s">
        <v>33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Cono</v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>
        <f ca="1">IFERROR(IF(D14="","",INDEX(Tabla_Completa,MATCH('Soli_citud '!D14,Materiales,0),7)*S14),"")</f>
        <v>0</v>
      </c>
      <c r="X14" s="318"/>
      <c r="Y14" s="318"/>
    </row>
    <row r="15" spans="1:28" ht="15.75" customHeight="1">
      <c r="A15" s="305" t="s">
        <v>28</v>
      </c>
      <c r="B15" s="306"/>
      <c r="C15" s="307"/>
      <c r="D15" s="319" t="s">
        <v>34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m</v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35</v>
      </c>
      <c r="B16" s="306"/>
      <c r="C16" s="307"/>
      <c r="D16" s="319" t="s">
        <v>36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dm2</v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>
        <f ca="1">IFERROR(IF(D16="","",INDEX(Tabla_Completa,MATCH('Soli_citud '!D16,Materiales,0),7)*S16),"")</f>
        <v>0</v>
      </c>
      <c r="X16" s="318"/>
      <c r="Y16" s="318"/>
    </row>
    <row r="17" spans="1:25" ht="15.75" customHeight="1">
      <c r="A17" s="305" t="s">
        <v>37</v>
      </c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 t="s">
        <v>37</v>
      </c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 t="s">
        <v>38</v>
      </c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 t="s">
        <v>37</v>
      </c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 t="s">
        <v>37</v>
      </c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 t="s">
        <v>37</v>
      </c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 t="s">
        <v>37</v>
      </c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 t="s">
        <v>32</v>
      </c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 t="s">
        <v>32</v>
      </c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 t="s">
        <v>32</v>
      </c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 t="s">
        <v>32</v>
      </c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 t="s">
        <v>28</v>
      </c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 t="s">
        <v>28</v>
      </c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 t="s">
        <v>28</v>
      </c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 t="s">
        <v>28</v>
      </c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 t="s">
        <v>28</v>
      </c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 t="s">
        <v>28</v>
      </c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39</v>
      </c>
      <c r="B39" s="399"/>
      <c r="C39" s="399"/>
      <c r="D39" s="400" t="s">
        <v>40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41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42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43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26</v>
      </c>
      <c r="O44" s="389"/>
      <c r="P44" s="389"/>
      <c r="Q44" s="389"/>
      <c r="R44" s="395" t="s">
        <v>44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45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46</v>
      </c>
      <c r="O45" s="389"/>
      <c r="P45" s="389"/>
      <c r="Q45" s="389"/>
      <c r="R45" s="396" t="s">
        <v>47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48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35</v>
      </c>
      <c r="O46" s="389"/>
      <c r="P46" s="389"/>
      <c r="Q46" s="389"/>
      <c r="R46" s="388" t="s">
        <v>49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50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37</v>
      </c>
      <c r="O47" s="389"/>
      <c r="P47" s="389"/>
      <c r="Q47" s="389"/>
      <c r="R47" s="388" t="s">
        <v>51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52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53</v>
      </c>
      <c r="O48" s="389"/>
      <c r="P48" s="389"/>
      <c r="Q48" s="389"/>
      <c r="R48" s="388" t="s">
        <v>54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55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56</v>
      </c>
      <c r="O49" s="390"/>
      <c r="P49" s="390"/>
      <c r="Q49" s="390"/>
      <c r="R49" s="396" t="s">
        <v>57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58</v>
      </c>
      <c r="O50" s="389"/>
      <c r="P50" s="389"/>
      <c r="Q50" s="389"/>
      <c r="R50" s="388" t="s">
        <v>59</v>
      </c>
      <c r="S50" s="388"/>
      <c r="T50" s="388"/>
      <c r="U50" s="388"/>
      <c r="V50" s="388"/>
      <c r="W50" s="388"/>
      <c r="X50" s="388"/>
    </row>
    <row r="51" spans="1:24" ht="15.75">
      <c r="N51" s="389" t="s">
        <v>24</v>
      </c>
      <c r="O51" s="389"/>
      <c r="P51" s="389"/>
      <c r="Q51" s="389"/>
      <c r="R51" s="388" t="s">
        <v>60</v>
      </c>
      <c r="S51" s="388"/>
      <c r="T51" s="388"/>
      <c r="U51" s="388"/>
      <c r="V51" s="388"/>
      <c r="W51" s="388"/>
      <c r="X51" s="388"/>
    </row>
    <row r="52" spans="1:24" ht="15.75">
      <c r="N52" s="389" t="s">
        <v>61</v>
      </c>
      <c r="O52" s="389"/>
      <c r="P52" s="389"/>
      <c r="Q52" s="389"/>
      <c r="R52" s="388" t="s">
        <v>51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zoomScale="95" zoomScaleNormal="95" workbookViewId="0">
      <pane ySplit="11" topLeftCell="A13" activePane="bottomLeft" state="frozen"/>
      <selection pane="bottomLeft" activeCell="C18" sqref="C18:F18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62</v>
      </c>
      <c r="E1" s="472"/>
      <c r="F1" s="472"/>
      <c r="G1" s="472"/>
      <c r="H1" s="472"/>
      <c r="I1" s="472"/>
      <c r="J1" s="477" t="s">
        <v>63</v>
      </c>
      <c r="K1" s="478"/>
      <c r="L1" s="478"/>
      <c r="M1" s="479"/>
      <c r="N1" s="473">
        <f>IF('Soli_citud '!O1="","",'Soli_citud '!O1)</f>
        <v>45415</v>
      </c>
      <c r="O1" s="474"/>
      <c r="P1" s="407" t="s">
        <v>64</v>
      </c>
      <c r="Q1" s="408"/>
      <c r="R1" s="403" t="str">
        <f>IF('Soli_citud '!D4="","",'Soli_citud '!D4)</f>
        <v>bolso giro</v>
      </c>
      <c r="S1" s="404"/>
      <c r="Z1" t="s">
        <v>65</v>
      </c>
      <c r="AA1" s="253" t="s">
        <v>65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66</v>
      </c>
      <c r="K2" s="455"/>
      <c r="L2" s="455"/>
      <c r="M2" s="456"/>
      <c r="N2" s="475" t="str">
        <f>'Soli_citud '!F1</f>
        <v>MB0305-1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67</v>
      </c>
      <c r="K3" s="476"/>
      <c r="L3" s="476"/>
      <c r="M3" s="476"/>
      <c r="N3" s="463">
        <f>IF('Soli_citud '!O3="","",'Soli_citud '!O3)</f>
        <v>2707567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68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69</v>
      </c>
      <c r="C6" s="449"/>
      <c r="D6" s="450"/>
      <c r="E6" s="465" t="s">
        <v>70</v>
      </c>
      <c r="F6" s="465"/>
      <c r="G6" s="465"/>
      <c r="H6" s="465"/>
      <c r="I6" s="466"/>
      <c r="J6" s="439" t="s">
        <v>71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2605.828526137007</v>
      </c>
      <c r="C8" s="427"/>
      <c r="D8" s="428"/>
      <c r="E8" s="445" t="s">
        <v>72</v>
      </c>
      <c r="F8" s="446"/>
      <c r="G8" s="446"/>
      <c r="H8" s="446"/>
      <c r="I8" s="447"/>
      <c r="J8" s="441" t="str">
        <f>IF('Soli_citud '!E2="","",'Soli_citud '!E2)</f>
        <v>María Bolivar Agudelo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73</v>
      </c>
      <c r="C9" s="430"/>
      <c r="D9" s="422"/>
      <c r="E9" s="421" t="s">
        <v>74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75</v>
      </c>
      <c r="K10" s="461"/>
      <c r="L10" s="462"/>
      <c r="M10" s="243">
        <f>'Soli_citud '!K5</f>
        <v>14</v>
      </c>
      <c r="N10" s="443" t="s">
        <v>76</v>
      </c>
      <c r="O10" s="444"/>
      <c r="P10" s="411"/>
      <c r="Q10" s="412"/>
      <c r="R10" s="244" t="s">
        <v>77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78</v>
      </c>
      <c r="B11" s="265" t="s">
        <v>79</v>
      </c>
      <c r="C11" s="423" t="s">
        <v>80</v>
      </c>
      <c r="D11" s="424"/>
      <c r="E11" s="424"/>
      <c r="F11" s="425"/>
      <c r="G11" s="112" t="s">
        <v>81</v>
      </c>
      <c r="H11" s="112" t="s">
        <v>82</v>
      </c>
      <c r="I11" s="238" t="s">
        <v>83</v>
      </c>
      <c r="J11" s="110" t="s">
        <v>84</v>
      </c>
      <c r="K11" s="224" t="s">
        <v>85</v>
      </c>
      <c r="L11" s="459" t="s">
        <v>22</v>
      </c>
      <c r="M11" s="460"/>
      <c r="N11" s="241" t="s">
        <v>86</v>
      </c>
      <c r="O11" s="241" t="s">
        <v>87</v>
      </c>
      <c r="P11" s="245" t="s">
        <v>88</v>
      </c>
      <c r="Q11" s="246" t="s">
        <v>89</v>
      </c>
      <c r="R11" s="237" t="s">
        <v>90</v>
      </c>
      <c r="S11" s="225" t="s">
        <v>91</v>
      </c>
    </row>
    <row r="12" spans="1:27" ht="19.5" customHeight="1">
      <c r="A12" s="78">
        <v>1</v>
      </c>
      <c r="B12" s="266" t="str">
        <f>IF(H12="","",$N$2)</f>
        <v>MB0305-1</v>
      </c>
      <c r="C12" s="420" t="str">
        <f>IFERROR(IF('Soli_citud '!D10="","",'Soli_citud '!D10),"")</f>
        <v>SINTETICO PVC</v>
      </c>
      <c r="D12" s="420"/>
      <c r="E12" s="420"/>
      <c r="F12" s="420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560</v>
      </c>
      <c r="I12" s="228">
        <v>45418</v>
      </c>
      <c r="J12" s="229">
        <v>140</v>
      </c>
      <c r="K12" s="207" cm="1">
        <f t="array" ref="K12">IFERROR(_xlfn.IFS(H12="","",J12=H12,"Cumplido",J12&lt;H12,H12-J12,J12&gt;H12,"Revisar"),"")</f>
        <v>420</v>
      </c>
      <c r="L12" s="457" t="s">
        <v>92</v>
      </c>
      <c r="M12" s="458"/>
      <c r="N12" s="229">
        <v>140</v>
      </c>
      <c r="O12" s="208">
        <f t="shared" ref="O12:O30" si="0">IFERROR(H12/N12,"")</f>
        <v>4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MB0305-1</v>
      </c>
      <c r="C13" s="420" t="str">
        <f>IFERROR(IF('Soli_citud '!D11="","",'Soli_citud '!D11),"")</f>
        <v xml:space="preserve">PEGANTE CEMENTO DE CONTACTO BASE CLOROPRENO
</v>
      </c>
      <c r="D13" s="420"/>
      <c r="E13" s="420"/>
      <c r="F13" s="420"/>
      <c r="G13" s="227" t="str">
        <f ca="1">IF('Soli_citud '!O11="","",'Soli_citud '!O11)</f>
        <v>ml</v>
      </c>
      <c r="H13" s="227" cm="1">
        <f t="array" ref="H13">_xlfn.IFS('Soli_citud '!S11="","",'Soli_citud '!S11&lt;=0,"",'Soli_citud '!S11&gt;0,'Soli_citud '!S11)</f>
        <v>1999.2000000000003</v>
      </c>
      <c r="I13" s="228">
        <v>45418</v>
      </c>
      <c r="J13" s="230">
        <v>1999.2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20" t="str">
        <f>IFERROR(IF('Soli_citud '!D12="","",'Soli_citud '!D12),"")</f>
        <v xml:space="preserve">HILO ENCERADO </v>
      </c>
      <c r="D14" s="420"/>
      <c r="E14" s="420"/>
      <c r="F14" s="420"/>
      <c r="G14" s="227" t="str">
        <f ca="1">IF('Soli_citud '!O12="","",'Soli_citud '!O12)</f>
        <v>Cono</v>
      </c>
      <c r="H14" s="227" t="str" cm="1">
        <f t="array" ref="H14">_xlfn.IFS('Soli_citud '!S12="","",'Soli_citud '!S12&lt;=0,"",'Soli_citud '!S12&gt;0,'Soli_citud '!S12)</f>
        <v/>
      </c>
      <c r="I14" s="228">
        <v>45418</v>
      </c>
      <c r="J14" s="230"/>
      <c r="K14" s="207" t="str" cm="1">
        <f t="array" ref="K14">IFERROR(_xlfn.IFS(H14="","",J14=H14,"Cumplido",J14&lt;H14,H14-J14,J14&gt;H14,"Revisar"),"")</f>
        <v/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20" t="str">
        <f>IFERROR(IF('Soli_citud '!D13="","",'Soli_citud '!D13),"")</f>
        <v xml:space="preserve">HILO NYLON #60
</v>
      </c>
      <c r="D15" s="420"/>
      <c r="E15" s="420"/>
      <c r="F15" s="420"/>
      <c r="G15" s="227" t="str">
        <f ca="1">IF('Soli_citud '!O13="","",'Soli_citud '!O13)</f>
        <v>Cono</v>
      </c>
      <c r="H15" s="227" t="str" cm="1">
        <f t="array" ref="H15">_xlfn.IFS('Soli_citud '!S13="","",'Soli_citud '!S13&lt;=0,"",'Soli_citud '!S13&gt;0,'Soli_citud '!S13)</f>
        <v/>
      </c>
      <c r="I15" s="228">
        <v>45418</v>
      </c>
      <c r="J15" s="230">
        <v>7</v>
      </c>
      <c r="K15" s="207" t="str" cm="1">
        <f t="array" ref="K15">IFERROR(_xlfn.IFS(H15="","",J15=H15,"Cumplido",J15&lt;H15,H15-J15,J15&gt;H15,"Revisar"),"")</f>
        <v/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20" t="str">
        <f>IFERROR(IF('Soli_citud '!D14="","",'Soli_citud '!D14),"")</f>
        <v xml:space="preserve">HILO NYLON #40
</v>
      </c>
      <c r="D16" s="420"/>
      <c r="E16" s="420"/>
      <c r="F16" s="420"/>
      <c r="G16" s="227" t="str">
        <f ca="1">IF('Soli_citud '!O14="","",'Soli_citud '!O14)</f>
        <v>Cono</v>
      </c>
      <c r="H16" s="227" t="str" cm="1">
        <f t="array" ref="H16">_xlfn.IFS('Soli_citud '!S14="","",'Soli_citud '!S14&lt;=0,"",'Soli_citud '!S14&gt;0,'Soli_citud '!S14)</f>
        <v/>
      </c>
      <c r="I16" s="228">
        <v>45418</v>
      </c>
      <c r="J16" s="230">
        <v>7</v>
      </c>
      <c r="K16" s="207" t="str" cm="1">
        <f t="array" ref="K16">IFERROR(_xlfn.IFS(H16="","",J16=H16,"Cumplido",J16&lt;H16,H16-J16,J16&gt;H16,"Revisar"),"")</f>
        <v/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20" t="str">
        <f>IFERROR(IF('Soli_citud '!D15="","",'Soli_citud '!D15),"")</f>
        <v>ESPUMA DE POLIETILENO
JUMBOLÓN</v>
      </c>
      <c r="D17" s="420"/>
      <c r="E17" s="420"/>
      <c r="F17" s="420"/>
      <c r="G17" s="227" t="str">
        <f ca="1">IF('Soli_citud '!O15="","",'Soli_citud '!O15)</f>
        <v>m</v>
      </c>
      <c r="H17" s="227" t="str" cm="1">
        <f t="array" ref="H17">_xlfn.IFS('Soli_citud '!S15="","",'Soli_citud '!S15&lt;=0,"",'Soli_citud '!S15&gt;0,'Soli_citud '!S15)</f>
        <v/>
      </c>
      <c r="I17" s="228">
        <v>45418</v>
      </c>
      <c r="J17" s="230">
        <v>1</v>
      </c>
      <c r="K17" s="207" t="str" cm="1">
        <f t="array" ref="K17">IFERROR(_xlfn.IFS(H17="","",J17=H17,"Cumplido",J17&lt;H17,H17-J17,J17&gt;H17,"Revisar"),"")</f>
        <v/>
      </c>
      <c r="L17" s="457" t="s">
        <v>93</v>
      </c>
      <c r="M17" s="458"/>
      <c r="N17" s="229">
        <v>140</v>
      </c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50.25" customHeight="1">
      <c r="A18" s="78">
        <v>7</v>
      </c>
      <c r="B18" s="266" t="str">
        <f t="shared" si="1"/>
        <v/>
      </c>
      <c r="C18" s="420" t="str">
        <f>IFERROR(IF('Soli_citud '!D16="","",'Soli_citud '!D16),"")</f>
        <v>TALA</v>
      </c>
      <c r="D18" s="420"/>
      <c r="E18" s="420"/>
      <c r="F18" s="420"/>
      <c r="G18" s="227" t="str">
        <f ca="1">IF('Soli_citud '!O16="","",'Soli_citud '!O16)</f>
        <v>dm2</v>
      </c>
      <c r="H18" s="227" t="str" cm="1">
        <f t="array" ref="H18">_xlfn.IFS('Soli_citud '!S16="","",'Soli_citud '!S16&lt;=0,"",'Soli_citud '!S16&gt;0,'Soli_citud '!S16)</f>
        <v/>
      </c>
      <c r="I18" s="228">
        <v>45418</v>
      </c>
      <c r="J18" s="230">
        <v>1</v>
      </c>
      <c r="K18" s="207" t="str" cm="1">
        <f t="array" ref="K18">IFERROR(_xlfn.IFS(H18="","",J18=H18,"Cumplido",J18&lt;H18,H18-J18,J18&gt;H18,"Revisar"),"")</f>
        <v/>
      </c>
      <c r="L18" s="457" t="s">
        <v>94</v>
      </c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>DEVOLUTIVO</v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95</v>
      </c>
      <c r="F1" s="486"/>
      <c r="Z1" s="253" t="s">
        <v>65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96</v>
      </c>
      <c r="B6" s="214">
        <f>SUBTOTAL(3,(BD!$B$8:$B$19))</f>
        <v>12</v>
      </c>
      <c r="C6" s="482"/>
      <c r="D6" s="483"/>
      <c r="H6" s="480" t="s">
        <v>97</v>
      </c>
      <c r="I6" s="480"/>
    </row>
    <row r="7" spans="1:26" ht="47.25">
      <c r="A7" s="73" t="s">
        <v>78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26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26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26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26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26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26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26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26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117</v>
      </c>
      <c r="C16" s="140" t="s">
        <v>26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118</v>
      </c>
      <c r="C17" s="140" t="s">
        <v>26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119</v>
      </c>
      <c r="C18" s="140" t="s">
        <v>26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120</v>
      </c>
      <c r="C19" s="140" t="s">
        <v>26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122</v>
      </c>
      <c r="C34" s="220" t="s">
        <v>123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20" t="s">
        <v>123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20" t="s">
        <v>123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20" t="s">
        <v>123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20" t="s">
        <v>123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20" t="s">
        <v>123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20" t="s">
        <v>123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20" t="s">
        <v>123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20" t="s">
        <v>123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20" t="s">
        <v>123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20" t="s">
        <v>123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20" t="s">
        <v>123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20" t="s">
        <v>123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20" t="s">
        <v>123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20" t="s">
        <v>123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20" t="s">
        <v>123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20" t="s">
        <v>123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20" t="s">
        <v>123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20" t="s">
        <v>123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20" t="s">
        <v>123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20" t="s">
        <v>123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20" t="s">
        <v>123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20" t="s">
        <v>123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20" t="s">
        <v>123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20" t="s">
        <v>123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20" t="s">
        <v>123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20" t="s">
        <v>123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20" t="s">
        <v>123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20" t="s">
        <v>123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20" t="s">
        <v>123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20" t="s">
        <v>123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20" t="s">
        <v>123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20" t="s">
        <v>123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20" t="s">
        <v>123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20" t="s">
        <v>123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20" t="s">
        <v>123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20" t="s">
        <v>123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20" t="s">
        <v>123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20" t="s">
        <v>123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20" t="s">
        <v>123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20" t="s">
        <v>123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20" t="s">
        <v>123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20" t="s">
        <v>123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20" t="s">
        <v>123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20" t="s">
        <v>123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20" t="s">
        <v>123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20" t="s">
        <v>123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20" t="s">
        <v>123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20" t="s">
        <v>123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20" t="s">
        <v>123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20" t="s">
        <v>123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20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20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20" t="s">
        <v>123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20" t="s">
        <v>123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20" t="s">
        <v>123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20" t="s">
        <v>123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20" t="s">
        <v>123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20" t="s">
        <v>123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20" t="s">
        <v>123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20" t="s">
        <v>123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20" t="s">
        <v>123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20" t="s">
        <v>123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20" t="s">
        <v>123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20" t="s">
        <v>123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20" t="s">
        <v>123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20" t="s">
        <v>123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20" t="s">
        <v>123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20" t="s">
        <v>123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20" t="s">
        <v>123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20" t="s">
        <v>123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20" t="s">
        <v>123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20" t="s">
        <v>123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20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20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20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20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20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20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20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20" t="s">
        <v>123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20" t="s">
        <v>123</v>
      </c>
      <c r="D115" s="48" t="s">
        <v>207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20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20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20" t="s">
        <v>123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20" t="s">
        <v>123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20" t="s">
        <v>123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20" t="s">
        <v>123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20" t="s">
        <v>123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20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20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20" t="s">
        <v>123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20" t="s">
        <v>123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20" t="s">
        <v>123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20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20" t="s">
        <v>123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20" t="s">
        <v>123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20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20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20" t="s">
        <v>123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20" t="s">
        <v>123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20" t="s">
        <v>123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20" t="s">
        <v>123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20" t="s">
        <v>123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20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20" t="s">
        <v>123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20" t="s">
        <v>123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20" t="s">
        <v>123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237</v>
      </c>
      <c r="C162" s="220" t="s">
        <v>28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20" t="s">
        <v>28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20" t="s">
        <v>28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20" t="s">
        <v>28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20" t="s">
        <v>28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20" t="s">
        <v>28</v>
      </c>
      <c r="D167" s="48" t="s">
        <v>175</v>
      </c>
      <c r="E167" s="43"/>
      <c r="F167" s="48" t="s">
        <v>175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20" t="s">
        <v>28</v>
      </c>
      <c r="D168" s="48" t="s">
        <v>175</v>
      </c>
      <c r="E168" s="43"/>
      <c r="F168" s="48" t="s">
        <v>175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20" t="s">
        <v>28</v>
      </c>
      <c r="D169" s="48" t="s">
        <v>175</v>
      </c>
      <c r="E169" s="43"/>
      <c r="F169" s="48" t="s">
        <v>175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20" t="s">
        <v>28</v>
      </c>
      <c r="D170" s="48" t="s">
        <v>175</v>
      </c>
      <c r="E170" s="43"/>
      <c r="F170" s="48" t="s">
        <v>175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20" t="s">
        <v>28</v>
      </c>
      <c r="D171" s="48" t="s">
        <v>175</v>
      </c>
      <c r="E171" s="43"/>
      <c r="F171" s="48" t="s">
        <v>175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20" t="s">
        <v>28</v>
      </c>
      <c r="D172" s="48" t="s">
        <v>175</v>
      </c>
      <c r="E172" s="43"/>
      <c r="F172" s="48" t="s">
        <v>175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20" t="s">
        <v>28</v>
      </c>
      <c r="D173" s="48" t="s">
        <v>175</v>
      </c>
      <c r="E173" s="43"/>
      <c r="F173" s="48" t="s">
        <v>175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20" t="s">
        <v>28</v>
      </c>
      <c r="D174" s="48" t="s">
        <v>175</v>
      </c>
      <c r="E174" s="43"/>
      <c r="F174" s="48" t="s">
        <v>175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20" t="s">
        <v>28</v>
      </c>
      <c r="D175" s="48" t="s">
        <v>175</v>
      </c>
      <c r="E175" s="43"/>
      <c r="F175" s="48" t="s">
        <v>175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20" t="s">
        <v>28</v>
      </c>
      <c r="D176" s="48" t="s">
        <v>175</v>
      </c>
      <c r="E176" s="43"/>
      <c r="F176" s="48" t="s">
        <v>175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20" t="s">
        <v>28</v>
      </c>
      <c r="D177" s="48" t="s">
        <v>175</v>
      </c>
      <c r="E177" s="43"/>
      <c r="F177" s="48" t="s">
        <v>175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20" t="s">
        <v>28</v>
      </c>
      <c r="D178" s="48" t="s">
        <v>175</v>
      </c>
      <c r="E178" s="43"/>
      <c r="F178" s="48" t="s">
        <v>175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20" t="s">
        <v>28</v>
      </c>
      <c r="D179" s="48" t="s">
        <v>175</v>
      </c>
      <c r="E179" s="43"/>
      <c r="F179" s="48" t="s">
        <v>175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20" t="s">
        <v>28</v>
      </c>
      <c r="D180" s="48" t="s">
        <v>175</v>
      </c>
      <c r="E180" s="43"/>
      <c r="F180" s="48" t="s">
        <v>175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20" t="s">
        <v>28</v>
      </c>
      <c r="D181" s="48" t="s">
        <v>175</v>
      </c>
      <c r="E181" s="43"/>
      <c r="F181" s="48" t="s">
        <v>175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20" t="s">
        <v>28</v>
      </c>
      <c r="D182" s="48" t="s">
        <v>175</v>
      </c>
      <c r="E182" s="62"/>
      <c r="F182" s="48" t="s">
        <v>175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20" t="s">
        <v>28</v>
      </c>
      <c r="D183" s="48" t="s">
        <v>175</v>
      </c>
      <c r="E183" s="62"/>
      <c r="F183" s="48" t="s">
        <v>175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20" t="s">
        <v>28</v>
      </c>
      <c r="D184" s="48" t="s">
        <v>175</v>
      </c>
      <c r="E184" s="62"/>
      <c r="F184" s="48" t="s">
        <v>175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20" t="s">
        <v>28</v>
      </c>
      <c r="D185" s="48" t="s">
        <v>175</v>
      </c>
      <c r="E185" s="62"/>
      <c r="F185" s="48" t="s">
        <v>175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20" t="s">
        <v>28</v>
      </c>
      <c r="D186" s="48" t="s">
        <v>175</v>
      </c>
      <c r="E186" s="62"/>
      <c r="F186" s="48" t="s">
        <v>175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20" t="s">
        <v>28</v>
      </c>
      <c r="D187" s="48" t="s">
        <v>175</v>
      </c>
      <c r="E187" s="62"/>
      <c r="F187" s="48" t="s">
        <v>175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20" t="s">
        <v>28</v>
      </c>
      <c r="D188" s="48" t="s">
        <v>175</v>
      </c>
      <c r="E188" s="62"/>
      <c r="F188" s="48" t="s">
        <v>175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20" t="s">
        <v>28</v>
      </c>
      <c r="D189" s="48" t="s">
        <v>175</v>
      </c>
      <c r="E189" s="62"/>
      <c r="F189" s="48" t="s">
        <v>175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20" t="s">
        <v>28</v>
      </c>
      <c r="D190" s="48" t="s">
        <v>175</v>
      </c>
      <c r="E190" s="62"/>
      <c r="F190" s="48" t="s">
        <v>175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20" t="s">
        <v>28</v>
      </c>
      <c r="D191" s="58" t="s">
        <v>175</v>
      </c>
      <c r="E191" s="62"/>
      <c r="F191" s="58" t="s">
        <v>175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20" t="s">
        <v>28</v>
      </c>
      <c r="D192" s="58" t="s">
        <v>175</v>
      </c>
      <c r="E192" s="62"/>
      <c r="F192" s="58" t="s">
        <v>175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20" t="s">
        <v>28</v>
      </c>
      <c r="D193" s="58" t="s">
        <v>175</v>
      </c>
      <c r="E193" s="62"/>
      <c r="F193" s="58" t="s">
        <v>175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20" t="s">
        <v>28</v>
      </c>
      <c r="D194" s="58" t="s">
        <v>175</v>
      </c>
      <c r="E194" s="62"/>
      <c r="F194" s="58" t="s">
        <v>175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20" t="s">
        <v>28</v>
      </c>
      <c r="D195" s="58" t="s">
        <v>175</v>
      </c>
      <c r="E195" s="62"/>
      <c r="F195" s="58" t="s">
        <v>175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20" t="s">
        <v>28</v>
      </c>
      <c r="D196" s="58" t="s">
        <v>175</v>
      </c>
      <c r="E196" s="62"/>
      <c r="F196" s="58" t="s">
        <v>175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20" t="s">
        <v>28</v>
      </c>
      <c r="D197" s="58" t="s">
        <v>175</v>
      </c>
      <c r="E197" s="62"/>
      <c r="F197" s="58" t="s">
        <v>175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20" t="s">
        <v>28</v>
      </c>
      <c r="D198" s="48" t="s">
        <v>175</v>
      </c>
      <c r="E198" s="43"/>
      <c r="F198" s="48" t="s">
        <v>175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20" t="s">
        <v>28</v>
      </c>
      <c r="D199" s="48" t="s">
        <v>175</v>
      </c>
      <c r="E199" s="43"/>
      <c r="F199" s="48" t="s">
        <v>175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20" t="s">
        <v>28</v>
      </c>
      <c r="D200" s="48" t="s">
        <v>175</v>
      </c>
      <c r="E200" s="43"/>
      <c r="F200" s="48" t="s">
        <v>175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20" t="s">
        <v>28</v>
      </c>
      <c r="D201" s="151" t="s">
        <v>175</v>
      </c>
      <c r="E201" s="152"/>
      <c r="F201" s="48" t="s">
        <v>175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20" t="s">
        <v>28</v>
      </c>
      <c r="D202" s="48" t="s">
        <v>175</v>
      </c>
      <c r="E202" s="43"/>
      <c r="F202" s="48" t="s">
        <v>175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20" t="s">
        <v>28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20" t="s">
        <v>28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20" t="s">
        <v>28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20" t="s">
        <v>28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20" t="s">
        <v>28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20" t="s">
        <v>28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20" t="s">
        <v>28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20" t="s">
        <v>28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20" t="s">
        <v>28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20" t="s">
        <v>28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20" t="s">
        <v>28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20" t="s">
        <v>28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20" t="s">
        <v>28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20" t="s">
        <v>28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20" t="s">
        <v>28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20" t="s">
        <v>28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20" t="s">
        <v>28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20" t="s">
        <v>28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20" t="s">
        <v>28</v>
      </c>
      <c r="D221" s="48" t="s">
        <v>175</v>
      </c>
      <c r="E221" s="43">
        <v>475.34</v>
      </c>
      <c r="F221" s="301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20" t="s">
        <v>28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20" t="s">
        <v>28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20" t="s">
        <v>28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20" t="s">
        <v>28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20" t="s">
        <v>28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20" t="s">
        <v>28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20" t="s">
        <v>28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20" t="s">
        <v>28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310</v>
      </c>
      <c r="C230" s="220" t="s">
        <v>28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20" t="s">
        <v>28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20" t="s">
        <v>28</v>
      </c>
      <c r="D232" s="49" t="s">
        <v>239</v>
      </c>
      <c r="E232" s="166">
        <v>16471.25</v>
      </c>
      <c r="F232" s="302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20" t="s">
        <v>28</v>
      </c>
      <c r="D233" s="49" t="s">
        <v>239</v>
      </c>
      <c r="E233" s="166">
        <v>32931.5</v>
      </c>
      <c r="F233" s="302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20" t="s">
        <v>28</v>
      </c>
      <c r="D234" s="49" t="s">
        <v>239</v>
      </c>
      <c r="E234" s="166">
        <v>16209.5</v>
      </c>
      <c r="F234" s="302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20" t="s">
        <v>28</v>
      </c>
      <c r="D235" s="49" t="s">
        <v>239</v>
      </c>
      <c r="E235" s="166">
        <v>32417</v>
      </c>
      <c r="F235" s="302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20" t="s">
        <v>28</v>
      </c>
      <c r="D236" s="49" t="s">
        <v>239</v>
      </c>
      <c r="E236" s="166">
        <v>50250</v>
      </c>
      <c r="F236" s="302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20" t="s">
        <v>28</v>
      </c>
      <c r="D237" s="49" t="s">
        <v>239</v>
      </c>
      <c r="E237" s="166">
        <v>25131.5</v>
      </c>
      <c r="F237" s="302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20" t="s">
        <v>28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20" t="s">
        <v>28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20" t="s">
        <v>28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20" t="s">
        <v>28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20" t="s">
        <v>28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34</v>
      </c>
      <c r="C243" s="220" t="s">
        <v>28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20" t="s">
        <v>28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20" t="s">
        <v>28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29</v>
      </c>
      <c r="C246" s="277" t="s">
        <v>28</v>
      </c>
      <c r="D246" s="48" t="s">
        <v>242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7" t="s">
        <v>28</v>
      </c>
      <c r="D247" s="48" t="s">
        <v>241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7" t="s">
        <v>28</v>
      </c>
      <c r="D248" s="48" t="s">
        <v>114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</v>
      </c>
      <c r="C249" s="277" t="s">
        <v>28</v>
      </c>
      <c r="D249" s="48" t="s">
        <v>114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</v>
      </c>
      <c r="C250" s="277" t="s">
        <v>28</v>
      </c>
      <c r="D250" s="278" t="s">
        <v>114</v>
      </c>
      <c r="E250" s="141">
        <v>7266.665</v>
      </c>
      <c r="F250" s="279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328</v>
      </c>
      <c r="C251" s="277" t="s">
        <v>28</v>
      </c>
      <c r="D251" s="278" t="s">
        <v>241</v>
      </c>
      <c r="E251" s="141">
        <v>5000</v>
      </c>
      <c r="F251" s="279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329</v>
      </c>
      <c r="C252" s="277" t="s">
        <v>28</v>
      </c>
      <c r="D252" s="278" t="s">
        <v>242</v>
      </c>
      <c r="E252" s="304">
        <v>7183</v>
      </c>
      <c r="F252" s="279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330</v>
      </c>
      <c r="C253" s="277" t="s">
        <v>28</v>
      </c>
      <c r="D253" s="278" t="s">
        <v>242</v>
      </c>
      <c r="E253" s="304">
        <v>10597</v>
      </c>
      <c r="F253" s="279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331</v>
      </c>
      <c r="C254" s="277" t="s">
        <v>28</v>
      </c>
      <c r="D254" s="278" t="s">
        <v>114</v>
      </c>
      <c r="E254" s="141">
        <v>2866.6666666666665</v>
      </c>
      <c r="F254" s="279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332</v>
      </c>
      <c r="C255" s="277" t="s">
        <v>28</v>
      </c>
      <c r="D255" s="278" t="s">
        <v>114</v>
      </c>
      <c r="E255" s="141">
        <v>2866.6666666666665</v>
      </c>
      <c r="F255" s="279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333</v>
      </c>
      <c r="C256" s="277" t="s">
        <v>28</v>
      </c>
      <c r="D256" s="278" t="s">
        <v>245</v>
      </c>
      <c r="E256" s="141"/>
      <c r="F256" s="279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334</v>
      </c>
      <c r="C257" s="277" t="s">
        <v>28</v>
      </c>
      <c r="D257" s="278" t="s">
        <v>239</v>
      </c>
      <c r="E257" s="141">
        <v>8000</v>
      </c>
      <c r="F257" s="279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335</v>
      </c>
      <c r="C258" s="277" t="s">
        <v>28</v>
      </c>
      <c r="D258" s="278" t="s">
        <v>239</v>
      </c>
      <c r="E258" s="141">
        <v>10000</v>
      </c>
      <c r="F258" s="279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336</v>
      </c>
      <c r="C259" s="277" t="s">
        <v>28</v>
      </c>
      <c r="D259" s="278" t="s">
        <v>239</v>
      </c>
      <c r="E259" s="141">
        <v>10000</v>
      </c>
      <c r="F259" s="279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337</v>
      </c>
      <c r="C260" s="277" t="s">
        <v>28</v>
      </c>
      <c r="D260" s="278" t="s">
        <v>245</v>
      </c>
      <c r="E260" s="141"/>
      <c r="F260" s="279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338</v>
      </c>
      <c r="C261" s="277" t="s">
        <v>28</v>
      </c>
      <c r="D261" s="278" t="s">
        <v>207</v>
      </c>
      <c r="E261" s="141">
        <v>636792</v>
      </c>
      <c r="F261" s="279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339</v>
      </c>
      <c r="C262" s="277" t="s">
        <v>28</v>
      </c>
      <c r="D262" s="278" t="s">
        <v>308</v>
      </c>
      <c r="E262" s="141">
        <v>28.18</v>
      </c>
      <c r="F262" s="279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340</v>
      </c>
      <c r="C263" s="277" t="s">
        <v>28</v>
      </c>
      <c r="D263" s="278" t="s">
        <v>308</v>
      </c>
      <c r="E263" s="141">
        <v>2700</v>
      </c>
      <c r="F263" s="279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341</v>
      </c>
      <c r="C264" s="277" t="s">
        <v>28</v>
      </c>
      <c r="D264" s="278" t="s">
        <v>308</v>
      </c>
      <c r="E264" s="141">
        <v>18.53</v>
      </c>
      <c r="F264" s="279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342</v>
      </c>
      <c r="C265" s="277" t="s">
        <v>28</v>
      </c>
      <c r="D265" s="278" t="s">
        <v>242</v>
      </c>
      <c r="E265" s="141">
        <v>1800</v>
      </c>
      <c r="F265" s="279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343</v>
      </c>
      <c r="C266" s="277" t="s">
        <v>28</v>
      </c>
      <c r="D266" s="278" t="s">
        <v>242</v>
      </c>
      <c r="E266" s="141">
        <v>1057</v>
      </c>
      <c r="F266" s="279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344</v>
      </c>
      <c r="C267" s="277" t="s">
        <v>28</v>
      </c>
      <c r="D267" s="278" t="s">
        <v>308</v>
      </c>
      <c r="E267" s="141">
        <v>18.53</v>
      </c>
      <c r="F267" s="279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345</v>
      </c>
      <c r="C268" s="277" t="s">
        <v>28</v>
      </c>
      <c r="D268" s="278" t="s">
        <v>308</v>
      </c>
      <c r="E268" s="141">
        <v>22.8</v>
      </c>
      <c r="F268" s="279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346</v>
      </c>
      <c r="C269" s="277" t="s">
        <v>28</v>
      </c>
      <c r="D269" s="278" t="s">
        <v>308</v>
      </c>
      <c r="E269" s="141">
        <v>22.8</v>
      </c>
      <c r="F269" s="279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347</v>
      </c>
      <c r="C270" s="277" t="s">
        <v>28</v>
      </c>
      <c r="D270" s="278" t="s">
        <v>308</v>
      </c>
      <c r="E270" s="141">
        <v>14.73</v>
      </c>
      <c r="F270" s="279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348</v>
      </c>
      <c r="C271" s="277" t="s">
        <v>28</v>
      </c>
      <c r="D271" s="278" t="s">
        <v>308</v>
      </c>
      <c r="E271" s="141">
        <v>14.73</v>
      </c>
      <c r="F271" s="279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349</v>
      </c>
      <c r="C272" s="277" t="s">
        <v>28</v>
      </c>
      <c r="D272" s="278" t="s">
        <v>242</v>
      </c>
      <c r="E272" s="141">
        <v>819.99999999999989</v>
      </c>
      <c r="F272" s="279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350</v>
      </c>
      <c r="C273" s="277" t="s">
        <v>28</v>
      </c>
      <c r="D273" s="278" t="s">
        <v>242</v>
      </c>
      <c r="E273" s="141">
        <v>1170</v>
      </c>
      <c r="F273" s="279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351</v>
      </c>
      <c r="C274" s="277" t="s">
        <v>28</v>
      </c>
      <c r="D274" s="278" t="s">
        <v>242</v>
      </c>
      <c r="E274" s="141">
        <v>8000</v>
      </c>
      <c r="F274" s="279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352</v>
      </c>
      <c r="C275" s="277" t="s">
        <v>28</v>
      </c>
      <c r="D275" s="278" t="s">
        <v>242</v>
      </c>
      <c r="E275" s="141">
        <v>11000</v>
      </c>
      <c r="F275" s="279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353</v>
      </c>
      <c r="C276" s="277" t="s">
        <v>28</v>
      </c>
      <c r="D276" s="278" t="s">
        <v>242</v>
      </c>
      <c r="E276" s="141">
        <v>10858</v>
      </c>
      <c r="F276" s="279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354</v>
      </c>
      <c r="C277" s="277" t="s">
        <v>28</v>
      </c>
      <c r="D277" s="278" t="s">
        <v>242</v>
      </c>
      <c r="E277" s="141">
        <v>13999.16</v>
      </c>
      <c r="F277" s="279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355</v>
      </c>
      <c r="C278" s="277" t="s">
        <v>28</v>
      </c>
      <c r="D278" s="278" t="s">
        <v>239</v>
      </c>
      <c r="E278" s="141"/>
      <c r="F278" s="279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356</v>
      </c>
      <c r="C279" s="277" t="s">
        <v>28</v>
      </c>
      <c r="D279" s="278" t="s">
        <v>245</v>
      </c>
      <c r="E279" s="141"/>
      <c r="F279" s="279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357</v>
      </c>
      <c r="C280" s="277" t="s">
        <v>28</v>
      </c>
      <c r="D280" s="278" t="s">
        <v>245</v>
      </c>
      <c r="E280" s="141"/>
      <c r="F280" s="279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358</v>
      </c>
      <c r="C281" s="277" t="s">
        <v>28</v>
      </c>
      <c r="D281" s="278" t="s">
        <v>359</v>
      </c>
      <c r="E281" s="141"/>
      <c r="F281" s="278" t="s">
        <v>359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360</v>
      </c>
      <c r="C282" s="277" t="s">
        <v>28</v>
      </c>
      <c r="D282" s="278" t="s">
        <v>217</v>
      </c>
      <c r="E282" s="141">
        <v>4776.666666666667</v>
      </c>
      <c r="F282" s="279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361</v>
      </c>
      <c r="C283" s="277" t="s">
        <v>28</v>
      </c>
      <c r="D283" s="278" t="s">
        <v>242</v>
      </c>
      <c r="E283" s="141">
        <v>1035.3</v>
      </c>
      <c r="F283" s="279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362</v>
      </c>
      <c r="C284" s="277" t="s">
        <v>28</v>
      </c>
      <c r="D284" s="278" t="s">
        <v>241</v>
      </c>
      <c r="E284" s="141">
        <v>700</v>
      </c>
      <c r="F284" s="279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363</v>
      </c>
      <c r="C285" s="277" t="s">
        <v>28</v>
      </c>
      <c r="D285" s="278" t="s">
        <v>241</v>
      </c>
      <c r="E285" s="141">
        <v>1100</v>
      </c>
      <c r="F285" s="279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364</v>
      </c>
      <c r="C286" s="277" t="s">
        <v>28</v>
      </c>
      <c r="D286" s="278" t="s">
        <v>308</v>
      </c>
      <c r="E286" s="141">
        <v>1000</v>
      </c>
      <c r="F286" s="279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365</v>
      </c>
      <c r="C287" s="277" t="s">
        <v>28</v>
      </c>
      <c r="D287" s="278" t="s">
        <v>242</v>
      </c>
      <c r="E287" s="141">
        <v>700</v>
      </c>
      <c r="F287" s="279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366</v>
      </c>
      <c r="C288" s="277" t="s">
        <v>28</v>
      </c>
      <c r="D288" s="48" t="s">
        <v>242</v>
      </c>
      <c r="E288" s="166">
        <v>84</v>
      </c>
      <c r="F288" s="279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367</v>
      </c>
      <c r="C289" s="277" t="s">
        <v>28</v>
      </c>
      <c r="D289" s="278" t="s">
        <v>242</v>
      </c>
      <c r="E289" s="166">
        <v>10780</v>
      </c>
      <c r="F289" s="279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78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368</v>
      </c>
      <c r="C516" s="220" t="s">
        <v>35</v>
      </c>
      <c r="D516" s="48" t="s">
        <v>369</v>
      </c>
      <c r="E516" s="43">
        <v>380</v>
      </c>
      <c r="F516" s="188" t="s">
        <v>369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370</v>
      </c>
      <c r="C517" s="220" t="s">
        <v>35</v>
      </c>
      <c r="D517" s="50" t="s">
        <v>369</v>
      </c>
      <c r="E517" s="52">
        <v>848.47</v>
      </c>
      <c r="F517" s="51" t="s">
        <v>369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371</v>
      </c>
      <c r="C518" s="220" t="s">
        <v>35</v>
      </c>
      <c r="D518" s="50" t="s">
        <v>369</v>
      </c>
      <c r="E518" s="43">
        <v>815</v>
      </c>
      <c r="F518" s="188" t="s">
        <v>369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372</v>
      </c>
      <c r="C519" s="220" t="s">
        <v>35</v>
      </c>
      <c r="D519" s="50" t="s">
        <v>369</v>
      </c>
      <c r="E519" s="43">
        <v>623.66666666666663</v>
      </c>
      <c r="F519" s="188" t="s">
        <v>369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373</v>
      </c>
      <c r="C520" s="220" t="s">
        <v>35</v>
      </c>
      <c r="D520" s="48" t="s">
        <v>369</v>
      </c>
      <c r="E520" s="43">
        <v>698.53</v>
      </c>
      <c r="F520" s="188" t="s">
        <v>369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374</v>
      </c>
      <c r="C521" s="220" t="s">
        <v>35</v>
      </c>
      <c r="D521" s="48" t="s">
        <v>369</v>
      </c>
      <c r="E521" s="43">
        <v>390.66666666666669</v>
      </c>
      <c r="F521" s="188" t="s">
        <v>369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375</v>
      </c>
      <c r="C522" s="220" t="s">
        <v>35</v>
      </c>
      <c r="D522" s="48" t="s">
        <v>369</v>
      </c>
      <c r="E522" s="43">
        <v>477.19</v>
      </c>
      <c r="F522" s="51" t="s">
        <v>369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376</v>
      </c>
      <c r="C523" s="220" t="s">
        <v>35</v>
      </c>
      <c r="D523" s="48" t="s">
        <v>369</v>
      </c>
      <c r="E523" s="43">
        <v>998.41</v>
      </c>
      <c r="F523" s="188" t="s">
        <v>369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377</v>
      </c>
      <c r="C524" s="220" t="s">
        <v>35</v>
      </c>
      <c r="D524" s="48" t="s">
        <v>369</v>
      </c>
      <c r="E524" s="43">
        <v>898.44999999999993</v>
      </c>
      <c r="F524" s="188" t="s">
        <v>369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378</v>
      </c>
      <c r="C525" s="220" t="s">
        <v>35</v>
      </c>
      <c r="D525" s="216" t="s">
        <v>369</v>
      </c>
      <c r="E525" s="218">
        <v>1500</v>
      </c>
      <c r="F525" s="174" t="s">
        <v>369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379</v>
      </c>
      <c r="C526" s="220" t="s">
        <v>35</v>
      </c>
      <c r="D526" s="48" t="s">
        <v>369</v>
      </c>
      <c r="E526" s="217">
        <v>53371.5</v>
      </c>
      <c r="F526" s="51" t="s">
        <v>369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380</v>
      </c>
      <c r="C527" s="220" t="s">
        <v>35</v>
      </c>
      <c r="D527" s="48" t="s">
        <v>369</v>
      </c>
      <c r="E527" s="43">
        <v>897.26</v>
      </c>
      <c r="F527" s="188" t="s">
        <v>369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381</v>
      </c>
      <c r="C528" s="220" t="s">
        <v>35</v>
      </c>
      <c r="D528" s="53" t="s">
        <v>369</v>
      </c>
      <c r="E528" s="43">
        <v>1673.3335</v>
      </c>
      <c r="F528" s="188" t="s">
        <v>369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382</v>
      </c>
      <c r="C529" s="220" t="s">
        <v>35</v>
      </c>
      <c r="D529" s="50" t="s">
        <v>369</v>
      </c>
      <c r="E529" s="45">
        <v>250</v>
      </c>
      <c r="F529" s="51" t="s">
        <v>369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383</v>
      </c>
      <c r="C530" s="220" t="s">
        <v>35</v>
      </c>
      <c r="D530" s="50" t="s">
        <v>369</v>
      </c>
      <c r="E530" s="52">
        <v>898.45</v>
      </c>
      <c r="F530" s="51" t="s">
        <v>369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384</v>
      </c>
      <c r="C531" s="220" t="s">
        <v>35</v>
      </c>
      <c r="D531" s="50" t="s">
        <v>369</v>
      </c>
      <c r="E531" s="52">
        <v>898.45</v>
      </c>
      <c r="F531" s="51" t="s">
        <v>369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385</v>
      </c>
      <c r="C532" s="220" t="s">
        <v>35</v>
      </c>
      <c r="D532" s="215" t="s">
        <v>369</v>
      </c>
      <c r="E532" s="145">
        <v>549.78</v>
      </c>
      <c r="F532" s="51" t="s">
        <v>369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386</v>
      </c>
      <c r="C533" s="220" t="s">
        <v>35</v>
      </c>
      <c r="D533" s="215" t="s">
        <v>369</v>
      </c>
      <c r="E533" s="219">
        <v>357</v>
      </c>
      <c r="F533" s="51" t="s">
        <v>369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387</v>
      </c>
      <c r="C534" s="220" t="s">
        <v>35</v>
      </c>
      <c r="D534" s="215" t="s">
        <v>369</v>
      </c>
      <c r="E534" s="145">
        <v>998.41</v>
      </c>
      <c r="F534" s="51" t="s">
        <v>369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388</v>
      </c>
      <c r="C535" s="220" t="s">
        <v>35</v>
      </c>
      <c r="D535" s="144" t="s">
        <v>369</v>
      </c>
      <c r="E535" s="145">
        <v>898.45</v>
      </c>
      <c r="F535" s="54" t="s">
        <v>369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389</v>
      </c>
      <c r="C536" s="220" t="s">
        <v>35</v>
      </c>
      <c r="D536" s="172" t="s">
        <v>369</v>
      </c>
      <c r="E536" s="173">
        <v>1200</v>
      </c>
      <c r="F536" s="174" t="s">
        <v>369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20" t="s">
        <v>35</v>
      </c>
      <c r="D537" s="144" t="s">
        <v>369</v>
      </c>
      <c r="E537" s="141">
        <v>1217</v>
      </c>
      <c r="F537" s="188" t="s">
        <v>369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36</v>
      </c>
      <c r="C538" s="220" t="s">
        <v>35</v>
      </c>
      <c r="D538" s="144" t="s">
        <v>369</v>
      </c>
      <c r="E538" s="145">
        <v>759.22</v>
      </c>
      <c r="F538" s="51" t="s">
        <v>369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78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3" t="s">
        <v>391</v>
      </c>
      <c r="C562" s="220" t="s">
        <v>37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392</v>
      </c>
      <c r="C563" s="220" t="s">
        <v>37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393</v>
      </c>
      <c r="C564" s="220" t="s">
        <v>37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394</v>
      </c>
      <c r="C565" s="220" t="s">
        <v>37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395</v>
      </c>
      <c r="C566" s="220" t="s">
        <v>37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396</v>
      </c>
      <c r="C567" s="220" t="s">
        <v>37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397</v>
      </c>
      <c r="C568" s="220" t="s">
        <v>37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398</v>
      </c>
      <c r="C569" s="220" t="s">
        <v>37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399</v>
      </c>
      <c r="C570" s="220" t="s">
        <v>37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400</v>
      </c>
      <c r="C571" s="220" t="s">
        <v>37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401</v>
      </c>
      <c r="C572" s="220" t="s">
        <v>37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402</v>
      </c>
      <c r="C573" s="220" t="s">
        <v>37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403</v>
      </c>
      <c r="C574" s="220" t="s">
        <v>37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404</v>
      </c>
      <c r="C575" s="220" t="s">
        <v>37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405</v>
      </c>
      <c r="C576" s="220" t="s">
        <v>37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406</v>
      </c>
      <c r="C577" s="220" t="s">
        <v>37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407</v>
      </c>
      <c r="C578" s="220" t="s">
        <v>37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408</v>
      </c>
      <c r="C579" s="220" t="s">
        <v>37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409</v>
      </c>
      <c r="C580" s="220" t="s">
        <v>37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410</v>
      </c>
      <c r="C581" s="220" t="s">
        <v>37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411</v>
      </c>
      <c r="C582" s="220" t="s">
        <v>37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412</v>
      </c>
      <c r="C583" s="220" t="s">
        <v>37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413</v>
      </c>
      <c r="C584" s="220" t="s">
        <v>37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414</v>
      </c>
      <c r="C585" s="220" t="s">
        <v>37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415</v>
      </c>
      <c r="C586" s="220" t="s">
        <v>37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416</v>
      </c>
      <c r="C587" s="220" t="s">
        <v>37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417</v>
      </c>
      <c r="C588" s="220" t="s">
        <v>37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418</v>
      </c>
      <c r="C589" s="220" t="s">
        <v>37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419</v>
      </c>
      <c r="C590" s="220" t="s">
        <v>37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420</v>
      </c>
      <c r="C591" s="220" t="s">
        <v>37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421</v>
      </c>
      <c r="C592" s="220" t="s">
        <v>37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422</v>
      </c>
      <c r="C593" s="220" t="s">
        <v>37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423</v>
      </c>
      <c r="C594" s="220" t="s">
        <v>37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424</v>
      </c>
      <c r="C595" s="220" t="s">
        <v>37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425</v>
      </c>
      <c r="C596" s="220" t="s">
        <v>37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426</v>
      </c>
      <c r="C597" s="220" t="s">
        <v>37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427</v>
      </c>
      <c r="C598" s="220" t="s">
        <v>37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428</v>
      </c>
      <c r="C599" s="220" t="s">
        <v>37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429</v>
      </c>
      <c r="C600" s="220" t="s">
        <v>37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430</v>
      </c>
      <c r="C601" s="220" t="s">
        <v>37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431</v>
      </c>
      <c r="C602" s="220" t="s">
        <v>37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432</v>
      </c>
      <c r="C603" s="220" t="s">
        <v>37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433</v>
      </c>
      <c r="C604" s="220" t="s">
        <v>37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434</v>
      </c>
      <c r="C605" s="220" t="s">
        <v>37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435</v>
      </c>
      <c r="C606" s="220" t="s">
        <v>37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436</v>
      </c>
      <c r="C607" s="220" t="s">
        <v>37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437</v>
      </c>
      <c r="C608" s="220" t="s">
        <v>37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438</v>
      </c>
      <c r="C609" s="220" t="s">
        <v>37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439</v>
      </c>
      <c r="C610" s="220" t="s">
        <v>37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440</v>
      </c>
      <c r="C611" s="220" t="s">
        <v>37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441</v>
      </c>
      <c r="C612" s="220" t="s">
        <v>37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442</v>
      </c>
      <c r="C613" s="220" t="s">
        <v>37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443</v>
      </c>
      <c r="C614" s="220" t="s">
        <v>37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444</v>
      </c>
      <c r="C615" s="220" t="s">
        <v>37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445</v>
      </c>
      <c r="C616" s="220" t="s">
        <v>37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446</v>
      </c>
      <c r="C617" s="220" t="s">
        <v>37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447</v>
      </c>
      <c r="C618" s="220" t="s">
        <v>37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448</v>
      </c>
      <c r="C619" s="220" t="s">
        <v>37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449</v>
      </c>
      <c r="C620" s="220" t="s">
        <v>37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450</v>
      </c>
      <c r="C621" s="220" t="s">
        <v>37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451</v>
      </c>
      <c r="C622" s="220" t="s">
        <v>37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452</v>
      </c>
      <c r="C623" s="220" t="s">
        <v>37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453</v>
      </c>
      <c r="C624" s="220" t="s">
        <v>37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454</v>
      </c>
      <c r="C625" s="220" t="s">
        <v>37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455</v>
      </c>
      <c r="C626" s="220" t="s">
        <v>37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456</v>
      </c>
      <c r="C627" s="220" t="s">
        <v>37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457</v>
      </c>
      <c r="C628" s="220" t="s">
        <v>37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458</v>
      </c>
      <c r="C629" s="220" t="s">
        <v>37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459</v>
      </c>
      <c r="C630" s="220" t="s">
        <v>37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460</v>
      </c>
      <c r="C631" s="220" t="s">
        <v>37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461</v>
      </c>
      <c r="C632" s="220" t="s">
        <v>37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462</v>
      </c>
      <c r="C633" s="220" t="s">
        <v>37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463</v>
      </c>
      <c r="C634" s="220" t="s">
        <v>37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464</v>
      </c>
      <c r="C635" s="220" t="s">
        <v>37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465</v>
      </c>
      <c r="C636" s="220" t="s">
        <v>37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466</v>
      </c>
      <c r="C637" s="220" t="s">
        <v>37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467</v>
      </c>
      <c r="C638" s="220" t="s">
        <v>37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468</v>
      </c>
      <c r="C639" s="220" t="s">
        <v>37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469</v>
      </c>
      <c r="C640" s="220" t="s">
        <v>37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470</v>
      </c>
      <c r="C641" s="220" t="s">
        <v>37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471</v>
      </c>
      <c r="C642" s="220" t="s">
        <v>37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472</v>
      </c>
      <c r="C643" s="220" t="s">
        <v>37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473</v>
      </c>
      <c r="C644" s="220" t="s">
        <v>37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474</v>
      </c>
      <c r="C645" s="220" t="s">
        <v>37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475</v>
      </c>
      <c r="C646" s="220" t="s">
        <v>37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476</v>
      </c>
      <c r="C647" s="220" t="s">
        <v>37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477</v>
      </c>
      <c r="C648" s="220" t="s">
        <v>37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478</v>
      </c>
      <c r="C649" s="220" t="s">
        <v>37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479</v>
      </c>
      <c r="C650" s="220" t="s">
        <v>37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480</v>
      </c>
      <c r="C651" s="220" t="s">
        <v>37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481</v>
      </c>
      <c r="C652" s="220" t="s">
        <v>37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482</v>
      </c>
      <c r="C653" s="220" t="s">
        <v>37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483</v>
      </c>
      <c r="C654" s="220" t="s">
        <v>37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484</v>
      </c>
      <c r="C655" s="220" t="s">
        <v>37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485</v>
      </c>
      <c r="C656" s="220" t="s">
        <v>37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486</v>
      </c>
      <c r="C657" s="220" t="s">
        <v>37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487</v>
      </c>
      <c r="C658" s="220" t="s">
        <v>37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488</v>
      </c>
      <c r="C659" s="220" t="s">
        <v>37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489</v>
      </c>
      <c r="C660" s="220" t="s">
        <v>37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490</v>
      </c>
      <c r="C661" s="220" t="s">
        <v>37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491</v>
      </c>
      <c r="C662" s="220" t="s">
        <v>37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492</v>
      </c>
      <c r="C663" s="220" t="s">
        <v>37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493</v>
      </c>
      <c r="C664" s="220" t="s">
        <v>37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494</v>
      </c>
      <c r="C665" s="220" t="s">
        <v>37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495</v>
      </c>
      <c r="C666" s="220" t="s">
        <v>37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496</v>
      </c>
      <c r="C667" s="220" t="s">
        <v>37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497</v>
      </c>
      <c r="C668" s="220" t="s">
        <v>37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498</v>
      </c>
      <c r="C669" s="220" t="s">
        <v>37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499</v>
      </c>
      <c r="C670" s="220" t="s">
        <v>37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500</v>
      </c>
      <c r="C671" s="220" t="s">
        <v>37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501</v>
      </c>
      <c r="C672" s="220" t="s">
        <v>37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502</v>
      </c>
      <c r="C673" s="220" t="s">
        <v>37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503</v>
      </c>
      <c r="C674" s="220" t="s">
        <v>37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504</v>
      </c>
      <c r="C675" s="220" t="s">
        <v>37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505</v>
      </c>
      <c r="C676" s="220" t="s">
        <v>37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506</v>
      </c>
      <c r="C677" s="220" t="s">
        <v>37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507</v>
      </c>
      <c r="C678" s="220" t="s">
        <v>37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508</v>
      </c>
      <c r="C679" s="220" t="s">
        <v>37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509</v>
      </c>
      <c r="C680" s="220" t="s">
        <v>37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510</v>
      </c>
      <c r="C681" s="220" t="s">
        <v>37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511</v>
      </c>
      <c r="C682" s="220" t="s">
        <v>37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512</v>
      </c>
      <c r="C683" s="220" t="s">
        <v>37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513</v>
      </c>
      <c r="C684" s="220" t="s">
        <v>37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514</v>
      </c>
      <c r="C685" s="220" t="s">
        <v>37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515</v>
      </c>
      <c r="C686" s="220" t="s">
        <v>37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516</v>
      </c>
      <c r="C687" s="220" t="s">
        <v>37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517</v>
      </c>
      <c r="C688" s="220" t="s">
        <v>37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518</v>
      </c>
      <c r="C689" s="220" t="s">
        <v>37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519</v>
      </c>
      <c r="C690" s="220" t="s">
        <v>37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520</v>
      </c>
      <c r="C691" s="220" t="s">
        <v>37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521</v>
      </c>
      <c r="C692" s="220" t="s">
        <v>37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522</v>
      </c>
      <c r="C693" s="220" t="s">
        <v>37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523</v>
      </c>
      <c r="C694" s="220" t="s">
        <v>37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524</v>
      </c>
      <c r="C695" s="220" t="s">
        <v>37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525</v>
      </c>
      <c r="C696" s="220" t="s">
        <v>37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526</v>
      </c>
      <c r="C697" s="220" t="s">
        <v>37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527</v>
      </c>
      <c r="C698" s="220" t="s">
        <v>37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528</v>
      </c>
      <c r="C699" s="220" t="s">
        <v>37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529</v>
      </c>
      <c r="C700" s="220" t="s">
        <v>37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530</v>
      </c>
      <c r="C701" s="220" t="s">
        <v>37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531</v>
      </c>
      <c r="C702" s="220" t="s">
        <v>37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532</v>
      </c>
      <c r="C703" s="220" t="s">
        <v>37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533</v>
      </c>
      <c r="C704" s="220" t="s">
        <v>37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534</v>
      </c>
      <c r="C705" s="220" t="s">
        <v>37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535</v>
      </c>
      <c r="C706" s="220" t="s">
        <v>37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536</v>
      </c>
      <c r="C707" s="220" t="s">
        <v>37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537</v>
      </c>
      <c r="C708" s="220" t="s">
        <v>37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538</v>
      </c>
      <c r="C709" s="220" t="s">
        <v>37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539</v>
      </c>
      <c r="C710" s="220" t="s">
        <v>37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540</v>
      </c>
      <c r="C711" s="220" t="s">
        <v>37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541</v>
      </c>
      <c r="C712" s="220" t="s">
        <v>37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542</v>
      </c>
      <c r="C713" s="220" t="s">
        <v>37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543</v>
      </c>
      <c r="C714" s="220" t="s">
        <v>37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544</v>
      </c>
      <c r="C715" s="220" t="s">
        <v>37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545</v>
      </c>
      <c r="C716" s="220" t="s">
        <v>37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546</v>
      </c>
      <c r="C717" s="220" t="s">
        <v>37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547</v>
      </c>
      <c r="C718" s="220" t="s">
        <v>37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548</v>
      </c>
      <c r="C719" s="220" t="s">
        <v>37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549</v>
      </c>
      <c r="C720" s="220" t="s">
        <v>37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550</v>
      </c>
      <c r="C721" s="220" t="s">
        <v>37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551</v>
      </c>
      <c r="C722" s="220" t="s">
        <v>37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552</v>
      </c>
      <c r="C723" s="220" t="s">
        <v>37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553</v>
      </c>
      <c r="C724" s="220" t="s">
        <v>37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554</v>
      </c>
      <c r="C725" s="220" t="s">
        <v>37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555</v>
      </c>
      <c r="C726" s="220" t="s">
        <v>37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556</v>
      </c>
      <c r="C727" s="220" t="s">
        <v>37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557</v>
      </c>
      <c r="C728" s="220" t="s">
        <v>37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558</v>
      </c>
      <c r="C729" s="220" t="s">
        <v>37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559</v>
      </c>
      <c r="C730" s="220" t="s">
        <v>37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560</v>
      </c>
      <c r="C731" s="220" t="s">
        <v>37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561</v>
      </c>
      <c r="C732" s="220" t="s">
        <v>37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562</v>
      </c>
      <c r="C733" s="220" t="s">
        <v>37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563</v>
      </c>
      <c r="C734" s="220" t="s">
        <v>37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564</v>
      </c>
      <c r="C735" s="220" t="s">
        <v>37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565</v>
      </c>
      <c r="C736" s="220" t="s">
        <v>37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566</v>
      </c>
      <c r="C737" s="220" t="s">
        <v>37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567</v>
      </c>
      <c r="C738" s="220" t="s">
        <v>37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568</v>
      </c>
      <c r="C739" s="220" t="s">
        <v>37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569</v>
      </c>
      <c r="C740" s="220" t="s">
        <v>37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570</v>
      </c>
      <c r="C741" s="220" t="s">
        <v>37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571</v>
      </c>
      <c r="C742" s="220" t="s">
        <v>37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572</v>
      </c>
      <c r="C743" s="220" t="s">
        <v>37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573</v>
      </c>
      <c r="C744" s="220" t="s">
        <v>37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574</v>
      </c>
      <c r="C745" s="220" t="s">
        <v>37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575</v>
      </c>
      <c r="C746" s="220" t="s">
        <v>37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576</v>
      </c>
      <c r="C747" s="220" t="s">
        <v>37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577</v>
      </c>
      <c r="C748" s="220" t="s">
        <v>37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578</v>
      </c>
      <c r="C749" s="220" t="s">
        <v>37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579</v>
      </c>
      <c r="C750" s="220" t="s">
        <v>37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580</v>
      </c>
      <c r="C751" s="220" t="s">
        <v>37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581</v>
      </c>
      <c r="C752" s="220" t="s">
        <v>37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582</v>
      </c>
      <c r="C753" s="220" t="s">
        <v>37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583</v>
      </c>
      <c r="C754" s="220" t="s">
        <v>37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584</v>
      </c>
      <c r="C755" s="220" t="s">
        <v>37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585</v>
      </c>
      <c r="C756" s="220" t="s">
        <v>37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586</v>
      </c>
      <c r="C757" s="220" t="s">
        <v>37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587</v>
      </c>
      <c r="C758" s="220" t="s">
        <v>37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588</v>
      </c>
      <c r="C759" s="220" t="s">
        <v>37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589</v>
      </c>
      <c r="C760" s="220" t="s">
        <v>37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590</v>
      </c>
      <c r="C761" s="220" t="s">
        <v>37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591</v>
      </c>
      <c r="C762" s="220" t="s">
        <v>37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592</v>
      </c>
      <c r="C763" s="220" t="s">
        <v>37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593</v>
      </c>
      <c r="C764" s="220" t="s">
        <v>37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594</v>
      </c>
      <c r="C765" s="220" t="s">
        <v>37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595</v>
      </c>
      <c r="C766" s="220" t="s">
        <v>37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596</v>
      </c>
      <c r="C767" s="220" t="s">
        <v>37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597</v>
      </c>
      <c r="C768" s="220" t="s">
        <v>37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598</v>
      </c>
      <c r="C769" s="220" t="s">
        <v>37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599</v>
      </c>
      <c r="C770" s="220" t="s">
        <v>37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600</v>
      </c>
      <c r="C771" s="220" t="s">
        <v>37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601</v>
      </c>
      <c r="C772" s="220" t="s">
        <v>37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602</v>
      </c>
      <c r="C773" s="220" t="s">
        <v>37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603</v>
      </c>
      <c r="C774" s="220" t="s">
        <v>37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604</v>
      </c>
      <c r="C775" s="220" t="s">
        <v>37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605</v>
      </c>
      <c r="C776" s="220" t="s">
        <v>37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606</v>
      </c>
      <c r="C777" s="220" t="s">
        <v>37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607</v>
      </c>
      <c r="C778" s="220" t="s">
        <v>37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608</v>
      </c>
      <c r="C779" s="220" t="s">
        <v>37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609</v>
      </c>
      <c r="C780" s="220" t="s">
        <v>37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610</v>
      </c>
      <c r="C781" s="220" t="s">
        <v>37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611</v>
      </c>
      <c r="C782" s="220" t="s">
        <v>37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612</v>
      </c>
      <c r="C783" s="220" t="s">
        <v>37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613</v>
      </c>
      <c r="C784" s="220" t="s">
        <v>37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20" t="s">
        <v>37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20" t="s">
        <v>37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20" t="s">
        <v>37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617</v>
      </c>
      <c r="C788" s="220" t="s">
        <v>37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618</v>
      </c>
      <c r="C789" s="220" t="s">
        <v>37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619</v>
      </c>
      <c r="C790" s="220" t="s">
        <v>37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620</v>
      </c>
      <c r="C791" s="220" t="s">
        <v>37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621</v>
      </c>
      <c r="C792" s="220" t="s">
        <v>37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622</v>
      </c>
      <c r="C793" s="220" t="s">
        <v>37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623</v>
      </c>
      <c r="C794" s="220" t="s">
        <v>37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624</v>
      </c>
      <c r="C795" s="220" t="s">
        <v>37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625</v>
      </c>
      <c r="C796" s="220" t="s">
        <v>37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626</v>
      </c>
      <c r="C797" s="220" t="s">
        <v>37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627</v>
      </c>
      <c r="C798" s="220" t="s">
        <v>37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628</v>
      </c>
      <c r="C799" s="220" t="s">
        <v>37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629</v>
      </c>
      <c r="C800" s="220" t="s">
        <v>37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630</v>
      </c>
      <c r="C801" s="220" t="s">
        <v>37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631</v>
      </c>
      <c r="C802" s="220" t="s">
        <v>37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632</v>
      </c>
      <c r="C803" s="220" t="s">
        <v>37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633</v>
      </c>
      <c r="C804" s="220" t="s">
        <v>37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634</v>
      </c>
      <c r="C805" s="220" t="s">
        <v>37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635</v>
      </c>
      <c r="C806" s="220" t="s">
        <v>37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636</v>
      </c>
      <c r="C807" s="220" t="s">
        <v>37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637</v>
      </c>
      <c r="C808" s="220" t="s">
        <v>37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638</v>
      </c>
      <c r="C809" s="220" t="s">
        <v>37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639</v>
      </c>
      <c r="C810" s="220" t="s">
        <v>37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640</v>
      </c>
      <c r="C811" s="220" t="s">
        <v>37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641</v>
      </c>
      <c r="C812" s="220" t="s">
        <v>37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20" t="s">
        <v>37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643</v>
      </c>
      <c r="C814" s="220" t="s">
        <v>37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644</v>
      </c>
      <c r="C815" s="220" t="s">
        <v>37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645</v>
      </c>
      <c r="C816" s="220" t="s">
        <v>37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646</v>
      </c>
      <c r="C817" s="220" t="s">
        <v>37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647</v>
      </c>
      <c r="C818" s="220" t="s">
        <v>37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648</v>
      </c>
      <c r="C819" s="220" t="s">
        <v>37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20" t="s">
        <v>37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650</v>
      </c>
      <c r="C821" s="220" t="s">
        <v>37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20" t="s">
        <v>37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20" t="s">
        <v>37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653</v>
      </c>
      <c r="C824" s="220" t="s">
        <v>37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20" t="s">
        <v>37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655</v>
      </c>
      <c r="C826" s="220" t="s">
        <v>37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656</v>
      </c>
      <c r="C827" s="220" t="s">
        <v>37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657</v>
      </c>
      <c r="C828" s="220" t="s">
        <v>37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658</v>
      </c>
      <c r="C829" s="220" t="s">
        <v>37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659</v>
      </c>
      <c r="C830" s="220" t="s">
        <v>37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660</v>
      </c>
      <c r="C831" s="220" t="s">
        <v>37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661</v>
      </c>
      <c r="C832" s="220" t="s">
        <v>37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662</v>
      </c>
      <c r="C833" s="220" t="s">
        <v>37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663</v>
      </c>
      <c r="C834" s="220" t="s">
        <v>37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664</v>
      </c>
      <c r="C835" s="220" t="s">
        <v>37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665</v>
      </c>
      <c r="C836" s="220" t="s">
        <v>37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666</v>
      </c>
      <c r="C837" s="220" t="s">
        <v>37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667</v>
      </c>
      <c r="C838" s="220" t="s">
        <v>37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668</v>
      </c>
      <c r="C839" s="220" t="s">
        <v>37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669</v>
      </c>
      <c r="C840" s="220" t="s">
        <v>37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670</v>
      </c>
      <c r="C841" s="220" t="s">
        <v>37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20" t="s">
        <v>37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20" t="s">
        <v>37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673</v>
      </c>
      <c r="C844" s="220" t="s">
        <v>37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20" t="s">
        <v>37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20" t="s">
        <v>37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676</v>
      </c>
      <c r="C847" s="220" t="s">
        <v>37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20" t="s">
        <v>37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20" t="s">
        <v>37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20" t="s">
        <v>37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20" t="s">
        <v>37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20" t="s">
        <v>37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682</v>
      </c>
      <c r="C853" s="220" t="s">
        <v>37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20" t="s">
        <v>37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20" t="s">
        <v>37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20" t="s">
        <v>37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20" t="s">
        <v>37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20" t="s">
        <v>37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20" t="s">
        <v>37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689</v>
      </c>
      <c r="C860" s="220" t="s">
        <v>37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690</v>
      </c>
      <c r="C861" s="220" t="s">
        <v>37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691</v>
      </c>
      <c r="C862" s="220" t="s">
        <v>37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692</v>
      </c>
      <c r="C863" s="220" t="s">
        <v>37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20" t="s">
        <v>37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694</v>
      </c>
      <c r="C865" s="220" t="s">
        <v>37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695</v>
      </c>
      <c r="C866" s="220" t="s">
        <v>37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696</v>
      </c>
      <c r="C867" s="220" t="s">
        <v>37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697</v>
      </c>
      <c r="C868" s="220" t="s">
        <v>37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698</v>
      </c>
      <c r="C869" s="220" t="s">
        <v>37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699</v>
      </c>
      <c r="C870" s="220" t="s">
        <v>37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700</v>
      </c>
      <c r="C871" s="220" t="s">
        <v>37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701</v>
      </c>
      <c r="C872" s="220" t="s">
        <v>37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20" t="s">
        <v>37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20" t="s">
        <v>37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20" t="s">
        <v>37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20" t="s">
        <v>37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20" t="s">
        <v>37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707</v>
      </c>
      <c r="C878" s="220" t="s">
        <v>37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20" t="s">
        <v>37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20" t="s">
        <v>37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20" t="s">
        <v>37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20" t="s">
        <v>37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20" t="s">
        <v>37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20" t="s">
        <v>37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20" t="s">
        <v>37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20" t="s">
        <v>37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20" t="s">
        <v>37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20" t="s">
        <v>37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718</v>
      </c>
      <c r="C889" s="220" t="s">
        <v>37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20" t="s">
        <v>37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20" t="s">
        <v>37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20" t="s">
        <v>37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20" t="s">
        <v>37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723</v>
      </c>
      <c r="C894" s="220" t="s">
        <v>37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724</v>
      </c>
      <c r="C895" s="220" t="s">
        <v>37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725</v>
      </c>
      <c r="C896" s="220" t="s">
        <v>37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726</v>
      </c>
      <c r="C897" s="220" t="s">
        <v>37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727</v>
      </c>
      <c r="C898" s="220" t="s">
        <v>37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728</v>
      </c>
      <c r="C899" s="220" t="s">
        <v>37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729</v>
      </c>
      <c r="C900" s="220" t="s">
        <v>37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730</v>
      </c>
      <c r="C901" s="220" t="s">
        <v>37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731</v>
      </c>
      <c r="C902" s="220" t="s">
        <v>37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732</v>
      </c>
      <c r="C903" s="220" t="s">
        <v>37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733</v>
      </c>
      <c r="C904" s="220" t="s">
        <v>37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734</v>
      </c>
      <c r="C905" s="220" t="s">
        <v>37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735</v>
      </c>
      <c r="C906" s="220" t="s">
        <v>37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736</v>
      </c>
      <c r="C907" s="220" t="s">
        <v>37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737</v>
      </c>
      <c r="C908" s="220" t="s">
        <v>37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738</v>
      </c>
      <c r="C909" s="220" t="s">
        <v>37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739</v>
      </c>
      <c r="C910" s="220" t="s">
        <v>37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740</v>
      </c>
      <c r="C911" s="220" t="s">
        <v>37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741</v>
      </c>
      <c r="C912" s="220" t="s">
        <v>37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742</v>
      </c>
      <c r="C913" s="220" t="s">
        <v>37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743</v>
      </c>
      <c r="C914" s="220" t="s">
        <v>37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744</v>
      </c>
      <c r="C915" s="220" t="s">
        <v>37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745</v>
      </c>
      <c r="C916" s="220" t="s">
        <v>37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746</v>
      </c>
      <c r="C917" s="220" t="s">
        <v>37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747</v>
      </c>
      <c r="C918" s="220" t="s">
        <v>37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748</v>
      </c>
      <c r="C919" s="220" t="s">
        <v>37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749</v>
      </c>
      <c r="C920" s="220" t="s">
        <v>37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750</v>
      </c>
      <c r="C921" s="220" t="s">
        <v>37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751</v>
      </c>
      <c r="C922" s="220" t="s">
        <v>37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752</v>
      </c>
      <c r="C923" s="220" t="s">
        <v>37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753</v>
      </c>
      <c r="C924" s="220" t="s">
        <v>37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754</v>
      </c>
      <c r="C925" s="220" t="s">
        <v>37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755</v>
      </c>
      <c r="C926" s="220" t="s">
        <v>37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756</v>
      </c>
      <c r="C927" s="220" t="s">
        <v>37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757</v>
      </c>
      <c r="C928" s="220" t="s">
        <v>37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758</v>
      </c>
      <c r="C929" s="220" t="s">
        <v>37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759</v>
      </c>
      <c r="C930" s="220" t="s">
        <v>37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760</v>
      </c>
      <c r="C931" s="220" t="s">
        <v>37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761</v>
      </c>
      <c r="C932" s="220" t="s">
        <v>37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762</v>
      </c>
      <c r="C933" s="220" t="s">
        <v>37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763</v>
      </c>
      <c r="C934" s="220" t="s">
        <v>37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764</v>
      </c>
      <c r="C935" s="220" t="s">
        <v>37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765</v>
      </c>
      <c r="C936" s="220" t="s">
        <v>37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766</v>
      </c>
      <c r="C937" s="220" t="s">
        <v>37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767</v>
      </c>
      <c r="C938" s="220" t="s">
        <v>37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768</v>
      </c>
      <c r="C939" s="220" t="s">
        <v>37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769</v>
      </c>
      <c r="C940" s="220" t="s">
        <v>37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770</v>
      </c>
      <c r="C941" s="220" t="s">
        <v>37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771</v>
      </c>
      <c r="C942" s="220" t="s">
        <v>37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772</v>
      </c>
      <c r="C943" s="220" t="s">
        <v>37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773</v>
      </c>
      <c r="C944" s="220" t="s">
        <v>37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774</v>
      </c>
      <c r="C945" s="220" t="s">
        <v>37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775</v>
      </c>
      <c r="C946" s="220" t="s">
        <v>37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776</v>
      </c>
      <c r="C947" s="220" t="s">
        <v>37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777</v>
      </c>
      <c r="C948" s="220" t="s">
        <v>37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778</v>
      </c>
      <c r="C949" s="220" t="s">
        <v>37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779</v>
      </c>
      <c r="C950" s="220" t="s">
        <v>37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780</v>
      </c>
      <c r="C951" s="220" t="s">
        <v>37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781</v>
      </c>
      <c r="C952" s="220" t="s">
        <v>37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782</v>
      </c>
      <c r="C953" s="220" t="s">
        <v>37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783</v>
      </c>
      <c r="C954" s="220" t="s">
        <v>37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784</v>
      </c>
      <c r="C955" s="220" t="s">
        <v>37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20" t="s">
        <v>37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20" t="s">
        <v>37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787</v>
      </c>
      <c r="C958" s="220" t="s">
        <v>37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788</v>
      </c>
      <c r="C959" s="220" t="s">
        <v>37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789</v>
      </c>
      <c r="C960" s="220" t="s">
        <v>37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790</v>
      </c>
      <c r="C961" s="220" t="s">
        <v>37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791</v>
      </c>
      <c r="C962" s="220" t="s">
        <v>37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792</v>
      </c>
      <c r="C963" s="220" t="s">
        <v>37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793</v>
      </c>
      <c r="C964" s="220" t="s">
        <v>37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20" t="s">
        <v>37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795</v>
      </c>
      <c r="C966" s="220" t="s">
        <v>37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796</v>
      </c>
      <c r="C967" s="220" t="s">
        <v>37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797</v>
      </c>
      <c r="C968" s="220" t="s">
        <v>37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798</v>
      </c>
      <c r="C969" s="220" t="s">
        <v>37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799</v>
      </c>
      <c r="C970" s="220" t="s">
        <v>37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800</v>
      </c>
      <c r="C971" s="220" t="s">
        <v>37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801</v>
      </c>
      <c r="C972" s="220" t="s">
        <v>37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802</v>
      </c>
      <c r="C973" s="220" t="s">
        <v>37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803</v>
      </c>
      <c r="C974" s="220" t="s">
        <v>37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804</v>
      </c>
      <c r="C975" s="220" t="s">
        <v>37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805</v>
      </c>
      <c r="C976" s="220" t="s">
        <v>37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806</v>
      </c>
      <c r="C977" s="220" t="s">
        <v>37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807</v>
      </c>
      <c r="C978" s="220" t="s">
        <v>37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808</v>
      </c>
      <c r="C979" s="220" t="s">
        <v>37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809</v>
      </c>
      <c r="C980" s="220" t="s">
        <v>37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810</v>
      </c>
      <c r="C981" s="220" t="s">
        <v>37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811</v>
      </c>
      <c r="C982" s="220" t="s">
        <v>37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78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812</v>
      </c>
      <c r="C1011" s="160" t="s">
        <v>24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24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24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24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24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24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818</v>
      </c>
      <c r="C1017" s="160" t="s">
        <v>24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819</v>
      </c>
      <c r="C1018" s="160" t="s">
        <v>24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820</v>
      </c>
      <c r="C1019" s="160" t="s">
        <v>24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821</v>
      </c>
      <c r="C1020" s="160" t="s">
        <v>24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822</v>
      </c>
      <c r="C1021" s="160" t="s">
        <v>24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823</v>
      </c>
      <c r="C1022" s="160" t="s">
        <v>24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824</v>
      </c>
      <c r="C1023" s="160" t="s">
        <v>24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825</v>
      </c>
      <c r="C1024" s="160" t="s">
        <v>24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826</v>
      </c>
      <c r="C1025" s="160" t="s">
        <v>24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827</v>
      </c>
      <c r="C1026" s="160" t="s">
        <v>24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828</v>
      </c>
      <c r="C1027" s="160" t="s">
        <v>24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829</v>
      </c>
      <c r="C1028" s="160" t="s">
        <v>24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830</v>
      </c>
      <c r="C1029" s="160" t="s">
        <v>24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831</v>
      </c>
      <c r="C1030" s="160" t="s">
        <v>24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832</v>
      </c>
      <c r="C1031" s="160" t="s">
        <v>24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833</v>
      </c>
      <c r="C1032" s="160" t="s">
        <v>24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834</v>
      </c>
      <c r="C1033" s="160" t="s">
        <v>24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24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24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24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25</v>
      </c>
      <c r="C1037" s="160" t="s">
        <v>24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24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24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24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24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24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24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844</v>
      </c>
      <c r="C1067" s="220" t="s">
        <v>61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20" t="s">
        <v>61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20" t="s">
        <v>61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20" t="s">
        <v>61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20" t="s">
        <v>61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20" t="s">
        <v>61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850</v>
      </c>
      <c r="C1073" s="220" t="s">
        <v>61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78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851</v>
      </c>
      <c r="C1107" s="37" t="s">
        <v>38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38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38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38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38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38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38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38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38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38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38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38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38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38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38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38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38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38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38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38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38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38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38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38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38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6" t="s">
        <v>38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877</v>
      </c>
      <c r="C1133" s="277" t="s">
        <v>38</v>
      </c>
      <c r="D1133" s="278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878</v>
      </c>
      <c r="C1134" s="277" t="s">
        <v>38</v>
      </c>
      <c r="D1134" s="278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879</v>
      </c>
      <c r="C1135" s="277" t="s">
        <v>38</v>
      </c>
      <c r="D1135" s="278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880</v>
      </c>
      <c r="C1136" s="277" t="s">
        <v>38</v>
      </c>
      <c r="D1136" s="278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881</v>
      </c>
      <c r="C1137" s="277" t="s">
        <v>38</v>
      </c>
      <c r="D1137" s="278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882</v>
      </c>
      <c r="C1138" s="277" t="s">
        <v>38</v>
      </c>
      <c r="D1138" s="278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883</v>
      </c>
      <c r="C1139" s="277" t="s">
        <v>38</v>
      </c>
      <c r="D1139" s="278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884</v>
      </c>
      <c r="C1140" s="277" t="s">
        <v>38</v>
      </c>
      <c r="D1140" s="278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885</v>
      </c>
      <c r="C1141" s="277" t="s">
        <v>38</v>
      </c>
      <c r="D1141" s="278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886</v>
      </c>
      <c r="C1142" s="277" t="s">
        <v>38</v>
      </c>
      <c r="D1142" s="278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887</v>
      </c>
      <c r="C1143" s="277" t="s">
        <v>38</v>
      </c>
      <c r="D1143" s="278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888</v>
      </c>
      <c r="C1144" s="277" t="s">
        <v>38</v>
      </c>
      <c r="D1144" s="278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889</v>
      </c>
      <c r="C1145" s="277" t="s">
        <v>38</v>
      </c>
      <c r="D1145" s="278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890</v>
      </c>
      <c r="C1146" s="277" t="s">
        <v>38</v>
      </c>
      <c r="D1146" s="278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891</v>
      </c>
      <c r="C1147" s="277" t="s">
        <v>38</v>
      </c>
      <c r="D1147" s="278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892</v>
      </c>
      <c r="C1148" s="277" t="s">
        <v>38</v>
      </c>
      <c r="D1148" s="278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893</v>
      </c>
      <c r="C1149" s="277" t="s">
        <v>38</v>
      </c>
      <c r="D1149" s="278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894</v>
      </c>
      <c r="C1150" s="277" t="s">
        <v>38</v>
      </c>
      <c r="D1150" s="278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895</v>
      </c>
      <c r="C1151" s="277" t="s">
        <v>38</v>
      </c>
      <c r="D1151" s="278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896</v>
      </c>
      <c r="C1152" s="277" t="s">
        <v>38</v>
      </c>
      <c r="D1152" s="278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897</v>
      </c>
      <c r="C1153" s="277" t="s">
        <v>38</v>
      </c>
      <c r="D1153" s="278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898</v>
      </c>
      <c r="C1154" s="277" t="s">
        <v>38</v>
      </c>
      <c r="D1154" s="278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899</v>
      </c>
      <c r="C1155" s="277" t="s">
        <v>38</v>
      </c>
      <c r="D1155" s="278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900</v>
      </c>
      <c r="C1156" s="277" t="s">
        <v>38</v>
      </c>
      <c r="D1156" s="278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901</v>
      </c>
      <c r="C1157" s="277" t="s">
        <v>38</v>
      </c>
      <c r="D1157" s="278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902</v>
      </c>
      <c r="C1158" s="277" t="s">
        <v>38</v>
      </c>
      <c r="D1158" s="278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903</v>
      </c>
      <c r="C1159" s="277" t="s">
        <v>38</v>
      </c>
      <c r="D1159" s="278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904</v>
      </c>
      <c r="C1160" s="277" t="s">
        <v>38</v>
      </c>
      <c r="D1160" s="278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905</v>
      </c>
      <c r="C1161" s="277" t="s">
        <v>38</v>
      </c>
      <c r="D1161" s="278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906</v>
      </c>
      <c r="C1162" s="277" t="s">
        <v>38</v>
      </c>
      <c r="D1162" s="278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907</v>
      </c>
      <c r="C1163" s="277" t="s">
        <v>38</v>
      </c>
      <c r="D1163" s="278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908</v>
      </c>
      <c r="C1164" s="277" t="s">
        <v>38</v>
      </c>
      <c r="D1164" s="278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909</v>
      </c>
      <c r="C1165" s="277" t="s">
        <v>38</v>
      </c>
      <c r="D1165" s="278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910</v>
      </c>
      <c r="C1166" s="277" t="s">
        <v>38</v>
      </c>
      <c r="D1166" s="278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911</v>
      </c>
      <c r="C1167" s="277" t="s">
        <v>38</v>
      </c>
      <c r="D1167" s="278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912</v>
      </c>
      <c r="C1168" s="277" t="s">
        <v>38</v>
      </c>
      <c r="D1168" s="278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913</v>
      </c>
      <c r="C1169" s="277" t="s">
        <v>38</v>
      </c>
      <c r="D1169" s="278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914</v>
      </c>
      <c r="C1170" s="277" t="s">
        <v>38</v>
      </c>
      <c r="D1170" s="278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915</v>
      </c>
      <c r="C1171" s="277" t="s">
        <v>38</v>
      </c>
      <c r="D1171" s="278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916</v>
      </c>
      <c r="C1172" s="277" t="s">
        <v>38</v>
      </c>
      <c r="D1172" s="278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917</v>
      </c>
      <c r="C1173" s="277" t="s">
        <v>38</v>
      </c>
      <c r="D1173" s="278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918</v>
      </c>
      <c r="C1174" s="277" t="s">
        <v>38</v>
      </c>
      <c r="D1174" s="278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919</v>
      </c>
      <c r="C1175" s="277" t="s">
        <v>38</v>
      </c>
      <c r="D1175" s="278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920</v>
      </c>
      <c r="C1176" s="277" t="s">
        <v>38</v>
      </c>
      <c r="D1176" s="278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921</v>
      </c>
      <c r="C1177" s="277" t="s">
        <v>38</v>
      </c>
      <c r="D1177" s="278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922</v>
      </c>
      <c r="C1178" s="277" t="s">
        <v>38</v>
      </c>
      <c r="D1178" s="278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923</v>
      </c>
      <c r="C1179" s="277" t="s">
        <v>38</v>
      </c>
      <c r="D1179" s="278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924</v>
      </c>
      <c r="C1180" s="277" t="s">
        <v>38</v>
      </c>
      <c r="D1180" s="278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925</v>
      </c>
      <c r="C1181" s="277" t="s">
        <v>38</v>
      </c>
      <c r="D1181" s="278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926</v>
      </c>
      <c r="C1182" s="277" t="s">
        <v>38</v>
      </c>
      <c r="D1182" s="278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927</v>
      </c>
      <c r="C1183" s="277" t="s">
        <v>38</v>
      </c>
      <c r="D1183" s="278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928</v>
      </c>
      <c r="C1184" s="277" t="s">
        <v>38</v>
      </c>
      <c r="D1184" s="278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929</v>
      </c>
      <c r="C1185" s="277" t="s">
        <v>38</v>
      </c>
      <c r="D1185" s="278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930</v>
      </c>
      <c r="C1186" s="277" t="s">
        <v>38</v>
      </c>
      <c r="D1186" s="278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931</v>
      </c>
      <c r="C1187" s="277" t="s">
        <v>38</v>
      </c>
      <c r="D1187" s="278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932</v>
      </c>
      <c r="C1188" s="277" t="s">
        <v>38</v>
      </c>
      <c r="D1188" s="278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933</v>
      </c>
      <c r="C1189" s="277" t="s">
        <v>38</v>
      </c>
      <c r="D1189" s="278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934</v>
      </c>
      <c r="C1190" s="277" t="s">
        <v>38</v>
      </c>
      <c r="D1190" s="278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935</v>
      </c>
      <c r="C1191" s="277" t="s">
        <v>38</v>
      </c>
      <c r="D1191" s="278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936</v>
      </c>
      <c r="C1192" s="277" t="s">
        <v>38</v>
      </c>
      <c r="D1192" s="278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937</v>
      </c>
      <c r="C1193" s="277" t="s">
        <v>38</v>
      </c>
      <c r="D1193" s="278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938</v>
      </c>
      <c r="C1194" s="277" t="s">
        <v>38</v>
      </c>
      <c r="D1194" s="278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939</v>
      </c>
      <c r="C1195" s="277" t="s">
        <v>38</v>
      </c>
      <c r="D1195" s="278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940</v>
      </c>
      <c r="C1196" s="277" t="s">
        <v>38</v>
      </c>
      <c r="D1196" s="278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941</v>
      </c>
      <c r="C1197" s="277" t="s">
        <v>38</v>
      </c>
      <c r="D1197" s="278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942</v>
      </c>
      <c r="C1198" s="277" t="s">
        <v>38</v>
      </c>
      <c r="D1198" s="278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943</v>
      </c>
      <c r="C1199" s="277" t="s">
        <v>38</v>
      </c>
      <c r="D1199" s="278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944</v>
      </c>
      <c r="C1200" s="277" t="s">
        <v>38</v>
      </c>
      <c r="D1200" s="278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945</v>
      </c>
      <c r="C1201" s="277" t="s">
        <v>38</v>
      </c>
      <c r="D1201" s="278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946</v>
      </c>
      <c r="C1202" s="277" t="s">
        <v>38</v>
      </c>
      <c r="D1202" s="278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947</v>
      </c>
      <c r="C1203" s="277" t="s">
        <v>38</v>
      </c>
      <c r="D1203" s="278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948</v>
      </c>
      <c r="C1204" s="277" t="s">
        <v>38</v>
      </c>
      <c r="D1204" s="278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949</v>
      </c>
      <c r="C1205" s="277" t="s">
        <v>38</v>
      </c>
      <c r="D1205" s="278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950</v>
      </c>
      <c r="C1206" s="277" t="s">
        <v>38</v>
      </c>
      <c r="D1206" s="278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951</v>
      </c>
      <c r="C1207" s="277" t="s">
        <v>38</v>
      </c>
      <c r="D1207" s="278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952</v>
      </c>
      <c r="C1208" s="277" t="s">
        <v>38</v>
      </c>
      <c r="D1208" s="278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953</v>
      </c>
      <c r="C1209" s="277" t="s">
        <v>38</v>
      </c>
      <c r="D1209" s="278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954</v>
      </c>
      <c r="C1210" s="277" t="s">
        <v>38</v>
      </c>
      <c r="D1210" s="278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955</v>
      </c>
      <c r="C1211" s="277" t="s">
        <v>38</v>
      </c>
      <c r="D1211" s="278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956</v>
      </c>
      <c r="C1212" s="277" t="s">
        <v>38</v>
      </c>
      <c r="D1212" s="278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957</v>
      </c>
      <c r="C1213" s="277" t="s">
        <v>38</v>
      </c>
      <c r="D1213" s="278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958</v>
      </c>
      <c r="C1214" s="277" t="s">
        <v>38</v>
      </c>
      <c r="D1214" s="278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959</v>
      </c>
      <c r="C1215" s="277" t="s">
        <v>38</v>
      </c>
      <c r="D1215" s="278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960</v>
      </c>
      <c r="C1216" s="277" t="s">
        <v>38</v>
      </c>
      <c r="D1216" s="278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961</v>
      </c>
      <c r="C1217" s="277" t="s">
        <v>38</v>
      </c>
      <c r="D1217" s="278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962</v>
      </c>
      <c r="C1218" s="277" t="s">
        <v>38</v>
      </c>
      <c r="D1218" s="278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963</v>
      </c>
      <c r="C1219" s="277" t="s">
        <v>38</v>
      </c>
      <c r="D1219" s="278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964</v>
      </c>
      <c r="C1220" s="277" t="s">
        <v>38</v>
      </c>
      <c r="D1220" s="278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965</v>
      </c>
      <c r="C1221" s="277" t="s">
        <v>38</v>
      </c>
      <c r="D1221" s="278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966</v>
      </c>
      <c r="C1222" s="277" t="s">
        <v>38</v>
      </c>
      <c r="D1222" s="278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967</v>
      </c>
      <c r="C1223" s="277" t="s">
        <v>38</v>
      </c>
      <c r="D1223" s="278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968</v>
      </c>
      <c r="C1224" s="277" t="s">
        <v>38</v>
      </c>
      <c r="D1224" s="278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969</v>
      </c>
      <c r="C1225" s="277" t="s">
        <v>38</v>
      </c>
      <c r="D1225" s="278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970</v>
      </c>
      <c r="C1226" s="277" t="s">
        <v>38</v>
      </c>
      <c r="D1226" s="278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971</v>
      </c>
      <c r="C1227" s="277" t="s">
        <v>38</v>
      </c>
      <c r="D1227" s="278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972</v>
      </c>
      <c r="C1228" s="277" t="s">
        <v>38</v>
      </c>
      <c r="D1228" s="278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973</v>
      </c>
      <c r="C1229" s="277" t="s">
        <v>38</v>
      </c>
      <c r="D1229" s="278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974</v>
      </c>
      <c r="C1230" s="277" t="s">
        <v>38</v>
      </c>
      <c r="D1230" s="278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975</v>
      </c>
      <c r="C1231" s="277" t="s">
        <v>38</v>
      </c>
      <c r="D1231" s="278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976</v>
      </c>
      <c r="C1232" s="277" t="s">
        <v>38</v>
      </c>
      <c r="D1232" s="278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977</v>
      </c>
      <c r="C1233" s="277" t="s">
        <v>38</v>
      </c>
      <c r="D1233" s="278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978</v>
      </c>
      <c r="C1234" s="277" t="s">
        <v>38</v>
      </c>
      <c r="D1234" s="278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979</v>
      </c>
      <c r="C1235" s="277" t="s">
        <v>38</v>
      </c>
      <c r="D1235" s="278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980</v>
      </c>
      <c r="C1236" s="277" t="s">
        <v>38</v>
      </c>
      <c r="D1236" s="278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981</v>
      </c>
      <c r="C1237" s="277" t="s">
        <v>38</v>
      </c>
      <c r="D1237" s="278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982</v>
      </c>
      <c r="C1238" s="277" t="s">
        <v>38</v>
      </c>
      <c r="D1238" s="278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983</v>
      </c>
      <c r="C1239" s="277" t="s">
        <v>38</v>
      </c>
      <c r="D1239" s="278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984</v>
      </c>
      <c r="C1240" s="277" t="s">
        <v>38</v>
      </c>
      <c r="D1240" s="278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985</v>
      </c>
      <c r="C1241" s="277" t="s">
        <v>38</v>
      </c>
      <c r="D1241" s="278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986</v>
      </c>
      <c r="C1242" s="277" t="s">
        <v>38</v>
      </c>
      <c r="D1242" s="278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987</v>
      </c>
      <c r="C1243" s="277" t="s">
        <v>38</v>
      </c>
      <c r="D1243" s="278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988</v>
      </c>
      <c r="C1244" s="277" t="s">
        <v>38</v>
      </c>
      <c r="D1244" s="278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989</v>
      </c>
      <c r="C1245" s="277" t="s">
        <v>38</v>
      </c>
      <c r="D1245" s="278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990</v>
      </c>
      <c r="C1246" s="277" t="s">
        <v>38</v>
      </c>
      <c r="D1246" s="278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991</v>
      </c>
      <c r="C1247" s="277" t="s">
        <v>38</v>
      </c>
      <c r="D1247" s="278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992</v>
      </c>
      <c r="C1248" s="277" t="s">
        <v>38</v>
      </c>
      <c r="D1248" s="278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993</v>
      </c>
      <c r="C1249" s="277" t="s">
        <v>38</v>
      </c>
      <c r="D1249" s="278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994</v>
      </c>
      <c r="C1250" s="277" t="s">
        <v>38</v>
      </c>
      <c r="D1250" s="278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995</v>
      </c>
      <c r="C1251" s="277" t="s">
        <v>38</v>
      </c>
      <c r="D1251" s="278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996</v>
      </c>
      <c r="C1252" s="277" t="s">
        <v>38</v>
      </c>
      <c r="D1252" s="278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997</v>
      </c>
      <c r="C1253" s="277" t="s">
        <v>38</v>
      </c>
      <c r="D1253" s="278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998</v>
      </c>
      <c r="C1254" s="277" t="s">
        <v>38</v>
      </c>
      <c r="D1254" s="278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999</v>
      </c>
      <c r="C1255" s="277" t="s">
        <v>38</v>
      </c>
      <c r="D1255" s="278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1000</v>
      </c>
      <c r="C1256" s="277" t="s">
        <v>38</v>
      </c>
      <c r="D1256" s="278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1001</v>
      </c>
      <c r="C1257" s="277" t="s">
        <v>38</v>
      </c>
      <c r="D1257" s="278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1002</v>
      </c>
      <c r="C1258" s="277" t="s">
        <v>38</v>
      </c>
      <c r="D1258" s="278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1003</v>
      </c>
      <c r="C1259" s="277" t="s">
        <v>38</v>
      </c>
      <c r="D1259" s="278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1004</v>
      </c>
      <c r="C1260" s="277" t="s">
        <v>38</v>
      </c>
      <c r="D1260" s="278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1005</v>
      </c>
      <c r="C1261" s="277" t="s">
        <v>38</v>
      </c>
      <c r="D1261" s="278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1006</v>
      </c>
      <c r="C1262" s="277" t="s">
        <v>38</v>
      </c>
      <c r="D1262" s="278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1007</v>
      </c>
      <c r="C1263" s="277" t="s">
        <v>38</v>
      </c>
      <c r="D1263" s="278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1008</v>
      </c>
      <c r="C1264" s="277" t="s">
        <v>38</v>
      </c>
      <c r="D1264" s="278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1009</v>
      </c>
      <c r="C1265" s="277" t="s">
        <v>38</v>
      </c>
      <c r="D1265" s="278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1010</v>
      </c>
      <c r="C1266" s="277" t="s">
        <v>38</v>
      </c>
      <c r="D1266" s="278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1011</v>
      </c>
      <c r="C1267" s="277" t="s">
        <v>38</v>
      </c>
      <c r="D1267" s="278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1012</v>
      </c>
      <c r="C1268" s="277" t="s">
        <v>38</v>
      </c>
      <c r="D1268" s="278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1013</v>
      </c>
      <c r="C1269" s="277" t="s">
        <v>38</v>
      </c>
      <c r="D1269" s="278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1014</v>
      </c>
      <c r="C1270" s="277" t="s">
        <v>38</v>
      </c>
      <c r="D1270" s="278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1015</v>
      </c>
      <c r="C1271" s="277" t="s">
        <v>38</v>
      </c>
      <c r="D1271" s="278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1016</v>
      </c>
      <c r="C1272" s="277" t="s">
        <v>38</v>
      </c>
      <c r="D1272" s="278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1017</v>
      </c>
      <c r="C1273" s="277" t="s">
        <v>38</v>
      </c>
      <c r="D1273" s="278" t="s">
        <v>114</v>
      </c>
      <c r="E1273" s="141">
        <v>44533.333333333336</v>
      </c>
      <c r="F1273" s="279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1018</v>
      </c>
      <c r="C1274" s="277" t="s">
        <v>38</v>
      </c>
      <c r="D1274" s="278" t="s">
        <v>114</v>
      </c>
      <c r="E1274" s="141">
        <v>30900</v>
      </c>
      <c r="F1274" s="279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1019</v>
      </c>
      <c r="C1275" s="277" t="s">
        <v>38</v>
      </c>
      <c r="D1275" s="278" t="s">
        <v>1020</v>
      </c>
      <c r="E1275" s="141">
        <v>44500</v>
      </c>
      <c r="F1275" s="279" t="s">
        <v>114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1021</v>
      </c>
      <c r="C1276" s="277" t="s">
        <v>38</v>
      </c>
      <c r="D1276" s="278" t="s">
        <v>114</v>
      </c>
      <c r="E1276" s="141">
        <v>22370</v>
      </c>
      <c r="F1276" s="279" t="s">
        <v>114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1022</v>
      </c>
      <c r="C1277" s="277" t="s">
        <v>38</v>
      </c>
      <c r="D1277" s="278" t="s">
        <v>114</v>
      </c>
      <c r="E1277" s="141">
        <v>184100</v>
      </c>
      <c r="F1277" s="279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1023</v>
      </c>
      <c r="C1278" s="277" t="s">
        <v>38</v>
      </c>
      <c r="D1278" s="278" t="s">
        <v>114</v>
      </c>
      <c r="E1278" s="141">
        <v>6333.3374999999996</v>
      </c>
      <c r="F1278" s="279" t="s">
        <v>114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1024</v>
      </c>
      <c r="C1279" s="277" t="s">
        <v>38</v>
      </c>
      <c r="D1279" s="278" t="s">
        <v>114</v>
      </c>
      <c r="E1279" s="141">
        <v>17266.599999999999</v>
      </c>
      <c r="F1279" s="279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1025</v>
      </c>
      <c r="C1280" s="277" t="s">
        <v>38</v>
      </c>
      <c r="D1280" s="278" t="s">
        <v>114</v>
      </c>
      <c r="E1280" s="141">
        <v>6796.7</v>
      </c>
      <c r="F1280" s="279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1026</v>
      </c>
      <c r="C1281" s="277" t="s">
        <v>38</v>
      </c>
      <c r="D1281" s="278" t="s">
        <v>114</v>
      </c>
      <c r="E1281" s="141">
        <v>182666.66666666666</v>
      </c>
      <c r="F1281" s="279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1027</v>
      </c>
      <c r="C1282" s="277" t="s">
        <v>38</v>
      </c>
      <c r="D1282" s="278" t="s">
        <v>1020</v>
      </c>
      <c r="E1282" s="141">
        <v>2500</v>
      </c>
      <c r="F1282" s="279" t="s">
        <v>114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1028</v>
      </c>
      <c r="C1283" s="277" t="s">
        <v>38</v>
      </c>
      <c r="D1283" s="278" t="s">
        <v>114</v>
      </c>
      <c r="E1283" s="141">
        <v>46996.6</v>
      </c>
      <c r="F1283" s="279" t="s">
        <v>114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1028</v>
      </c>
      <c r="C1284" s="277" t="s">
        <v>38</v>
      </c>
      <c r="D1284" s="278" t="s">
        <v>114</v>
      </c>
      <c r="E1284" s="141">
        <v>48330</v>
      </c>
      <c r="F1284" s="279" t="s">
        <v>114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1029</v>
      </c>
      <c r="C1285" s="277" t="s">
        <v>38</v>
      </c>
      <c r="D1285" s="278" t="s">
        <v>1030</v>
      </c>
      <c r="E1285" s="141">
        <v>10166.700000000001</v>
      </c>
      <c r="F1285" s="279" t="s">
        <v>1030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1031</v>
      </c>
      <c r="C1286" s="277" t="s">
        <v>38</v>
      </c>
      <c r="D1286" s="278" t="s">
        <v>114</v>
      </c>
      <c r="E1286" s="141">
        <v>104388.75</v>
      </c>
      <c r="F1286" s="279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1032</v>
      </c>
      <c r="C1287" s="277" t="s">
        <v>38</v>
      </c>
      <c r="D1287" s="278" t="s">
        <v>114</v>
      </c>
      <c r="E1287" s="141">
        <v>79760</v>
      </c>
      <c r="F1287" s="279" t="s">
        <v>114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1033</v>
      </c>
      <c r="C1288" s="277" t="s">
        <v>38</v>
      </c>
      <c r="D1288" s="278" t="s">
        <v>207</v>
      </c>
      <c r="E1288" s="141">
        <v>62000</v>
      </c>
      <c r="F1288" s="279" t="s">
        <v>207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1034</v>
      </c>
      <c r="C1289" s="277" t="s">
        <v>38</v>
      </c>
      <c r="D1289" s="278" t="s">
        <v>114</v>
      </c>
      <c r="E1289" s="141">
        <v>152500</v>
      </c>
      <c r="F1289" s="279" t="s">
        <v>114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1035</v>
      </c>
      <c r="C1290" s="277" t="s">
        <v>38</v>
      </c>
      <c r="D1290" s="278" t="s">
        <v>114</v>
      </c>
      <c r="E1290" s="141">
        <v>432050</v>
      </c>
      <c r="F1290" s="279" t="s">
        <v>114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78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1036</v>
      </c>
      <c r="C1328" s="37" t="s">
        <v>32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32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32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32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32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32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32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1043</v>
      </c>
      <c r="C1335" s="37" t="s">
        <v>32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1044</v>
      </c>
      <c r="C1336" s="37" t="s">
        <v>32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1045</v>
      </c>
      <c r="C1337" s="37" t="s">
        <v>32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1046</v>
      </c>
      <c r="C1338" s="37" t="s">
        <v>32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1047</v>
      </c>
      <c r="C1339" s="37" t="s">
        <v>32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1048</v>
      </c>
      <c r="C1340" s="37" t="s">
        <v>32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1049</v>
      </c>
      <c r="C1341" s="37" t="s">
        <v>32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1050</v>
      </c>
      <c r="C1342" s="37" t="s">
        <v>32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1051</v>
      </c>
      <c r="C1343" s="37" t="s">
        <v>32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1052</v>
      </c>
      <c r="C1344" s="37" t="s">
        <v>32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1053</v>
      </c>
      <c r="C1345" s="37" t="s">
        <v>32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1054</v>
      </c>
      <c r="C1346" s="37" t="s">
        <v>32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1055</v>
      </c>
      <c r="C1347" s="37" t="s">
        <v>32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1056</v>
      </c>
      <c r="C1348" s="37" t="s">
        <v>32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1057</v>
      </c>
      <c r="C1349" s="37" t="s">
        <v>32</v>
      </c>
      <c r="D1349" s="48" t="s">
        <v>1058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1059</v>
      </c>
      <c r="C1350" s="37" t="s">
        <v>32</v>
      </c>
      <c r="D1350" s="48" t="s">
        <v>1060</v>
      </c>
      <c r="E1350" s="43">
        <v>6081.3</v>
      </c>
      <c r="F1350" s="188" t="s">
        <v>1060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1061</v>
      </c>
      <c r="C1351" s="37" t="s">
        <v>32</v>
      </c>
      <c r="D1351" s="48" t="s">
        <v>1062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1063</v>
      </c>
      <c r="C1352" s="37" t="s">
        <v>32</v>
      </c>
      <c r="D1352" s="48" t="s">
        <v>1060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1064</v>
      </c>
      <c r="C1353" s="37" t="s">
        <v>32</v>
      </c>
      <c r="D1353" s="48" t="s">
        <v>1065</v>
      </c>
      <c r="E1353" s="43">
        <v>17300</v>
      </c>
      <c r="F1353" s="188" t="s">
        <v>1065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1066</v>
      </c>
      <c r="C1354" s="37" t="s">
        <v>32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32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32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1070</v>
      </c>
      <c r="C1357" s="37" t="s">
        <v>32</v>
      </c>
      <c r="D1357" s="98" t="s">
        <v>359</v>
      </c>
      <c r="E1357" s="43"/>
      <c r="F1357" s="98" t="s">
        <v>359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1071</v>
      </c>
      <c r="C1358" s="37" t="s">
        <v>32</v>
      </c>
      <c r="D1358" s="98" t="s">
        <v>359</v>
      </c>
      <c r="E1358" s="43"/>
      <c r="F1358" s="98" t="s">
        <v>359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1072</v>
      </c>
      <c r="C1359" s="37" t="s">
        <v>32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32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32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32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32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32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32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32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32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32</v>
      </c>
      <c r="D1368" s="48" t="s">
        <v>1082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32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32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32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32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32</v>
      </c>
      <c r="D1373" s="298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1088</v>
      </c>
      <c r="C1374" s="161" t="s">
        <v>32</v>
      </c>
      <c r="D1374" s="291" t="s">
        <v>114</v>
      </c>
      <c r="E1374" s="62"/>
      <c r="F1374" s="191" t="s">
        <v>114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1089</v>
      </c>
      <c r="C1375" s="161" t="s">
        <v>32</v>
      </c>
      <c r="D1375" s="291" t="s">
        <v>114</v>
      </c>
      <c r="E1375" s="62"/>
      <c r="F1375" s="191" t="s">
        <v>114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1090</v>
      </c>
      <c r="C1376" s="161" t="s">
        <v>32</v>
      </c>
      <c r="D1376" s="291" t="s">
        <v>114</v>
      </c>
      <c r="E1376" s="62"/>
      <c r="F1376" s="191" t="s">
        <v>114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1091</v>
      </c>
      <c r="C1377" s="161" t="s">
        <v>32</v>
      </c>
      <c r="D1377" s="291" t="s">
        <v>114</v>
      </c>
      <c r="E1377" s="62"/>
      <c r="F1377" s="191" t="s">
        <v>114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1092</v>
      </c>
      <c r="C1378" s="161" t="s">
        <v>32</v>
      </c>
      <c r="D1378" s="291" t="s">
        <v>114</v>
      </c>
      <c r="E1378" s="62"/>
      <c r="F1378" s="191" t="s">
        <v>114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1093</v>
      </c>
      <c r="C1379" s="37" t="s">
        <v>32</v>
      </c>
      <c r="D1379" s="292" t="s">
        <v>114</v>
      </c>
      <c r="E1379" s="43"/>
      <c r="F1379" s="188" t="s">
        <v>114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1094</v>
      </c>
      <c r="C1380" s="220" t="s">
        <v>32</v>
      </c>
      <c r="D1380" s="293" t="s">
        <v>114</v>
      </c>
      <c r="E1380" s="166"/>
      <c r="F1380" s="192" t="s">
        <v>114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1095</v>
      </c>
      <c r="C1381" s="220" t="s">
        <v>32</v>
      </c>
      <c r="D1381" s="293" t="s">
        <v>114</v>
      </c>
      <c r="E1381" s="166"/>
      <c r="F1381" s="192" t="s">
        <v>114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1096</v>
      </c>
      <c r="C1382" s="222" t="s">
        <v>32</v>
      </c>
      <c r="D1382" s="294" t="s">
        <v>114</v>
      </c>
      <c r="E1382" s="223"/>
      <c r="F1382" s="193" t="s">
        <v>114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2" t="s">
        <v>32</v>
      </c>
      <c r="D1383" s="10" t="s">
        <v>114</v>
      </c>
      <c r="E1383" s="223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1098</v>
      </c>
      <c r="C1384" s="220" t="s">
        <v>32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1099</v>
      </c>
      <c r="C1385" s="220" t="s">
        <v>32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1100</v>
      </c>
      <c r="C1386" s="220" t="s">
        <v>32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1101</v>
      </c>
      <c r="C1387" s="220" t="s">
        <v>32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1102</v>
      </c>
      <c r="C1388" s="220" t="s">
        <v>32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1103</v>
      </c>
      <c r="C1389" s="220" t="s">
        <v>32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1104</v>
      </c>
      <c r="C1390" s="220" t="s">
        <v>32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1105</v>
      </c>
      <c r="C1391" s="220" t="s">
        <v>32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1106</v>
      </c>
      <c r="C1392" s="220" t="s">
        <v>32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1107</v>
      </c>
      <c r="C1393" s="220" t="s">
        <v>32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1108</v>
      </c>
      <c r="C1394" s="220" t="s">
        <v>32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1109</v>
      </c>
      <c r="C1395" s="220" t="s">
        <v>32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1110</v>
      </c>
      <c r="C1396" s="220" t="s">
        <v>32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1111</v>
      </c>
      <c r="C1397" s="220" t="s">
        <v>32</v>
      </c>
      <c r="D1397" s="249" t="s">
        <v>1058</v>
      </c>
      <c r="E1397" s="166">
        <v>74866.666666666672</v>
      </c>
      <c r="F1397" s="193" t="s">
        <v>1058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1112</v>
      </c>
      <c r="C1398" s="220" t="s">
        <v>32</v>
      </c>
      <c r="D1398" s="249" t="s">
        <v>1113</v>
      </c>
      <c r="E1398" s="166">
        <v>74866.666666666672</v>
      </c>
      <c r="F1398" s="193" t="s">
        <v>1113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1114</v>
      </c>
      <c r="C1399" s="220" t="s">
        <v>32</v>
      </c>
      <c r="D1399" s="249" t="s">
        <v>114</v>
      </c>
      <c r="E1399" s="166">
        <v>19073</v>
      </c>
      <c r="F1399" s="193" t="s">
        <v>114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1115</v>
      </c>
      <c r="C1400" s="220" t="s">
        <v>32</v>
      </c>
      <c r="D1400" s="249" t="s">
        <v>114</v>
      </c>
      <c r="E1400" s="166">
        <v>866.66499999999996</v>
      </c>
      <c r="F1400" s="193" t="s">
        <v>114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1116</v>
      </c>
      <c r="C1401" s="220" t="s">
        <v>32</v>
      </c>
      <c r="D1401" s="249" t="s">
        <v>1067</v>
      </c>
      <c r="E1401" s="166">
        <v>513.33285714285716</v>
      </c>
      <c r="F1401" s="193" t="s">
        <v>1067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1117</v>
      </c>
      <c r="C1402" s="220" t="s">
        <v>32</v>
      </c>
      <c r="D1402" s="249" t="s">
        <v>114</v>
      </c>
      <c r="E1402" s="166">
        <v>19000</v>
      </c>
      <c r="F1402" s="193" t="s">
        <v>114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1118</v>
      </c>
      <c r="C1403" s="220" t="s">
        <v>32</v>
      </c>
      <c r="D1403" s="249" t="s">
        <v>114</v>
      </c>
      <c r="E1403" s="166">
        <v>3800</v>
      </c>
      <c r="F1403" s="193" t="s">
        <v>114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1119</v>
      </c>
      <c r="C1404" s="220" t="s">
        <v>32</v>
      </c>
      <c r="D1404" s="249" t="s">
        <v>175</v>
      </c>
      <c r="E1404" s="166">
        <v>3200</v>
      </c>
      <c r="F1404" s="193" t="s">
        <v>175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1120</v>
      </c>
      <c r="C1405" s="220" t="s">
        <v>32</v>
      </c>
      <c r="D1405" s="249" t="s">
        <v>217</v>
      </c>
      <c r="E1405" s="166">
        <v>7200</v>
      </c>
      <c r="F1405" s="193" t="s">
        <v>1058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1121</v>
      </c>
      <c r="C1406" s="222" t="s">
        <v>32</v>
      </c>
      <c r="D1406" s="10" t="s">
        <v>359</v>
      </c>
      <c r="E1406" s="223"/>
      <c r="F1406" s="294" t="s">
        <v>359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1122</v>
      </c>
      <c r="C1407" s="220" t="s">
        <v>32</v>
      </c>
      <c r="D1407" s="10" t="s">
        <v>359</v>
      </c>
      <c r="E1407" s="166"/>
      <c r="F1407" s="10" t="s">
        <v>359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1123</v>
      </c>
      <c r="C1408" s="220" t="s">
        <v>32</v>
      </c>
      <c r="D1408" s="10" t="s">
        <v>359</v>
      </c>
      <c r="E1408" s="166"/>
      <c r="F1408" s="10" t="s">
        <v>359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1124</v>
      </c>
      <c r="C1409" s="220" t="s">
        <v>32</v>
      </c>
      <c r="D1409" s="10" t="s">
        <v>359</v>
      </c>
      <c r="E1409" s="166"/>
      <c r="F1409" s="10" t="s">
        <v>359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1125</v>
      </c>
      <c r="C1410" s="220" t="s">
        <v>32</v>
      </c>
      <c r="D1410" s="249" t="s">
        <v>114</v>
      </c>
      <c r="E1410" s="166">
        <v>6013.33</v>
      </c>
      <c r="F1410" s="274" t="s">
        <v>114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1126</v>
      </c>
      <c r="C1411" s="220" t="s">
        <v>32</v>
      </c>
      <c r="D1411" s="249" t="s">
        <v>114</v>
      </c>
      <c r="E1411" s="166">
        <v>1101.5</v>
      </c>
      <c r="F1411" s="274" t="s">
        <v>114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1127</v>
      </c>
      <c r="C1412" s="220" t="s">
        <v>32</v>
      </c>
      <c r="D1412" s="249" t="s">
        <v>114</v>
      </c>
      <c r="E1412" s="166">
        <v>11100</v>
      </c>
      <c r="F1412" s="274" t="s">
        <v>114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1128</v>
      </c>
      <c r="C1413" s="220" t="s">
        <v>32</v>
      </c>
      <c r="D1413" s="10" t="s">
        <v>359</v>
      </c>
      <c r="E1413" s="166"/>
      <c r="F1413" s="10" t="s">
        <v>359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1129</v>
      </c>
      <c r="C1414" s="220" t="s">
        <v>32</v>
      </c>
      <c r="D1414" s="10" t="s">
        <v>359</v>
      </c>
      <c r="E1414" s="166"/>
      <c r="F1414" s="10" t="s">
        <v>359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1130</v>
      </c>
      <c r="C1415" s="222" t="s">
        <v>32</v>
      </c>
      <c r="D1415" s="10" t="s">
        <v>359</v>
      </c>
      <c r="E1415" s="223"/>
      <c r="F1415" s="10" t="s">
        <v>359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78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1131</v>
      </c>
      <c r="C1428" s="220" t="s">
        <v>58</v>
      </c>
      <c r="D1428" s="236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20" t="s">
        <v>58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20" t="s">
        <v>58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20" t="s">
        <v>58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20" t="s">
        <v>58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20" t="s">
        <v>58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20" t="s">
        <v>58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20" t="s">
        <v>58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20" t="s">
        <v>58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20" t="s">
        <v>58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20" t="s">
        <v>58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20" t="s">
        <v>58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20" t="s">
        <v>58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20" t="s">
        <v>58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20" t="s">
        <v>58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20" t="s">
        <v>58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20" t="s">
        <v>58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20" t="s">
        <v>58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20" t="s">
        <v>58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20" t="s">
        <v>58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20" t="s">
        <v>58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20" t="s">
        <v>58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20" t="s">
        <v>58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20" t="s">
        <v>58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20" t="s">
        <v>58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20" t="s">
        <v>58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20" t="s">
        <v>58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20" t="s">
        <v>58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20" t="s">
        <v>58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20" t="s">
        <v>58</v>
      </c>
      <c r="D1457" s="48" t="s">
        <v>1067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20" t="s">
        <v>58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20" t="s">
        <v>58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20" t="s">
        <v>58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20" t="s">
        <v>58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20" t="s">
        <v>58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20" t="s">
        <v>58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20" t="s">
        <v>58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20" t="s">
        <v>58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20" t="s">
        <v>58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20" t="s">
        <v>58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20" t="s">
        <v>58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20" t="s">
        <v>58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20" t="s">
        <v>58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20" t="s">
        <v>58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20" t="s">
        <v>58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20" t="s">
        <v>58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20" t="s">
        <v>58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20" t="s">
        <v>58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20" t="s">
        <v>58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20" t="s">
        <v>58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20" t="s">
        <v>58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20" t="s">
        <v>58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20" t="s">
        <v>58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20" t="s">
        <v>58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20" t="s">
        <v>58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20" t="s">
        <v>58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20" t="s">
        <v>58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20" t="s">
        <v>58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20" t="s">
        <v>58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20" t="s">
        <v>58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20" t="s">
        <v>58</v>
      </c>
      <c r="D1488" s="48" t="s">
        <v>1067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20" t="s">
        <v>58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20" t="s">
        <v>58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20" t="s">
        <v>58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20" t="s">
        <v>58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20" t="s">
        <v>58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20" t="s">
        <v>58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20" t="s">
        <v>58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20" t="s">
        <v>58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20" t="s">
        <v>58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20" t="s">
        <v>58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20" t="s">
        <v>58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20" t="s">
        <v>58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20" t="s">
        <v>58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20" t="s">
        <v>58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20" t="s">
        <v>58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20" t="s">
        <v>58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20" t="s">
        <v>58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20" t="s">
        <v>58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20" t="s">
        <v>58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20" t="s">
        <v>58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20" t="s">
        <v>58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32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78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1307</v>
      </c>
      <c r="F1" s="12" t="s">
        <v>1308</v>
      </c>
      <c r="H1" s="15" t="s">
        <v>1309</v>
      </c>
      <c r="I1" s="15" t="s">
        <v>1310</v>
      </c>
      <c r="K1" s="15" t="s">
        <v>22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7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26</v>
      </c>
    </row>
    <row r="3" spans="1:13" outlineLevel="1">
      <c r="A3" s="3" t="s">
        <v>1318</v>
      </c>
      <c r="B3" s="5" t="s">
        <v>217</v>
      </c>
      <c r="D3" s="267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35</v>
      </c>
    </row>
    <row r="4" spans="1:13" ht="30" outlineLevel="1">
      <c r="A4" s="2" t="s">
        <v>1323</v>
      </c>
      <c r="B4" s="5" t="s">
        <v>308</v>
      </c>
      <c r="D4" s="268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37</v>
      </c>
    </row>
    <row r="5" spans="1:13" ht="30" outlineLevel="1">
      <c r="A5" s="3" t="s">
        <v>1328</v>
      </c>
      <c r="B5" s="5" t="s">
        <v>1329</v>
      </c>
      <c r="D5" s="270" t="s">
        <v>13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38</v>
      </c>
    </row>
    <row r="6" spans="1:13" outlineLevel="1">
      <c r="A6" s="2" t="s">
        <v>325</v>
      </c>
      <c r="B6" s="5" t="s">
        <v>325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30</v>
      </c>
      <c r="M6" s="113" t="s">
        <v>32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28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24</v>
      </c>
    </row>
    <row r="9" spans="1:13" outlineLevel="1">
      <c r="A9" s="2" t="s">
        <v>1346</v>
      </c>
      <c r="B9" s="5" t="s">
        <v>1200</v>
      </c>
      <c r="F9" s="2" t="s">
        <v>1347</v>
      </c>
      <c r="H9" s="25" t="s">
        <v>1348</v>
      </c>
      <c r="I9" s="26">
        <v>70323724</v>
      </c>
      <c r="K9" t="s">
        <v>1349</v>
      </c>
      <c r="M9" s="79" t="s">
        <v>61</v>
      </c>
    </row>
    <row r="10" spans="1:13" outlineLevel="1">
      <c r="A10" s="2" t="s">
        <v>1350</v>
      </c>
      <c r="B10" s="5" t="s">
        <v>108</v>
      </c>
      <c r="F10" s="3" t="s">
        <v>8</v>
      </c>
      <c r="H10" s="24" t="s">
        <v>1351</v>
      </c>
      <c r="I10" s="20">
        <v>32142539</v>
      </c>
      <c r="K10" t="s">
        <v>1352</v>
      </c>
      <c r="M10" s="234" t="s">
        <v>123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58</v>
      </c>
    </row>
    <row r="12" spans="1:13" ht="30" outlineLevel="1">
      <c r="A12" s="3" t="s">
        <v>1358</v>
      </c>
      <c r="B12" s="5" t="s">
        <v>1030</v>
      </c>
      <c r="F12" s="303" t="s">
        <v>1359</v>
      </c>
      <c r="H12" s="27" t="s">
        <v>1360</v>
      </c>
      <c r="I12" s="28">
        <v>32184975</v>
      </c>
      <c r="M12" s="234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239</v>
      </c>
      <c r="H16" s="255" t="s">
        <v>1367</v>
      </c>
      <c r="I16" s="22">
        <v>71278905</v>
      </c>
    </row>
    <row r="17" spans="1:9" outlineLevel="1">
      <c r="A17" s="2" t="s">
        <v>1368</v>
      </c>
      <c r="B17" s="5" t="s">
        <v>359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7" t="s">
        <v>1372</v>
      </c>
    </row>
    <row r="19" spans="1:9" outlineLevel="1">
      <c r="A19" s="3" t="s">
        <v>1373</v>
      </c>
      <c r="B19" s="5" t="s">
        <v>242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5</v>
      </c>
      <c r="I22" s="20">
        <v>43506380</v>
      </c>
    </row>
    <row r="23" spans="1:9" outlineLevel="1">
      <c r="A23" s="4" t="s">
        <v>1380</v>
      </c>
      <c r="B23" s="5" t="s">
        <v>209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175</v>
      </c>
      <c r="H24" s="21" t="s">
        <v>1383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114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6" t="s">
        <v>1391</v>
      </c>
      <c r="I31" s="256">
        <v>43874217</v>
      </c>
    </row>
    <row r="32" spans="1:9" outlineLevel="1">
      <c r="H32" s="4" t="s">
        <v>1392</v>
      </c>
      <c r="I32" s="4">
        <v>43599159</v>
      </c>
    </row>
    <row r="33" spans="8:9" outlineLevel="1">
      <c r="H33" s="4" t="s">
        <v>1393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2025-09-15T18:24:51Z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