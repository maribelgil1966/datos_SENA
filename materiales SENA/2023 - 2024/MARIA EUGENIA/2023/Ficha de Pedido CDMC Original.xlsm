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"/>
    </mc:Choice>
  </mc:AlternateContent>
  <xr:revisionPtr revIDLastSave="0" documentId="8_{F8F56A46-D7A0-4E4F-990A-71C8EBBCF741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<sst xmlns="http://schemas.openxmlformats.org/spreadsheetml/2006/main" count="5038" uniqueCount="1392">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</sst>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/>
      </c>
      <c r="G1" s="330"/>
      <c r="H1" s="331"/>
      <c r="I1" s="332" t="s">
        <v>1</v>
      </c>
      <c r="J1" s="333"/>
      <c r="K1" s="247"/>
      <c r="L1" s="334" t="s">
        <v>2</v>
      </c>
      <c r="M1" s="335"/>
      <c r="N1" s="335"/>
      <c r="O1" s="336"/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/>
      <c r="F2" s="354"/>
      <c r="G2" s="354"/>
      <c r="H2" s="354"/>
      <c r="I2" s="354"/>
      <c r="J2" s="354"/>
      <c r="K2" s="355"/>
      <c r="L2" s="374" t="s">
        <v>6</v>
      </c>
      <c r="M2" s="375"/>
      <c r="N2" s="334"/>
      <c r="O2" s="376" t="str">
        <f>IF(E2="","",INDEX(Listas!H2:I30,MATCH('Soli_citud '!E2,Listas!H2:H30,0),2))</f>
        <v/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7</v>
      </c>
      <c r="D3" s="361"/>
      <c r="E3" s="362"/>
      <c r="F3" s="363"/>
      <c r="G3" s="363"/>
      <c r="H3" s="363"/>
      <c r="I3" s="363"/>
      <c r="J3" s="363"/>
      <c r="K3" s="364"/>
      <c r="L3" s="374" t="s">
        <v>8</v>
      </c>
      <c r="M3" s="375"/>
      <c r="N3" s="334"/>
      <c r="O3" s="313"/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9</v>
      </c>
      <c r="B4" s="344"/>
      <c r="C4" s="344"/>
      <c r="D4" s="338"/>
      <c r="E4" s="339"/>
      <c r="F4" s="339"/>
      <c r="G4" s="339"/>
      <c r="H4" s="339"/>
      <c r="I4" s="339"/>
      <c r="J4" s="339"/>
      <c r="K4" s="339"/>
      <c r="L4" s="340" t="s">
        <v>10</v>
      </c>
      <c r="M4" s="340"/>
      <c r="N4" s="340"/>
      <c r="O4" s="341"/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11</v>
      </c>
      <c r="B5" s="365"/>
      <c r="C5" s="365"/>
      <c r="D5" s="366">
        <f ca="1">IF(K5="","",(SUM(W10:Y28)-(SUMIF(U10:V28,"Restar_Pedido",W10:Y28)))/$K$5)</f>
        <v>0</v>
      </c>
      <c r="E5" s="367"/>
      <c r="F5" s="368"/>
      <c r="G5" s="351" t="s">
        <v>12</v>
      </c>
      <c r="H5" s="369"/>
      <c r="I5" s="369"/>
      <c r="J5" s="352"/>
      <c r="K5" s="325">
        <v>3</v>
      </c>
      <c r="L5" s="325"/>
      <c r="M5" s="326" t="s">
        <v>13</v>
      </c>
      <c r="N5" s="326"/>
      <c r="O5" s="379">
        <f ca="1">IFERROR(IF(K5=0,"",D5*K5),"")</f>
        <v>0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14</v>
      </c>
      <c r="B7" s="356"/>
      <c r="C7" s="356"/>
      <c r="D7" s="357" t="s">
        <v>15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16</v>
      </c>
      <c r="P7" s="358"/>
      <c r="Q7" s="359" t="s">
        <v>17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18</v>
      </c>
      <c r="T8" s="371"/>
      <c r="U8" s="371"/>
      <c r="V8" s="372">
        <f>IF(K5="","",1/K5)</f>
        <v>0.33333333333333331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19</v>
      </c>
      <c r="T9" s="370"/>
      <c r="U9" s="358" t="s">
        <v>20</v>
      </c>
      <c r="V9" s="358"/>
      <c r="W9" s="358" t="s">
        <v>21</v>
      </c>
      <c r="X9" s="358"/>
      <c r="Y9" s="358"/>
    </row>
    <row r="10" spans="1:28" ht="17.25" customHeight="1">
      <c r="A10" s="306"/>
      <c r="B10" s="306"/>
      <c r="C10" s="307"/>
      <c r="D10" s="319"/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/>
      </c>
      <c r="P10" s="312"/>
      <c r="Q10" s="313"/>
      <c r="R10" s="314"/>
      <c r="S10" s="315">
        <f>IFERROR(IF(Q10="Unidad","1",(Q10*$K$5)),"")</f>
        <v>0</v>
      </c>
      <c r="T10" s="316"/>
      <c r="U10" s="317"/>
      <c r="V10" s="323"/>
      <c r="W10" s="318" t="str">
        <f ca="1">IFERROR(IF(D10="","",INDEX(Tabla_Completa,MATCH('Soli_citud '!D10,Materiales,0),7)*S10),"")</f>
        <v/>
      </c>
      <c r="X10" s="318"/>
      <c r="Y10" s="318"/>
      <c r="Z10" s="34"/>
    </row>
    <row r="11" spans="1:28" ht="17.25" customHeight="1">
      <c r="A11" s="305"/>
      <c r="B11" s="306"/>
      <c r="C11" s="307"/>
      <c r="D11" s="319"/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/>
      </c>
      <c r="P11" s="312"/>
      <c r="Q11" s="313"/>
      <c r="R11" s="314"/>
      <c r="S11" s="315">
        <f t="shared" ref="S11:S31" si="1">IFERROR(IF(Q11="Unidad","1",(Q11*$K$5)),"")</f>
        <v>0</v>
      </c>
      <c r="T11" s="316"/>
      <c r="U11" s="317"/>
      <c r="V11" s="317"/>
      <c r="W11" s="318" t="str">
        <f ca="1">IFERROR(IF(D11="","",INDEX(Tabla_Completa,MATCH('Soli_citud '!D11,Materiales,0),7)*S11),"")</f>
        <v/>
      </c>
      <c r="X11" s="318"/>
      <c r="Y11" s="318"/>
    </row>
    <row r="12" spans="1:28" ht="15.75" customHeight="1">
      <c r="A12" s="305"/>
      <c r="B12" s="306"/>
      <c r="C12" s="307"/>
      <c r="D12" s="322"/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/>
      </c>
      <c r="P12" s="312"/>
      <c r="Q12" s="313"/>
      <c r="R12" s="314"/>
      <c r="S12" s="315">
        <f t="shared" si="1"/>
        <v>0</v>
      </c>
      <c r="T12" s="316"/>
      <c r="U12" s="317"/>
      <c r="V12" s="317"/>
      <c r="W12" s="318" t="str">
        <f ca="1">IFERROR(IF(D12="","",INDEX(Tabla_Completa,MATCH('Soli_citud '!D12,Materiales,0),7)*S12),"")</f>
        <v/>
      </c>
      <c r="X12" s="318"/>
      <c r="Y12" s="318"/>
    </row>
    <row r="13" spans="1:28" ht="15.75" customHeight="1">
      <c r="A13" s="305"/>
      <c r="B13" s="306"/>
      <c r="C13" s="307"/>
      <c r="D13" s="319"/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/>
      </c>
      <c r="P13" s="312"/>
      <c r="Q13" s="313"/>
      <c r="R13" s="314"/>
      <c r="S13" s="315">
        <f t="shared" si="1"/>
        <v>0</v>
      </c>
      <c r="T13" s="316"/>
      <c r="U13" s="317"/>
      <c r="V13" s="317"/>
      <c r="W13" s="318" t="str">
        <f ca="1">IFERROR(IF(D13="","",INDEX(Tabla_Completa,MATCH('Soli_citud '!D13,Materiales,0),7)*S13),"")</f>
        <v/>
      </c>
      <c r="X13" s="318"/>
      <c r="Y13" s="318"/>
    </row>
    <row r="14" spans="1:28" ht="17.25" customHeight="1">
      <c r="A14" s="305"/>
      <c r="B14" s="306"/>
      <c r="C14" s="307"/>
      <c r="D14" s="319"/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/>
      </c>
      <c r="P14" s="312"/>
      <c r="Q14" s="313"/>
      <c r="R14" s="314"/>
      <c r="S14" s="315">
        <f t="shared" si="1"/>
        <v>0</v>
      </c>
      <c r="T14" s="316"/>
      <c r="U14" s="317"/>
      <c r="V14" s="317"/>
      <c r="W14" s="318" t="str">
        <f ca="1">IFERROR(IF(D14="","",INDEX(Tabla_Completa,MATCH('Soli_citud '!D14,Materiales,0),7)*S14),"")</f>
        <v/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22</v>
      </c>
      <c r="B39" s="399"/>
      <c r="C39" s="399"/>
      <c r="D39" s="400" t="s">
        <v>23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24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25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26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27</v>
      </c>
      <c r="O44" s="389"/>
      <c r="P44" s="389"/>
      <c r="Q44" s="389"/>
      <c r="R44" s="395" t="s">
        <v>28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29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30</v>
      </c>
      <c r="O45" s="389"/>
      <c r="P45" s="389"/>
      <c r="Q45" s="389"/>
      <c r="R45" s="396" t="s">
        <v>31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32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33</v>
      </c>
      <c r="O46" s="389"/>
      <c r="P46" s="389"/>
      <c r="Q46" s="389"/>
      <c r="R46" s="388" t="s">
        <v>34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35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36</v>
      </c>
      <c r="O47" s="389"/>
      <c r="P47" s="389"/>
      <c r="Q47" s="389"/>
      <c r="R47" s="388" t="s">
        <v>37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38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39</v>
      </c>
      <c r="O48" s="389"/>
      <c r="P48" s="389"/>
      <c r="Q48" s="389"/>
      <c r="R48" s="388" t="s">
        <v>40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41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42</v>
      </c>
      <c r="O49" s="390"/>
      <c r="P49" s="390"/>
      <c r="Q49" s="390"/>
      <c r="R49" s="396" t="s">
        <v>43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44</v>
      </c>
      <c r="O50" s="389"/>
      <c r="P50" s="389"/>
      <c r="Q50" s="389"/>
      <c r="R50" s="388" t="s">
        <v>45</v>
      </c>
      <c r="S50" s="388"/>
      <c r="T50" s="388"/>
      <c r="U50" s="388"/>
      <c r="V50" s="388"/>
      <c r="W50" s="388"/>
      <c r="X50" s="388"/>
    </row>
    <row r="51" spans="1:24" ht="15.75">
      <c r="N51" s="389" t="s">
        <v>46</v>
      </c>
      <c r="O51" s="389"/>
      <c r="P51" s="389"/>
      <c r="Q51" s="389"/>
      <c r="R51" s="388" t="s">
        <v>47</v>
      </c>
      <c r="S51" s="388"/>
      <c r="T51" s="388"/>
      <c r="U51" s="388"/>
      <c r="V51" s="388"/>
      <c r="W51" s="388"/>
      <c r="X51" s="388"/>
    </row>
    <row r="52" spans="1:24" ht="15.75">
      <c r="N52" s="389" t="s">
        <v>48</v>
      </c>
      <c r="O52" s="389"/>
      <c r="P52" s="389"/>
      <c r="Q52" s="389"/>
      <c r="R52" s="388" t="s">
        <v>37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13" sqref="N1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49</v>
      </c>
      <c r="E1" s="472"/>
      <c r="F1" s="472"/>
      <c r="G1" s="472"/>
      <c r="H1" s="472"/>
      <c r="I1" s="472"/>
      <c r="J1" s="477" t="s">
        <v>50</v>
      </c>
      <c r="K1" s="478"/>
      <c r="L1" s="478"/>
      <c r="M1" s="479"/>
      <c r="N1" s="473" t="str">
        <f>IF('Soli_citud '!O1="","",'Soli_citud '!O1)</f>
        <v/>
      </c>
      <c r="O1" s="474"/>
      <c r="P1" s="407" t="s">
        <v>51</v>
      </c>
      <c r="Q1" s="408"/>
      <c r="R1" s="403" t="str">
        <f>IF('Soli_citud '!D4="","",'Soli_citud '!D4)</f>
        <v/>
      </c>
      <c r="S1" s="404"/>
      <c r="Z1" t="s">
        <v>52</v>
      </c>
      <c r="AA1" s="253" t="s">
        <v>52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53</v>
      </c>
      <c r="K2" s="455"/>
      <c r="L2" s="455"/>
      <c r="M2" s="456"/>
      <c r="N2" s="475" t="str">
        <f>'Soli_citud '!F1</f>
        <v/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54</v>
      </c>
      <c r="K3" s="476"/>
      <c r="L3" s="476"/>
      <c r="M3" s="476"/>
      <c r="N3" s="463" t="str">
        <f>IF('Soli_citud '!O3="","",'Soli_citud '!O3)</f>
        <v/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55</v>
      </c>
      <c r="K4" s="468"/>
      <c r="L4" s="468"/>
      <c r="M4" s="469" t="str">
        <f>IF('Soli_citud '!O4="","",'Soli_citud '!O4)</f>
        <v/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56</v>
      </c>
      <c r="C6" s="449"/>
      <c r="D6" s="450"/>
      <c r="E6" s="465" t="s">
        <v>57</v>
      </c>
      <c r="F6" s="465"/>
      <c r="G6" s="465"/>
      <c r="H6" s="465"/>
      <c r="I6" s="466"/>
      <c r="J6" s="439" t="s">
        <v>58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 t="str">
        <f ca="1">IF('Soli_citud '!D5&lt;= 0,"",'Soli_citud '!D5)</f>
        <v/>
      </c>
      <c r="C8" s="427"/>
      <c r="D8" s="428"/>
      <c r="E8" s="445" t="s">
        <v>59</v>
      </c>
      <c r="F8" s="446"/>
      <c r="G8" s="446"/>
      <c r="H8" s="446"/>
      <c r="I8" s="447"/>
      <c r="J8" s="441" t="str">
        <f>IF('Soli_citud '!E2="","",'Soli_citud '!E2)</f>
        <v/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60</v>
      </c>
      <c r="C9" s="430"/>
      <c r="D9" s="422"/>
      <c r="E9" s="421" t="s">
        <v>61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62</v>
      </c>
      <c r="K10" s="461"/>
      <c r="L10" s="462"/>
      <c r="M10" s="243">
        <f>'Soli_citud '!K5</f>
        <v>3</v>
      </c>
      <c r="N10" s="443" t="s">
        <v>63</v>
      </c>
      <c r="O10" s="444"/>
      <c r="P10" s="411"/>
      <c r="Q10" s="412"/>
      <c r="R10" s="244" t="s">
        <v>64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5" t="s">
        <v>66</v>
      </c>
      <c r="C11" s="423" t="s">
        <v>67</v>
      </c>
      <c r="D11" s="424"/>
      <c r="E11" s="424"/>
      <c r="F11" s="425"/>
      <c r="G11" s="112" t="s">
        <v>68</v>
      </c>
      <c r="H11" s="112" t="s">
        <v>69</v>
      </c>
      <c r="I11" s="238" t="s">
        <v>70</v>
      </c>
      <c r="J11" s="110" t="s">
        <v>71</v>
      </c>
      <c r="K11" s="224" t="s">
        <v>72</v>
      </c>
      <c r="L11" s="459" t="s">
        <v>20</v>
      </c>
      <c r="M11" s="460"/>
      <c r="N11" s="241" t="s">
        <v>73</v>
      </c>
      <c r="O11" s="241" t="s">
        <v>74</v>
      </c>
      <c r="P11" s="245" t="s">
        <v>75</v>
      </c>
      <c r="Q11" s="246" t="s">
        <v>76</v>
      </c>
      <c r="R11" s="237" t="s">
        <v>77</v>
      </c>
      <c r="S11" s="225" t="s">
        <v>78</v>
      </c>
    </row>
    <row r="12" spans="1:27" ht="19.5" customHeight="1">
      <c r="A12" s="78">
        <v>1</v>
      </c>
      <c r="B12" s="266" t="str">
        <f>IF(H12="","",$N$2)</f>
        <v/>
      </c>
      <c r="C12" s="420" t="str">
        <f>IFERROR(IF('Soli_citud '!D10="","",'Soli_citud '!D10),"")</f>
        <v/>
      </c>
      <c r="D12" s="420"/>
      <c r="E12" s="420"/>
      <c r="F12" s="420"/>
      <c r="G12" s="227" t="str">
        <f ca="1"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420" t="str">
        <f>IFERROR(IF('Soli_citud '!D11="","",'Soli_citud '!D11),"")</f>
        <v/>
      </c>
      <c r="D13" s="420"/>
      <c r="E13" s="420"/>
      <c r="F13" s="420"/>
      <c r="G13" s="227" t="str">
        <f ca="1"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20" t="str">
        <f>IFERROR(IF('Soli_citud '!D12="","",'Soli_citud '!D12),"")</f>
        <v/>
      </c>
      <c r="D14" s="420"/>
      <c r="E14" s="420"/>
      <c r="F14" s="420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20" t="str">
        <f>IFERROR(IF('Soli_citud '!D13="","",'Soli_citud '!D13),"")</f>
        <v/>
      </c>
      <c r="D15" s="420"/>
      <c r="E15" s="420"/>
      <c r="F15" s="420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20" t="str">
        <f>IFERROR(IF('Soli_citud '!D14="","",'Soli_citud '!D14),"")</f>
        <v/>
      </c>
      <c r="D16" s="420"/>
      <c r="E16" s="420"/>
      <c r="F16" s="420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31"/>
      <c r="J16" s="230"/>
      <c r="K16" s="207" t="str" cm="1">
        <f t="array" ref="K16">IFERROR(_xlfn.IFS(H16="","",J16=H16,"Cumplido",J16&lt;H16,H16-J16,J16&gt;H16,"Revisar"),"")</f>
        <v/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79</v>
      </c>
      <c r="F1" s="486"/>
      <c r="Z1" s="253" t="s">
        <v>52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80</v>
      </c>
      <c r="B6" s="214">
        <f>SUBTOTAL(3,(BD!$B$8:$B$19))</f>
        <v>12</v>
      </c>
      <c r="C6" s="482"/>
      <c r="D6" s="483"/>
      <c r="H6" s="480" t="s">
        <v>81</v>
      </c>
      <c r="I6" s="480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107</v>
      </c>
      <c r="C34" s="220" t="s">
        <v>108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20" t="s">
        <v>108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20" t="s">
        <v>108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20" t="s">
        <v>108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20" t="s">
        <v>108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20" t="s">
        <v>108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20" t="s">
        <v>108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20" t="s">
        <v>108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20" t="s">
        <v>108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20" t="s">
        <v>108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20" t="s">
        <v>108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20" t="s">
        <v>108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20" t="s">
        <v>108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20" t="s">
        <v>108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20" t="s">
        <v>108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20" t="s">
        <v>108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20" t="s">
        <v>108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20" t="s">
        <v>108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20" t="s">
        <v>108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20" t="s">
        <v>108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20" t="s">
        <v>108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20" t="s">
        <v>108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20" t="s">
        <v>108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20" t="s">
        <v>108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20" t="s">
        <v>108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20" t="s">
        <v>108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20" t="s">
        <v>108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20" t="s">
        <v>108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20" t="s">
        <v>108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20" t="s">
        <v>108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20" t="s">
        <v>108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20" t="s">
        <v>108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20" t="s">
        <v>108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20" t="s">
        <v>108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20" t="s">
        <v>108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20" t="s">
        <v>108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20" t="s">
        <v>108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20" t="s">
        <v>108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20" t="s">
        <v>108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20" t="s">
        <v>108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20" t="s">
        <v>108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20" t="s">
        <v>108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20" t="s">
        <v>108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20" t="s">
        <v>108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20" t="s">
        <v>108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20" t="s">
        <v>108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20" t="s">
        <v>108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20" t="s">
        <v>108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20" t="s">
        <v>108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20" t="s">
        <v>108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20" t="s">
        <v>108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20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20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20" t="s">
        <v>108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20" t="s">
        <v>108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20" t="s">
        <v>108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20" t="s">
        <v>108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20" t="s">
        <v>108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20" t="s">
        <v>108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20" t="s">
        <v>108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20" t="s">
        <v>108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20" t="s">
        <v>108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20" t="s">
        <v>108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20" t="s">
        <v>108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20" t="s">
        <v>108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20" t="s">
        <v>108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20" t="s">
        <v>108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20" t="s">
        <v>108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20" t="s">
        <v>108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20" t="s">
        <v>108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20" t="s">
        <v>108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20" t="s">
        <v>108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20" t="s">
        <v>108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20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20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20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20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20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20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20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20" t="s">
        <v>108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20" t="s">
        <v>108</v>
      </c>
      <c r="D115" s="48" t="s">
        <v>192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20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20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20" t="s">
        <v>108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20" t="s">
        <v>108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20" t="s">
        <v>108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20" t="s">
        <v>108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20" t="s">
        <v>108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20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20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20" t="s">
        <v>108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20" t="s">
        <v>108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20" t="s">
        <v>108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20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20" t="s">
        <v>108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20" t="s">
        <v>108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20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20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20" t="s">
        <v>108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20" t="s">
        <v>108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20" t="s">
        <v>108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20" t="s">
        <v>108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20" t="s">
        <v>108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20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20" t="s">
        <v>108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20" t="s">
        <v>108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20" t="s">
        <v>108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222</v>
      </c>
      <c r="C162" s="220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20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20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20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20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20" t="s">
        <v>223</v>
      </c>
      <c r="D167" s="48" t="s">
        <v>160</v>
      </c>
      <c r="E167" s="43"/>
      <c r="F167" s="48" t="s">
        <v>160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20" t="s">
        <v>223</v>
      </c>
      <c r="D168" s="48" t="s">
        <v>160</v>
      </c>
      <c r="E168" s="43"/>
      <c r="F168" s="48" t="s">
        <v>160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20" t="s">
        <v>223</v>
      </c>
      <c r="D169" s="48" t="s">
        <v>160</v>
      </c>
      <c r="E169" s="43"/>
      <c r="F169" s="48" t="s">
        <v>160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20" t="s">
        <v>223</v>
      </c>
      <c r="D170" s="48" t="s">
        <v>160</v>
      </c>
      <c r="E170" s="43"/>
      <c r="F170" s="48" t="s">
        <v>160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20" t="s">
        <v>223</v>
      </c>
      <c r="D171" s="48" t="s">
        <v>160</v>
      </c>
      <c r="E171" s="43"/>
      <c r="F171" s="48" t="s">
        <v>160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20" t="s">
        <v>223</v>
      </c>
      <c r="D172" s="48" t="s">
        <v>160</v>
      </c>
      <c r="E172" s="43"/>
      <c r="F172" s="48" t="s">
        <v>160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20" t="s">
        <v>223</v>
      </c>
      <c r="D173" s="48" t="s">
        <v>160</v>
      </c>
      <c r="E173" s="43"/>
      <c r="F173" s="48" t="s">
        <v>160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20" t="s">
        <v>223</v>
      </c>
      <c r="D174" s="48" t="s">
        <v>160</v>
      </c>
      <c r="E174" s="43"/>
      <c r="F174" s="48" t="s">
        <v>160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20" t="s">
        <v>223</v>
      </c>
      <c r="D175" s="48" t="s">
        <v>160</v>
      </c>
      <c r="E175" s="43"/>
      <c r="F175" s="48" t="s">
        <v>160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20" t="s">
        <v>223</v>
      </c>
      <c r="D176" s="48" t="s">
        <v>160</v>
      </c>
      <c r="E176" s="43"/>
      <c r="F176" s="48" t="s">
        <v>160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20" t="s">
        <v>223</v>
      </c>
      <c r="D177" s="48" t="s">
        <v>160</v>
      </c>
      <c r="E177" s="43"/>
      <c r="F177" s="48" t="s">
        <v>160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20" t="s">
        <v>223</v>
      </c>
      <c r="D178" s="48" t="s">
        <v>160</v>
      </c>
      <c r="E178" s="43"/>
      <c r="F178" s="48" t="s">
        <v>160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20" t="s">
        <v>223</v>
      </c>
      <c r="D179" s="48" t="s">
        <v>160</v>
      </c>
      <c r="E179" s="43"/>
      <c r="F179" s="48" t="s">
        <v>160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20" t="s">
        <v>223</v>
      </c>
      <c r="D180" s="48" t="s">
        <v>160</v>
      </c>
      <c r="E180" s="43"/>
      <c r="F180" s="48" t="s">
        <v>160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20" t="s">
        <v>223</v>
      </c>
      <c r="D181" s="48" t="s">
        <v>160</v>
      </c>
      <c r="E181" s="43"/>
      <c r="F181" s="48" t="s">
        <v>160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20" t="s">
        <v>223</v>
      </c>
      <c r="D182" s="48" t="s">
        <v>160</v>
      </c>
      <c r="E182" s="62"/>
      <c r="F182" s="48" t="s">
        <v>160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20" t="s">
        <v>223</v>
      </c>
      <c r="D183" s="48" t="s">
        <v>160</v>
      </c>
      <c r="E183" s="62"/>
      <c r="F183" s="48" t="s">
        <v>160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20" t="s">
        <v>223</v>
      </c>
      <c r="D184" s="48" t="s">
        <v>160</v>
      </c>
      <c r="E184" s="62"/>
      <c r="F184" s="48" t="s">
        <v>160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20" t="s">
        <v>223</v>
      </c>
      <c r="D185" s="48" t="s">
        <v>160</v>
      </c>
      <c r="E185" s="62"/>
      <c r="F185" s="48" t="s">
        <v>160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20" t="s">
        <v>223</v>
      </c>
      <c r="D186" s="48" t="s">
        <v>160</v>
      </c>
      <c r="E186" s="62"/>
      <c r="F186" s="48" t="s">
        <v>160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20" t="s">
        <v>223</v>
      </c>
      <c r="D187" s="48" t="s">
        <v>160</v>
      </c>
      <c r="E187" s="62"/>
      <c r="F187" s="48" t="s">
        <v>160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20" t="s">
        <v>223</v>
      </c>
      <c r="D188" s="48" t="s">
        <v>160</v>
      </c>
      <c r="E188" s="62"/>
      <c r="F188" s="48" t="s">
        <v>160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20" t="s">
        <v>223</v>
      </c>
      <c r="D189" s="48" t="s">
        <v>160</v>
      </c>
      <c r="E189" s="62"/>
      <c r="F189" s="48" t="s">
        <v>160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20" t="s">
        <v>223</v>
      </c>
      <c r="D190" s="48" t="s">
        <v>160</v>
      </c>
      <c r="E190" s="62"/>
      <c r="F190" s="48" t="s">
        <v>160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20" t="s">
        <v>223</v>
      </c>
      <c r="D191" s="58" t="s">
        <v>160</v>
      </c>
      <c r="E191" s="62"/>
      <c r="F191" s="58" t="s">
        <v>160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20" t="s">
        <v>223</v>
      </c>
      <c r="D192" s="58" t="s">
        <v>160</v>
      </c>
      <c r="E192" s="62"/>
      <c r="F192" s="58" t="s">
        <v>160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20" t="s">
        <v>223</v>
      </c>
      <c r="D193" s="58" t="s">
        <v>160</v>
      </c>
      <c r="E193" s="62"/>
      <c r="F193" s="58" t="s">
        <v>160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20" t="s">
        <v>223</v>
      </c>
      <c r="D194" s="58" t="s">
        <v>160</v>
      </c>
      <c r="E194" s="62"/>
      <c r="F194" s="58" t="s">
        <v>160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20" t="s">
        <v>223</v>
      </c>
      <c r="D195" s="58" t="s">
        <v>160</v>
      </c>
      <c r="E195" s="62"/>
      <c r="F195" s="58" t="s">
        <v>160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20" t="s">
        <v>223</v>
      </c>
      <c r="D196" s="58" t="s">
        <v>160</v>
      </c>
      <c r="E196" s="62"/>
      <c r="F196" s="58" t="s">
        <v>160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20" t="s">
        <v>223</v>
      </c>
      <c r="D197" s="58" t="s">
        <v>160</v>
      </c>
      <c r="E197" s="62"/>
      <c r="F197" s="58" t="s">
        <v>160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20" t="s">
        <v>223</v>
      </c>
      <c r="D198" s="48" t="s">
        <v>160</v>
      </c>
      <c r="E198" s="43"/>
      <c r="F198" s="48" t="s">
        <v>160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20" t="s">
        <v>223</v>
      </c>
      <c r="D199" s="48" t="s">
        <v>160</v>
      </c>
      <c r="E199" s="43"/>
      <c r="F199" s="48" t="s">
        <v>160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20" t="s">
        <v>223</v>
      </c>
      <c r="D200" s="48" t="s">
        <v>160</v>
      </c>
      <c r="E200" s="43"/>
      <c r="F200" s="48" t="s">
        <v>160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20" t="s">
        <v>223</v>
      </c>
      <c r="D201" s="151" t="s">
        <v>160</v>
      </c>
      <c r="E201" s="152"/>
      <c r="F201" s="48" t="s">
        <v>160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20" t="s">
        <v>223</v>
      </c>
      <c r="D202" s="48" t="s">
        <v>160</v>
      </c>
      <c r="E202" s="43"/>
      <c r="F202" s="48" t="s">
        <v>160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20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20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20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20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20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20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20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20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20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20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20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20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20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20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20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20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20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20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20" t="s">
        <v>223</v>
      </c>
      <c r="D221" s="48" t="s">
        <v>160</v>
      </c>
      <c r="E221" s="43">
        <v>475.34</v>
      </c>
      <c r="F221" s="301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20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20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20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20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20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20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20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20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296</v>
      </c>
      <c r="C230" s="220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20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20" t="s">
        <v>223</v>
      </c>
      <c r="D232" s="49" t="s">
        <v>225</v>
      </c>
      <c r="E232" s="166">
        <v>16471.25</v>
      </c>
      <c r="F232" s="302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20" t="s">
        <v>223</v>
      </c>
      <c r="D233" s="49" t="s">
        <v>225</v>
      </c>
      <c r="E233" s="166">
        <v>32931.5</v>
      </c>
      <c r="F233" s="302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20" t="s">
        <v>223</v>
      </c>
      <c r="D234" s="49" t="s">
        <v>225</v>
      </c>
      <c r="E234" s="166">
        <v>16209.5</v>
      </c>
      <c r="F234" s="302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20" t="s">
        <v>223</v>
      </c>
      <c r="D235" s="49" t="s">
        <v>225</v>
      </c>
      <c r="E235" s="166">
        <v>32417</v>
      </c>
      <c r="F235" s="302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20" t="s">
        <v>223</v>
      </c>
      <c r="D236" s="49" t="s">
        <v>225</v>
      </c>
      <c r="E236" s="166">
        <v>50250</v>
      </c>
      <c r="F236" s="302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20" t="s">
        <v>223</v>
      </c>
      <c r="D237" s="49" t="s">
        <v>225</v>
      </c>
      <c r="E237" s="166">
        <v>25131.5</v>
      </c>
      <c r="F237" s="302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20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20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20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20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20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20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20" t="s">
        <v>223</v>
      </c>
      <c r="D244" s="48" t="s">
        <v>228</v>
      </c>
      <c r="E244" s="43">
        <v>26000</v>
      </c>
      <c r="F244" s="193" t="s">
        <v>231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20" t="s">
        <v>223</v>
      </c>
      <c r="D245" s="48" t="s">
        <v>228</v>
      </c>
      <c r="E245" s="43">
        <v>13000</v>
      </c>
      <c r="F245" s="193" t="s">
        <v>231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7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7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7" t="s">
        <v>223</v>
      </c>
      <c r="D248" s="48" t="s">
        <v>98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7" t="s">
        <v>223</v>
      </c>
      <c r="D249" s="48" t="s">
        <v>98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7" t="s">
        <v>223</v>
      </c>
      <c r="D250" s="278" t="s">
        <v>98</v>
      </c>
      <c r="E250" s="141">
        <v>7266.665</v>
      </c>
      <c r="F250" s="279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7" t="s">
        <v>223</v>
      </c>
      <c r="D251" s="278" t="s">
        <v>227</v>
      </c>
      <c r="E251" s="141">
        <v>5000</v>
      </c>
      <c r="F251" s="279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7" t="s">
        <v>223</v>
      </c>
      <c r="D252" s="278" t="s">
        <v>228</v>
      </c>
      <c r="E252" s="304">
        <v>7183</v>
      </c>
      <c r="F252" s="279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7" t="s">
        <v>223</v>
      </c>
      <c r="D253" s="278" t="s">
        <v>228</v>
      </c>
      <c r="E253" s="304">
        <v>10597</v>
      </c>
      <c r="F253" s="279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7" t="s">
        <v>223</v>
      </c>
      <c r="D254" s="278" t="s">
        <v>98</v>
      </c>
      <c r="E254" s="141">
        <v>2866.6666666666665</v>
      </c>
      <c r="F254" s="279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7" t="s">
        <v>223</v>
      </c>
      <c r="D255" s="278" t="s">
        <v>98</v>
      </c>
      <c r="E255" s="141">
        <v>2866.6666666666665</v>
      </c>
      <c r="F255" s="279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7" t="s">
        <v>223</v>
      </c>
      <c r="D256" s="278" t="s">
        <v>231</v>
      </c>
      <c r="E256" s="141"/>
      <c r="F256" s="279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7" t="s">
        <v>223</v>
      </c>
      <c r="D257" s="278" t="s">
        <v>225</v>
      </c>
      <c r="E257" s="141">
        <v>8000</v>
      </c>
      <c r="F257" s="279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7" t="s">
        <v>223</v>
      </c>
      <c r="D258" s="278" t="s">
        <v>225</v>
      </c>
      <c r="E258" s="141">
        <v>10000</v>
      </c>
      <c r="F258" s="279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7" t="s">
        <v>223</v>
      </c>
      <c r="D259" s="278" t="s">
        <v>225</v>
      </c>
      <c r="E259" s="141">
        <v>10000</v>
      </c>
      <c r="F259" s="279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7" t="s">
        <v>223</v>
      </c>
      <c r="D260" s="278" t="s">
        <v>231</v>
      </c>
      <c r="E260" s="141"/>
      <c r="F260" s="279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7" t="s">
        <v>223</v>
      </c>
      <c r="D261" s="278" t="s">
        <v>192</v>
      </c>
      <c r="E261" s="141">
        <v>636792</v>
      </c>
      <c r="F261" s="279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7" t="s">
        <v>223</v>
      </c>
      <c r="D262" s="278" t="s">
        <v>294</v>
      </c>
      <c r="E262" s="141">
        <v>28.18</v>
      </c>
      <c r="F262" s="279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7" t="s">
        <v>223</v>
      </c>
      <c r="D263" s="278" t="s">
        <v>294</v>
      </c>
      <c r="E263" s="141">
        <v>2700</v>
      </c>
      <c r="F263" s="279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7" t="s">
        <v>223</v>
      </c>
      <c r="D264" s="278" t="s">
        <v>294</v>
      </c>
      <c r="E264" s="141">
        <v>18.53</v>
      </c>
      <c r="F264" s="279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7" t="s">
        <v>223</v>
      </c>
      <c r="D265" s="278" t="s">
        <v>228</v>
      </c>
      <c r="E265" s="141">
        <v>1800</v>
      </c>
      <c r="F265" s="279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7" t="s">
        <v>223</v>
      </c>
      <c r="D266" s="278" t="s">
        <v>228</v>
      </c>
      <c r="E266" s="141">
        <v>1057</v>
      </c>
      <c r="F266" s="279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7" t="s">
        <v>223</v>
      </c>
      <c r="D267" s="278" t="s">
        <v>294</v>
      </c>
      <c r="E267" s="141">
        <v>18.53</v>
      </c>
      <c r="F267" s="279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7" t="s">
        <v>223</v>
      </c>
      <c r="D268" s="278" t="s">
        <v>294</v>
      </c>
      <c r="E268" s="141">
        <v>22.8</v>
      </c>
      <c r="F268" s="279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7" t="s">
        <v>223</v>
      </c>
      <c r="D269" s="278" t="s">
        <v>294</v>
      </c>
      <c r="E269" s="141">
        <v>22.8</v>
      </c>
      <c r="F269" s="279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7" t="s">
        <v>223</v>
      </c>
      <c r="D270" s="278" t="s">
        <v>294</v>
      </c>
      <c r="E270" s="141">
        <v>14.73</v>
      </c>
      <c r="F270" s="279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7" t="s">
        <v>223</v>
      </c>
      <c r="D271" s="278" t="s">
        <v>294</v>
      </c>
      <c r="E271" s="141">
        <v>14.73</v>
      </c>
      <c r="F271" s="279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7" t="s">
        <v>223</v>
      </c>
      <c r="D272" s="278" t="s">
        <v>228</v>
      </c>
      <c r="E272" s="141">
        <v>819.99999999999989</v>
      </c>
      <c r="F272" s="279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7" t="s">
        <v>223</v>
      </c>
      <c r="D273" s="278" t="s">
        <v>228</v>
      </c>
      <c r="E273" s="141">
        <v>1170</v>
      </c>
      <c r="F273" s="279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7" t="s">
        <v>223</v>
      </c>
      <c r="D274" s="278" t="s">
        <v>228</v>
      </c>
      <c r="E274" s="141">
        <v>8000</v>
      </c>
      <c r="F274" s="279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7" t="s">
        <v>223</v>
      </c>
      <c r="D275" s="278" t="s">
        <v>228</v>
      </c>
      <c r="E275" s="141">
        <v>11000</v>
      </c>
      <c r="F275" s="279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7" t="s">
        <v>223</v>
      </c>
      <c r="D276" s="278" t="s">
        <v>228</v>
      </c>
      <c r="E276" s="141">
        <v>10858</v>
      </c>
      <c r="F276" s="279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7" t="s">
        <v>223</v>
      </c>
      <c r="D277" s="278" t="s">
        <v>228</v>
      </c>
      <c r="E277" s="141">
        <v>13999.16</v>
      </c>
      <c r="F277" s="279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7" t="s">
        <v>223</v>
      </c>
      <c r="D278" s="278" t="s">
        <v>225</v>
      </c>
      <c r="E278" s="141"/>
      <c r="F278" s="279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7" t="s">
        <v>223</v>
      </c>
      <c r="D279" s="278" t="s">
        <v>231</v>
      </c>
      <c r="E279" s="141"/>
      <c r="F279" s="279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7" t="s">
        <v>223</v>
      </c>
      <c r="D280" s="278" t="s">
        <v>231</v>
      </c>
      <c r="E280" s="141"/>
      <c r="F280" s="279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7" t="s">
        <v>223</v>
      </c>
      <c r="D281" s="278" t="s">
        <v>349</v>
      </c>
      <c r="E281" s="141"/>
      <c r="F281" s="278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7" t="s">
        <v>223</v>
      </c>
      <c r="D282" s="278" t="s">
        <v>202</v>
      </c>
      <c r="E282" s="141">
        <v>4776.666666666667</v>
      </c>
      <c r="F282" s="279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7" t="s">
        <v>223</v>
      </c>
      <c r="D283" s="278" t="s">
        <v>228</v>
      </c>
      <c r="E283" s="141">
        <v>1035.3</v>
      </c>
      <c r="F283" s="279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7" t="s">
        <v>223</v>
      </c>
      <c r="D284" s="278" t="s">
        <v>227</v>
      </c>
      <c r="E284" s="141">
        <v>700</v>
      </c>
      <c r="F284" s="279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7" t="s">
        <v>223</v>
      </c>
      <c r="D285" s="278" t="s">
        <v>227</v>
      </c>
      <c r="E285" s="141">
        <v>1100</v>
      </c>
      <c r="F285" s="279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7" t="s">
        <v>223</v>
      </c>
      <c r="D286" s="278" t="s">
        <v>294</v>
      </c>
      <c r="E286" s="141">
        <v>1000</v>
      </c>
      <c r="F286" s="279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7" t="s">
        <v>223</v>
      </c>
      <c r="D287" s="278" t="s">
        <v>228</v>
      </c>
      <c r="E287" s="141">
        <v>700</v>
      </c>
      <c r="F287" s="279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7" t="s">
        <v>223</v>
      </c>
      <c r="D288" s="48" t="s">
        <v>228</v>
      </c>
      <c r="E288" s="166">
        <v>84</v>
      </c>
      <c r="F288" s="279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7" t="s">
        <v>223</v>
      </c>
      <c r="D289" s="278" t="s">
        <v>228</v>
      </c>
      <c r="E289" s="166">
        <v>10780</v>
      </c>
      <c r="F289" s="279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358</v>
      </c>
      <c r="C516" s="220" t="s">
        <v>33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20" t="s">
        <v>33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20" t="s">
        <v>33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20" t="s">
        <v>33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20" t="s">
        <v>33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20" t="s">
        <v>33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20" t="s">
        <v>33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20" t="s">
        <v>33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20" t="s">
        <v>33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20" t="s">
        <v>33</v>
      </c>
      <c r="D525" s="216" t="s">
        <v>359</v>
      </c>
      <c r="E525" s="218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20" t="s">
        <v>33</v>
      </c>
      <c r="D526" s="48" t="s">
        <v>359</v>
      </c>
      <c r="E526" s="217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20" t="s">
        <v>33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20" t="s">
        <v>33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20" t="s">
        <v>33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20" t="s">
        <v>33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20" t="s">
        <v>33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20" t="s">
        <v>33</v>
      </c>
      <c r="D532" s="215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20" t="s">
        <v>33</v>
      </c>
      <c r="D533" s="215" t="s">
        <v>359</v>
      </c>
      <c r="E533" s="219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20" t="s">
        <v>33</v>
      </c>
      <c r="D534" s="215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20" t="s">
        <v>33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20" t="s">
        <v>33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20" t="s">
        <v>33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20" t="s">
        <v>33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80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3" t="s">
        <v>382</v>
      </c>
      <c r="C562" s="220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383</v>
      </c>
      <c r="C563" s="220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384</v>
      </c>
      <c r="C564" s="220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385</v>
      </c>
      <c r="C565" s="220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386</v>
      </c>
      <c r="C566" s="220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387</v>
      </c>
      <c r="C567" s="220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388</v>
      </c>
      <c r="C568" s="220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389</v>
      </c>
      <c r="C569" s="220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20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20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20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20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20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20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20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20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20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20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20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20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20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20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20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20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20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20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20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20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20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20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20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20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20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20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20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20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20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20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20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20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20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20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20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20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20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20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20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20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20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20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20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20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20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20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20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20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20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20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20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20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20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20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20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20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20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20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20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20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20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20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20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453</v>
      </c>
      <c r="C633" s="220" t="s">
        <v>36</v>
      </c>
      <c r="D633" s="48" t="s">
        <v>98</v>
      </c>
      <c r="E633" s="55">
        <v>1000</v>
      </c>
      <c r="F633" s="194" t="s">
        <v>98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20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20" t="s">
        <v>36</v>
      </c>
      <c r="D635" s="48" t="s">
        <v>98</v>
      </c>
      <c r="E635" s="55">
        <v>6957.9299999999994</v>
      </c>
      <c r="F635" s="194" t="s">
        <v>98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20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20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20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20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20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20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20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20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20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20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20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467</v>
      </c>
      <c r="C647" s="220" t="s">
        <v>36</v>
      </c>
      <c r="D647" s="48" t="s">
        <v>98</v>
      </c>
      <c r="E647" s="43">
        <v>3700</v>
      </c>
      <c r="F647" s="188" t="s">
        <v>98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20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469</v>
      </c>
      <c r="C649" s="220" t="s">
        <v>36</v>
      </c>
      <c r="D649" s="48" t="s">
        <v>98</v>
      </c>
      <c r="E649" s="55">
        <v>1200</v>
      </c>
      <c r="F649" s="194" t="s">
        <v>98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20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20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20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20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20" t="s">
        <v>36</v>
      </c>
      <c r="D654" s="48" t="s">
        <v>98</v>
      </c>
      <c r="E654" s="55">
        <v>873.94</v>
      </c>
      <c r="F654" s="194" t="s">
        <v>98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20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20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20" t="s">
        <v>36</v>
      </c>
      <c r="D657" s="48" t="s">
        <v>98</v>
      </c>
      <c r="E657" s="55">
        <v>1173.3399999999999</v>
      </c>
      <c r="F657" s="194" t="s">
        <v>98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20" t="s">
        <v>36</v>
      </c>
      <c r="D658" s="48" t="s">
        <v>98</v>
      </c>
      <c r="E658" s="55">
        <v>998.41</v>
      </c>
      <c r="F658" s="194" t="s">
        <v>98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20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20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20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20" t="s">
        <v>36</v>
      </c>
      <c r="D662" s="48" t="s">
        <v>98</v>
      </c>
      <c r="E662" s="55">
        <v>1173.3399999999999</v>
      </c>
      <c r="F662" s="194" t="s">
        <v>98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20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20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20" t="s">
        <v>36</v>
      </c>
      <c r="D665" s="48" t="s">
        <v>98</v>
      </c>
      <c r="E665" s="55">
        <v>1173.3399999999999</v>
      </c>
      <c r="F665" s="194" t="s">
        <v>98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20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20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20" t="s">
        <v>36</v>
      </c>
      <c r="D668" s="48" t="s">
        <v>98</v>
      </c>
      <c r="E668" s="55">
        <v>1018.64</v>
      </c>
      <c r="F668" s="194" t="s">
        <v>98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20" t="s">
        <v>36</v>
      </c>
      <c r="D669" s="48" t="s">
        <v>98</v>
      </c>
      <c r="E669" s="55">
        <v>1173.3399999999999</v>
      </c>
      <c r="F669" s="194" t="s">
        <v>98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20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20" t="s">
        <v>36</v>
      </c>
      <c r="D671" s="48" t="s">
        <v>98</v>
      </c>
      <c r="E671" s="55">
        <v>1018.64</v>
      </c>
      <c r="F671" s="194" t="s">
        <v>98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20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20" t="s">
        <v>36</v>
      </c>
      <c r="D673" s="48" t="s">
        <v>98</v>
      </c>
      <c r="E673" s="55">
        <v>2746.52</v>
      </c>
      <c r="F673" s="194" t="s">
        <v>98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20" t="s">
        <v>36</v>
      </c>
      <c r="D674" s="48" t="s">
        <v>98</v>
      </c>
      <c r="E674" s="55">
        <v>1173.3399999999999</v>
      </c>
      <c r="F674" s="194" t="s">
        <v>98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20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20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20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20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20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20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20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20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503</v>
      </c>
      <c r="C683" s="220" t="s">
        <v>36</v>
      </c>
      <c r="D683" s="48" t="s">
        <v>98</v>
      </c>
      <c r="E683" s="55">
        <v>2563</v>
      </c>
      <c r="F683" s="188" t="s">
        <v>98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20" t="s">
        <v>36</v>
      </c>
      <c r="D684" s="48" t="s">
        <v>98</v>
      </c>
      <c r="E684" s="43">
        <v>2364.5299999999997</v>
      </c>
      <c r="F684" s="188" t="s">
        <v>98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20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20" t="s">
        <v>36</v>
      </c>
      <c r="D686" s="48" t="s">
        <v>98</v>
      </c>
      <c r="E686" s="43">
        <v>2563</v>
      </c>
      <c r="F686" s="188" t="s">
        <v>98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20" t="s">
        <v>36</v>
      </c>
      <c r="D687" s="48" t="s">
        <v>98</v>
      </c>
      <c r="E687" s="55">
        <v>2563</v>
      </c>
      <c r="F687" s="194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20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20" t="s">
        <v>36</v>
      </c>
      <c r="D689" s="48" t="s">
        <v>98</v>
      </c>
      <c r="E689" s="43">
        <v>2440.69</v>
      </c>
      <c r="F689" s="188" t="s">
        <v>98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20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511</v>
      </c>
      <c r="C691" s="220" t="s">
        <v>36</v>
      </c>
      <c r="D691" s="48" t="s">
        <v>98</v>
      </c>
      <c r="E691" s="55">
        <v>873.94</v>
      </c>
      <c r="F691" s="194" t="s">
        <v>98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20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20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20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20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20" t="s">
        <v>36</v>
      </c>
      <c r="D696" s="48" t="s">
        <v>98</v>
      </c>
      <c r="E696" s="55">
        <v>1547</v>
      </c>
      <c r="F696" s="194" t="s">
        <v>98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20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20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20" t="s">
        <v>36</v>
      </c>
      <c r="D699" s="48" t="s">
        <v>98</v>
      </c>
      <c r="E699" s="55">
        <v>1850</v>
      </c>
      <c r="F699" s="194" t="s">
        <v>98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20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20" t="s">
        <v>36</v>
      </c>
      <c r="D701" s="48" t="s">
        <v>98</v>
      </c>
      <c r="E701" s="55">
        <v>4799.2700000000004</v>
      </c>
      <c r="F701" s="194" t="s">
        <v>98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20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20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20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20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20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20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20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20" t="s">
        <v>36</v>
      </c>
      <c r="D709" s="48" t="s">
        <v>98</v>
      </c>
      <c r="E709" s="55">
        <v>1000</v>
      </c>
      <c r="F709" s="194" t="s">
        <v>98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20" t="s">
        <v>36</v>
      </c>
      <c r="D710" s="48" t="s">
        <v>98</v>
      </c>
      <c r="E710" s="55">
        <v>8973.7900000000009</v>
      </c>
      <c r="F710" s="194" t="s">
        <v>98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20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20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20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20" t="s">
        <v>36</v>
      </c>
      <c r="D714" s="48" t="s">
        <v>98</v>
      </c>
      <c r="E714" s="55">
        <v>3844.89</v>
      </c>
      <c r="F714" s="194" t="s">
        <v>98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20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20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20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20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20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20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20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20" t="s">
        <v>36</v>
      </c>
      <c r="D722" s="48" t="s">
        <v>98</v>
      </c>
      <c r="E722" s="55">
        <v>1661.24</v>
      </c>
      <c r="F722" s="194" t="s">
        <v>98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20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20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20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20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20" t="s">
        <v>36</v>
      </c>
      <c r="D727" s="48" t="s">
        <v>98</v>
      </c>
      <c r="E727" s="55">
        <v>690.75</v>
      </c>
      <c r="F727" s="194" t="s">
        <v>98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20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20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20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20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20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20" t="s">
        <v>36</v>
      </c>
      <c r="D733" s="48" t="s">
        <v>98</v>
      </c>
      <c r="E733" s="43">
        <v>690.75</v>
      </c>
      <c r="F733" s="188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20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20" t="s">
        <v>36</v>
      </c>
      <c r="D735" s="48" t="s">
        <v>98</v>
      </c>
      <c r="E735" s="55">
        <v>690.75</v>
      </c>
      <c r="F735" s="194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20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20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20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20" t="s">
        <v>36</v>
      </c>
      <c r="D739" s="48" t="s">
        <v>98</v>
      </c>
      <c r="E739" s="43">
        <v>690.75</v>
      </c>
      <c r="F739" s="188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20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20" t="s">
        <v>36</v>
      </c>
      <c r="D741" s="48" t="s">
        <v>98</v>
      </c>
      <c r="E741" s="55">
        <v>690.75</v>
      </c>
      <c r="F741" s="194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20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20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20" t="s">
        <v>36</v>
      </c>
      <c r="D744" s="48" t="s">
        <v>98</v>
      </c>
      <c r="E744" s="43">
        <v>690.75</v>
      </c>
      <c r="F744" s="188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20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20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20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20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20" t="s">
        <v>36</v>
      </c>
      <c r="D749" s="48" t="s">
        <v>98</v>
      </c>
      <c r="E749" s="43">
        <v>690.75</v>
      </c>
      <c r="F749" s="188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20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20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20" t="s">
        <v>36</v>
      </c>
      <c r="D752" s="48" t="s">
        <v>98</v>
      </c>
      <c r="E752" s="55">
        <v>3850</v>
      </c>
      <c r="F752" s="194" t="s">
        <v>98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20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20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20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20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20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20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20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20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20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20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20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20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20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20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20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20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20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20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20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20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20" t="s">
        <v>36</v>
      </c>
      <c r="D773" s="48" t="s">
        <v>98</v>
      </c>
      <c r="E773" s="55">
        <v>8973.7900000000009</v>
      </c>
      <c r="F773" s="194" t="s">
        <v>98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20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20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20" t="s">
        <v>36</v>
      </c>
      <c r="D776" s="48" t="s">
        <v>98</v>
      </c>
      <c r="E776" s="55">
        <v>1661.24</v>
      </c>
      <c r="F776" s="194" t="s">
        <v>98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20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20" t="s">
        <v>36</v>
      </c>
      <c r="D778" s="48" t="s">
        <v>98</v>
      </c>
      <c r="E778" s="55">
        <v>690.75</v>
      </c>
      <c r="F778" s="194" t="s">
        <v>98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599</v>
      </c>
      <c r="C779" s="220" t="s">
        <v>36</v>
      </c>
      <c r="D779" s="48" t="s">
        <v>98</v>
      </c>
      <c r="E779" s="56">
        <v>1505.04</v>
      </c>
      <c r="F779" s="188" t="s">
        <v>98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20" t="s">
        <v>36</v>
      </c>
      <c r="D780" s="48" t="s">
        <v>98</v>
      </c>
      <c r="E780" s="56">
        <v>3628.57</v>
      </c>
      <c r="F780" s="188" t="s">
        <v>98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20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602</v>
      </c>
      <c r="C782" s="220" t="s">
        <v>36</v>
      </c>
      <c r="D782" s="48" t="s">
        <v>98</v>
      </c>
      <c r="E782" s="55">
        <v>2898.84</v>
      </c>
      <c r="F782" s="194" t="s">
        <v>98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20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20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20" t="s">
        <v>36</v>
      </c>
      <c r="D785" s="48" t="s">
        <v>98</v>
      </c>
      <c r="E785" s="55">
        <v>833</v>
      </c>
      <c r="F785" s="194" t="s">
        <v>98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20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20" t="s">
        <v>36</v>
      </c>
      <c r="D787" s="48" t="s">
        <v>98</v>
      </c>
      <c r="E787" s="55">
        <v>1266.6666666666667</v>
      </c>
      <c r="F787" s="194" t="s">
        <v>98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20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20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20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20" t="s">
        <v>36</v>
      </c>
      <c r="D791" s="48" t="s">
        <v>98</v>
      </c>
      <c r="E791" s="43">
        <v>1266.6666666666667</v>
      </c>
      <c r="F791" s="188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20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20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20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20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20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20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20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20" t="s">
        <v>36</v>
      </c>
      <c r="D799" s="48" t="s">
        <v>98</v>
      </c>
      <c r="E799" s="55">
        <v>455.66624999999999</v>
      </c>
      <c r="F799" s="194" t="s">
        <v>98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20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20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20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20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20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20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20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20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20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20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20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20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20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633</v>
      </c>
      <c r="C813" s="220" t="s">
        <v>36</v>
      </c>
      <c r="D813" s="48" t="s">
        <v>98</v>
      </c>
      <c r="E813" s="43">
        <v>3356</v>
      </c>
      <c r="F813" s="188" t="s">
        <v>98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634</v>
      </c>
      <c r="C814" s="220" t="s">
        <v>36</v>
      </c>
      <c r="D814" s="48" t="s">
        <v>98</v>
      </c>
      <c r="E814" s="55">
        <v>1900</v>
      </c>
      <c r="F814" s="194" t="s">
        <v>98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20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20" t="s">
        <v>36</v>
      </c>
      <c r="D816" s="48" t="s">
        <v>98</v>
      </c>
      <c r="E816" s="55">
        <v>23075</v>
      </c>
      <c r="F816" s="194" t="s">
        <v>98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637</v>
      </c>
      <c r="C817" s="220" t="s">
        <v>36</v>
      </c>
      <c r="D817" s="48" t="s">
        <v>98</v>
      </c>
      <c r="E817" s="55">
        <v>23075.289999999997</v>
      </c>
      <c r="F817" s="188" t="s">
        <v>98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638</v>
      </c>
      <c r="C818" s="220" t="s">
        <v>36</v>
      </c>
      <c r="D818" s="48" t="s">
        <v>98</v>
      </c>
      <c r="E818" s="55">
        <v>1018.64</v>
      </c>
      <c r="F818" s="194" t="s">
        <v>98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639</v>
      </c>
      <c r="C819" s="220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640</v>
      </c>
      <c r="C820" s="220" t="s">
        <v>36</v>
      </c>
      <c r="D820" s="48" t="s">
        <v>98</v>
      </c>
      <c r="E820" s="43">
        <v>3356</v>
      </c>
      <c r="F820" s="188" t="s">
        <v>98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641</v>
      </c>
      <c r="C821" s="220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642</v>
      </c>
      <c r="C822" s="220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20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644</v>
      </c>
      <c r="C824" s="220" t="s">
        <v>36</v>
      </c>
      <c r="D824" s="48" t="s">
        <v>98</v>
      </c>
      <c r="E824" s="55">
        <v>3356</v>
      </c>
      <c r="F824" s="194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645</v>
      </c>
      <c r="C825" s="220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646</v>
      </c>
      <c r="C826" s="220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20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648</v>
      </c>
      <c r="C828" s="220" t="s">
        <v>36</v>
      </c>
      <c r="D828" s="48" t="s">
        <v>98</v>
      </c>
      <c r="E828" s="55">
        <v>198</v>
      </c>
      <c r="F828" s="194" t="s">
        <v>98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20" t="s">
        <v>36</v>
      </c>
      <c r="D829" s="48" t="s">
        <v>98</v>
      </c>
      <c r="E829" s="55">
        <v>3356</v>
      </c>
      <c r="F829" s="194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20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20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20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653</v>
      </c>
      <c r="C833" s="220" t="s">
        <v>36</v>
      </c>
      <c r="D833" s="48" t="s">
        <v>98</v>
      </c>
      <c r="E833" s="43">
        <v>198</v>
      </c>
      <c r="F833" s="188" t="s">
        <v>98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20" t="s">
        <v>36</v>
      </c>
      <c r="D834" s="48" t="s">
        <v>98</v>
      </c>
      <c r="E834" s="55">
        <v>198</v>
      </c>
      <c r="F834" s="194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655</v>
      </c>
      <c r="C835" s="220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20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657</v>
      </c>
      <c r="C837" s="220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658</v>
      </c>
      <c r="C838" s="220" t="s">
        <v>36</v>
      </c>
      <c r="D838" s="48" t="s">
        <v>98</v>
      </c>
      <c r="E838" s="55">
        <v>3356</v>
      </c>
      <c r="F838" s="194" t="s">
        <v>98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659</v>
      </c>
      <c r="C839" s="220" t="s">
        <v>36</v>
      </c>
      <c r="D839" s="48" t="s">
        <v>98</v>
      </c>
      <c r="E839" s="55">
        <v>1100</v>
      </c>
      <c r="F839" s="194" t="s">
        <v>98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20" t="s">
        <v>36</v>
      </c>
      <c r="D840" s="48" t="s">
        <v>98</v>
      </c>
      <c r="E840" s="55">
        <v>1350</v>
      </c>
      <c r="F840" s="194" t="s">
        <v>98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20" t="s">
        <v>36</v>
      </c>
      <c r="D841" s="48" t="s">
        <v>98</v>
      </c>
      <c r="E841" s="55">
        <v>925</v>
      </c>
      <c r="F841" s="194" t="s">
        <v>98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662</v>
      </c>
      <c r="C842" s="220" t="s">
        <v>36</v>
      </c>
      <c r="D842" s="48" t="s">
        <v>98</v>
      </c>
      <c r="E842" s="43">
        <v>3373</v>
      </c>
      <c r="F842" s="188" t="s">
        <v>98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663</v>
      </c>
      <c r="C843" s="220" t="s">
        <v>36</v>
      </c>
      <c r="D843" s="48" t="s">
        <v>98</v>
      </c>
      <c r="E843" s="56">
        <v>1275.68</v>
      </c>
      <c r="F843" s="188" t="s">
        <v>98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664</v>
      </c>
      <c r="C844" s="220" t="s">
        <v>36</v>
      </c>
      <c r="D844" s="48" t="s">
        <v>98</v>
      </c>
      <c r="E844" s="55">
        <v>3373</v>
      </c>
      <c r="F844" s="194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665</v>
      </c>
      <c r="C845" s="220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666</v>
      </c>
      <c r="C846" s="220" t="s">
        <v>36</v>
      </c>
      <c r="D846" s="48" t="s">
        <v>98</v>
      </c>
      <c r="E846" s="43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667</v>
      </c>
      <c r="C847" s="220" t="s">
        <v>36</v>
      </c>
      <c r="D847" s="48" t="s">
        <v>98</v>
      </c>
      <c r="E847" s="55">
        <v>2746.52</v>
      </c>
      <c r="F847" s="194" t="s">
        <v>98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668</v>
      </c>
      <c r="C848" s="220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20" t="s">
        <v>36</v>
      </c>
      <c r="D849" s="48" t="s">
        <v>98</v>
      </c>
      <c r="E849" s="43">
        <v>1225.7</v>
      </c>
      <c r="F849" s="188" t="s">
        <v>98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20" t="s">
        <v>36</v>
      </c>
      <c r="D850" s="48" t="s">
        <v>98</v>
      </c>
      <c r="E850" s="43">
        <v>3881.78</v>
      </c>
      <c r="F850" s="188" t="s">
        <v>98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20" t="s">
        <v>36</v>
      </c>
      <c r="D851" s="48" t="s">
        <v>98</v>
      </c>
      <c r="E851" s="43">
        <v>1275.68</v>
      </c>
      <c r="F851" s="188" t="s">
        <v>98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20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20" t="s">
        <v>36</v>
      </c>
      <c r="D853" s="48" t="s">
        <v>98</v>
      </c>
      <c r="E853" s="55">
        <v>1225.7</v>
      </c>
      <c r="F853" s="194" t="s">
        <v>98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20" t="s">
        <v>36</v>
      </c>
      <c r="D854" s="48" t="s">
        <v>98</v>
      </c>
      <c r="E854" s="43">
        <v>1225.7</v>
      </c>
      <c r="F854" s="188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20" t="s">
        <v>36</v>
      </c>
      <c r="D855" s="48" t="s">
        <v>98</v>
      </c>
      <c r="E855" s="43">
        <v>2400</v>
      </c>
      <c r="F855" s="188" t="s">
        <v>98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20" t="s">
        <v>36</v>
      </c>
      <c r="D856" s="48" t="s">
        <v>98</v>
      </c>
      <c r="E856" s="43">
        <v>1275.68</v>
      </c>
      <c r="F856" s="188" t="s">
        <v>98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20" t="s">
        <v>36</v>
      </c>
      <c r="D857" s="48" t="s">
        <v>98</v>
      </c>
      <c r="E857" s="43">
        <v>1225.7</v>
      </c>
      <c r="F857" s="188" t="s">
        <v>98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20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20" t="s">
        <v>36</v>
      </c>
      <c r="D859" s="48" t="s">
        <v>98</v>
      </c>
      <c r="E859" s="43">
        <v>2400</v>
      </c>
      <c r="F859" s="188" t="s">
        <v>98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680</v>
      </c>
      <c r="C860" s="220" t="s">
        <v>36</v>
      </c>
      <c r="D860" s="48" t="s">
        <v>98</v>
      </c>
      <c r="E860" s="55">
        <v>873.94</v>
      </c>
      <c r="F860" s="194" t="s">
        <v>98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681</v>
      </c>
      <c r="C861" s="220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20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20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684</v>
      </c>
      <c r="C864" s="220" t="s">
        <v>36</v>
      </c>
      <c r="D864" s="48" t="s">
        <v>98</v>
      </c>
      <c r="E864" s="43">
        <v>131.97</v>
      </c>
      <c r="F864" s="188" t="s">
        <v>98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685</v>
      </c>
      <c r="C865" s="220" t="s">
        <v>36</v>
      </c>
      <c r="D865" s="48" t="s">
        <v>98</v>
      </c>
      <c r="E865" s="55">
        <v>5450</v>
      </c>
      <c r="F865" s="194" t="s">
        <v>98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20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687</v>
      </c>
      <c r="C867" s="220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20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20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20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20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20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693</v>
      </c>
      <c r="C873" s="220" t="s">
        <v>36</v>
      </c>
      <c r="D873" s="48" t="s">
        <v>98</v>
      </c>
      <c r="E873" s="43">
        <v>131.97</v>
      </c>
      <c r="F873" s="188" t="s">
        <v>98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20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695</v>
      </c>
      <c r="C875" s="220" t="s">
        <v>36</v>
      </c>
      <c r="D875" s="48" t="s">
        <v>98</v>
      </c>
      <c r="E875" s="43">
        <v>249.9</v>
      </c>
      <c r="F875" s="188" t="s">
        <v>98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696</v>
      </c>
      <c r="C876" s="220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20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20" t="s">
        <v>36</v>
      </c>
      <c r="D878" s="48" t="s">
        <v>98</v>
      </c>
      <c r="E878" s="55">
        <v>131.97</v>
      </c>
      <c r="F878" s="194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20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20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20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20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20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20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20" t="s">
        <v>36</v>
      </c>
      <c r="D885" s="48" t="s">
        <v>98</v>
      </c>
      <c r="E885" s="43">
        <v>131.97</v>
      </c>
      <c r="F885" s="194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706</v>
      </c>
      <c r="C886" s="220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707</v>
      </c>
      <c r="C887" s="220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708</v>
      </c>
      <c r="C888" s="220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709</v>
      </c>
      <c r="C889" s="220" t="s">
        <v>36</v>
      </c>
      <c r="D889" s="48" t="s">
        <v>98</v>
      </c>
      <c r="E889" s="55">
        <v>131.97</v>
      </c>
      <c r="F889" s="194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710</v>
      </c>
      <c r="C890" s="220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711</v>
      </c>
      <c r="C891" s="220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712</v>
      </c>
      <c r="C892" s="220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713</v>
      </c>
      <c r="C893" s="220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714</v>
      </c>
      <c r="C894" s="220" t="s">
        <v>36</v>
      </c>
      <c r="D894" s="48" t="s">
        <v>98</v>
      </c>
      <c r="E894" s="55">
        <v>131.97</v>
      </c>
      <c r="F894" s="194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715</v>
      </c>
      <c r="C895" s="220" t="s">
        <v>36</v>
      </c>
      <c r="D895" s="48" t="s">
        <v>98</v>
      </c>
      <c r="E895" s="55">
        <v>6957.9299999999994</v>
      </c>
      <c r="F895" s="194" t="s">
        <v>98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716</v>
      </c>
      <c r="C896" s="220" t="s">
        <v>36</v>
      </c>
      <c r="D896" s="48" t="s">
        <v>98</v>
      </c>
      <c r="E896" s="55">
        <v>2563</v>
      </c>
      <c r="F896" s="194" t="s">
        <v>98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717</v>
      </c>
      <c r="C897" s="220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718</v>
      </c>
      <c r="C898" s="220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719</v>
      </c>
      <c r="C899" s="220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720</v>
      </c>
      <c r="C900" s="220" t="s">
        <v>36</v>
      </c>
      <c r="D900" s="48" t="s">
        <v>98</v>
      </c>
      <c r="E900" s="55">
        <v>2885.5</v>
      </c>
      <c r="F900" s="194" t="s">
        <v>98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721</v>
      </c>
      <c r="C901" s="220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722</v>
      </c>
      <c r="C902" s="220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723</v>
      </c>
      <c r="C903" s="220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724</v>
      </c>
      <c r="C904" s="220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725</v>
      </c>
      <c r="C905" s="220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726</v>
      </c>
      <c r="C906" s="220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727</v>
      </c>
      <c r="C907" s="220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728</v>
      </c>
      <c r="C908" s="220" t="s">
        <v>36</v>
      </c>
      <c r="D908" s="48" t="s">
        <v>98</v>
      </c>
      <c r="E908" s="55">
        <v>2785.5</v>
      </c>
      <c r="F908" s="194" t="s">
        <v>98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729</v>
      </c>
      <c r="C909" s="220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730</v>
      </c>
      <c r="C910" s="220" t="s">
        <v>36</v>
      </c>
      <c r="D910" s="48" t="s">
        <v>98</v>
      </c>
      <c r="E910" s="55">
        <v>1</v>
      </c>
      <c r="F910" s="194" t="s">
        <v>98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731</v>
      </c>
      <c r="C911" s="220" t="s">
        <v>36</v>
      </c>
      <c r="D911" s="48" t="s">
        <v>98</v>
      </c>
      <c r="E911" s="55">
        <v>1200</v>
      </c>
      <c r="F911" s="194" t="s">
        <v>98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732</v>
      </c>
      <c r="C912" s="220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733</v>
      </c>
      <c r="C913" s="220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734</v>
      </c>
      <c r="C914" s="220" t="s">
        <v>36</v>
      </c>
      <c r="D914" s="48" t="s">
        <v>98</v>
      </c>
      <c r="E914" s="55">
        <v>500</v>
      </c>
      <c r="F914" s="194" t="s">
        <v>98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735</v>
      </c>
      <c r="C915" s="220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736</v>
      </c>
      <c r="C916" s="220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737</v>
      </c>
      <c r="C917" s="220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738</v>
      </c>
      <c r="C918" s="220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739</v>
      </c>
      <c r="C919" s="220" t="s">
        <v>36</v>
      </c>
      <c r="D919" s="48" t="s">
        <v>98</v>
      </c>
      <c r="E919" s="55">
        <v>114.24</v>
      </c>
      <c r="F919" s="194" t="s">
        <v>98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740</v>
      </c>
      <c r="C920" s="220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741</v>
      </c>
      <c r="C921" s="220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742</v>
      </c>
      <c r="C922" s="220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743</v>
      </c>
      <c r="C923" s="220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744</v>
      </c>
      <c r="C924" s="220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745</v>
      </c>
      <c r="C925" s="220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746</v>
      </c>
      <c r="C926" s="220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747</v>
      </c>
      <c r="C927" s="220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748</v>
      </c>
      <c r="C928" s="220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749</v>
      </c>
      <c r="C929" s="220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750</v>
      </c>
      <c r="C930" s="220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751</v>
      </c>
      <c r="C931" s="220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752</v>
      </c>
      <c r="C932" s="220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753</v>
      </c>
      <c r="C933" s="220" t="s">
        <v>36</v>
      </c>
      <c r="D933" s="48" t="s">
        <v>98</v>
      </c>
      <c r="E933" s="55">
        <v>1800</v>
      </c>
      <c r="F933" s="194" t="s">
        <v>98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754</v>
      </c>
      <c r="C934" s="220" t="s">
        <v>36</v>
      </c>
      <c r="D934" s="48" t="s">
        <v>98</v>
      </c>
      <c r="E934" s="55">
        <v>546</v>
      </c>
      <c r="F934" s="194" t="s">
        <v>98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755</v>
      </c>
      <c r="C935" s="220" t="s">
        <v>36</v>
      </c>
      <c r="D935" s="48" t="s">
        <v>98</v>
      </c>
      <c r="E935" s="55">
        <v>114.24</v>
      </c>
      <c r="F935" s="194" t="s">
        <v>98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756</v>
      </c>
      <c r="C936" s="220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757</v>
      </c>
      <c r="C937" s="220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758</v>
      </c>
      <c r="C938" s="220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759</v>
      </c>
      <c r="C939" s="220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760</v>
      </c>
      <c r="C940" s="220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761</v>
      </c>
      <c r="C941" s="220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762</v>
      </c>
      <c r="C942" s="220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763</v>
      </c>
      <c r="C943" s="220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764</v>
      </c>
      <c r="C944" s="220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765</v>
      </c>
      <c r="C945" s="220" t="s">
        <v>36</v>
      </c>
      <c r="D945" s="48" t="s">
        <v>98</v>
      </c>
      <c r="E945" s="55">
        <v>1550</v>
      </c>
      <c r="F945" s="194" t="s">
        <v>98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766</v>
      </c>
      <c r="C946" s="220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767</v>
      </c>
      <c r="C947" s="220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768</v>
      </c>
      <c r="C948" s="220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769</v>
      </c>
      <c r="C949" s="220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770</v>
      </c>
      <c r="C950" s="220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771</v>
      </c>
      <c r="C951" s="220" t="s">
        <v>36</v>
      </c>
      <c r="D951" s="48" t="s">
        <v>98</v>
      </c>
      <c r="E951" s="55">
        <v>952</v>
      </c>
      <c r="F951" s="194" t="s">
        <v>98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772</v>
      </c>
      <c r="C952" s="220" t="s">
        <v>36</v>
      </c>
      <c r="D952" s="48" t="s">
        <v>98</v>
      </c>
      <c r="E952" s="55">
        <v>925</v>
      </c>
      <c r="F952" s="194" t="s">
        <v>98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773</v>
      </c>
      <c r="C953" s="220" t="s">
        <v>36</v>
      </c>
      <c r="D953" s="48" t="s">
        <v>98</v>
      </c>
      <c r="E953" s="55">
        <v>1100</v>
      </c>
      <c r="F953" s="194" t="s">
        <v>98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774</v>
      </c>
      <c r="C954" s="220" t="s">
        <v>36</v>
      </c>
      <c r="D954" s="48" t="s">
        <v>98</v>
      </c>
      <c r="E954" s="55">
        <v>1350</v>
      </c>
      <c r="F954" s="194" t="s">
        <v>98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775</v>
      </c>
      <c r="C955" s="220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776</v>
      </c>
      <c r="C956" s="220" t="s">
        <v>36</v>
      </c>
      <c r="D956" s="48" t="s">
        <v>98</v>
      </c>
      <c r="E956" s="43">
        <v>2727.48</v>
      </c>
      <c r="F956" s="188" t="s">
        <v>98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777</v>
      </c>
      <c r="C957" s="220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778</v>
      </c>
      <c r="C958" s="220" t="s">
        <v>36</v>
      </c>
      <c r="D958" s="48" t="s">
        <v>98</v>
      </c>
      <c r="E958" s="55">
        <v>2727.48</v>
      </c>
      <c r="F958" s="194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779</v>
      </c>
      <c r="C959" s="220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780</v>
      </c>
      <c r="C960" s="220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781</v>
      </c>
      <c r="C961" s="220" t="s">
        <v>36</v>
      </c>
      <c r="D961" s="48" t="s">
        <v>98</v>
      </c>
      <c r="E961" s="55">
        <v>3111.85</v>
      </c>
      <c r="F961" s="194" t="s">
        <v>98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782</v>
      </c>
      <c r="C962" s="220" t="s">
        <v>36</v>
      </c>
      <c r="D962" s="48" t="s">
        <v>98</v>
      </c>
      <c r="E962" s="43">
        <v>1550</v>
      </c>
      <c r="F962" s="188" t="s">
        <v>98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783</v>
      </c>
      <c r="C963" s="220" t="s">
        <v>36</v>
      </c>
      <c r="D963" s="48" t="s">
        <v>98</v>
      </c>
      <c r="E963" s="55">
        <v>1550</v>
      </c>
      <c r="F963" s="194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784</v>
      </c>
      <c r="C964" s="220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785</v>
      </c>
      <c r="C965" s="220" t="s">
        <v>36</v>
      </c>
      <c r="D965" s="48" t="s">
        <v>98</v>
      </c>
      <c r="E965" s="43">
        <v>1550</v>
      </c>
      <c r="F965" s="188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786</v>
      </c>
      <c r="C966" s="220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787</v>
      </c>
      <c r="C967" s="220" t="s">
        <v>36</v>
      </c>
      <c r="D967" s="48" t="s">
        <v>98</v>
      </c>
      <c r="E967" s="55">
        <v>3844</v>
      </c>
      <c r="F967" s="194" t="s">
        <v>98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788</v>
      </c>
      <c r="C968" s="220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789</v>
      </c>
      <c r="C969" s="220" t="s">
        <v>36</v>
      </c>
      <c r="D969" s="48" t="s">
        <v>98</v>
      </c>
      <c r="E969" s="55">
        <v>998.41</v>
      </c>
      <c r="F969" s="194" t="s">
        <v>98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790</v>
      </c>
      <c r="C970" s="220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791</v>
      </c>
      <c r="C971" s="220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792</v>
      </c>
      <c r="C972" s="220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793</v>
      </c>
      <c r="C973" s="220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794</v>
      </c>
      <c r="C974" s="220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795</v>
      </c>
      <c r="C975" s="220" t="s">
        <v>36</v>
      </c>
      <c r="D975" s="48" t="s">
        <v>98</v>
      </c>
      <c r="E975" s="55">
        <v>3844</v>
      </c>
      <c r="F975" s="194" t="s">
        <v>98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796</v>
      </c>
      <c r="C976" s="220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797</v>
      </c>
      <c r="C977" s="220" t="s">
        <v>36</v>
      </c>
      <c r="D977" s="48" t="s">
        <v>98</v>
      </c>
      <c r="E977" s="55">
        <v>998.41</v>
      </c>
      <c r="F977" s="194" t="s">
        <v>98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798</v>
      </c>
      <c r="C978" s="220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799</v>
      </c>
      <c r="C979" s="220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800</v>
      </c>
      <c r="C980" s="220" t="s">
        <v>36</v>
      </c>
      <c r="D980" s="48" t="s">
        <v>98</v>
      </c>
      <c r="E980" s="55">
        <v>1173.3399999999999</v>
      </c>
      <c r="F980" s="194" t="s">
        <v>98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801</v>
      </c>
      <c r="C981" s="220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802</v>
      </c>
      <c r="C982" s="220" t="s">
        <v>36</v>
      </c>
      <c r="D982" s="48" t="s">
        <v>98</v>
      </c>
      <c r="E982" s="55">
        <v>1200</v>
      </c>
      <c r="F982" s="194" t="s">
        <v>98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803</v>
      </c>
      <c r="C1011" s="160" t="s">
        <v>46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804</v>
      </c>
      <c r="C1012" s="160" t="s">
        <v>46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805</v>
      </c>
      <c r="C1013" s="160" t="s">
        <v>46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806</v>
      </c>
      <c r="C1014" s="160" t="s">
        <v>46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807</v>
      </c>
      <c r="C1015" s="160" t="s">
        <v>46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808</v>
      </c>
      <c r="C1016" s="160" t="s">
        <v>46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809</v>
      </c>
      <c r="C1017" s="160" t="s">
        <v>46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810</v>
      </c>
      <c r="C1018" s="160" t="s">
        <v>46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811</v>
      </c>
      <c r="C1019" s="160" t="s">
        <v>46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812</v>
      </c>
      <c r="C1020" s="160" t="s">
        <v>46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813</v>
      </c>
      <c r="C1021" s="160" t="s">
        <v>46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814</v>
      </c>
      <c r="C1022" s="160" t="s">
        <v>46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815</v>
      </c>
      <c r="C1023" s="160" t="s">
        <v>46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816</v>
      </c>
      <c r="C1024" s="160" t="s">
        <v>46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817</v>
      </c>
      <c r="C1025" s="160" t="s">
        <v>46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818</v>
      </c>
      <c r="C1026" s="160" t="s">
        <v>46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819</v>
      </c>
      <c r="C1027" s="160" t="s">
        <v>46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820</v>
      </c>
      <c r="C1028" s="160" t="s">
        <v>46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821</v>
      </c>
      <c r="C1029" s="160" t="s">
        <v>46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822</v>
      </c>
      <c r="C1030" s="160" t="s">
        <v>46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823</v>
      </c>
      <c r="C1031" s="160" t="s">
        <v>46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824</v>
      </c>
      <c r="C1032" s="160" t="s">
        <v>46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825</v>
      </c>
      <c r="C1033" s="160" t="s">
        <v>46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826</v>
      </c>
      <c r="C1034" s="160" t="s">
        <v>46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827</v>
      </c>
      <c r="C1035" s="160" t="s">
        <v>46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828</v>
      </c>
      <c r="C1036" s="160" t="s">
        <v>46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829</v>
      </c>
      <c r="C1037" s="160" t="s">
        <v>46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830</v>
      </c>
      <c r="C1038" s="160" t="s">
        <v>46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831</v>
      </c>
      <c r="C1039" s="160" t="s">
        <v>46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832</v>
      </c>
      <c r="C1040" s="160" t="s">
        <v>46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833</v>
      </c>
      <c r="C1041" s="160" t="s">
        <v>46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834</v>
      </c>
      <c r="C1042" s="160" t="s">
        <v>46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835</v>
      </c>
      <c r="C1043" s="160" t="s">
        <v>46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836</v>
      </c>
      <c r="C1067" s="220" t="s">
        <v>48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837</v>
      </c>
      <c r="C1068" s="220" t="s">
        <v>48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838</v>
      </c>
      <c r="C1069" s="220" t="s">
        <v>48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839</v>
      </c>
      <c r="C1070" s="220" t="s">
        <v>48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840</v>
      </c>
      <c r="C1071" s="220" t="s">
        <v>48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841</v>
      </c>
      <c r="C1072" s="220" t="s">
        <v>48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842</v>
      </c>
      <c r="C1073" s="220" t="s">
        <v>48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843</v>
      </c>
      <c r="C1107" s="37" t="s">
        <v>844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845</v>
      </c>
      <c r="C1108" s="37" t="s">
        <v>844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846</v>
      </c>
      <c r="C1109" s="37" t="s">
        <v>844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847</v>
      </c>
      <c r="C1110" s="37" t="s">
        <v>844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848</v>
      </c>
      <c r="C1111" s="37" t="s">
        <v>844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849</v>
      </c>
      <c r="C1112" s="37" t="s">
        <v>844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850</v>
      </c>
      <c r="C1113" s="37" t="s">
        <v>844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851</v>
      </c>
      <c r="C1114" s="37" t="s">
        <v>844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852</v>
      </c>
      <c r="C1115" s="37" t="s">
        <v>844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853</v>
      </c>
      <c r="C1116" s="37" t="s">
        <v>844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854</v>
      </c>
      <c r="C1117" s="37" t="s">
        <v>844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855</v>
      </c>
      <c r="C1118" s="37" t="s">
        <v>844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856</v>
      </c>
      <c r="C1119" s="37" t="s">
        <v>844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857</v>
      </c>
      <c r="C1120" s="37" t="s">
        <v>844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858</v>
      </c>
      <c r="C1121" s="37" t="s">
        <v>844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859</v>
      </c>
      <c r="C1122" s="37" t="s">
        <v>844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860</v>
      </c>
      <c r="C1123" s="37" t="s">
        <v>844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861</v>
      </c>
      <c r="C1124" s="37" t="s">
        <v>844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862</v>
      </c>
      <c r="C1125" s="37" t="s">
        <v>844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863</v>
      </c>
      <c r="C1126" s="37" t="s">
        <v>844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864</v>
      </c>
      <c r="C1127" s="37" t="s">
        <v>844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865</v>
      </c>
      <c r="C1128" s="37" t="s">
        <v>844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866</v>
      </c>
      <c r="C1129" s="37" t="s">
        <v>844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867</v>
      </c>
      <c r="C1130" s="37" t="s">
        <v>844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868</v>
      </c>
      <c r="C1131" s="37" t="s">
        <v>844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869</v>
      </c>
      <c r="C1132" s="276" t="s">
        <v>844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870</v>
      </c>
      <c r="C1133" s="277" t="s">
        <v>844</v>
      </c>
      <c r="D1133" s="278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871</v>
      </c>
      <c r="C1134" s="277" t="s">
        <v>844</v>
      </c>
      <c r="D1134" s="278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872</v>
      </c>
      <c r="C1135" s="277" t="s">
        <v>844</v>
      </c>
      <c r="D1135" s="278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873</v>
      </c>
      <c r="C1136" s="277" t="s">
        <v>844</v>
      </c>
      <c r="D1136" s="278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874</v>
      </c>
      <c r="C1137" s="277" t="s">
        <v>844</v>
      </c>
      <c r="D1137" s="278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875</v>
      </c>
      <c r="C1138" s="277" t="s">
        <v>844</v>
      </c>
      <c r="D1138" s="278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876</v>
      </c>
      <c r="C1139" s="277" t="s">
        <v>844</v>
      </c>
      <c r="D1139" s="278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877</v>
      </c>
      <c r="C1140" s="277" t="s">
        <v>844</v>
      </c>
      <c r="D1140" s="278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878</v>
      </c>
      <c r="C1141" s="277" t="s">
        <v>844</v>
      </c>
      <c r="D1141" s="278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879</v>
      </c>
      <c r="C1142" s="277" t="s">
        <v>844</v>
      </c>
      <c r="D1142" s="278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880</v>
      </c>
      <c r="C1143" s="277" t="s">
        <v>844</v>
      </c>
      <c r="D1143" s="278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881</v>
      </c>
      <c r="C1144" s="277" t="s">
        <v>844</v>
      </c>
      <c r="D1144" s="278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882</v>
      </c>
      <c r="C1145" s="277" t="s">
        <v>844</v>
      </c>
      <c r="D1145" s="278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883</v>
      </c>
      <c r="C1146" s="277" t="s">
        <v>844</v>
      </c>
      <c r="D1146" s="278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884</v>
      </c>
      <c r="C1147" s="277" t="s">
        <v>844</v>
      </c>
      <c r="D1147" s="278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885</v>
      </c>
      <c r="C1148" s="277" t="s">
        <v>844</v>
      </c>
      <c r="D1148" s="278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886</v>
      </c>
      <c r="C1149" s="277" t="s">
        <v>844</v>
      </c>
      <c r="D1149" s="278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887</v>
      </c>
      <c r="C1150" s="277" t="s">
        <v>844</v>
      </c>
      <c r="D1150" s="278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888</v>
      </c>
      <c r="C1151" s="277" t="s">
        <v>844</v>
      </c>
      <c r="D1151" s="278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889</v>
      </c>
      <c r="C1152" s="277" t="s">
        <v>844</v>
      </c>
      <c r="D1152" s="278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890</v>
      </c>
      <c r="C1153" s="277" t="s">
        <v>844</v>
      </c>
      <c r="D1153" s="278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891</v>
      </c>
      <c r="C1154" s="277" t="s">
        <v>844</v>
      </c>
      <c r="D1154" s="278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892</v>
      </c>
      <c r="C1155" s="277" t="s">
        <v>844</v>
      </c>
      <c r="D1155" s="278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893</v>
      </c>
      <c r="C1156" s="277" t="s">
        <v>844</v>
      </c>
      <c r="D1156" s="278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894</v>
      </c>
      <c r="C1157" s="277" t="s">
        <v>844</v>
      </c>
      <c r="D1157" s="278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895</v>
      </c>
      <c r="C1158" s="277" t="s">
        <v>844</v>
      </c>
      <c r="D1158" s="278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896</v>
      </c>
      <c r="C1159" s="277" t="s">
        <v>844</v>
      </c>
      <c r="D1159" s="278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897</v>
      </c>
      <c r="C1160" s="277" t="s">
        <v>844</v>
      </c>
      <c r="D1160" s="278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898</v>
      </c>
      <c r="C1161" s="277" t="s">
        <v>844</v>
      </c>
      <c r="D1161" s="278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899</v>
      </c>
      <c r="C1162" s="277" t="s">
        <v>844</v>
      </c>
      <c r="D1162" s="278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900</v>
      </c>
      <c r="C1163" s="277" t="s">
        <v>844</v>
      </c>
      <c r="D1163" s="278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901</v>
      </c>
      <c r="C1164" s="277" t="s">
        <v>844</v>
      </c>
      <c r="D1164" s="278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902</v>
      </c>
      <c r="C1165" s="277" t="s">
        <v>844</v>
      </c>
      <c r="D1165" s="278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903</v>
      </c>
      <c r="C1166" s="277" t="s">
        <v>844</v>
      </c>
      <c r="D1166" s="278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904</v>
      </c>
      <c r="C1167" s="277" t="s">
        <v>844</v>
      </c>
      <c r="D1167" s="278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905</v>
      </c>
      <c r="C1168" s="277" t="s">
        <v>844</v>
      </c>
      <c r="D1168" s="278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906</v>
      </c>
      <c r="C1169" s="277" t="s">
        <v>844</v>
      </c>
      <c r="D1169" s="278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907</v>
      </c>
      <c r="C1170" s="277" t="s">
        <v>844</v>
      </c>
      <c r="D1170" s="278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908</v>
      </c>
      <c r="C1171" s="277" t="s">
        <v>844</v>
      </c>
      <c r="D1171" s="278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909</v>
      </c>
      <c r="C1172" s="277" t="s">
        <v>844</v>
      </c>
      <c r="D1172" s="278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910</v>
      </c>
      <c r="C1173" s="277" t="s">
        <v>844</v>
      </c>
      <c r="D1173" s="278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911</v>
      </c>
      <c r="C1174" s="277" t="s">
        <v>844</v>
      </c>
      <c r="D1174" s="278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912</v>
      </c>
      <c r="C1175" s="277" t="s">
        <v>844</v>
      </c>
      <c r="D1175" s="278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913</v>
      </c>
      <c r="C1176" s="277" t="s">
        <v>844</v>
      </c>
      <c r="D1176" s="278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914</v>
      </c>
      <c r="C1177" s="277" t="s">
        <v>844</v>
      </c>
      <c r="D1177" s="278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915</v>
      </c>
      <c r="C1178" s="277" t="s">
        <v>844</v>
      </c>
      <c r="D1178" s="278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916</v>
      </c>
      <c r="C1179" s="277" t="s">
        <v>844</v>
      </c>
      <c r="D1179" s="278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917</v>
      </c>
      <c r="C1180" s="277" t="s">
        <v>844</v>
      </c>
      <c r="D1180" s="278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918</v>
      </c>
      <c r="C1181" s="277" t="s">
        <v>844</v>
      </c>
      <c r="D1181" s="278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919</v>
      </c>
      <c r="C1182" s="277" t="s">
        <v>844</v>
      </c>
      <c r="D1182" s="278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920</v>
      </c>
      <c r="C1183" s="277" t="s">
        <v>844</v>
      </c>
      <c r="D1183" s="278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921</v>
      </c>
      <c r="C1184" s="277" t="s">
        <v>844</v>
      </c>
      <c r="D1184" s="278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922</v>
      </c>
      <c r="C1185" s="277" t="s">
        <v>844</v>
      </c>
      <c r="D1185" s="278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923</v>
      </c>
      <c r="C1186" s="277" t="s">
        <v>844</v>
      </c>
      <c r="D1186" s="278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924</v>
      </c>
      <c r="C1187" s="277" t="s">
        <v>844</v>
      </c>
      <c r="D1187" s="278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925</v>
      </c>
      <c r="C1188" s="277" t="s">
        <v>844</v>
      </c>
      <c r="D1188" s="278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926</v>
      </c>
      <c r="C1189" s="277" t="s">
        <v>844</v>
      </c>
      <c r="D1189" s="278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927</v>
      </c>
      <c r="C1190" s="277" t="s">
        <v>844</v>
      </c>
      <c r="D1190" s="278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928</v>
      </c>
      <c r="C1191" s="277" t="s">
        <v>844</v>
      </c>
      <c r="D1191" s="278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929</v>
      </c>
      <c r="C1192" s="277" t="s">
        <v>844</v>
      </c>
      <c r="D1192" s="278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930</v>
      </c>
      <c r="C1193" s="277" t="s">
        <v>844</v>
      </c>
      <c r="D1193" s="278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931</v>
      </c>
      <c r="C1194" s="277" t="s">
        <v>844</v>
      </c>
      <c r="D1194" s="278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932</v>
      </c>
      <c r="C1195" s="277" t="s">
        <v>844</v>
      </c>
      <c r="D1195" s="278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933</v>
      </c>
      <c r="C1196" s="277" t="s">
        <v>844</v>
      </c>
      <c r="D1196" s="278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934</v>
      </c>
      <c r="C1197" s="277" t="s">
        <v>844</v>
      </c>
      <c r="D1197" s="278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935</v>
      </c>
      <c r="C1198" s="277" t="s">
        <v>844</v>
      </c>
      <c r="D1198" s="278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936</v>
      </c>
      <c r="C1199" s="277" t="s">
        <v>844</v>
      </c>
      <c r="D1199" s="278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937</v>
      </c>
      <c r="C1200" s="277" t="s">
        <v>844</v>
      </c>
      <c r="D1200" s="278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938</v>
      </c>
      <c r="C1201" s="277" t="s">
        <v>844</v>
      </c>
      <c r="D1201" s="278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939</v>
      </c>
      <c r="C1202" s="277" t="s">
        <v>844</v>
      </c>
      <c r="D1202" s="278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940</v>
      </c>
      <c r="C1203" s="277" t="s">
        <v>844</v>
      </c>
      <c r="D1203" s="278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941</v>
      </c>
      <c r="C1204" s="277" t="s">
        <v>844</v>
      </c>
      <c r="D1204" s="278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942</v>
      </c>
      <c r="C1205" s="277" t="s">
        <v>844</v>
      </c>
      <c r="D1205" s="278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943</v>
      </c>
      <c r="C1206" s="277" t="s">
        <v>844</v>
      </c>
      <c r="D1206" s="278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944</v>
      </c>
      <c r="C1207" s="277" t="s">
        <v>844</v>
      </c>
      <c r="D1207" s="278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945</v>
      </c>
      <c r="C1208" s="277" t="s">
        <v>844</v>
      </c>
      <c r="D1208" s="278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946</v>
      </c>
      <c r="C1209" s="277" t="s">
        <v>844</v>
      </c>
      <c r="D1209" s="278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947</v>
      </c>
      <c r="C1210" s="277" t="s">
        <v>844</v>
      </c>
      <c r="D1210" s="278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948</v>
      </c>
      <c r="C1211" s="277" t="s">
        <v>844</v>
      </c>
      <c r="D1211" s="278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949</v>
      </c>
      <c r="C1212" s="277" t="s">
        <v>844</v>
      </c>
      <c r="D1212" s="278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950</v>
      </c>
      <c r="C1213" s="277" t="s">
        <v>844</v>
      </c>
      <c r="D1213" s="278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951</v>
      </c>
      <c r="C1214" s="277" t="s">
        <v>844</v>
      </c>
      <c r="D1214" s="278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952</v>
      </c>
      <c r="C1215" s="277" t="s">
        <v>844</v>
      </c>
      <c r="D1215" s="278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953</v>
      </c>
      <c r="C1216" s="277" t="s">
        <v>844</v>
      </c>
      <c r="D1216" s="278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954</v>
      </c>
      <c r="C1217" s="277" t="s">
        <v>844</v>
      </c>
      <c r="D1217" s="278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955</v>
      </c>
      <c r="C1218" s="277" t="s">
        <v>844</v>
      </c>
      <c r="D1218" s="278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956</v>
      </c>
      <c r="C1219" s="277" t="s">
        <v>844</v>
      </c>
      <c r="D1219" s="278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957</v>
      </c>
      <c r="C1220" s="277" t="s">
        <v>844</v>
      </c>
      <c r="D1220" s="278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958</v>
      </c>
      <c r="C1221" s="277" t="s">
        <v>844</v>
      </c>
      <c r="D1221" s="278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959</v>
      </c>
      <c r="C1222" s="277" t="s">
        <v>844</v>
      </c>
      <c r="D1222" s="278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960</v>
      </c>
      <c r="C1223" s="277" t="s">
        <v>844</v>
      </c>
      <c r="D1223" s="278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961</v>
      </c>
      <c r="C1224" s="277" t="s">
        <v>844</v>
      </c>
      <c r="D1224" s="278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962</v>
      </c>
      <c r="C1225" s="277" t="s">
        <v>844</v>
      </c>
      <c r="D1225" s="278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963</v>
      </c>
      <c r="C1226" s="277" t="s">
        <v>844</v>
      </c>
      <c r="D1226" s="278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964</v>
      </c>
      <c r="C1227" s="277" t="s">
        <v>844</v>
      </c>
      <c r="D1227" s="278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965</v>
      </c>
      <c r="C1228" s="277" t="s">
        <v>844</v>
      </c>
      <c r="D1228" s="278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966</v>
      </c>
      <c r="C1229" s="277" t="s">
        <v>844</v>
      </c>
      <c r="D1229" s="278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967</v>
      </c>
      <c r="C1230" s="277" t="s">
        <v>844</v>
      </c>
      <c r="D1230" s="278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968</v>
      </c>
      <c r="C1231" s="277" t="s">
        <v>844</v>
      </c>
      <c r="D1231" s="278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969</v>
      </c>
      <c r="C1232" s="277" t="s">
        <v>844</v>
      </c>
      <c r="D1232" s="278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970</v>
      </c>
      <c r="C1233" s="277" t="s">
        <v>844</v>
      </c>
      <c r="D1233" s="278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971</v>
      </c>
      <c r="C1234" s="277" t="s">
        <v>844</v>
      </c>
      <c r="D1234" s="278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972</v>
      </c>
      <c r="C1235" s="277" t="s">
        <v>844</v>
      </c>
      <c r="D1235" s="278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973</v>
      </c>
      <c r="C1236" s="277" t="s">
        <v>844</v>
      </c>
      <c r="D1236" s="278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974</v>
      </c>
      <c r="C1237" s="277" t="s">
        <v>844</v>
      </c>
      <c r="D1237" s="278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975</v>
      </c>
      <c r="C1238" s="277" t="s">
        <v>844</v>
      </c>
      <c r="D1238" s="278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976</v>
      </c>
      <c r="C1239" s="277" t="s">
        <v>844</v>
      </c>
      <c r="D1239" s="278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977</v>
      </c>
      <c r="C1240" s="277" t="s">
        <v>844</v>
      </c>
      <c r="D1240" s="278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978</v>
      </c>
      <c r="C1241" s="277" t="s">
        <v>844</v>
      </c>
      <c r="D1241" s="278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979</v>
      </c>
      <c r="C1242" s="277" t="s">
        <v>844</v>
      </c>
      <c r="D1242" s="278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980</v>
      </c>
      <c r="C1243" s="277" t="s">
        <v>844</v>
      </c>
      <c r="D1243" s="278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981</v>
      </c>
      <c r="C1244" s="277" t="s">
        <v>844</v>
      </c>
      <c r="D1244" s="278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982</v>
      </c>
      <c r="C1245" s="277" t="s">
        <v>844</v>
      </c>
      <c r="D1245" s="278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983</v>
      </c>
      <c r="C1246" s="277" t="s">
        <v>844</v>
      </c>
      <c r="D1246" s="278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984</v>
      </c>
      <c r="C1247" s="277" t="s">
        <v>844</v>
      </c>
      <c r="D1247" s="278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985</v>
      </c>
      <c r="C1248" s="277" t="s">
        <v>844</v>
      </c>
      <c r="D1248" s="278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986</v>
      </c>
      <c r="C1249" s="277" t="s">
        <v>844</v>
      </c>
      <c r="D1249" s="278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987</v>
      </c>
      <c r="C1250" s="277" t="s">
        <v>844</v>
      </c>
      <c r="D1250" s="278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988</v>
      </c>
      <c r="C1251" s="277" t="s">
        <v>844</v>
      </c>
      <c r="D1251" s="278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989</v>
      </c>
      <c r="C1252" s="277" t="s">
        <v>844</v>
      </c>
      <c r="D1252" s="278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990</v>
      </c>
      <c r="C1253" s="277" t="s">
        <v>844</v>
      </c>
      <c r="D1253" s="278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991</v>
      </c>
      <c r="C1254" s="277" t="s">
        <v>844</v>
      </c>
      <c r="D1254" s="278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992</v>
      </c>
      <c r="C1255" s="277" t="s">
        <v>844</v>
      </c>
      <c r="D1255" s="278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993</v>
      </c>
      <c r="C1256" s="277" t="s">
        <v>844</v>
      </c>
      <c r="D1256" s="278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994</v>
      </c>
      <c r="C1257" s="277" t="s">
        <v>844</v>
      </c>
      <c r="D1257" s="278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995</v>
      </c>
      <c r="C1258" s="277" t="s">
        <v>844</v>
      </c>
      <c r="D1258" s="278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996</v>
      </c>
      <c r="C1259" s="277" t="s">
        <v>844</v>
      </c>
      <c r="D1259" s="278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997</v>
      </c>
      <c r="C1260" s="277" t="s">
        <v>844</v>
      </c>
      <c r="D1260" s="278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998</v>
      </c>
      <c r="C1261" s="277" t="s">
        <v>844</v>
      </c>
      <c r="D1261" s="278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999</v>
      </c>
      <c r="C1262" s="277" t="s">
        <v>844</v>
      </c>
      <c r="D1262" s="278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1000</v>
      </c>
      <c r="C1263" s="277" t="s">
        <v>844</v>
      </c>
      <c r="D1263" s="278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1001</v>
      </c>
      <c r="C1264" s="277" t="s">
        <v>844</v>
      </c>
      <c r="D1264" s="278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1002</v>
      </c>
      <c r="C1265" s="277" t="s">
        <v>844</v>
      </c>
      <c r="D1265" s="278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1003</v>
      </c>
      <c r="C1266" s="277" t="s">
        <v>844</v>
      </c>
      <c r="D1266" s="278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1004</v>
      </c>
      <c r="C1267" s="277" t="s">
        <v>844</v>
      </c>
      <c r="D1267" s="278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1005</v>
      </c>
      <c r="C1268" s="277" t="s">
        <v>844</v>
      </c>
      <c r="D1268" s="278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1006</v>
      </c>
      <c r="C1269" s="277" t="s">
        <v>844</v>
      </c>
      <c r="D1269" s="278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1007</v>
      </c>
      <c r="C1270" s="277" t="s">
        <v>844</v>
      </c>
      <c r="D1270" s="278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1008</v>
      </c>
      <c r="C1271" s="277" t="s">
        <v>844</v>
      </c>
      <c r="D1271" s="278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1009</v>
      </c>
      <c r="C1272" s="277" t="s">
        <v>844</v>
      </c>
      <c r="D1272" s="278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1010</v>
      </c>
      <c r="C1273" s="277" t="s">
        <v>844</v>
      </c>
      <c r="D1273" s="278" t="s">
        <v>98</v>
      </c>
      <c r="E1273" s="141">
        <v>44533.333333333336</v>
      </c>
      <c r="F1273" s="279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1011</v>
      </c>
      <c r="C1274" s="277" t="s">
        <v>844</v>
      </c>
      <c r="D1274" s="278" t="s">
        <v>98</v>
      </c>
      <c r="E1274" s="141">
        <v>30900</v>
      </c>
      <c r="F1274" s="279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1012</v>
      </c>
      <c r="C1275" s="277" t="s">
        <v>844</v>
      </c>
      <c r="D1275" s="278" t="s">
        <v>1013</v>
      </c>
      <c r="E1275" s="141">
        <v>44500</v>
      </c>
      <c r="F1275" s="279" t="s">
        <v>98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1014</v>
      </c>
      <c r="C1276" s="277" t="s">
        <v>844</v>
      </c>
      <c r="D1276" s="278" t="s">
        <v>98</v>
      </c>
      <c r="E1276" s="141">
        <v>22370</v>
      </c>
      <c r="F1276" s="279" t="s">
        <v>98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1015</v>
      </c>
      <c r="C1277" s="277" t="s">
        <v>844</v>
      </c>
      <c r="D1277" s="278" t="s">
        <v>98</v>
      </c>
      <c r="E1277" s="141">
        <v>184100</v>
      </c>
      <c r="F1277" s="279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1016</v>
      </c>
      <c r="C1278" s="277" t="s">
        <v>844</v>
      </c>
      <c r="D1278" s="278" t="s">
        <v>98</v>
      </c>
      <c r="E1278" s="141">
        <v>6333.3374999999996</v>
      </c>
      <c r="F1278" s="279" t="s">
        <v>98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1017</v>
      </c>
      <c r="C1279" s="277" t="s">
        <v>844</v>
      </c>
      <c r="D1279" s="278" t="s">
        <v>98</v>
      </c>
      <c r="E1279" s="141">
        <v>17266.599999999999</v>
      </c>
      <c r="F1279" s="279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1018</v>
      </c>
      <c r="C1280" s="277" t="s">
        <v>844</v>
      </c>
      <c r="D1280" s="278" t="s">
        <v>98</v>
      </c>
      <c r="E1280" s="141">
        <v>6796.7</v>
      </c>
      <c r="F1280" s="279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1019</v>
      </c>
      <c r="C1281" s="277" t="s">
        <v>844</v>
      </c>
      <c r="D1281" s="278" t="s">
        <v>98</v>
      </c>
      <c r="E1281" s="141">
        <v>182666.66666666666</v>
      </c>
      <c r="F1281" s="279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1020</v>
      </c>
      <c r="C1282" s="277" t="s">
        <v>844</v>
      </c>
      <c r="D1282" s="278" t="s">
        <v>1013</v>
      </c>
      <c r="E1282" s="141">
        <v>2500</v>
      </c>
      <c r="F1282" s="279" t="s">
        <v>98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1021</v>
      </c>
      <c r="C1283" s="277" t="s">
        <v>844</v>
      </c>
      <c r="D1283" s="278" t="s">
        <v>98</v>
      </c>
      <c r="E1283" s="141">
        <v>46996.6</v>
      </c>
      <c r="F1283" s="279" t="s">
        <v>98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1021</v>
      </c>
      <c r="C1284" s="277" t="s">
        <v>844</v>
      </c>
      <c r="D1284" s="278" t="s">
        <v>98</v>
      </c>
      <c r="E1284" s="141">
        <v>48330</v>
      </c>
      <c r="F1284" s="279" t="s">
        <v>98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1022</v>
      </c>
      <c r="C1285" s="277" t="s">
        <v>844</v>
      </c>
      <c r="D1285" s="278" t="s">
        <v>1023</v>
      </c>
      <c r="E1285" s="141">
        <v>10166.700000000001</v>
      </c>
      <c r="F1285" s="279" t="s">
        <v>1023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1024</v>
      </c>
      <c r="C1286" s="277" t="s">
        <v>844</v>
      </c>
      <c r="D1286" s="278" t="s">
        <v>98</v>
      </c>
      <c r="E1286" s="141">
        <v>104388.75</v>
      </c>
      <c r="F1286" s="279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1025</v>
      </c>
      <c r="C1287" s="277" t="s">
        <v>844</v>
      </c>
      <c r="D1287" s="278" t="s">
        <v>98</v>
      </c>
      <c r="E1287" s="141">
        <v>79760</v>
      </c>
      <c r="F1287" s="279" t="s">
        <v>98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1026</v>
      </c>
      <c r="C1288" s="277" t="s">
        <v>844</v>
      </c>
      <c r="D1288" s="278" t="s">
        <v>192</v>
      </c>
      <c r="E1288" s="141">
        <v>62000</v>
      </c>
      <c r="F1288" s="279" t="s">
        <v>192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1027</v>
      </c>
      <c r="C1289" s="277" t="s">
        <v>844</v>
      </c>
      <c r="D1289" s="278" t="s">
        <v>98</v>
      </c>
      <c r="E1289" s="141">
        <v>152500</v>
      </c>
      <c r="F1289" s="279" t="s">
        <v>98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1028</v>
      </c>
      <c r="C1290" s="277" t="s">
        <v>844</v>
      </c>
      <c r="D1290" s="278" t="s">
        <v>98</v>
      </c>
      <c r="E1290" s="141">
        <v>432050</v>
      </c>
      <c r="F1290" s="279" t="s">
        <v>98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1029</v>
      </c>
      <c r="C1328" s="37" t="s">
        <v>1030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1031</v>
      </c>
      <c r="C1329" s="37" t="s">
        <v>1030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1032</v>
      </c>
      <c r="C1330" s="37" t="s">
        <v>1030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1033</v>
      </c>
      <c r="C1331" s="37" t="s">
        <v>1030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1034</v>
      </c>
      <c r="C1332" s="37" t="s">
        <v>1030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1035</v>
      </c>
      <c r="C1333" s="37" t="s">
        <v>1030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1036</v>
      </c>
      <c r="C1334" s="37" t="s">
        <v>1030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1037</v>
      </c>
      <c r="C1335" s="37" t="s">
        <v>1030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1038</v>
      </c>
      <c r="C1336" s="37" t="s">
        <v>1030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1039</v>
      </c>
      <c r="C1337" s="37" t="s">
        <v>1030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1040</v>
      </c>
      <c r="C1338" s="37" t="s">
        <v>1030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1041</v>
      </c>
      <c r="C1339" s="37" t="s">
        <v>1030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1042</v>
      </c>
      <c r="C1340" s="37" t="s">
        <v>1030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1043</v>
      </c>
      <c r="C1341" s="37" t="s">
        <v>1030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1044</v>
      </c>
      <c r="C1342" s="37" t="s">
        <v>1030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1045</v>
      </c>
      <c r="C1343" s="37" t="s">
        <v>1030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1046</v>
      </c>
      <c r="C1344" s="37" t="s">
        <v>1030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1047</v>
      </c>
      <c r="C1345" s="37" t="s">
        <v>1030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1048</v>
      </c>
      <c r="C1346" s="37" t="s">
        <v>1030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1049</v>
      </c>
      <c r="C1347" s="37" t="s">
        <v>1030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1050</v>
      </c>
      <c r="C1348" s="37" t="s">
        <v>1030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1051</v>
      </c>
      <c r="C1349" s="37" t="s">
        <v>1030</v>
      </c>
      <c r="D1349" s="48" t="s">
        <v>1052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1053</v>
      </c>
      <c r="C1350" s="37" t="s">
        <v>1030</v>
      </c>
      <c r="D1350" s="48" t="s">
        <v>1054</v>
      </c>
      <c r="E1350" s="43">
        <v>6081.3</v>
      </c>
      <c r="F1350" s="188" t="s">
        <v>1054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1055</v>
      </c>
      <c r="C1351" s="37" t="s">
        <v>1030</v>
      </c>
      <c r="D1351" s="48" t="s">
        <v>1056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1057</v>
      </c>
      <c r="C1352" s="37" t="s">
        <v>1030</v>
      </c>
      <c r="D1352" s="48" t="s">
        <v>1054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1058</v>
      </c>
      <c r="C1353" s="37" t="s">
        <v>1030</v>
      </c>
      <c r="D1353" s="48" t="s">
        <v>1059</v>
      </c>
      <c r="E1353" s="43">
        <v>17300</v>
      </c>
      <c r="F1353" s="188" t="s">
        <v>1059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1060</v>
      </c>
      <c r="C1354" s="37" t="s">
        <v>1030</v>
      </c>
      <c r="D1354" s="48" t="s">
        <v>1061</v>
      </c>
      <c r="E1354" s="43">
        <v>1583.1533333333334</v>
      </c>
      <c r="F1354" s="188" t="s">
        <v>1061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1062</v>
      </c>
      <c r="C1355" s="37" t="s">
        <v>1030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1063</v>
      </c>
      <c r="C1356" s="37" t="s">
        <v>1030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1064</v>
      </c>
      <c r="C1357" s="37" t="s">
        <v>1030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1065</v>
      </c>
      <c r="C1358" s="37" t="s">
        <v>1030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1066</v>
      </c>
      <c r="C1359" s="37" t="s">
        <v>1030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1067</v>
      </c>
      <c r="C1360" s="37" t="s">
        <v>1030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1068</v>
      </c>
      <c r="C1361" s="37" t="s">
        <v>1030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1069</v>
      </c>
      <c r="C1362" s="37" t="s">
        <v>1030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1070</v>
      </c>
      <c r="C1363" s="37" t="s">
        <v>1030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1071</v>
      </c>
      <c r="C1364" s="37" t="s">
        <v>1030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1072</v>
      </c>
      <c r="C1365" s="37" t="s">
        <v>1030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1073</v>
      </c>
      <c r="C1366" s="37" t="s">
        <v>1030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1074</v>
      </c>
      <c r="C1367" s="37" t="s">
        <v>1030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1075</v>
      </c>
      <c r="C1368" s="37" t="s">
        <v>1030</v>
      </c>
      <c r="D1368" s="48" t="s">
        <v>1076</v>
      </c>
      <c r="E1368" s="43">
        <v>23233.4</v>
      </c>
      <c r="F1368" s="188" t="s">
        <v>1023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1077</v>
      </c>
      <c r="C1369" s="37" t="s">
        <v>1030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1078</v>
      </c>
      <c r="C1370" s="37" t="s">
        <v>1030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1079</v>
      </c>
      <c r="C1371" s="37" t="s">
        <v>1030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1080</v>
      </c>
      <c r="C1372" s="37" t="s">
        <v>1030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1081</v>
      </c>
      <c r="C1373" s="161" t="s">
        <v>1030</v>
      </c>
      <c r="D1373" s="298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1082</v>
      </c>
      <c r="C1374" s="161" t="s">
        <v>1030</v>
      </c>
      <c r="D1374" s="291" t="s">
        <v>98</v>
      </c>
      <c r="E1374" s="62"/>
      <c r="F1374" s="191" t="s">
        <v>98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1083</v>
      </c>
      <c r="C1375" s="161" t="s">
        <v>1030</v>
      </c>
      <c r="D1375" s="291" t="s">
        <v>98</v>
      </c>
      <c r="E1375" s="62"/>
      <c r="F1375" s="191" t="s">
        <v>98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1084</v>
      </c>
      <c r="C1376" s="161" t="s">
        <v>1030</v>
      </c>
      <c r="D1376" s="291" t="s">
        <v>98</v>
      </c>
      <c r="E1376" s="62"/>
      <c r="F1376" s="191" t="s">
        <v>98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1085</v>
      </c>
      <c r="C1377" s="161" t="s">
        <v>1030</v>
      </c>
      <c r="D1377" s="291" t="s">
        <v>98</v>
      </c>
      <c r="E1377" s="62"/>
      <c r="F1377" s="191" t="s">
        <v>98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1086</v>
      </c>
      <c r="C1378" s="161" t="s">
        <v>1030</v>
      </c>
      <c r="D1378" s="291" t="s">
        <v>98</v>
      </c>
      <c r="E1378" s="62"/>
      <c r="F1378" s="191" t="s">
        <v>98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1087</v>
      </c>
      <c r="C1379" s="37" t="s">
        <v>1030</v>
      </c>
      <c r="D1379" s="292" t="s">
        <v>98</v>
      </c>
      <c r="E1379" s="43"/>
      <c r="F1379" s="188" t="s">
        <v>98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1088</v>
      </c>
      <c r="C1380" s="220" t="s">
        <v>1030</v>
      </c>
      <c r="D1380" s="293" t="s">
        <v>98</v>
      </c>
      <c r="E1380" s="166"/>
      <c r="F1380" s="192" t="s">
        <v>98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1089</v>
      </c>
      <c r="C1381" s="220" t="s">
        <v>1030</v>
      </c>
      <c r="D1381" s="293" t="s">
        <v>98</v>
      </c>
      <c r="E1381" s="166"/>
      <c r="F1381" s="192" t="s">
        <v>98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1090</v>
      </c>
      <c r="C1382" s="222" t="s">
        <v>1030</v>
      </c>
      <c r="D1382" s="294" t="s">
        <v>98</v>
      </c>
      <c r="E1382" s="223"/>
      <c r="F1382" s="193" t="s">
        <v>98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1091</v>
      </c>
      <c r="C1383" s="222" t="s">
        <v>1030</v>
      </c>
      <c r="D1383" s="10" t="s">
        <v>98</v>
      </c>
      <c r="E1383" s="223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1092</v>
      </c>
      <c r="C1384" s="220" t="s">
        <v>1030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1093</v>
      </c>
      <c r="C1385" s="220" t="s">
        <v>1030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1094</v>
      </c>
      <c r="C1386" s="220" t="s">
        <v>1030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1095</v>
      </c>
      <c r="C1387" s="220" t="s">
        <v>1030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1096</v>
      </c>
      <c r="C1388" s="220" t="s">
        <v>1030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1097</v>
      </c>
      <c r="C1389" s="220" t="s">
        <v>1030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1098</v>
      </c>
      <c r="C1390" s="220" t="s">
        <v>1030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1099</v>
      </c>
      <c r="C1391" s="220" t="s">
        <v>1030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1100</v>
      </c>
      <c r="C1392" s="220" t="s">
        <v>1030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1101</v>
      </c>
      <c r="C1393" s="220" t="s">
        <v>1030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1102</v>
      </c>
      <c r="C1394" s="220" t="s">
        <v>1030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1103</v>
      </c>
      <c r="C1395" s="220" t="s">
        <v>1030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1104</v>
      </c>
      <c r="C1396" s="220" t="s">
        <v>1030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1105</v>
      </c>
      <c r="C1397" s="220" t="s">
        <v>1030</v>
      </c>
      <c r="D1397" s="249" t="s">
        <v>1052</v>
      </c>
      <c r="E1397" s="166">
        <v>74866.666666666672</v>
      </c>
      <c r="F1397" s="193" t="s">
        <v>1052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1106</v>
      </c>
      <c r="C1398" s="220" t="s">
        <v>1030</v>
      </c>
      <c r="D1398" s="249" t="s">
        <v>1107</v>
      </c>
      <c r="E1398" s="166">
        <v>74866.666666666672</v>
      </c>
      <c r="F1398" s="193" t="s">
        <v>1107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1108</v>
      </c>
      <c r="C1399" s="220" t="s">
        <v>1030</v>
      </c>
      <c r="D1399" s="249" t="s">
        <v>98</v>
      </c>
      <c r="E1399" s="166">
        <v>19073</v>
      </c>
      <c r="F1399" s="193" t="s">
        <v>98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1109</v>
      </c>
      <c r="C1400" s="220" t="s">
        <v>1030</v>
      </c>
      <c r="D1400" s="249" t="s">
        <v>98</v>
      </c>
      <c r="E1400" s="166">
        <v>866.66499999999996</v>
      </c>
      <c r="F1400" s="193" t="s">
        <v>98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1110</v>
      </c>
      <c r="C1401" s="220" t="s">
        <v>1030</v>
      </c>
      <c r="D1401" s="249" t="s">
        <v>1061</v>
      </c>
      <c r="E1401" s="166">
        <v>513.33285714285716</v>
      </c>
      <c r="F1401" s="193" t="s">
        <v>1061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1111</v>
      </c>
      <c r="C1402" s="220" t="s">
        <v>1030</v>
      </c>
      <c r="D1402" s="249" t="s">
        <v>98</v>
      </c>
      <c r="E1402" s="166">
        <v>19000</v>
      </c>
      <c r="F1402" s="193" t="s">
        <v>98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1112</v>
      </c>
      <c r="C1403" s="220" t="s">
        <v>1030</v>
      </c>
      <c r="D1403" s="249" t="s">
        <v>98</v>
      </c>
      <c r="E1403" s="166">
        <v>3800</v>
      </c>
      <c r="F1403" s="193" t="s">
        <v>98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1113</v>
      </c>
      <c r="C1404" s="220" t="s">
        <v>1030</v>
      </c>
      <c r="D1404" s="249" t="s">
        <v>160</v>
      </c>
      <c r="E1404" s="166">
        <v>3200</v>
      </c>
      <c r="F1404" s="193" t="s">
        <v>160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1114</v>
      </c>
      <c r="C1405" s="220" t="s">
        <v>1030</v>
      </c>
      <c r="D1405" s="249" t="s">
        <v>202</v>
      </c>
      <c r="E1405" s="166">
        <v>7200</v>
      </c>
      <c r="F1405" s="193" t="s">
        <v>1052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1115</v>
      </c>
      <c r="C1406" s="222" t="s">
        <v>1030</v>
      </c>
      <c r="D1406" s="10" t="s">
        <v>349</v>
      </c>
      <c r="E1406" s="223"/>
      <c r="F1406" s="294" t="s">
        <v>349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1116</v>
      </c>
      <c r="C1407" s="220" t="s">
        <v>1030</v>
      </c>
      <c r="D1407" s="10" t="s">
        <v>349</v>
      </c>
      <c r="E1407" s="166"/>
      <c r="F1407" s="10" t="s">
        <v>349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1117</v>
      </c>
      <c r="C1408" s="220" t="s">
        <v>1030</v>
      </c>
      <c r="D1408" s="10" t="s">
        <v>349</v>
      </c>
      <c r="E1408" s="166"/>
      <c r="F1408" s="10" t="s">
        <v>349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1118</v>
      </c>
      <c r="C1409" s="220" t="s">
        <v>1030</v>
      </c>
      <c r="D1409" s="10" t="s">
        <v>349</v>
      </c>
      <c r="E1409" s="166"/>
      <c r="F1409" s="10" t="s">
        <v>349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1119</v>
      </c>
      <c r="C1410" s="220" t="s">
        <v>1030</v>
      </c>
      <c r="D1410" s="249" t="s">
        <v>98</v>
      </c>
      <c r="E1410" s="166">
        <v>6013.33</v>
      </c>
      <c r="F1410" s="274" t="s">
        <v>98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1120</v>
      </c>
      <c r="C1411" s="220" t="s">
        <v>1030</v>
      </c>
      <c r="D1411" s="249" t="s">
        <v>98</v>
      </c>
      <c r="E1411" s="166">
        <v>1101.5</v>
      </c>
      <c r="F1411" s="274" t="s">
        <v>98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1121</v>
      </c>
      <c r="C1412" s="220" t="s">
        <v>1030</v>
      </c>
      <c r="D1412" s="249" t="s">
        <v>98</v>
      </c>
      <c r="E1412" s="166">
        <v>11100</v>
      </c>
      <c r="F1412" s="274" t="s">
        <v>98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1122</v>
      </c>
      <c r="C1413" s="220" t="s">
        <v>1030</v>
      </c>
      <c r="D1413" s="10" t="s">
        <v>349</v>
      </c>
      <c r="E1413" s="166"/>
      <c r="F1413" s="10" t="s">
        <v>349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1123</v>
      </c>
      <c r="C1414" s="220" t="s">
        <v>1030</v>
      </c>
      <c r="D1414" s="10" t="s">
        <v>349</v>
      </c>
      <c r="E1414" s="166"/>
      <c r="F1414" s="10" t="s">
        <v>349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1124</v>
      </c>
      <c r="C1415" s="222" t="s">
        <v>1030</v>
      </c>
      <c r="D1415" s="10" t="s">
        <v>349</v>
      </c>
      <c r="E1415" s="223"/>
      <c r="F1415" s="10" t="s">
        <v>349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1125</v>
      </c>
      <c r="C1428" s="220" t="s">
        <v>44</v>
      </c>
      <c r="D1428" s="236" t="s">
        <v>1126</v>
      </c>
      <c r="E1428" s="43">
        <v>35093.533333333333</v>
      </c>
      <c r="F1428" s="188" t="s">
        <v>1126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1127</v>
      </c>
      <c r="C1429" s="220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1128</v>
      </c>
      <c r="C1430" s="220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1129</v>
      </c>
      <c r="C1431" s="220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1130</v>
      </c>
      <c r="C1432" s="220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1131</v>
      </c>
      <c r="C1433" s="220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1132</v>
      </c>
      <c r="C1434" s="220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1133</v>
      </c>
      <c r="C1435" s="220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1134</v>
      </c>
      <c r="C1436" s="220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1135</v>
      </c>
      <c r="C1437" s="220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1136</v>
      </c>
      <c r="C1438" s="220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1137</v>
      </c>
      <c r="C1439" s="220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1138</v>
      </c>
      <c r="C1440" s="220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1139</v>
      </c>
      <c r="C1441" s="220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1140</v>
      </c>
      <c r="C1442" s="220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1141</v>
      </c>
      <c r="C1443" s="220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1142</v>
      </c>
      <c r="C1444" s="220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1143</v>
      </c>
      <c r="C1445" s="220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1144</v>
      </c>
      <c r="C1446" s="220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1145</v>
      </c>
      <c r="C1447" s="220" t="s">
        <v>44</v>
      </c>
      <c r="D1447" s="48" t="s">
        <v>1061</v>
      </c>
      <c r="E1447" s="43">
        <v>3215</v>
      </c>
      <c r="F1447" s="188" t="s">
        <v>1061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1146</v>
      </c>
      <c r="C1448" s="220" t="s">
        <v>44</v>
      </c>
      <c r="D1448" s="48" t="s">
        <v>1061</v>
      </c>
      <c r="E1448" s="43">
        <v>8300</v>
      </c>
      <c r="F1448" s="188" t="s">
        <v>1061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1147</v>
      </c>
      <c r="C1449" s="220" t="s">
        <v>44</v>
      </c>
      <c r="D1449" s="48" t="s">
        <v>1061</v>
      </c>
      <c r="E1449" s="43">
        <v>3276</v>
      </c>
      <c r="F1449" s="188" t="s">
        <v>1061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1148</v>
      </c>
      <c r="C1450" s="220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1149</v>
      </c>
      <c r="C1451" s="220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1150</v>
      </c>
      <c r="C1452" s="220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1151</v>
      </c>
      <c r="C1453" s="220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1152</v>
      </c>
      <c r="C1454" s="220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1153</v>
      </c>
      <c r="C1455" s="220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1154</v>
      </c>
      <c r="C1456" s="220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1155</v>
      </c>
      <c r="C1457" s="220" t="s">
        <v>44</v>
      </c>
      <c r="D1457" s="48" t="s">
        <v>1061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1156</v>
      </c>
      <c r="C1458" s="220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1157</v>
      </c>
      <c r="C1459" s="220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1158</v>
      </c>
      <c r="C1460" s="220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1159</v>
      </c>
      <c r="C1461" s="220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1160</v>
      </c>
      <c r="C1462" s="220" t="s">
        <v>44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1161</v>
      </c>
      <c r="C1463" s="220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1162</v>
      </c>
      <c r="C1464" s="220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1163</v>
      </c>
      <c r="C1465" s="220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1164</v>
      </c>
      <c r="C1466" s="220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1165</v>
      </c>
      <c r="C1467" s="220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1166</v>
      </c>
      <c r="C1468" s="220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1167</v>
      </c>
      <c r="C1469" s="220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1168</v>
      </c>
      <c r="C1470" s="220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1169</v>
      </c>
      <c r="C1471" s="220" t="s">
        <v>44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1170</v>
      </c>
      <c r="C1472" s="220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1171</v>
      </c>
      <c r="C1473" s="220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1172</v>
      </c>
      <c r="C1474" s="220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1173</v>
      </c>
      <c r="C1475" s="220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1174</v>
      </c>
      <c r="C1476" s="220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1175</v>
      </c>
      <c r="C1477" s="220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1176</v>
      </c>
      <c r="C1478" s="220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1177</v>
      </c>
      <c r="C1479" s="220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1178</v>
      </c>
      <c r="C1480" s="220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1179</v>
      </c>
      <c r="C1481" s="220" t="s">
        <v>44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1180</v>
      </c>
      <c r="C1482" s="220" t="s">
        <v>44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1181</v>
      </c>
      <c r="C1483" s="220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1182</v>
      </c>
      <c r="C1484" s="220" t="s">
        <v>44</v>
      </c>
      <c r="D1484" s="48" t="s">
        <v>1183</v>
      </c>
      <c r="E1484" s="43">
        <v>17375</v>
      </c>
      <c r="F1484" s="188" t="s">
        <v>1183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1184</v>
      </c>
      <c r="C1485" s="220" t="s">
        <v>44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1185</v>
      </c>
      <c r="C1486" s="220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1186</v>
      </c>
      <c r="C1487" s="220" t="s">
        <v>44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1187</v>
      </c>
      <c r="C1488" s="220" t="s">
        <v>44</v>
      </c>
      <c r="D1488" s="48" t="s">
        <v>1061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1188</v>
      </c>
      <c r="C1489" s="220" t="s">
        <v>44</v>
      </c>
      <c r="D1489" s="48" t="s">
        <v>1061</v>
      </c>
      <c r="E1489" s="43">
        <v>9275</v>
      </c>
      <c r="F1489" s="188" t="s">
        <v>1061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1189</v>
      </c>
      <c r="C1490" s="220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1190</v>
      </c>
      <c r="C1491" s="220" t="s">
        <v>44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1191</v>
      </c>
      <c r="C1492" s="220" t="s">
        <v>44</v>
      </c>
      <c r="D1492" s="48" t="s">
        <v>1061</v>
      </c>
      <c r="E1492" s="43">
        <v>189.5</v>
      </c>
      <c r="F1492" s="188" t="s">
        <v>1061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1192</v>
      </c>
      <c r="C1493" s="220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1193</v>
      </c>
      <c r="C1494" s="220" t="s">
        <v>44</v>
      </c>
      <c r="D1494" s="48" t="s">
        <v>1194</v>
      </c>
      <c r="E1494" s="43">
        <v>5850</v>
      </c>
      <c r="F1494" s="188" t="s">
        <v>1194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1195</v>
      </c>
      <c r="C1495" s="220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1196</v>
      </c>
      <c r="C1496" s="220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1197</v>
      </c>
      <c r="C1497" s="220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1198</v>
      </c>
      <c r="C1498" s="220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1199</v>
      </c>
      <c r="C1499" s="220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1200</v>
      </c>
      <c r="C1500" s="220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1201</v>
      </c>
      <c r="C1501" s="220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1202</v>
      </c>
      <c r="C1502" s="220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1203</v>
      </c>
      <c r="C1503" s="220" t="s">
        <v>44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1204</v>
      </c>
      <c r="C1504" s="220" t="s">
        <v>44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1205</v>
      </c>
      <c r="C1505" s="220" t="s">
        <v>44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1206</v>
      </c>
      <c r="C1506" s="220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1207</v>
      </c>
      <c r="C1507" s="220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1208</v>
      </c>
      <c r="C1508" s="220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1209</v>
      </c>
      <c r="C1509" s="220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1210</v>
      </c>
      <c r="C1510" s="37" t="s">
        <v>1030</v>
      </c>
      <c r="D1510" s="48" t="s">
        <v>1061</v>
      </c>
      <c r="E1510" s="43">
        <v>1583.1533333333334</v>
      </c>
      <c r="F1510" s="188" t="s">
        <v>1061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1211</v>
      </c>
      <c r="C1522" s="100" t="s">
        <v>1212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1213</v>
      </c>
      <c r="C1523" s="100" t="s">
        <v>1212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1214</v>
      </c>
      <c r="C1524" s="100" t="s">
        <v>1212</v>
      </c>
      <c r="D1524" s="93" t="s">
        <v>1215</v>
      </c>
      <c r="E1524" s="94"/>
      <c r="F1524" s="198" t="s">
        <v>1215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1216</v>
      </c>
      <c r="C1525" s="100" t="s">
        <v>1212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1217</v>
      </c>
      <c r="C1526" s="100" t="s">
        <v>1212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1218</v>
      </c>
      <c r="C1527" s="100" t="s">
        <v>1212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1219</v>
      </c>
      <c r="C1528" s="100" t="s">
        <v>1212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1220</v>
      </c>
      <c r="C1529" s="100" t="s">
        <v>1212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1221</v>
      </c>
      <c r="C1530" s="100" t="s">
        <v>1212</v>
      </c>
      <c r="D1530" s="93" t="s">
        <v>1222</v>
      </c>
      <c r="E1530" s="94"/>
      <c r="F1530" s="198" t="s">
        <v>1222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1223</v>
      </c>
      <c r="C1531" s="100" t="s">
        <v>1212</v>
      </c>
      <c r="D1531" s="96" t="s">
        <v>1215</v>
      </c>
      <c r="E1531" s="94"/>
      <c r="F1531" s="197" t="s">
        <v>1215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1224</v>
      </c>
      <c r="C1532" s="100" t="s">
        <v>1212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1225</v>
      </c>
      <c r="C1533" s="100" t="s">
        <v>1212</v>
      </c>
      <c r="D1533" s="93" t="s">
        <v>1215</v>
      </c>
      <c r="E1533" s="94"/>
      <c r="F1533" s="198" t="s">
        <v>1215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1226</v>
      </c>
      <c r="C1534" s="100" t="s">
        <v>1212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1227</v>
      </c>
      <c r="C1535" s="100" t="s">
        <v>1212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1228</v>
      </c>
      <c r="C1536" s="100" t="s">
        <v>1212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1229</v>
      </c>
      <c r="C1537" s="100" t="s">
        <v>1212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1230</v>
      </c>
      <c r="C1538" s="100" t="s">
        <v>1212</v>
      </c>
      <c r="D1538" s="93" t="s">
        <v>1222</v>
      </c>
      <c r="E1538" s="94"/>
      <c r="F1538" s="198" t="s">
        <v>1222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1231</v>
      </c>
      <c r="C1539" s="100" t="s">
        <v>1212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1232</v>
      </c>
      <c r="C1540" s="100" t="s">
        <v>1212</v>
      </c>
      <c r="D1540" s="93" t="s">
        <v>1222</v>
      </c>
      <c r="E1540" s="94"/>
      <c r="F1540" s="198" t="s">
        <v>1222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1233</v>
      </c>
      <c r="C1541" s="100" t="s">
        <v>1212</v>
      </c>
      <c r="D1541" s="93" t="s">
        <v>1023</v>
      </c>
      <c r="E1541" s="94"/>
      <c r="F1541" s="198" t="s">
        <v>1023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1234</v>
      </c>
      <c r="C1542" s="100" t="s">
        <v>1212</v>
      </c>
      <c r="D1542" s="93" t="s">
        <v>1222</v>
      </c>
      <c r="E1542" s="94"/>
      <c r="F1542" s="198" t="s">
        <v>1222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1235</v>
      </c>
      <c r="C1543" s="100" t="s">
        <v>1212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1236</v>
      </c>
      <c r="C1544" s="100" t="s">
        <v>1212</v>
      </c>
      <c r="D1544" s="93" t="s">
        <v>1023</v>
      </c>
      <c r="E1544" s="94"/>
      <c r="F1544" s="198" t="s">
        <v>1023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1237</v>
      </c>
      <c r="C1545" s="100" t="s">
        <v>1212</v>
      </c>
      <c r="D1545" s="96" t="s">
        <v>1222</v>
      </c>
      <c r="E1545" s="94"/>
      <c r="F1545" s="197" t="s">
        <v>1222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1238</v>
      </c>
      <c r="C1546" s="100" t="s">
        <v>1212</v>
      </c>
      <c r="D1546" s="96" t="s">
        <v>1222</v>
      </c>
      <c r="E1546" s="94"/>
      <c r="F1546" s="197" t="s">
        <v>1222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1239</v>
      </c>
      <c r="C1547" s="100" t="s">
        <v>1212</v>
      </c>
      <c r="D1547" s="93" t="s">
        <v>1222</v>
      </c>
      <c r="E1547" s="94"/>
      <c r="F1547" s="198" t="s">
        <v>1222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1240</v>
      </c>
      <c r="C1548" s="100" t="s">
        <v>1212</v>
      </c>
      <c r="D1548" s="93" t="s">
        <v>1222</v>
      </c>
      <c r="E1548" s="94"/>
      <c r="F1548" s="198" t="s">
        <v>1222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1241</v>
      </c>
      <c r="C1549" s="100" t="s">
        <v>1212</v>
      </c>
      <c r="D1549" s="96" t="s">
        <v>1222</v>
      </c>
      <c r="E1549" s="94"/>
      <c r="F1549" s="197" t="s">
        <v>1222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1242</v>
      </c>
      <c r="C1550" s="100" t="s">
        <v>1212</v>
      </c>
      <c r="D1550" s="93" t="s">
        <v>1023</v>
      </c>
      <c r="E1550" s="94"/>
      <c r="F1550" s="198" t="s">
        <v>1023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1243</v>
      </c>
      <c r="C1551" s="100" t="s">
        <v>1212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1244</v>
      </c>
      <c r="C1552" s="100" t="s">
        <v>1212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1245</v>
      </c>
      <c r="C1553" s="100" t="s">
        <v>1212</v>
      </c>
      <c r="D1553" s="93" t="s">
        <v>1215</v>
      </c>
      <c r="E1553" s="94"/>
      <c r="F1553" s="198" t="s">
        <v>1215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1246</v>
      </c>
      <c r="C1554" s="100" t="s">
        <v>1212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1247</v>
      </c>
      <c r="C1555" s="100" t="s">
        <v>1212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1248</v>
      </c>
      <c r="C1556" s="100" t="s">
        <v>1212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1249</v>
      </c>
      <c r="C1557" s="100" t="s">
        <v>1212</v>
      </c>
      <c r="D1557" s="96" t="s">
        <v>1222</v>
      </c>
      <c r="E1557" s="94"/>
      <c r="F1557" s="197" t="s">
        <v>1222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1250</v>
      </c>
      <c r="C1558" s="100" t="s">
        <v>1212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1251</v>
      </c>
      <c r="C1559" s="100" t="s">
        <v>1212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1252</v>
      </c>
      <c r="C1560" s="100" t="s">
        <v>1212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1253</v>
      </c>
      <c r="C1561" s="100" t="s">
        <v>1212</v>
      </c>
      <c r="D1561" s="96" t="s">
        <v>1222</v>
      </c>
      <c r="E1561" s="94"/>
      <c r="F1561" s="197" t="s">
        <v>1222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1254</v>
      </c>
      <c r="C1562" s="100" t="s">
        <v>1212</v>
      </c>
      <c r="D1562" s="96" t="s">
        <v>1023</v>
      </c>
      <c r="E1562" s="94"/>
      <c r="F1562" s="197" t="s">
        <v>1023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1255</v>
      </c>
      <c r="C1563" s="100" t="s">
        <v>1212</v>
      </c>
      <c r="D1563" s="96" t="s">
        <v>1256</v>
      </c>
      <c r="E1563" s="94"/>
      <c r="F1563" s="197" t="s">
        <v>1256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1257</v>
      </c>
      <c r="C1564" s="100" t="s">
        <v>1212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1258</v>
      </c>
      <c r="C1565" s="100" t="s">
        <v>1212</v>
      </c>
      <c r="D1565" s="96" t="s">
        <v>1023</v>
      </c>
      <c r="E1565" s="94"/>
      <c r="F1565" s="197" t="s">
        <v>1023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1259</v>
      </c>
      <c r="C1566" s="100" t="s">
        <v>1212</v>
      </c>
      <c r="D1566" s="93" t="s">
        <v>1023</v>
      </c>
      <c r="E1566" s="94"/>
      <c r="F1566" s="198" t="s">
        <v>1023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1260</v>
      </c>
      <c r="C1567" s="100" t="s">
        <v>1212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1261</v>
      </c>
      <c r="C1568" s="100" t="s">
        <v>1212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1262</v>
      </c>
      <c r="C1569" s="100" t="s">
        <v>1212</v>
      </c>
      <c r="D1569" s="93" t="s">
        <v>1013</v>
      </c>
      <c r="E1569" s="162">
        <v>205766.7</v>
      </c>
      <c r="F1569" s="198" t="s">
        <v>1013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1263</v>
      </c>
      <c r="C1570" s="100" t="s">
        <v>1212</v>
      </c>
      <c r="D1570" s="93" t="s">
        <v>1023</v>
      </c>
      <c r="E1570" s="94"/>
      <c r="F1570" s="198" t="s">
        <v>1023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1264</v>
      </c>
      <c r="C1571" s="100" t="s">
        <v>1212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1265</v>
      </c>
      <c r="C1572" s="100" t="s">
        <v>1212</v>
      </c>
      <c r="D1572" s="93" t="s">
        <v>1222</v>
      </c>
      <c r="E1572" s="94"/>
      <c r="F1572" s="198" t="s">
        <v>1222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1266</v>
      </c>
      <c r="C1573" s="100" t="s">
        <v>1212</v>
      </c>
      <c r="D1573" s="96" t="s">
        <v>1222</v>
      </c>
      <c r="E1573" s="94"/>
      <c r="F1573" s="197" t="s">
        <v>1222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1267</v>
      </c>
      <c r="C1574" s="100" t="s">
        <v>1212</v>
      </c>
      <c r="D1574" s="93" t="s">
        <v>1222</v>
      </c>
      <c r="E1574" s="94"/>
      <c r="F1574" s="198" t="s">
        <v>1222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1268</v>
      </c>
      <c r="C1575" s="100" t="s">
        <v>1212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1269</v>
      </c>
      <c r="C1576" s="100" t="s">
        <v>1212</v>
      </c>
      <c r="D1576" s="93" t="s">
        <v>1222</v>
      </c>
      <c r="E1576" s="94"/>
      <c r="F1576" s="198" t="s">
        <v>1222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1270</v>
      </c>
      <c r="C1577" s="100" t="s">
        <v>1212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1271</v>
      </c>
      <c r="C1578" s="100" t="s">
        <v>1212</v>
      </c>
      <c r="D1578" s="96" t="s">
        <v>1222</v>
      </c>
      <c r="E1578" s="94"/>
      <c r="F1578" s="197" t="s">
        <v>1222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1272</v>
      </c>
      <c r="C1579" s="100" t="s">
        <v>1212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1273</v>
      </c>
      <c r="C1580" s="100" t="s">
        <v>1212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1274</v>
      </c>
      <c r="C1581" s="100" t="s">
        <v>1212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1275</v>
      </c>
      <c r="C1582" s="100" t="s">
        <v>1212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1276</v>
      </c>
      <c r="C1583" s="100" t="s">
        <v>1212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1277</v>
      </c>
      <c r="C1584" s="100" t="s">
        <v>1212</v>
      </c>
      <c r="D1584" s="93" t="s">
        <v>1215</v>
      </c>
      <c r="E1584" s="94"/>
      <c r="F1584" s="198" t="s">
        <v>1215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1278</v>
      </c>
      <c r="C1585" s="100" t="s">
        <v>1212</v>
      </c>
      <c r="D1585" s="93" t="s">
        <v>1215</v>
      </c>
      <c r="E1585" s="94"/>
      <c r="F1585" s="198" t="s">
        <v>1215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1279</v>
      </c>
      <c r="C1586" s="100" t="s">
        <v>1212</v>
      </c>
      <c r="D1586" s="96" t="s">
        <v>1222</v>
      </c>
      <c r="E1586" s="94"/>
      <c r="F1586" s="197" t="s">
        <v>1222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1280</v>
      </c>
      <c r="C1587" s="100" t="s">
        <v>1212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1281</v>
      </c>
      <c r="C1588" s="100" t="s">
        <v>1212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1282</v>
      </c>
      <c r="C1589" s="100" t="s">
        <v>1212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1283</v>
      </c>
      <c r="C1590" s="100" t="s">
        <v>1212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1284</v>
      </c>
      <c r="C1591" s="100" t="s">
        <v>1212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1285</v>
      </c>
      <c r="C1592" s="100" t="s">
        <v>1212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1286</v>
      </c>
      <c r="C1593" s="100" t="s">
        <v>1212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1287</v>
      </c>
      <c r="C1594" s="100" t="s">
        <v>1212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1288</v>
      </c>
      <c r="C1595" s="100" t="s">
        <v>1212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1289</v>
      </c>
      <c r="C1596" s="100" t="s">
        <v>1212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1290</v>
      </c>
      <c r="C1597" s="100" t="s">
        <v>1212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1291</v>
      </c>
      <c r="C1598" s="100" t="s">
        <v>1212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1292</v>
      </c>
      <c r="C1599" s="100" t="s">
        <v>1212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1293</v>
      </c>
      <c r="C1600" s="100" t="s">
        <v>1212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1294</v>
      </c>
      <c r="C1601" s="100" t="s">
        <v>1212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1295</v>
      </c>
      <c r="C1602" s="100" t="s">
        <v>1212</v>
      </c>
      <c r="D1602" s="96" t="s">
        <v>1222</v>
      </c>
      <c r="E1602" s="94"/>
      <c r="F1602" s="197" t="s">
        <v>1222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1296</v>
      </c>
      <c r="C1603" s="100" t="s">
        <v>1212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1297</v>
      </c>
      <c r="C1604" s="100" t="s">
        <v>1212</v>
      </c>
      <c r="D1604" s="93" t="s">
        <v>1222</v>
      </c>
      <c r="E1604" s="94"/>
      <c r="F1604" s="198" t="s">
        <v>1222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1298</v>
      </c>
      <c r="C1605" s="100" t="s">
        <v>1212</v>
      </c>
      <c r="D1605" s="96" t="s">
        <v>1222</v>
      </c>
      <c r="E1605" s="94"/>
      <c r="F1605" s="197" t="s">
        <v>1222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1299</v>
      </c>
      <c r="C1606" s="100" t="s">
        <v>1212</v>
      </c>
      <c r="D1606" s="96" t="s">
        <v>1222</v>
      </c>
      <c r="E1606" s="94"/>
      <c r="F1606" s="197" t="s">
        <v>1222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1300</v>
      </c>
      <c r="C1607" s="100" t="s">
        <v>1212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1301</v>
      </c>
      <c r="F1" s="12" t="s">
        <v>1302</v>
      </c>
      <c r="H1" s="15" t="s">
        <v>1303</v>
      </c>
      <c r="I1" s="15" t="s">
        <v>1304</v>
      </c>
      <c r="K1" s="15" t="s">
        <v>20</v>
      </c>
      <c r="M1" s="15" t="s">
        <v>1305</v>
      </c>
    </row>
    <row r="2" spans="1:13" ht="44.25" customHeight="1" outlineLevel="1">
      <c r="A2" s="13" t="s">
        <v>1306</v>
      </c>
      <c r="B2" s="13" t="s">
        <v>1307</v>
      </c>
      <c r="D2" s="267" t="s">
        <v>1308</v>
      </c>
      <c r="F2" s="3" t="s">
        <v>1309</v>
      </c>
      <c r="H2" s="16" t="s">
        <v>1310</v>
      </c>
      <c r="I2" s="17">
        <v>71765586</v>
      </c>
      <c r="K2" t="s">
        <v>1311</v>
      </c>
      <c r="M2" s="79" t="s">
        <v>27</v>
      </c>
    </row>
    <row r="3" spans="1:13" outlineLevel="1">
      <c r="A3" s="3" t="s">
        <v>1312</v>
      </c>
      <c r="B3" s="5" t="s">
        <v>202</v>
      </c>
      <c r="D3" s="267" t="s">
        <v>1313</v>
      </c>
      <c r="F3" s="2" t="s">
        <v>1314</v>
      </c>
      <c r="H3" s="18" t="s">
        <v>1315</v>
      </c>
      <c r="I3" s="19">
        <v>43687423</v>
      </c>
      <c r="K3" t="s">
        <v>1316</v>
      </c>
      <c r="M3" s="79" t="s">
        <v>33</v>
      </c>
    </row>
    <row r="4" spans="1:13" ht="30" outlineLevel="1">
      <c r="A4" s="2" t="s">
        <v>1317</v>
      </c>
      <c r="B4" s="5" t="s">
        <v>294</v>
      </c>
      <c r="D4" s="268" t="s">
        <v>1318</v>
      </c>
      <c r="F4" s="3" t="s">
        <v>1319</v>
      </c>
      <c r="H4" s="16" t="s">
        <v>1320</v>
      </c>
      <c r="I4" s="20">
        <v>3353808</v>
      </c>
      <c r="K4" t="s">
        <v>1321</v>
      </c>
      <c r="M4" s="79" t="s">
        <v>36</v>
      </c>
    </row>
    <row r="5" spans="1:13" ht="30" outlineLevel="1">
      <c r="A5" s="3" t="s">
        <v>1322</v>
      </c>
      <c r="B5" s="5" t="s">
        <v>1323</v>
      </c>
      <c r="D5" s="270" t="s">
        <v>1324</v>
      </c>
      <c r="F5" s="2" t="s">
        <v>1325</v>
      </c>
      <c r="H5" s="21" t="s">
        <v>1326</v>
      </c>
      <c r="I5" s="22">
        <v>1036620040</v>
      </c>
      <c r="K5" t="s">
        <v>1327</v>
      </c>
      <c r="M5" s="79" t="s">
        <v>844</v>
      </c>
    </row>
    <row r="6" spans="1:13" outlineLevel="1">
      <c r="A6" s="2" t="s">
        <v>313</v>
      </c>
      <c r="B6" s="5" t="s">
        <v>313</v>
      </c>
      <c r="D6" t="s">
        <v>1328</v>
      </c>
      <c r="F6" s="3" t="s">
        <v>1329</v>
      </c>
      <c r="H6" s="16" t="s">
        <v>1330</v>
      </c>
      <c r="I6" s="23">
        <v>1033686182</v>
      </c>
      <c r="K6" t="s">
        <v>1331</v>
      </c>
      <c r="M6" s="113" t="s">
        <v>1030</v>
      </c>
    </row>
    <row r="7" spans="1:13" outlineLevel="1">
      <c r="A7" s="2" t="s">
        <v>1332</v>
      </c>
      <c r="B7" s="5" t="s">
        <v>1333</v>
      </c>
      <c r="F7" s="2" t="s">
        <v>1334</v>
      </c>
      <c r="H7" s="21" t="s">
        <v>1335</v>
      </c>
      <c r="I7" s="22">
        <v>32209568</v>
      </c>
      <c r="K7" t="s">
        <v>1336</v>
      </c>
      <c r="M7" s="79" t="s">
        <v>223</v>
      </c>
    </row>
    <row r="8" spans="1:13" outlineLevel="1">
      <c r="A8" s="3" t="s">
        <v>1337</v>
      </c>
      <c r="B8" s="5" t="s">
        <v>1338</v>
      </c>
      <c r="F8" s="3" t="s">
        <v>1339</v>
      </c>
      <c r="H8" s="24" t="s">
        <v>1340</v>
      </c>
      <c r="I8" s="20">
        <v>71292446</v>
      </c>
      <c r="K8" t="s">
        <v>1341</v>
      </c>
      <c r="M8" s="79" t="s">
        <v>46</v>
      </c>
    </row>
    <row r="9" spans="1:13" outlineLevel="1">
      <c r="A9" s="2" t="s">
        <v>1342</v>
      </c>
      <c r="B9" s="5" t="s">
        <v>1194</v>
      </c>
      <c r="F9" s="2" t="s">
        <v>1343</v>
      </c>
      <c r="H9" s="25" t="s">
        <v>1344</v>
      </c>
      <c r="I9" s="26">
        <v>70323724</v>
      </c>
      <c r="K9" t="s">
        <v>1345</v>
      </c>
      <c r="M9" s="79" t="s">
        <v>48</v>
      </c>
    </row>
    <row r="10" spans="1:13" outlineLevel="1">
      <c r="A10" s="2" t="s">
        <v>1346</v>
      </c>
      <c r="B10" s="5" t="s">
        <v>92</v>
      </c>
      <c r="F10" s="3" t="s">
        <v>1347</v>
      </c>
      <c r="H10" s="24" t="s">
        <v>1348</v>
      </c>
      <c r="I10" s="20">
        <v>32142539</v>
      </c>
      <c r="K10" t="s">
        <v>1349</v>
      </c>
      <c r="M10" s="234" t="s">
        <v>108</v>
      </c>
    </row>
    <row r="11" spans="1:13" outlineLevel="1">
      <c r="A11" s="2" t="s">
        <v>1350</v>
      </c>
      <c r="B11" s="5" t="s">
        <v>1351</v>
      </c>
      <c r="F11" s="2" t="s">
        <v>1352</v>
      </c>
      <c r="H11" s="21" t="s">
        <v>1353</v>
      </c>
      <c r="I11" s="22">
        <v>79897894</v>
      </c>
      <c r="K11" t="s">
        <v>1354</v>
      </c>
      <c r="M11" s="234" t="s">
        <v>44</v>
      </c>
    </row>
    <row r="12" spans="1:13" ht="30" outlineLevel="1">
      <c r="A12" s="3" t="s">
        <v>1355</v>
      </c>
      <c r="B12" s="5" t="s">
        <v>1023</v>
      </c>
      <c r="F12" s="303" t="s">
        <v>1356</v>
      </c>
      <c r="H12" s="27" t="s">
        <v>1357</v>
      </c>
      <c r="I12" s="28">
        <v>32184975</v>
      </c>
      <c r="M12" s="234" t="s">
        <v>1212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1222</v>
      </c>
      <c r="H14" s="24" t="s">
        <v>1361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225</v>
      </c>
      <c r="H16" s="255" t="s">
        <v>1364</v>
      </c>
      <c r="I16" s="22">
        <v>71278905</v>
      </c>
    </row>
    <row r="17" spans="1:9" outlineLevel="1">
      <c r="A17" s="2" t="s">
        <v>1365</v>
      </c>
      <c r="B17" s="5" t="s">
        <v>349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1215</v>
      </c>
      <c r="H18" s="25" t="s">
        <v>1368</v>
      </c>
      <c r="I18" s="257" t="s">
        <v>1369</v>
      </c>
    </row>
    <row r="19" spans="1:9" outlineLevel="1">
      <c r="A19" s="3" t="s">
        <v>1370</v>
      </c>
      <c r="B19" s="5" t="s">
        <v>228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93</v>
      </c>
      <c r="H21" s="21" t="s">
        <v>1376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160</v>
      </c>
      <c r="H24" s="21" t="s">
        <v>1381</v>
      </c>
      <c r="I24" s="22">
        <v>1128404319</v>
      </c>
    </row>
    <row r="25" spans="1:9" outlineLevel="1">
      <c r="A25" s="4" t="s">
        <v>1061</v>
      </c>
      <c r="B25" s="5" t="s">
        <v>1061</v>
      </c>
      <c r="H25" s="24" t="s">
        <v>1382</v>
      </c>
      <c r="I25" s="20">
        <v>1037584367</v>
      </c>
    </row>
    <row r="26" spans="1:9" outlineLevel="1">
      <c r="A26" t="s">
        <v>1183</v>
      </c>
      <c r="B26" s="5" t="s">
        <v>1183</v>
      </c>
      <c r="H26" s="25" t="s">
        <v>1383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98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2023-09-19T15:49:48Z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