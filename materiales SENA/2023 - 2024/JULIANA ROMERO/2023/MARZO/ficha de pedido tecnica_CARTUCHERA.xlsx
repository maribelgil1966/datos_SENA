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eafcdde7c3bc9e/SENA CDMC/2023 cdmc/MARZO/PEDIDOS DE MATERIAL/"/>
    </mc:Choice>
  </mc:AlternateContent>
  <xr:revisionPtr revIDLastSave="42" documentId="8_{99C2B654-29A0-BB4C-9F33-01AB12A6A221}" xr6:coauthVersionLast="47" xr6:coauthVersionMax="47" xr10:uidLastSave="{FE88DBB2-18A8-514F-A093-4DCD7112CCD2}"/>
  <bookViews>
    <workbookView xWindow="0" yWindow="460" windowWidth="25280" windowHeight="144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H29" i="1"/>
  <c r="F25" i="3" s="1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2" i="1" l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PC: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<sst xmlns="http://schemas.openxmlformats.org/spreadsheetml/2006/main" count="381" uniqueCount="316">
  <si>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</si>
  <si>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</si>
  <si>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</si>
  <si>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</si>
  <si>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</si>
  <si>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</si>
  <si>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</si>
  <si>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</si>
  <si>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</si>
  <si>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</si>
  <si>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</si>
  <si>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</si>
  <si>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</si>
  <si>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</si>
  <si>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</si>
  <si>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</si>
  <si>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</si>
  <si>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</si>
  <si>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</si>
  <si>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</si>
  <si>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</si>
  <si>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</si>
  <si>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</si>
  <si>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</si>
  <si>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</si>
  <si>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</si>
  <si>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</si>
  <si>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</si>
  <si>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</si>
  <si>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</si>
  <si>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</si>
  <si>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</si>
  <si>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</si>
  <si>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</si>
  <si>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</si>
  <si>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</si>
  <si>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</si>
  <si>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</si>
  <si>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</si>
  <si>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</si>
  <si>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</si>
  <si>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</si>
  <si>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</si>
  <si>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</si>
  <si>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</si>
  <si>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</si>
  <si>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</si>
  <si>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</si>
  <si>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</si>
  <si>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</si>
  <si>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</si>
  <si>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</si>
  <si>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</si>
  <si>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</si>
  <si>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</si>
  <si>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</si>
  <si>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</si>
  <si>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</si>
  <si>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</si>
  <si>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</si>
  <si>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</si>
  <si>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</si>
  <si>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</si>
  <si>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</si>
  <si>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</si>
  <si>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</si>
  <si>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</si>
  <si>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</si>
  <si>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</si>
  <si>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</si>
  <si>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</si>
  <si>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</si>
  <si>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</si>
  <si>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</si>
  <si>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</si>
  <si>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</si>
  <si>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</si>
  <si>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</si>
  <si>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</si>
  <si>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</si>
  <si>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</si>
  <si>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</si>
  <si>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</si>
  <si>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</si>
  <si>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</si>
  <si>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</si>
  <si>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</si>
  <si>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</si>
  <si>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</si>
  <si>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</si>
  <si>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</si>
  <si>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</si>
  <si>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</si>
  <si>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</si>
  <si>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</si>
  <si>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</si>
  <si>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</si>
  <si>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</si>
  <si>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</si>
  <si>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</si>
  <si>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</si>
  <si>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</si>
  <si>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</si>
  <si>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</si>
  <si>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</si>
  <si>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</si>
  <si>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</si>
  <si>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</si>
  <si>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</si>
  <si>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</si>
  <si>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</si>
  <si>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</si>
  <si>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</si>
  <si>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</si>
  <si>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</si>
  <si>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</si>
  <si>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</si>
  <si>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</si>
  <si>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</si>
  <si>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</si>
  <si>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</si>
  <si>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</si>
  <si>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</si>
  <si>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</si>
  <si>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</si>
  <si>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</si>
  <si>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</si>
  <si>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</si>
  <si>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</si>
  <si>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</si>
  <si>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</si>
  <si>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</si>
  <si>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</si>
  <si>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</si>
  <si>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</si>
  <si>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</si>
  <si>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</si>
  <si>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</si>
  <si>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</si>
  <si>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</si>
  <si>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</si>
  <si>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</si>
  <si>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</si>
  <si>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</si>
  <si>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</si>
  <si>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</si>
  <si>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</si>
  <si>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</si>
  <si>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</si>
  <si>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</si>
  <si>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</si>
  <si>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</si>
  <si>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</si>
  <si>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</si>
  <si>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</si>
  <si>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</si>
  <si>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</si>
  <si>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</si>
  <si>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</si>
  <si>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</si>
  <si>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</si>
  <si>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</si>
  <si>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</si>
  <si>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</si>
  <si>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</si>
  <si>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</si>
  <si>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</si>
  <si>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</si>
  <si>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</si>
  <si>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</si>
  <si>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</si>
  <si>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</si>
  <si>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</si>
  <si>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</si>
  <si>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</si>
  <si>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</si>
  <si>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</si>
  <si>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</si>
  <si>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</si>
  <si>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</si>
  <si>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</si>
  <si>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</si>
  <si>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</si>
  <si>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</si>
  <si>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</si>
  <si>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</si>
  <si>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</si>
  <si>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</si>
  <si>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</si>
  <si>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</si>
  <si>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</si>
  <si>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</si>
  <si>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</si>
  <si>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</si>
  <si>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</si>
  <si>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</si>
  <si>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</si>
  <si>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</si>
  <si>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</si>
  <si>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</si>
  <si>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</si>
  <si>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</si>
  <si>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</si>
  <si>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</si>
  <si>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</si>
  <si>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</si>
  <si>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</si>
  <si>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</si>
  <si>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</si>
  <si>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</si>
  <si>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</si>
  <si>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</si>
  <si>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</si>
  <si>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</si>
  <si>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</si>
  <si>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</si>
  <si>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</si>
  <si>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</si>
  <si>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</si>
  <si>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</si>
  <si>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</si>
  <si>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</si>
  <si>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</si>
  <si>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</si>
  <si>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</si>
  <si>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</si>
  <si>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</si>
  <si>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</si>
  <si>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</si>
  <si>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</si>
  <si>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</si>
  <si>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</si>
  <si>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</si>
  <si>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</si>
  <si>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</si>
  <si>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</si>
  <si>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</si>
  <si>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</si>
  <si>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</si>
  <si>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</si>
  <si>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</si>
  <si>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</si>
  <si>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</si>
  <si>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</si>
  <si>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</si>
  <si>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</si>
  <si>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</si>
  <si>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</si>
  <si>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</si>
  <si>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</si>
  <si>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</si>
  <si>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</si>
  <si>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</si>
  <si>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</si>
  <si>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</si>
  <si>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</si>
  <si>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</si>
  <si>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</si>
  <si>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</si>
  <si>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</si>
  <si>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</si>
  <si>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</si>
  <si>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</si>
  <si>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</si>
  <si>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</si>
  <si>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</si>
  <si>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</si>
  <si>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</si>
  <si>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</si>
  <si>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</si>
  <si>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</si>
  <si>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</si>
  <si>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</si>
  <si>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</si>
  <si>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</si>
  <si>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</si>
  <si>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</si>
  <si>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</si>
  <si>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</si>
  <si>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</si>
  <si>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</si>
  <si>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</si>
  <si>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</si>
  <si>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</si>
  <si>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</si>
  <si>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</si>
  <si>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</si>
  <si>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</si>
  <si>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</si>
  <si>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</si>
  <si>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</si>
  <si>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</si>
  <si>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</si>
  <si>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</si>
  <si>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</si>
  <si>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</si>
  <si>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</si>
  <si>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</si>
  <si>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</si>
  <si>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</si>
  <si>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</si>
  <si>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</si>
  <si>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</si>
  <si>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</si>
  <si>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</si>
  <si>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</si>
  <si>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</si>
  <si>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</si>
  <si>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</si>
  <si>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</si>
  <si>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HILO ENCERADO A TONO DEL CUERO</t>
  </si>
  <si>
    <t>MIEL O CAFÉ</t>
  </si>
  <si>
    <t>CAFÉ</t>
  </si>
  <si>
    <t>CARTUCHERA</t>
  </si>
  <si>
    <t>PABONADO</t>
  </si>
  <si>
    <t>CARTUCHERA SENCILLA 20 CM X 11 CM X 9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</si>
</sst>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39" fillId="3" borderId="3" xfId="0" applyNumberFormat="1" applyFont="1" applyFill="1" applyBorder="1"/>
    <xf numFmtId="2" fontId="40" fillId="4" borderId="3" xfId="0" applyNumberFormat="1" applyFont="1" applyFill="1" applyBorder="1" applyAlignment="1">
      <alignment horizontal="center" vertical="center" wrapText="1"/>
    </xf>
    <xf numFmtId="2" fontId="40" fillId="4" borderId="1" xfId="0" applyNumberFormat="1" applyFont="1" applyFill="1" applyBorder="1" applyAlignment="1">
      <alignment horizontal="center" vertical="center" wrapText="1"/>
    </xf>
    <xf numFmtId="2" fontId="40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2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2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0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0" fillId="4" borderId="1" xfId="0" applyNumberFormat="1" applyFont="1" applyFill="1" applyBorder="1" applyAlignment="1">
      <alignment horizontal="right"/>
    </xf>
    <xf numFmtId="2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0" fillId="4" borderId="1" xfId="0" applyFont="1" applyFill="1" applyBorder="1"/>
    <xf numFmtId="2" fontId="40" fillId="4" borderId="0" xfId="0" applyNumberFormat="1" applyFont="1" applyFill="1"/>
    <xf numFmtId="2" fontId="40" fillId="3" borderId="0" xfId="0" applyNumberFormat="1" applyFont="1" applyFill="1"/>
    <xf numFmtId="0" fontId="40" fillId="3" borderId="0" xfId="0" applyFont="1" applyFill="1"/>
    <xf numFmtId="2" fontId="40" fillId="3" borderId="0" xfId="0" applyNumberFormat="1" applyFont="1" applyFill="1" applyAlignment="1">
      <alignment horizontal="right"/>
    </xf>
    <xf numFmtId="0" fontId="46" fillId="5" borderId="1" xfId="0" applyFont="1" applyFill="1" applyBorder="1" applyAlignment="1">
      <alignment horizontal="left"/>
    </xf>
    <xf numFmtId="0" fontId="46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vertical="center" wrapText="1"/>
    </xf>
    <xf numFmtId="0" fontId="47" fillId="6" borderId="1" xfId="0" applyFont="1" applyFill="1" applyBorder="1" applyAlignment="1" applyProtection="1">
      <alignment vertical="center" wrapText="1"/>
      <protection locked="0"/>
    </xf>
    <xf numFmtId="14" fontId="47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48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48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5" fillId="4" borderId="2" xfId="0" applyNumberFormat="1" applyFont="1" applyFill="1" applyBorder="1" applyAlignment="1">
      <alignment horizontal="center" vertical="center"/>
    </xf>
    <xf numFmtId="2" fontId="40" fillId="4" borderId="2" xfId="0" applyNumberFormat="1" applyFont="1" applyFill="1" applyBorder="1" applyAlignment="1">
      <alignment horizontal="center" vertical="center"/>
    </xf>
    <xf numFmtId="0" fontId="40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2" fillId="5" borderId="1" xfId="0" applyFont="1" applyFill="1" applyBorder="1"/>
    <xf numFmtId="0" fontId="47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0" fillId="0" borderId="0" xfId="0" applyFont="1"/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" fontId="16" fillId="6" borderId="3" xfId="0" applyNumberFormat="1" applyFont="1" applyFill="1" applyBorder="1" applyAlignment="1">
      <alignment horizontal="center" vertical="center" wrapText="1"/>
    </xf>
    <xf numFmtId="169" fontId="53" fillId="6" borderId="13" xfId="3" applyNumberFormat="1" applyFont="1" applyFill="1" applyBorder="1" applyAlignment="1">
      <alignment horizontal="center" vertical="center"/>
    </xf>
    <xf numFmtId="169" fontId="53" fillId="6" borderId="11" xfId="3" applyNumberFormat="1" applyFont="1" applyFill="1" applyBorder="1" applyAlignment="1">
      <alignment horizontal="center" vertical="center"/>
    </xf>
    <xf numFmtId="169" fontId="53" fillId="6" borderId="9" xfId="3" applyNumberFormat="1" applyFont="1" applyFill="1" applyBorder="1" applyAlignment="1">
      <alignment horizontal="center" vertical="center"/>
    </xf>
    <xf numFmtId="169" fontId="53" fillId="6" borderId="4" xfId="3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55" fillId="3" borderId="15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18" xfId="0" applyFont="1" applyFill="1" applyBorder="1" applyAlignment="1">
      <alignment horizontal="center" vertical="center" wrapText="1"/>
    </xf>
    <xf numFmtId="0" fontId="55" fillId="3" borderId="19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55" fillId="3" borderId="21" xfId="0" applyFont="1" applyFill="1" applyBorder="1" applyAlignment="1">
      <alignment horizontal="center" vertical="center" wrapText="1"/>
    </xf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4" fillId="6" borderId="1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0" fontId="47" fillId="6" borderId="3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57" fillId="6" borderId="10" xfId="0" applyFont="1" applyFill="1" applyBorder="1" applyAlignment="1">
      <alignment horizontal="center" vertical="center"/>
    </xf>
    <xf numFmtId="0" fontId="57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3" fillId="6" borderId="7" xfId="0" applyNumberFormat="1" applyFont="1" applyFill="1" applyBorder="1" applyAlignment="1">
      <alignment horizontal="center" vertical="center"/>
    </xf>
    <xf numFmtId="169" fontId="53" fillId="6" borderId="22" xfId="0" applyNumberFormat="1" applyFont="1" applyFill="1" applyBorder="1" applyAlignment="1">
      <alignment horizontal="center" vertical="center"/>
    </xf>
    <xf numFmtId="169" fontId="53" fillId="6" borderId="13" xfId="0" applyNumberFormat="1" applyFont="1" applyFill="1" applyBorder="1" applyAlignment="1">
      <alignment horizontal="center" vertical="center"/>
    </xf>
    <xf numFmtId="169" fontId="53" fillId="6" borderId="11" xfId="0" applyNumberFormat="1" applyFont="1" applyFill="1" applyBorder="1" applyAlignment="1">
      <alignment horizontal="center" vertical="center"/>
    </xf>
    <xf numFmtId="169" fontId="53" fillId="6" borderId="9" xfId="0" applyNumberFormat="1" applyFont="1" applyFill="1" applyBorder="1" applyAlignment="1">
      <alignment horizontal="center" vertical="center"/>
    </xf>
    <xf numFmtId="169" fontId="53" fillId="6" borderId="4" xfId="0" applyNumberFormat="1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6" borderId="11" xfId="0" applyFont="1" applyFill="1" applyBorder="1" applyAlignment="1">
      <alignment horizontal="center" vertical="center"/>
    </xf>
    <xf numFmtId="1" fontId="58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59" fillId="6" borderId="9" xfId="0" applyNumberFormat="1" applyFont="1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center" vertical="center"/>
    </xf>
    <xf numFmtId="169" fontId="59" fillId="6" borderId="4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1" fontId="40" fillId="14" borderId="2" xfId="0" applyNumberFormat="1" applyFont="1" applyFill="1" applyBorder="1" applyAlignment="1">
      <alignment horizontal="center"/>
    </xf>
    <xf numFmtId="1" fontId="40" fillId="14" borderId="12" xfId="0" applyNumberFormat="1" applyFont="1" applyFill="1" applyBorder="1" applyAlignment="1">
      <alignment horizontal="center"/>
    </xf>
    <xf numFmtId="1" fontId="40" fillId="14" borderId="3" xfId="0" applyNumberFormat="1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51" fillId="5" borderId="7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9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6</xdr:row>
      <xdr:rowOff>143934</xdr:rowOff>
    </xdr:from>
    <xdr:to>
      <xdr:col>12</xdr:col>
      <xdr:colOff>685800</xdr:colOff>
      <xdr:row>26</xdr:row>
      <xdr:rowOff>67734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E91DA-D3BB-877B-6003-82149D5F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7332" r="89940">
                      <a14:foregroundMark x1="20460" y1="88409" x2="16283" y2="76705"/>
                      <a14:foregroundMark x1="16283" y1="76705" x2="7332" y2="71477"/>
                      <a14:foregroundMark x1="7332" y1="71477" x2="12020" y2="70568"/>
                      <a14:backgroundMark x1="51407" y1="83295" x2="64109" y2="79432"/>
                      <a14:backgroundMark x1="64109" y1="79432" x2="73487" y2="72273"/>
                      <a14:backgroundMark x1="73487" y1="72273" x2="79454" y2="61023"/>
                      <a14:backgroundMark x1="79454" y1="61023" x2="80051" y2="4420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375400" y="2192867"/>
          <a:ext cx="4876800" cy="365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dsuaza/Downloads/Documents%20and%20Settings/USUARIO/Configuraci&#243;n%20local/Archivos%20temporales%20de%20Internet/Content.IE5/8SLH2RC2/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zoomScale="150" zoomScaleNormal="90" workbookViewId="0">
      <selection activeCell="E13" sqref="E13"/>
    </sheetView>
  </sheetViews>
  <sheetFormatPr baseColWidth="10" defaultRowHeight="13"/>
  <cols>
    <col min="1" max="1" width="36.6640625" customWidth="1"/>
    <col min="2" max="2" width="13" hidden="1" customWidth="1"/>
    <col min="3" max="3" width="14.33203125" hidden="1" customWidth="1"/>
    <col min="4" max="4" width="15.83203125" customWidth="1"/>
    <col min="5" max="6" width="18.5" customWidth="1"/>
    <col min="7" max="7" width="18" hidden="1" customWidth="1"/>
    <col min="8" max="8" width="17.33203125" hidden="1" customWidth="1"/>
    <col min="9" max="9" width="11.5" hidden="1" customWidth="1"/>
    <col min="10" max="10" width="15.5" customWidth="1"/>
    <col min="11" max="11" width="14.5" customWidth="1"/>
    <col min="13" max="13" width="10.1640625" customWidth="1"/>
    <col min="14" max="14" width="11.5" customWidth="1"/>
  </cols>
  <sheetData>
    <row r="1" spans="1:22" ht="29.25" customHeight="1">
      <c r="A1" s="167" t="s">
        <v>266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</row>
    <row r="2" spans="1:22" ht="24" customHeight="1">
      <c r="A2" s="165" t="s">
        <v>18</v>
      </c>
      <c r="B2" s="166"/>
      <c r="C2" s="30"/>
      <c r="D2" s="169" t="s">
        <v>309</v>
      </c>
      <c r="E2" s="146"/>
      <c r="F2" s="143" t="s">
        <v>212</v>
      </c>
      <c r="G2" s="143"/>
      <c r="H2" s="143"/>
      <c r="I2" s="180">
        <v>1</v>
      </c>
      <c r="J2" s="164" t="s">
        <v>209</v>
      </c>
      <c r="K2" s="164"/>
      <c r="L2" s="164"/>
      <c r="M2" s="164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>
      <c r="A3" s="95" t="s">
        <v>193</v>
      </c>
      <c r="B3" s="96"/>
      <c r="C3" s="31"/>
      <c r="D3" s="169" t="s">
        <v>313</v>
      </c>
      <c r="E3" s="170"/>
      <c r="F3" s="144" t="s">
        <v>308</v>
      </c>
      <c r="G3" s="145"/>
      <c r="H3" s="146"/>
      <c r="I3" s="181"/>
      <c r="J3" s="198">
        <f>SUM(G8:G32)</f>
        <v>7688</v>
      </c>
      <c r="K3" s="199"/>
      <c r="L3" s="199"/>
      <c r="M3" s="200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2" t="s">
        <v>210</v>
      </c>
      <c r="H4" s="173"/>
      <c r="I4" s="180">
        <v>1</v>
      </c>
      <c r="J4" s="194" t="s">
        <v>29</v>
      </c>
      <c r="K4" s="195"/>
      <c r="L4" s="195"/>
      <c r="M4" s="196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>
      <c r="A5" s="97" t="s">
        <v>195</v>
      </c>
      <c r="B5" s="95"/>
      <c r="C5" s="136"/>
      <c r="D5" s="98">
        <v>45055</v>
      </c>
      <c r="E5" s="137">
        <v>1032366226</v>
      </c>
      <c r="F5" s="141">
        <v>2709092</v>
      </c>
      <c r="G5" s="138"/>
      <c r="H5" s="138"/>
      <c r="I5" s="181"/>
      <c r="J5" s="197">
        <v>30</v>
      </c>
      <c r="K5" s="197"/>
      <c r="L5" s="197"/>
      <c r="M5" s="197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>
      <c r="A6" s="177"/>
      <c r="B6" s="178"/>
      <c r="C6" s="29"/>
      <c r="D6" s="163"/>
      <c r="E6" s="163"/>
      <c r="F6" s="50"/>
      <c r="G6" s="168"/>
      <c r="H6" s="168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51" t="s">
        <v>208</v>
      </c>
      <c r="K7" s="152"/>
      <c r="L7" s="152"/>
      <c r="M7" s="153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>
      <c r="A8" s="74" t="s">
        <v>120</v>
      </c>
      <c r="B8" s="33">
        <f t="shared" ref="B8:B32" si="0">VLOOKUP(A8,INVENTARIO,2,FALSE)</f>
        <v>488</v>
      </c>
      <c r="C8" s="33">
        <f t="shared" ref="C8:C32" si="1">VLOOKUP(B8,broche,2,FALSE)</f>
        <v>1</v>
      </c>
      <c r="D8" s="66" t="s">
        <v>311</v>
      </c>
      <c r="E8" s="53">
        <v>9</v>
      </c>
      <c r="F8" s="64">
        <f>F34/G34</f>
        <v>488</v>
      </c>
      <c r="G8" s="80">
        <f>E8*F8*$I$2</f>
        <v>4392</v>
      </c>
      <c r="H8" s="75">
        <f>H34*F8*E8</f>
        <v>131760</v>
      </c>
      <c r="J8" s="154"/>
      <c r="K8" s="155"/>
      <c r="L8" s="155"/>
      <c r="M8" s="156"/>
    </row>
    <row r="9" spans="1:22" s="6" customFormat="1" ht="18" customHeight="1">
      <c r="A9" s="74" t="s">
        <v>173</v>
      </c>
      <c r="B9" s="33">
        <f t="shared" si="0"/>
        <v>0.5</v>
      </c>
      <c r="C9" s="33">
        <f t="shared" si="1"/>
        <v>1</v>
      </c>
      <c r="D9" s="66" t="s">
        <v>312</v>
      </c>
      <c r="E9" s="53">
        <v>72</v>
      </c>
      <c r="F9" s="64">
        <f>F35/G35</f>
        <v>0.5</v>
      </c>
      <c r="G9" s="80">
        <f t="shared" ref="G9:G32" si="2">E9*F9*$I$2</f>
        <v>36</v>
      </c>
      <c r="H9" s="75">
        <f t="shared" ref="H9:H32" si="3">H35*F9*E9</f>
        <v>1080</v>
      </c>
      <c r="J9" s="154"/>
      <c r="K9" s="155"/>
      <c r="L9" s="155"/>
      <c r="M9" s="156"/>
    </row>
    <row r="10" spans="1:22" s="6" customFormat="1" ht="18" customHeight="1">
      <c r="A10" s="74" t="s">
        <v>118</v>
      </c>
      <c r="B10" s="33">
        <f t="shared" si="0"/>
        <v>4.4000000000000004</v>
      </c>
      <c r="C10" s="33">
        <f t="shared" si="1"/>
        <v>1</v>
      </c>
      <c r="D10" s="66" t="s">
        <v>312</v>
      </c>
      <c r="E10" s="53">
        <v>25</v>
      </c>
      <c r="F10" s="64">
        <f>F36/G36</f>
        <v>4.4000000000000004</v>
      </c>
      <c r="G10" s="80">
        <f t="shared" si="2"/>
        <v>110.00000000000001</v>
      </c>
      <c r="H10" s="75">
        <f t="shared" si="3"/>
        <v>3300</v>
      </c>
      <c r="J10" s="154"/>
      <c r="K10" s="155"/>
      <c r="L10" s="155"/>
      <c r="M10" s="156"/>
    </row>
    <row r="11" spans="1:22" s="6" customFormat="1" ht="18" customHeight="1">
      <c r="A11" s="74" t="s">
        <v>215</v>
      </c>
      <c r="B11" s="33">
        <f t="shared" si="0"/>
        <v>105</v>
      </c>
      <c r="C11" s="33">
        <f t="shared" si="1"/>
        <v>1</v>
      </c>
      <c r="D11" s="66" t="s">
        <v>314</v>
      </c>
      <c r="E11" s="53">
        <v>30</v>
      </c>
      <c r="F11" s="64">
        <f>F37/G37</f>
        <v>105</v>
      </c>
      <c r="G11" s="80">
        <f t="shared" si="2"/>
        <v>3150</v>
      </c>
      <c r="H11" s="75">
        <f t="shared" si="3"/>
        <v>94500</v>
      </c>
      <c r="J11" s="154"/>
      <c r="K11" s="155"/>
      <c r="L11" s="155"/>
      <c r="M11" s="156"/>
    </row>
    <row r="12" spans="1:22" s="6" customFormat="1" ht="18" customHeight="1">
      <c r="A12" s="74" t="s">
        <v>94</v>
      </c>
      <c r="B12" s="33"/>
      <c r="C12" s="33"/>
      <c r="D12" s="66" t="s">
        <v>312</v>
      </c>
      <c r="E12" s="53">
        <v>20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54"/>
      <c r="K12" s="155"/>
      <c r="L12" s="155"/>
      <c r="M12" s="156"/>
    </row>
    <row r="13" spans="1:22" s="6" customFormat="1" ht="18" customHeight="1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54"/>
      <c r="K13" s="155"/>
      <c r="L13" s="155"/>
      <c r="M13" s="156"/>
    </row>
    <row r="14" spans="1:22" s="6" customFormat="1" ht="18" customHeight="1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54"/>
      <c r="K14" s="155"/>
      <c r="L14" s="155"/>
      <c r="M14" s="156"/>
    </row>
    <row r="15" spans="1:22" s="6" customFormat="1" ht="18" customHeight="1">
      <c r="A15" s="74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54"/>
      <c r="K15" s="155"/>
      <c r="L15" s="155"/>
      <c r="M15" s="156"/>
    </row>
    <row r="16" spans="1:22" s="6" customFormat="1" ht="18" customHeight="1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54"/>
      <c r="K16" s="155"/>
      <c r="L16" s="155"/>
      <c r="M16" s="156"/>
    </row>
    <row r="17" spans="1:18" s="6" customFormat="1" ht="18" customHeight="1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54"/>
      <c r="K17" s="155"/>
      <c r="L17" s="155"/>
      <c r="M17" s="156"/>
    </row>
    <row r="18" spans="1:18" s="6" customFormat="1" ht="18" customHeight="1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54"/>
      <c r="K18" s="155"/>
      <c r="L18" s="155"/>
      <c r="M18" s="156"/>
    </row>
    <row r="19" spans="1:18" s="6" customFormat="1" ht="18" customHeight="1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54"/>
      <c r="K19" s="155"/>
      <c r="L19" s="155"/>
      <c r="M19" s="156"/>
    </row>
    <row r="20" spans="1:18" s="6" customFormat="1" ht="18" customHeight="1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54"/>
      <c r="K20" s="155"/>
      <c r="L20" s="155"/>
      <c r="M20" s="156"/>
    </row>
    <row r="21" spans="1:18" s="6" customFormat="1" ht="18" customHeight="1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54"/>
      <c r="K21" s="155"/>
      <c r="L21" s="155"/>
      <c r="M21" s="156"/>
    </row>
    <row r="22" spans="1:18" s="6" customFormat="1" ht="18" customHeight="1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54"/>
      <c r="K22" s="155"/>
      <c r="L22" s="155"/>
      <c r="M22" s="156"/>
    </row>
    <row r="23" spans="1:18" s="6" customFormat="1" ht="18" customHeight="1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54"/>
      <c r="K23" s="155"/>
      <c r="L23" s="155"/>
      <c r="M23" s="156"/>
    </row>
    <row r="24" spans="1:18" s="6" customFormat="1" ht="18" customHeight="1" thickBot="1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57"/>
      <c r="K24" s="158"/>
      <c r="L24" s="158"/>
      <c r="M24" s="159"/>
    </row>
    <row r="25" spans="1:18" s="6" customFormat="1" ht="18" customHeight="1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84" t="s">
        <v>207</v>
      </c>
      <c r="K25" s="185"/>
      <c r="L25" s="147">
        <f>J3*110%</f>
        <v>8456.8000000000011</v>
      </c>
      <c r="M25" s="148"/>
    </row>
    <row r="26" spans="1:18" s="6" customFormat="1" ht="18" customHeight="1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84"/>
      <c r="K26" s="185"/>
      <c r="L26" s="147"/>
      <c r="M26" s="148"/>
    </row>
    <row r="27" spans="1:18" s="6" customFormat="1" ht="18" customHeight="1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86"/>
      <c r="K27" s="187"/>
      <c r="L27" s="149"/>
      <c r="M27" s="150"/>
    </row>
    <row r="28" spans="1:18" s="6" customFormat="1" ht="18" customHeight="1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82" t="s">
        <v>267</v>
      </c>
      <c r="K28" s="183"/>
      <c r="L28" s="188">
        <f>L25*J5</f>
        <v>253704.00000000003</v>
      </c>
      <c r="M28" s="189"/>
    </row>
    <row r="29" spans="1:18" s="6" customFormat="1" ht="18" customHeight="1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84"/>
      <c r="K29" s="185"/>
      <c r="L29" s="190"/>
      <c r="M29" s="191"/>
    </row>
    <row r="30" spans="1:18" s="6" customFormat="1" ht="18" customHeight="1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86"/>
      <c r="K30" s="187"/>
      <c r="L30" s="192"/>
      <c r="M30" s="193"/>
    </row>
    <row r="31" spans="1:18" s="6" customFormat="1" ht="18" customHeight="1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>
      <c r="A33" s="34"/>
      <c r="B33" s="34"/>
      <c r="C33" s="33"/>
      <c r="D33" s="65"/>
      <c r="E33" s="53"/>
      <c r="F33" s="35"/>
      <c r="G33" s="179"/>
      <c r="H33" s="179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>
      <c r="A34" s="38" t="str">
        <f t="shared" ref="A34:A58" si="5">A8</f>
        <v>Cuero Napa Variada  (Dm2)</v>
      </c>
      <c r="B34" s="39"/>
      <c r="C34" s="39"/>
      <c r="D34" s="40" t="str">
        <f>IF(D8&lt;1,0,D8)</f>
        <v>MIEL O CAFÉ</v>
      </c>
      <c r="E34" s="41">
        <f>IF(C8*B8&lt;1,0,C8)</f>
        <v>1</v>
      </c>
      <c r="F34" s="63">
        <f>B8</f>
        <v>488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4392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>
      <c r="A35" s="38" t="str">
        <f t="shared" si="5"/>
        <v>Seda 30-100 Colores  (cm²)</v>
      </c>
      <c r="B35" s="39"/>
      <c r="C35" s="39"/>
      <c r="D35" s="40" t="str">
        <f t="shared" ref="D35:D58" si="8">IF(D9&lt;1,0,D9)</f>
        <v>CAFÉ</v>
      </c>
      <c r="E35" s="41">
        <f t="shared" ref="E35:E58" si="9">IF(C9*B9&lt;1,0,C9)</f>
        <v>0</v>
      </c>
      <c r="F35" s="63">
        <f t="shared" ref="F35:F58" si="10">B9</f>
        <v>0.5</v>
      </c>
      <c r="G35" s="42">
        <f t="shared" si="6"/>
        <v>1</v>
      </c>
      <c r="H35" s="33">
        <f>J5</f>
        <v>30</v>
      </c>
      <c r="I35" s="43">
        <f t="shared" si="7"/>
        <v>36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>
      <c r="A36" s="38" t="str">
        <f t="shared" si="5"/>
        <v>Cremallera Nylon #4(cm)</v>
      </c>
      <c r="B36" s="39"/>
      <c r="C36" s="39"/>
      <c r="D36" s="40" t="str">
        <f t="shared" si="8"/>
        <v>CAFÉ</v>
      </c>
      <c r="E36" s="41">
        <f t="shared" si="9"/>
        <v>1</v>
      </c>
      <c r="F36" s="63">
        <f t="shared" si="10"/>
        <v>4.4000000000000004</v>
      </c>
      <c r="G36" s="42">
        <f t="shared" si="6"/>
        <v>1</v>
      </c>
      <c r="H36" s="33">
        <f>J5</f>
        <v>30</v>
      </c>
      <c r="I36" s="43">
        <f t="shared" si="7"/>
        <v>110.00000000000001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>
      <c r="A37" s="38" t="str">
        <f t="shared" si="5"/>
        <v xml:space="preserve">llaves #4 Pb </v>
      </c>
      <c r="B37" s="39"/>
      <c r="C37" s="39"/>
      <c r="D37" s="40" t="str">
        <f t="shared" si="8"/>
        <v>PABONADO</v>
      </c>
      <c r="E37" s="41">
        <f t="shared" si="9"/>
        <v>1</v>
      </c>
      <c r="F37" s="63">
        <f t="shared" si="10"/>
        <v>105</v>
      </c>
      <c r="G37" s="42">
        <f t="shared" si="6"/>
        <v>1</v>
      </c>
      <c r="H37" s="33">
        <f>J5</f>
        <v>30</v>
      </c>
      <c r="I37" s="43">
        <f t="shared" si="7"/>
        <v>3150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>
      <c r="A38" s="38" t="str">
        <f t="shared" si="5"/>
        <v>Cinta Falla de 25mm  (Cm)</v>
      </c>
      <c r="B38" s="39"/>
      <c r="C38" s="39"/>
      <c r="D38" s="40" t="str">
        <f t="shared" si="8"/>
        <v>CAFÉ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t="14" hidden="1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>
      <c r="A61" s="171"/>
      <c r="B61" s="171"/>
      <c r="C61" s="171"/>
      <c r="D61" s="171"/>
      <c r="E61" s="171"/>
      <c r="F61" s="171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>
      <c r="A62" s="174" t="s">
        <v>187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6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>
      <c r="A63" s="160" t="s">
        <v>315</v>
      </c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2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>
      <c r="A64" s="160" t="s">
        <v>310</v>
      </c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2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>
      <c r="A65" s="160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2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>
      <c r="A66" s="160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2"/>
    </row>
    <row r="67" spans="1:22" s="6" customFormat="1" ht="12.75" customHeight="1">
      <c r="A67" s="160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2"/>
    </row>
    <row r="68" spans="1:22" s="6" customFormat="1" ht="12.75" customHeight="1">
      <c r="A68" s="160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2"/>
    </row>
    <row r="69" spans="1:22" s="6" customFormat="1" ht="12.75" customHeight="1">
      <c r="A69" s="160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2"/>
    </row>
    <row r="70" spans="1:22" s="6" customFormat="1" ht="12.75" customHeight="1">
      <c r="A70" s="160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2"/>
    </row>
    <row r="71" spans="1:22" s="6" customFormat="1" ht="12.75" customHeight="1">
      <c r="A71" s="160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2"/>
    </row>
    <row r="72" spans="1:22" s="6" customFormat="1" ht="12.75" customHeight="1">
      <c r="A72" s="160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2"/>
    </row>
    <row r="73" spans="1:22" s="6" customFormat="1" ht="12.75" customHeight="1">
      <c r="A73" s="160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2"/>
    </row>
    <row r="74" spans="1:22" s="6" customFormat="1" ht="12.75" customHeight="1">
      <c r="A74" s="160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2"/>
    </row>
    <row r="75" spans="1:22" s="6" customFormat="1" ht="12.75" customHeight="1">
      <c r="A75" s="160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2"/>
    </row>
    <row r="76" spans="1:22" s="6" customFormat="1" ht="17.25" customHeight="1">
      <c r="A76" s="54" t="s">
        <v>188</v>
      </c>
      <c r="B76" s="54"/>
      <c r="C76" s="55"/>
      <c r="D76" s="54" t="s">
        <v>189</v>
      </c>
      <c r="E76" s="142" t="str">
        <f>PEDIDO!A30</f>
        <v>MODIFICADO POR: JAIDER ROJAS - ALMACENISTA (26-02-2017)SENA ITAGUI ANTIOQUIA</v>
      </c>
      <c r="F76" s="142"/>
      <c r="G76" s="142"/>
      <c r="H76" s="142"/>
      <c r="I76" s="142"/>
      <c r="J76" s="142"/>
      <c r="K76" s="142"/>
      <c r="L76" s="142"/>
      <c r="M76" s="142"/>
    </row>
    <row r="77" spans="1:22" s="6" customFormat="1" ht="14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ht="14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ht="14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ht="14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ht="14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ht="14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ht="14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ht="14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ht="14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ht="14">
      <c r="A86" s="133" t="s">
        <v>190</v>
      </c>
      <c r="B86" s="47"/>
      <c r="C86" s="32"/>
      <c r="D86" s="56">
        <v>6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ht="14">
      <c r="A87" s="133" t="s">
        <v>192</v>
      </c>
      <c r="B87" s="47"/>
      <c r="C87" s="32"/>
      <c r="D87" s="56">
        <v>0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ht="14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ht="14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ht="14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ht="14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ht="14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ht="14">
      <c r="A93" s="133" t="s">
        <v>98</v>
      </c>
      <c r="B93" s="47"/>
      <c r="C93" s="32"/>
      <c r="D93" s="56"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ht="14">
      <c r="A94" s="133" t="s">
        <v>97</v>
      </c>
      <c r="B94" s="48"/>
      <c r="C94" s="32"/>
      <c r="D94" s="56"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ht="14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ht="14">
      <c r="A96" s="133" t="s">
        <v>99</v>
      </c>
      <c r="B96" s="48"/>
      <c r="C96" s="32"/>
      <c r="D96" s="56">
        <v>3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ht="14">
      <c r="A97" s="133" t="s">
        <v>281</v>
      </c>
      <c r="B97" s="48"/>
      <c r="C97" s="49"/>
      <c r="D97" s="56"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ht="14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ht="14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ht="14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ht="14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ht="14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ht="14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ht="14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ht="14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ht="14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ht="14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ht="14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ht="14">
      <c r="A109" s="89" t="s">
        <v>294</v>
      </c>
      <c r="B109" s="48"/>
      <c r="C109" s="49"/>
      <c r="D109" s="56">
        <v>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ht="14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ht="14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ht="14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ht="14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ht="14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ht="14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ht="14">
      <c r="A116" s="89" t="s">
        <v>296</v>
      </c>
      <c r="B116" s="6"/>
      <c r="C116" s="68"/>
      <c r="D116" s="56">
        <v>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ht="14">
      <c r="A117" s="89" t="s">
        <v>297</v>
      </c>
      <c r="B117" s="6"/>
      <c r="C117" s="68"/>
      <c r="D117" s="56">
        <v>0</v>
      </c>
    </row>
    <row r="118" spans="1:20" ht="14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4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4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4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4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4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4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3"/>
  <sheetData>
    <row r="1" spans="1:5">
      <c r="A1" t="s">
        <v>3</v>
      </c>
      <c r="B1" s="3" t="s">
        <v>3</v>
      </c>
      <c r="D1" t="s">
        <v>10</v>
      </c>
      <c r="E1" t="s">
        <v>4</v>
      </c>
    </row>
    <row r="2" spans="1:5">
      <c r="A2" t="s">
        <v>4</v>
      </c>
      <c r="B2" s="4" t="s">
        <v>21</v>
      </c>
      <c r="D2" t="s">
        <v>11</v>
      </c>
      <c r="E2" s="7" t="s">
        <v>4</v>
      </c>
    </row>
    <row r="3" spans="1:5">
      <c r="A3" t="s">
        <v>5</v>
      </c>
      <c r="B3" s="5" t="s">
        <v>1</v>
      </c>
      <c r="D3" t="s">
        <v>12</v>
      </c>
      <c r="E3" s="1" t="s">
        <v>1</v>
      </c>
    </row>
    <row r="4" spans="1:5">
      <c r="A4" t="s">
        <v>6</v>
      </c>
      <c r="B4" s="4" t="s">
        <v>186</v>
      </c>
      <c r="D4" t="s">
        <v>13</v>
      </c>
      <c r="E4" s="2" t="s">
        <v>186</v>
      </c>
    </row>
    <row r="5" spans="1:5">
      <c r="A5" t="s">
        <v>7</v>
      </c>
      <c r="B5" s="4" t="s">
        <v>15</v>
      </c>
      <c r="E5" s="7" t="s">
        <v>25</v>
      </c>
    </row>
    <row r="6" spans="1:5">
      <c r="B6" s="4" t="s">
        <v>16</v>
      </c>
      <c r="E6" s="7" t="s">
        <v>26</v>
      </c>
    </row>
    <row r="7" spans="1:5">
      <c r="B7" s="4" t="s">
        <v>19</v>
      </c>
      <c r="E7" s="2" t="s">
        <v>8</v>
      </c>
    </row>
    <row r="8" spans="1:5">
      <c r="B8" s="4" t="s">
        <v>17</v>
      </c>
      <c r="E8" s="2" t="s">
        <v>9</v>
      </c>
    </row>
    <row r="9" spans="1:5">
      <c r="B9" s="4" t="s">
        <v>20</v>
      </c>
      <c r="E9" s="2" t="s">
        <v>33</v>
      </c>
    </row>
    <row r="10" spans="1:5">
      <c r="B10" s="4" t="s">
        <v>28</v>
      </c>
      <c r="E10" s="2" t="s">
        <v>35</v>
      </c>
    </row>
    <row r="11" spans="1:5">
      <c r="B11" s="4"/>
      <c r="E11" s="2"/>
    </row>
    <row r="12" spans="1:5">
      <c r="B12" s="4" t="s">
        <v>27</v>
      </c>
      <c r="E12" s="2"/>
    </row>
    <row r="13" spans="1:5">
      <c r="B13" t="s">
        <v>37</v>
      </c>
      <c r="E13" s="2"/>
    </row>
    <row r="14" spans="1:5">
      <c r="A14" t="s">
        <v>33</v>
      </c>
      <c r="B14" s="4" t="s">
        <v>33</v>
      </c>
      <c r="E14" s="2"/>
    </row>
    <row r="15" spans="1:5">
      <c r="B15" s="4" t="s">
        <v>36</v>
      </c>
      <c r="D15" t="s">
        <v>14</v>
      </c>
      <c r="E15" s="2"/>
    </row>
    <row r="16" spans="1:5">
      <c r="B16" s="4" t="s">
        <v>35</v>
      </c>
      <c r="E16" s="2"/>
    </row>
    <row r="17" spans="2:5">
      <c r="B17" s="4" t="s">
        <v>8</v>
      </c>
      <c r="E17" s="2"/>
    </row>
    <row r="18" spans="2:5">
      <c r="B18" s="4" t="s">
        <v>21</v>
      </c>
    </row>
    <row r="19" spans="2:5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E15" sqref="E15"/>
    </sheetView>
  </sheetViews>
  <sheetFormatPr baseColWidth="10" defaultRowHeight="13"/>
  <cols>
    <col min="1" max="1" width="34.5" customWidth="1"/>
    <col min="2" max="2" width="16.5" customWidth="1"/>
    <col min="3" max="3" width="13.1640625" customWidth="1"/>
    <col min="4" max="4" width="16.6640625" customWidth="1"/>
    <col min="5" max="5" width="9.6640625" customWidth="1"/>
    <col min="6" max="6" width="11.5" hidden="1" customWidth="1"/>
    <col min="7" max="7" width="1.1640625" customWidth="1"/>
    <col min="8" max="8" width="11" customWidth="1"/>
    <col min="9" max="9" width="10.6640625" hidden="1" customWidth="1"/>
    <col min="10" max="10" width="9.83203125" customWidth="1"/>
    <col min="11" max="13" width="7.83203125" customWidth="1"/>
    <col min="14" max="20" width="5.6640625" customWidth="1"/>
    <col min="21" max="21" width="32.83203125" customWidth="1"/>
    <col min="22" max="22" width="11.33203125" customWidth="1"/>
    <col min="23" max="23" width="12" customWidth="1"/>
    <col min="24" max="24" width="12.5" customWidth="1"/>
  </cols>
  <sheetData>
    <row r="1" spans="1:24" ht="35.25" customHeight="1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09" t="s">
        <v>32</v>
      </c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1"/>
    </row>
    <row r="2" spans="1:24" ht="35.25" customHeight="1">
      <c r="A2" s="72" t="str">
        <f>consumos!D2</f>
        <v>JULIANA ROMERO</v>
      </c>
      <c r="B2" s="72" t="str">
        <f>consumos!D3</f>
        <v>CARTUCHERA</v>
      </c>
      <c r="C2" s="72">
        <f>consumos!F5</f>
        <v>2709092</v>
      </c>
      <c r="D2" s="72" t="str">
        <f>consumos!F3</f>
        <v>COMPLEMENTARIOS</v>
      </c>
      <c r="E2" s="79"/>
      <c r="F2" s="79">
        <f>consumos!E5</f>
        <v>1032366226</v>
      </c>
      <c r="G2" s="61"/>
      <c r="H2" s="212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4"/>
    </row>
    <row r="3" spans="1:24" ht="43.5" customHeight="1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>
      <c r="A4" s="101" t="str">
        <f>consumos!A34</f>
        <v>Cuero Napa Variada  (Dm2)</v>
      </c>
      <c r="B4" s="102" t="str">
        <f>consumos!D8</f>
        <v>MIEL O CAFÉ</v>
      </c>
      <c r="C4" s="104">
        <f>consumos!E8</f>
        <v>9</v>
      </c>
      <c r="D4" s="129">
        <f>consumos!E8*consumos!J5</f>
        <v>270</v>
      </c>
      <c r="E4" s="129">
        <f>MEDIDAS!C21</f>
        <v>6.2068965517241378E-2</v>
      </c>
      <c r="F4" s="105">
        <f>consumos!H8</f>
        <v>131760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270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>
      <c r="A5" s="101" t="str">
        <f>consumos!A35</f>
        <v>Seda 30-100 Colores  (cm²)</v>
      </c>
      <c r="B5" s="102" t="str">
        <f>consumos!D9</f>
        <v>CAFÉ</v>
      </c>
      <c r="C5" s="104">
        <f>consumos!E9</f>
        <v>72</v>
      </c>
      <c r="D5" s="129">
        <f>consumos!E9*consumos!J5</f>
        <v>2160</v>
      </c>
      <c r="E5" s="129">
        <f>MEDIDAS!C22</f>
        <v>0.49655172413793103</v>
      </c>
      <c r="F5" s="105">
        <f>consumos!H9</f>
        <v>1080</v>
      </c>
      <c r="G5" s="106"/>
      <c r="H5" s="103">
        <f t="shared" si="0"/>
        <v>0</v>
      </c>
      <c r="I5" s="107">
        <f t="shared" si="1"/>
        <v>0</v>
      </c>
      <c r="J5" s="108">
        <f t="shared" si="2"/>
        <v>2160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>
      <c r="A6" s="101" t="str">
        <f>consumos!A36</f>
        <v>Cremallera Nylon #4(cm)</v>
      </c>
      <c r="B6" s="102" t="str">
        <f>consumos!D10</f>
        <v>CAFÉ</v>
      </c>
      <c r="C6" s="104">
        <f>consumos!E10</f>
        <v>25</v>
      </c>
      <c r="D6" s="129">
        <f>consumos!E10*consumos!J5</f>
        <v>750</v>
      </c>
      <c r="E6" s="129">
        <f>MEDIDAS!C23</f>
        <v>0.17241379310344829</v>
      </c>
      <c r="F6" s="105">
        <f>consumos!H10</f>
        <v>3300</v>
      </c>
      <c r="G6" s="106"/>
      <c r="H6" s="103">
        <f t="shared" si="0"/>
        <v>0</v>
      </c>
      <c r="I6" s="107">
        <f t="shared" si="1"/>
        <v>0</v>
      </c>
      <c r="J6" s="108">
        <f t="shared" si="2"/>
        <v>750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>
      <c r="A7" s="101" t="str">
        <f>consumos!A37</f>
        <v xml:space="preserve">llaves #4 Pb </v>
      </c>
      <c r="B7" s="102" t="str">
        <f>consumos!D11</f>
        <v>PABONADO</v>
      </c>
      <c r="C7" s="104">
        <f>consumos!E11</f>
        <v>30</v>
      </c>
      <c r="D7" s="129">
        <f>consumos!E11*consumos!J5</f>
        <v>900</v>
      </c>
      <c r="E7" s="129">
        <f>MEDIDAS!C24</f>
        <v>0.20689655172413793</v>
      </c>
      <c r="F7" s="105">
        <f>consumos!H11</f>
        <v>94500</v>
      </c>
      <c r="G7" s="106"/>
      <c r="H7" s="103">
        <f t="shared" si="0"/>
        <v>0</v>
      </c>
      <c r="I7" s="107">
        <f t="shared" si="1"/>
        <v>0</v>
      </c>
      <c r="J7" s="108">
        <f t="shared" si="2"/>
        <v>900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>
      <c r="A8" s="101" t="str">
        <f>consumos!A38</f>
        <v>Cinta Falla de 25mm  (Cm)</v>
      </c>
      <c r="B8" s="102" t="str">
        <f>consumos!D12</f>
        <v>CAFÉ</v>
      </c>
      <c r="C8" s="104">
        <f>consumos!E12</f>
        <v>20</v>
      </c>
      <c r="D8" s="129">
        <f>consumos!E12*consumos!J5</f>
        <v>600</v>
      </c>
      <c r="E8" s="129">
        <f>MEDIDAS!C25</f>
        <v>0.13793103448275862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600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6</v>
      </c>
      <c r="W13" s="62">
        <f t="shared" si="3"/>
        <v>6</v>
      </c>
      <c r="X13" s="28">
        <v>0</v>
      </c>
    </row>
    <row r="14" spans="1:24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0</v>
      </c>
      <c r="W14" s="62">
        <f t="shared" si="3"/>
        <v>0</v>
      </c>
      <c r="X14" s="28">
        <v>0</v>
      </c>
    </row>
    <row r="15" spans="1:24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0</v>
      </c>
      <c r="W20" s="62">
        <f t="shared" si="3"/>
        <v>0</v>
      </c>
      <c r="X20" s="28">
        <v>0</v>
      </c>
    </row>
    <row r="21" spans="1:45" ht="12.75" customHeight="1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0</v>
      </c>
      <c r="W21" s="62">
        <f t="shared" si="3"/>
        <v>0</v>
      </c>
      <c r="X21" s="28">
        <v>0</v>
      </c>
    </row>
    <row r="22" spans="1:45" ht="12.75" customHeight="1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3</v>
      </c>
      <c r="W23" s="62">
        <f t="shared" si="3"/>
        <v>3</v>
      </c>
      <c r="X23" s="28">
        <v>0</v>
      </c>
    </row>
    <row r="24" spans="1:45" ht="12.75" customHeight="1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0</v>
      </c>
      <c r="W24" s="62">
        <f t="shared" si="3"/>
        <v>0</v>
      </c>
      <c r="X24" s="28">
        <v>0</v>
      </c>
    </row>
    <row r="25" spans="1:45" ht="12.75" customHeight="1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4" thickBot="1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>
      <c r="A29" s="201" t="s">
        <v>184</v>
      </c>
      <c r="B29" s="202"/>
      <c r="C29" s="202"/>
      <c r="D29" s="203"/>
      <c r="E29" s="139"/>
      <c r="F29" s="24">
        <f>SUM(F4:F28)</f>
        <v>230640</v>
      </c>
      <c r="G29" s="8"/>
      <c r="H29" s="22"/>
      <c r="I29" s="9"/>
      <c r="J29" s="23"/>
      <c r="K29" s="215" t="str">
        <f>consumos!A62</f>
        <v>OBSERVACIONES</v>
      </c>
      <c r="L29" s="216"/>
      <c r="M29" s="216"/>
      <c r="N29" s="216"/>
      <c r="O29" s="216"/>
      <c r="P29" s="216"/>
      <c r="Q29" s="216"/>
      <c r="R29" s="216"/>
      <c r="S29" s="216"/>
      <c r="T29" s="217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4" thickBot="1">
      <c r="A30" s="204" t="s">
        <v>185</v>
      </c>
      <c r="B30" s="205"/>
      <c r="C30" s="205"/>
      <c r="D30" s="205"/>
      <c r="E30" s="140"/>
      <c r="F30" s="6"/>
      <c r="G30" s="6"/>
      <c r="H30" s="12"/>
      <c r="I30" s="10"/>
      <c r="J30" s="11"/>
      <c r="K30" s="218"/>
      <c r="L30" s="219"/>
      <c r="M30" s="219"/>
      <c r="N30" s="219"/>
      <c r="O30" s="219"/>
      <c r="P30" s="219"/>
      <c r="Q30" s="219"/>
      <c r="R30" s="219"/>
      <c r="S30" s="219"/>
      <c r="T30" s="220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2"/>
      <c r="I31" s="10"/>
      <c r="J31" s="11"/>
      <c r="K31" s="206" t="str">
        <f>consumos!A63</f>
        <v>CARTUCHERA SENCILLA 20 CM X 11 CM X 9 CM</v>
      </c>
      <c r="L31" s="207"/>
      <c r="M31" s="207"/>
      <c r="N31" s="207"/>
      <c r="O31" s="207"/>
      <c r="P31" s="207"/>
      <c r="Q31" s="207"/>
      <c r="R31" s="207"/>
      <c r="S31" s="207"/>
      <c r="T31" s="208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2"/>
      <c r="I32" s="10"/>
      <c r="J32" s="11"/>
      <c r="K32" s="206" t="str">
        <f>consumos!A64</f>
        <v>HILO ENCERADO A TONO DEL CUERO</v>
      </c>
      <c r="L32" s="207"/>
      <c r="M32" s="207"/>
      <c r="N32" s="207"/>
      <c r="O32" s="207"/>
      <c r="P32" s="207"/>
      <c r="Q32" s="207"/>
      <c r="R32" s="207"/>
      <c r="S32" s="207"/>
      <c r="T32" s="208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2"/>
      <c r="I33" s="10"/>
      <c r="J33" s="11"/>
      <c r="K33" s="206">
        <f>consumos!A65</f>
        <v>0</v>
      </c>
      <c r="L33" s="207"/>
      <c r="M33" s="207"/>
      <c r="N33" s="207"/>
      <c r="O33" s="207"/>
      <c r="P33" s="207"/>
      <c r="Q33" s="207"/>
      <c r="R33" s="207"/>
      <c r="S33" s="207"/>
      <c r="T33" s="208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2"/>
      <c r="I34" s="10"/>
      <c r="J34" s="11"/>
      <c r="K34" s="206">
        <f>consumos!A66</f>
        <v>0</v>
      </c>
      <c r="L34" s="207"/>
      <c r="M34" s="207"/>
      <c r="N34" s="207"/>
      <c r="O34" s="207"/>
      <c r="P34" s="207"/>
      <c r="Q34" s="207"/>
      <c r="R34" s="207"/>
      <c r="S34" s="207"/>
      <c r="T34" s="208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2"/>
      <c r="I35" s="10"/>
      <c r="J35" s="11"/>
      <c r="K35" s="206">
        <f>consumos!A67</f>
        <v>0</v>
      </c>
      <c r="L35" s="207"/>
      <c r="M35" s="207"/>
      <c r="N35" s="207"/>
      <c r="O35" s="207"/>
      <c r="P35" s="207"/>
      <c r="Q35" s="207"/>
      <c r="R35" s="207"/>
      <c r="S35" s="207"/>
      <c r="T35" s="208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06">
        <f>consumos!A68</f>
        <v>0</v>
      </c>
      <c r="L36" s="207"/>
      <c r="M36" s="207"/>
      <c r="N36" s="207"/>
      <c r="O36" s="207"/>
      <c r="P36" s="207"/>
      <c r="Q36" s="207"/>
      <c r="R36" s="207"/>
      <c r="S36" s="207"/>
      <c r="T36" s="208"/>
      <c r="U36" s="93" t="str">
        <f>consumos!A109</f>
        <v>Pegante advance o pega amarilla</v>
      </c>
      <c r="V36" s="67">
        <f>IF(consumos!D109&lt;0,(1),consumos!D109)</f>
        <v>0</v>
      </c>
      <c r="W36" s="62">
        <f t="shared" si="3"/>
        <v>0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06">
        <f>consumos!A69</f>
        <v>0</v>
      </c>
      <c r="L37" s="207"/>
      <c r="M37" s="207"/>
      <c r="N37" s="207"/>
      <c r="O37" s="207"/>
      <c r="P37" s="207"/>
      <c r="Q37" s="207"/>
      <c r="R37" s="207"/>
      <c r="S37" s="207"/>
      <c r="T37" s="208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06">
        <f>consumos!A70</f>
        <v>0</v>
      </c>
      <c r="L38" s="207"/>
      <c r="M38" s="207"/>
      <c r="N38" s="207"/>
      <c r="O38" s="207"/>
      <c r="P38" s="207"/>
      <c r="Q38" s="207"/>
      <c r="R38" s="207"/>
      <c r="S38" s="207"/>
      <c r="T38" s="208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06">
        <f>consumos!A71</f>
        <v>0</v>
      </c>
      <c r="L39" s="207"/>
      <c r="M39" s="207"/>
      <c r="N39" s="207"/>
      <c r="O39" s="207"/>
      <c r="P39" s="207"/>
      <c r="Q39" s="207"/>
      <c r="R39" s="207"/>
      <c r="S39" s="207"/>
      <c r="T39" s="208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06">
        <f>consumos!A72</f>
        <v>0</v>
      </c>
      <c r="L40" s="207"/>
      <c r="M40" s="207"/>
      <c r="N40" s="207"/>
      <c r="O40" s="207"/>
      <c r="P40" s="207"/>
      <c r="Q40" s="207"/>
      <c r="R40" s="207"/>
      <c r="S40" s="207"/>
      <c r="T40" s="208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06">
        <f>consumos!A73</f>
        <v>0</v>
      </c>
      <c r="L41" s="207"/>
      <c r="M41" s="207"/>
      <c r="N41" s="207"/>
      <c r="O41" s="207"/>
      <c r="P41" s="207"/>
      <c r="Q41" s="207"/>
      <c r="R41" s="207"/>
      <c r="S41" s="207"/>
      <c r="T41" s="208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06">
        <f>consumos!A74</f>
        <v>0</v>
      </c>
      <c r="L42" s="207"/>
      <c r="M42" s="207"/>
      <c r="N42" s="207"/>
      <c r="O42" s="207"/>
      <c r="P42" s="207"/>
      <c r="Q42" s="207"/>
      <c r="R42" s="207"/>
      <c r="S42" s="207"/>
      <c r="T42" s="208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06">
        <f>consumos!A75</f>
        <v>0</v>
      </c>
      <c r="L43" s="207"/>
      <c r="M43" s="207"/>
      <c r="N43" s="207"/>
      <c r="O43" s="207"/>
      <c r="P43" s="207"/>
      <c r="Q43" s="207"/>
      <c r="R43" s="207"/>
      <c r="S43" s="207"/>
      <c r="T43" s="208"/>
      <c r="U43" s="93" t="str">
        <f>consumos!A116</f>
        <v>Sacol Solucion de caucho natural 2440</v>
      </c>
      <c r="V43" s="67">
        <f>IF(consumos!D116&lt;0,(1),consumos!D116)</f>
        <v>0</v>
      </c>
      <c r="W43" s="62">
        <f t="shared" si="3"/>
        <v>0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F13" sqref="F13"/>
    </sheetView>
  </sheetViews>
  <sheetFormatPr baseColWidth="10" defaultRowHeight="13"/>
  <sheetData>
    <row r="1" spans="1:9" ht="5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1" t="s">
        <v>279</v>
      </c>
      <c r="I1" s="222"/>
    </row>
    <row r="2" spans="1:9" ht="15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0</v>
      </c>
      <c r="G2" s="119">
        <f>F2*E2</f>
        <v>0</v>
      </c>
      <c r="H2" s="223"/>
      <c r="I2" s="222"/>
    </row>
    <row r="3" spans="1:9" ht="15">
      <c r="A3" s="116">
        <v>150</v>
      </c>
      <c r="B3" s="117">
        <v>0</v>
      </c>
      <c r="C3" s="118">
        <f>B3/A3</f>
        <v>0</v>
      </c>
      <c r="D3" s="118">
        <f>C3/100</f>
        <v>0</v>
      </c>
      <c r="E3" s="118">
        <f>C3/100</f>
        <v>0</v>
      </c>
      <c r="F3" s="117">
        <v>0</v>
      </c>
      <c r="G3" s="119">
        <f>F3*E3</f>
        <v>0</v>
      </c>
      <c r="H3" s="223"/>
      <c r="I3" s="222"/>
    </row>
    <row r="4" spans="1:9" ht="15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3"/>
      <c r="I4" s="222"/>
    </row>
    <row r="5" spans="1:9" ht="15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3"/>
      <c r="I5" s="222"/>
    </row>
    <row r="6" spans="1:9">
      <c r="A6" s="120"/>
      <c r="B6" s="121"/>
      <c r="C6" s="121"/>
      <c r="D6" s="121"/>
      <c r="E6" s="121"/>
      <c r="F6" s="120"/>
      <c r="G6" s="121"/>
    </row>
    <row r="7" spans="1:9" ht="5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>
      <c r="A12" s="120"/>
      <c r="B12" s="121"/>
      <c r="C12" s="121"/>
      <c r="D12" s="121"/>
      <c r="E12" s="121"/>
      <c r="F12" s="120"/>
      <c r="G12" s="121"/>
    </row>
    <row r="13" spans="1:9" ht="5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52" hidden="1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>
      <c r="A21" s="116">
        <v>145</v>
      </c>
      <c r="B21" s="117">
        <f>PEDIDO!C4</f>
        <v>9</v>
      </c>
      <c r="C21" s="118">
        <f>B21/A21</f>
        <v>6.2068965517241378E-2</v>
      </c>
      <c r="D21" s="118">
        <f>C21/10</f>
        <v>6.2068965517241377E-3</v>
      </c>
      <c r="E21" s="118">
        <f>C21/100</f>
        <v>6.2068965517241383E-4</v>
      </c>
      <c r="F21" s="117">
        <v>0</v>
      </c>
      <c r="G21" s="119">
        <f>F21*E21</f>
        <v>0</v>
      </c>
    </row>
    <row r="22" spans="1:7" ht="15" hidden="1">
      <c r="A22" s="116">
        <v>145</v>
      </c>
      <c r="B22" s="117">
        <f>PEDIDO!C5</f>
        <v>72</v>
      </c>
      <c r="C22" s="118">
        <f t="shared" ref="C22:C44" si="0">B22/A22</f>
        <v>0.49655172413793103</v>
      </c>
      <c r="D22" s="118">
        <f t="shared" ref="D22:D45" si="1">C22/10</f>
        <v>4.9655172413793101E-2</v>
      </c>
      <c r="E22" s="118">
        <f t="shared" ref="E22:E44" si="2">C22/100</f>
        <v>4.9655172413793107E-3</v>
      </c>
      <c r="F22" s="117">
        <v>0</v>
      </c>
      <c r="G22" s="119">
        <f t="shared" ref="G22:G44" si="3">F22*E22</f>
        <v>0</v>
      </c>
    </row>
    <row r="23" spans="1:7" ht="15" hidden="1">
      <c r="A23" s="116">
        <v>145</v>
      </c>
      <c r="B23" s="117">
        <f>PEDIDO!C6</f>
        <v>25</v>
      </c>
      <c r="C23" s="118">
        <f t="shared" si="0"/>
        <v>0.17241379310344829</v>
      </c>
      <c r="D23" s="118">
        <f t="shared" si="1"/>
        <v>1.7241379310344827E-2</v>
      </c>
      <c r="E23" s="118">
        <f t="shared" si="2"/>
        <v>1.724137931034483E-3</v>
      </c>
      <c r="F23" s="117">
        <v>0</v>
      </c>
      <c r="G23" s="119">
        <f t="shared" si="3"/>
        <v>0</v>
      </c>
    </row>
    <row r="24" spans="1:7" ht="15" hidden="1">
      <c r="A24" s="116">
        <v>145</v>
      </c>
      <c r="B24" s="117">
        <f>PEDIDO!C7</f>
        <v>30</v>
      </c>
      <c r="C24" s="118">
        <f t="shared" si="0"/>
        <v>0.20689655172413793</v>
      </c>
      <c r="D24" s="118">
        <f t="shared" si="1"/>
        <v>2.0689655172413793E-2</v>
      </c>
      <c r="E24" s="118">
        <f t="shared" si="2"/>
        <v>2.0689655172413794E-3</v>
      </c>
      <c r="F24" s="117">
        <v>0</v>
      </c>
      <c r="G24" s="119">
        <f t="shared" si="3"/>
        <v>0</v>
      </c>
    </row>
    <row r="25" spans="1:7" ht="15" hidden="1">
      <c r="A25" s="116">
        <v>145</v>
      </c>
      <c r="B25" s="117">
        <f>PEDIDO!C8</f>
        <v>20</v>
      </c>
      <c r="C25" s="118">
        <f t="shared" si="0"/>
        <v>0.13793103448275862</v>
      </c>
      <c r="D25" s="118">
        <f t="shared" si="1"/>
        <v>1.3793103448275862E-2</v>
      </c>
      <c r="E25" s="118">
        <f t="shared" si="2"/>
        <v>1.3793103448275861E-3</v>
      </c>
      <c r="F25" s="117">
        <v>0</v>
      </c>
      <c r="G25" s="119">
        <f t="shared" si="3"/>
        <v>0</v>
      </c>
    </row>
    <row r="26" spans="1:7" ht="15" hidden="1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3"/>
  <cols>
    <col min="1" max="1" width="26.33203125" style="87" customWidth="1"/>
    <col min="2" max="2" width="10.5" style="88" customWidth="1"/>
    <col min="3" max="3" width="7.6640625" style="86" customWidth="1"/>
    <col min="4" max="4" width="17.6640625" customWidth="1"/>
    <col min="7" max="7" width="0" hidden="1" customWidth="1"/>
    <col min="9" max="9" width="0" hidden="1" customWidth="1"/>
  </cols>
  <sheetData>
    <row r="1" spans="1:4" ht="14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>
      <c r="A2" s="84" t="s">
        <v>150</v>
      </c>
      <c r="B2" s="25">
        <v>133.4</v>
      </c>
      <c r="C2" s="125">
        <v>1</v>
      </c>
      <c r="D2" s="128"/>
    </row>
    <row r="3" spans="1:4">
      <c r="A3" s="84">
        <v>0</v>
      </c>
      <c r="B3" s="25">
        <v>0</v>
      </c>
      <c r="C3" s="125">
        <v>0</v>
      </c>
      <c r="D3" s="128"/>
    </row>
    <row r="4" spans="1:4">
      <c r="A4" s="84" t="s">
        <v>272</v>
      </c>
      <c r="B4" s="25">
        <v>50</v>
      </c>
      <c r="C4" s="125">
        <v>1</v>
      </c>
      <c r="D4" s="128"/>
    </row>
    <row r="5" spans="1:4">
      <c r="A5" s="84" t="s">
        <v>230</v>
      </c>
      <c r="B5" s="81">
        <v>1392</v>
      </c>
      <c r="C5" s="125">
        <v>1</v>
      </c>
      <c r="D5" s="128"/>
    </row>
    <row r="6" spans="1:4">
      <c r="A6" s="84" t="s">
        <v>231</v>
      </c>
      <c r="B6" s="81">
        <v>2204</v>
      </c>
      <c r="C6" s="125">
        <v>1</v>
      </c>
      <c r="D6" s="128"/>
    </row>
    <row r="7" spans="1:4">
      <c r="A7" s="84" t="s">
        <v>232</v>
      </c>
      <c r="B7" s="25">
        <v>800</v>
      </c>
      <c r="C7" s="125">
        <v>1</v>
      </c>
      <c r="D7" s="128"/>
    </row>
    <row r="8" spans="1:4">
      <c r="A8" s="84" t="s">
        <v>233</v>
      </c>
      <c r="B8" s="25">
        <v>800</v>
      </c>
      <c r="C8" s="125">
        <v>1</v>
      </c>
      <c r="D8" s="128"/>
    </row>
    <row r="9" spans="1:4">
      <c r="A9" s="84" t="s">
        <v>234</v>
      </c>
      <c r="B9" s="25">
        <v>800</v>
      </c>
      <c r="C9" s="125">
        <v>1</v>
      </c>
      <c r="D9" s="128"/>
    </row>
    <row r="10" spans="1:4">
      <c r="A10" s="84" t="s">
        <v>235</v>
      </c>
      <c r="B10" s="25">
        <v>800</v>
      </c>
      <c r="C10" s="125">
        <v>1</v>
      </c>
      <c r="D10" s="128"/>
    </row>
    <row r="11" spans="1:4">
      <c r="A11" s="84" t="s">
        <v>236</v>
      </c>
      <c r="B11" s="25">
        <v>800</v>
      </c>
      <c r="C11" s="125">
        <v>1</v>
      </c>
      <c r="D11" s="128"/>
    </row>
    <row r="12" spans="1:4" ht="12" customHeight="1">
      <c r="A12" s="84" t="s">
        <v>93</v>
      </c>
      <c r="B12" s="25">
        <v>58</v>
      </c>
      <c r="C12" s="125">
        <v>1</v>
      </c>
      <c r="D12" s="128"/>
    </row>
    <row r="13" spans="1:4">
      <c r="A13" s="84" t="s">
        <v>148</v>
      </c>
      <c r="B13" s="25">
        <v>63.8</v>
      </c>
      <c r="C13" s="125">
        <v>1</v>
      </c>
      <c r="D13" s="128"/>
    </row>
    <row r="14" spans="1:4">
      <c r="A14" s="84" t="s">
        <v>149</v>
      </c>
      <c r="B14" s="25">
        <v>63.8</v>
      </c>
      <c r="C14" s="125">
        <v>1</v>
      </c>
      <c r="D14" s="128"/>
    </row>
    <row r="15" spans="1:4">
      <c r="A15" s="84" t="s">
        <v>92</v>
      </c>
      <c r="B15" s="25">
        <v>130</v>
      </c>
      <c r="C15" s="125">
        <v>1</v>
      </c>
      <c r="D15" s="128"/>
    </row>
    <row r="16" spans="1:4">
      <c r="A16" s="84" t="s">
        <v>89</v>
      </c>
      <c r="B16" s="25">
        <v>130</v>
      </c>
      <c r="C16" s="125">
        <v>1</v>
      </c>
      <c r="D16" s="128"/>
    </row>
    <row r="17" spans="1:4">
      <c r="A17" s="84" t="s">
        <v>90</v>
      </c>
      <c r="B17" s="25">
        <v>250</v>
      </c>
      <c r="C17" s="125">
        <v>1</v>
      </c>
      <c r="D17" s="128"/>
    </row>
    <row r="18" spans="1:4">
      <c r="A18" s="84" t="s">
        <v>91</v>
      </c>
      <c r="B18" s="25">
        <v>350</v>
      </c>
      <c r="C18" s="125">
        <v>1</v>
      </c>
      <c r="D18" s="128"/>
    </row>
    <row r="19" spans="1:4">
      <c r="A19" s="84" t="s">
        <v>112</v>
      </c>
      <c r="B19" s="25">
        <v>800</v>
      </c>
      <c r="C19" s="125">
        <v>1</v>
      </c>
      <c r="D19" s="128"/>
    </row>
    <row r="20" spans="1:4">
      <c r="A20" s="84" t="s">
        <v>103</v>
      </c>
      <c r="B20" s="25">
        <v>110</v>
      </c>
      <c r="C20" s="125">
        <v>1</v>
      </c>
      <c r="D20" s="128"/>
    </row>
    <row r="21" spans="1:4">
      <c r="A21" s="84" t="s">
        <v>81</v>
      </c>
      <c r="B21" s="25">
        <v>1000</v>
      </c>
      <c r="C21" s="125">
        <v>1</v>
      </c>
      <c r="D21" s="128"/>
    </row>
    <row r="22" spans="1:4">
      <c r="A22" s="84" t="s">
        <v>205</v>
      </c>
      <c r="B22" s="25">
        <v>0.5</v>
      </c>
      <c r="C22" s="125">
        <v>1</v>
      </c>
      <c r="D22" s="128"/>
    </row>
    <row r="23" spans="1:4">
      <c r="A23" s="84" t="s">
        <v>146</v>
      </c>
      <c r="B23" s="25">
        <v>754</v>
      </c>
      <c r="C23" s="125">
        <v>1</v>
      </c>
      <c r="D23" s="128"/>
    </row>
    <row r="24" spans="1:4">
      <c r="A24" s="84" t="s">
        <v>147</v>
      </c>
      <c r="B24" s="25">
        <v>754</v>
      </c>
      <c r="C24" s="125">
        <v>1</v>
      </c>
      <c r="D24" s="128"/>
    </row>
    <row r="25" spans="1:4">
      <c r="A25" s="84" t="s">
        <v>95</v>
      </c>
      <c r="B25" s="25">
        <v>0.2</v>
      </c>
      <c r="C25" s="125">
        <v>1</v>
      </c>
      <c r="D25" s="128"/>
    </row>
    <row r="26" spans="1:4">
      <c r="A26" s="84" t="s">
        <v>94</v>
      </c>
      <c r="B26" s="25">
        <v>0.3</v>
      </c>
      <c r="C26" s="125">
        <v>1</v>
      </c>
      <c r="D26" s="128"/>
    </row>
    <row r="27" spans="1:4">
      <c r="A27" s="84" t="s">
        <v>113</v>
      </c>
      <c r="B27" s="25">
        <v>0.26</v>
      </c>
      <c r="C27" s="125">
        <v>1</v>
      </c>
      <c r="D27" s="128"/>
    </row>
    <row r="28" spans="1:4">
      <c r="A28" s="84" t="s">
        <v>198</v>
      </c>
      <c r="B28" s="25">
        <v>0.4</v>
      </c>
      <c r="C28" s="125">
        <v>1</v>
      </c>
      <c r="D28" s="128"/>
    </row>
    <row r="29" spans="1:4">
      <c r="A29" s="84" t="s">
        <v>114</v>
      </c>
      <c r="B29" s="25">
        <v>0.4</v>
      </c>
      <c r="C29" s="125">
        <v>1</v>
      </c>
      <c r="D29" s="128"/>
    </row>
    <row r="30" spans="1:4">
      <c r="A30" s="84" t="s">
        <v>199</v>
      </c>
      <c r="B30" s="25">
        <v>0.4</v>
      </c>
      <c r="C30" s="125">
        <v>1</v>
      </c>
      <c r="D30" s="128"/>
    </row>
    <row r="31" spans="1:4">
      <c r="A31" s="84" t="s">
        <v>115</v>
      </c>
      <c r="B31" s="25">
        <v>500</v>
      </c>
      <c r="C31" s="125">
        <v>1</v>
      </c>
      <c r="D31" s="128"/>
    </row>
    <row r="32" spans="1:4">
      <c r="A32" s="84" t="s">
        <v>200</v>
      </c>
      <c r="B32" s="25">
        <v>450</v>
      </c>
      <c r="C32" s="125">
        <v>1</v>
      </c>
      <c r="D32" s="128"/>
    </row>
    <row r="33" spans="1:4" ht="12.75" customHeight="1">
      <c r="A33" s="84" t="s">
        <v>116</v>
      </c>
      <c r="B33" s="25">
        <v>400</v>
      </c>
      <c r="C33" s="125">
        <v>1</v>
      </c>
      <c r="D33" s="128"/>
    </row>
    <row r="34" spans="1:4" ht="12.75" customHeight="1">
      <c r="A34" s="84" t="s">
        <v>117</v>
      </c>
      <c r="B34" s="25">
        <v>3.4</v>
      </c>
      <c r="C34" s="125">
        <v>1</v>
      </c>
      <c r="D34" s="128"/>
    </row>
    <row r="35" spans="1:4" ht="12.75" customHeight="1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>
      <c r="A36" s="84" t="s">
        <v>119</v>
      </c>
      <c r="B36" s="25">
        <v>6</v>
      </c>
      <c r="C36" s="125">
        <v>1</v>
      </c>
      <c r="D36" s="128"/>
    </row>
    <row r="37" spans="1:4" ht="12.75" customHeight="1">
      <c r="A37" s="84" t="s">
        <v>197</v>
      </c>
      <c r="B37" s="25">
        <v>0.38</v>
      </c>
      <c r="C37" s="125">
        <v>1</v>
      </c>
      <c r="D37" s="128"/>
    </row>
    <row r="38" spans="1:4" ht="15" customHeight="1">
      <c r="A38" s="84" t="s">
        <v>254</v>
      </c>
      <c r="B38" s="26">
        <v>50</v>
      </c>
      <c r="C38" s="125">
        <v>1</v>
      </c>
      <c r="D38" s="128"/>
    </row>
    <row r="39" spans="1:4" ht="15" customHeight="1">
      <c r="A39" s="84" t="s">
        <v>255</v>
      </c>
      <c r="B39" s="27">
        <v>50</v>
      </c>
      <c r="C39" s="125">
        <v>1</v>
      </c>
      <c r="D39" s="128"/>
    </row>
    <row r="40" spans="1:4" ht="12.75" customHeight="1">
      <c r="A40" s="84" t="s">
        <v>219</v>
      </c>
      <c r="B40" s="27">
        <v>80</v>
      </c>
      <c r="C40" s="125">
        <v>1</v>
      </c>
      <c r="D40" s="128"/>
    </row>
    <row r="41" spans="1:4" ht="12.75" customHeight="1">
      <c r="A41" s="84" t="s">
        <v>220</v>
      </c>
      <c r="B41" s="27">
        <v>90</v>
      </c>
      <c r="C41" s="125">
        <v>1</v>
      </c>
      <c r="D41" s="128"/>
    </row>
    <row r="42" spans="1:4" ht="12.75" customHeight="1">
      <c r="A42" s="84" t="s">
        <v>221</v>
      </c>
      <c r="B42" s="27">
        <v>100</v>
      </c>
      <c r="C42" s="125">
        <v>1</v>
      </c>
      <c r="D42" s="128"/>
    </row>
    <row r="43" spans="1:4" ht="15" customHeight="1">
      <c r="A43" s="84" t="s">
        <v>256</v>
      </c>
      <c r="B43" s="26">
        <v>50</v>
      </c>
      <c r="C43" s="125">
        <v>1</v>
      </c>
      <c r="D43" s="128"/>
    </row>
    <row r="44" spans="1:4" ht="15" customHeight="1">
      <c r="A44" s="84" t="s">
        <v>257</v>
      </c>
      <c r="B44" s="27">
        <v>50</v>
      </c>
      <c r="C44" s="125">
        <v>1</v>
      </c>
      <c r="D44" s="128"/>
    </row>
    <row r="45" spans="1:4" ht="12.75" customHeight="1">
      <c r="A45" s="84" t="s">
        <v>222</v>
      </c>
      <c r="B45" s="27">
        <v>80</v>
      </c>
      <c r="C45" s="125">
        <v>1</v>
      </c>
      <c r="D45" s="128"/>
    </row>
    <row r="46" spans="1:4" ht="12.75" customHeight="1">
      <c r="A46" s="84" t="s">
        <v>223</v>
      </c>
      <c r="B46" s="27">
        <v>90</v>
      </c>
      <c r="C46" s="125">
        <v>1</v>
      </c>
      <c r="D46" s="128"/>
    </row>
    <row r="47" spans="1:4" ht="12.75" customHeight="1">
      <c r="A47" s="84" t="s">
        <v>224</v>
      </c>
      <c r="B47" s="27">
        <v>100</v>
      </c>
      <c r="C47" s="125">
        <v>1</v>
      </c>
      <c r="D47" s="128"/>
    </row>
    <row r="48" spans="1:4" ht="12.75" customHeight="1">
      <c r="A48" s="84" t="s">
        <v>237</v>
      </c>
      <c r="B48" s="81">
        <v>250</v>
      </c>
      <c r="C48" s="85">
        <v>1</v>
      </c>
      <c r="D48" s="128"/>
    </row>
    <row r="49" spans="1:4" ht="12.75" customHeight="1">
      <c r="A49" s="84" t="s">
        <v>86</v>
      </c>
      <c r="B49" s="25">
        <v>349</v>
      </c>
      <c r="C49" s="125">
        <v>1</v>
      </c>
      <c r="D49" s="128"/>
    </row>
    <row r="50" spans="1:4" ht="12.75" customHeight="1">
      <c r="A50" s="84" t="s">
        <v>84</v>
      </c>
      <c r="B50" s="25">
        <v>246</v>
      </c>
      <c r="C50" s="125">
        <v>1</v>
      </c>
      <c r="D50" s="128"/>
    </row>
    <row r="51" spans="1:4" ht="12.75" customHeight="1">
      <c r="A51" s="84" t="s">
        <v>83</v>
      </c>
      <c r="B51" s="25">
        <v>436</v>
      </c>
      <c r="C51" s="125">
        <v>1</v>
      </c>
      <c r="D51" s="128"/>
    </row>
    <row r="52" spans="1:4" ht="12.75" customHeight="1">
      <c r="A52" s="84" t="s">
        <v>121</v>
      </c>
      <c r="B52" s="25">
        <v>491</v>
      </c>
      <c r="C52" s="125">
        <v>1</v>
      </c>
      <c r="D52" s="128"/>
    </row>
    <row r="53" spans="1:4" ht="12.75" customHeight="1">
      <c r="A53" s="84" t="s">
        <v>120</v>
      </c>
      <c r="B53" s="25">
        <v>488</v>
      </c>
      <c r="C53" s="125">
        <v>1</v>
      </c>
      <c r="D53" s="128"/>
    </row>
    <row r="54" spans="1:4" ht="12.75" customHeight="1">
      <c r="A54" s="84" t="s">
        <v>111</v>
      </c>
      <c r="B54" s="25">
        <v>589</v>
      </c>
      <c r="C54" s="125">
        <v>1</v>
      </c>
      <c r="D54" s="128"/>
    </row>
    <row r="55" spans="1:4" ht="12.75" customHeight="1">
      <c r="A55" s="84" t="s">
        <v>88</v>
      </c>
      <c r="B55" s="25">
        <v>685</v>
      </c>
      <c r="C55" s="125">
        <v>1</v>
      </c>
      <c r="D55" s="128"/>
    </row>
    <row r="56" spans="1:4" ht="12.75" customHeight="1">
      <c r="A56" s="84" t="s">
        <v>85</v>
      </c>
      <c r="B56" s="25">
        <v>430</v>
      </c>
      <c r="C56" s="125">
        <v>1</v>
      </c>
      <c r="D56" s="128"/>
    </row>
    <row r="57" spans="1:4" ht="12.75" customHeight="1">
      <c r="A57" s="84" t="s">
        <v>201</v>
      </c>
      <c r="B57" s="25">
        <v>476</v>
      </c>
      <c r="C57" s="125">
        <v>1</v>
      </c>
      <c r="D57" s="128"/>
    </row>
    <row r="58" spans="1:4" ht="12.75" customHeight="1">
      <c r="A58" s="84" t="s">
        <v>87</v>
      </c>
      <c r="B58" s="25">
        <v>306</v>
      </c>
      <c r="C58" s="125">
        <v>1</v>
      </c>
      <c r="D58" s="128"/>
    </row>
    <row r="59" spans="1:4" ht="12.75" customHeight="1">
      <c r="A59" s="84" t="s">
        <v>202</v>
      </c>
      <c r="B59" s="25">
        <v>200</v>
      </c>
      <c r="C59" s="125">
        <v>1</v>
      </c>
      <c r="D59" s="128"/>
    </row>
    <row r="60" spans="1:4" ht="12.75" customHeight="1">
      <c r="A60" s="84" t="s">
        <v>82</v>
      </c>
      <c r="B60" s="25">
        <v>17</v>
      </c>
      <c r="C60" s="125">
        <v>1</v>
      </c>
      <c r="D60" s="128"/>
    </row>
    <row r="61" spans="1:4" ht="12.75" customHeight="1">
      <c r="A61" s="84" t="s">
        <v>122</v>
      </c>
      <c r="B61" s="25">
        <v>80</v>
      </c>
      <c r="C61" s="125">
        <v>1</v>
      </c>
      <c r="D61" s="128"/>
    </row>
    <row r="62" spans="1:4">
      <c r="A62" s="84" t="s">
        <v>123</v>
      </c>
      <c r="B62" s="25">
        <v>4000</v>
      </c>
      <c r="C62" s="125">
        <v>1</v>
      </c>
      <c r="D62" s="128"/>
    </row>
    <row r="63" spans="1:4">
      <c r="A63" s="84" t="s">
        <v>158</v>
      </c>
      <c r="B63" s="25">
        <v>0.13</v>
      </c>
      <c r="C63" s="125">
        <v>1</v>
      </c>
      <c r="D63" s="128"/>
    </row>
    <row r="64" spans="1:4">
      <c r="A64" s="84" t="s">
        <v>159</v>
      </c>
      <c r="B64" s="25">
        <v>0.15</v>
      </c>
      <c r="C64" s="125">
        <v>1</v>
      </c>
      <c r="D64" s="128"/>
    </row>
    <row r="65" spans="1:4">
      <c r="A65" s="84" t="s">
        <v>238</v>
      </c>
      <c r="B65" s="25">
        <v>0.17</v>
      </c>
      <c r="C65" s="125">
        <v>1</v>
      </c>
      <c r="D65" s="128"/>
    </row>
    <row r="66" spans="1:4">
      <c r="A66" s="84" t="s">
        <v>307</v>
      </c>
      <c r="B66" s="25">
        <v>0.25</v>
      </c>
      <c r="C66" s="125">
        <v>1</v>
      </c>
      <c r="D66" s="128">
        <v>100</v>
      </c>
    </row>
    <row r="67" spans="1:4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>
      <c r="A68" s="84" t="s">
        <v>203</v>
      </c>
      <c r="B68" s="25">
        <v>284</v>
      </c>
      <c r="C68" s="125">
        <v>1</v>
      </c>
      <c r="D68" s="128"/>
    </row>
    <row r="69" spans="1:4">
      <c r="A69" s="84" t="s">
        <v>204</v>
      </c>
      <c r="B69" s="25">
        <v>491</v>
      </c>
      <c r="C69" s="125">
        <v>1</v>
      </c>
      <c r="D69" s="128"/>
    </row>
    <row r="70" spans="1:4">
      <c r="A70" s="84" t="s">
        <v>161</v>
      </c>
      <c r="B70" s="25">
        <v>0.1</v>
      </c>
      <c r="C70" s="125">
        <v>1</v>
      </c>
      <c r="D70" s="128">
        <v>140</v>
      </c>
    </row>
    <row r="71" spans="1:4">
      <c r="A71" s="84" t="s">
        <v>162</v>
      </c>
      <c r="B71" s="25">
        <v>0.36</v>
      </c>
      <c r="C71" s="125">
        <v>1</v>
      </c>
      <c r="D71" s="128">
        <v>140</v>
      </c>
    </row>
    <row r="72" spans="1:4">
      <c r="A72" s="84" t="s">
        <v>239</v>
      </c>
      <c r="B72" s="25">
        <v>928</v>
      </c>
      <c r="C72" s="125">
        <v>1</v>
      </c>
      <c r="D72" s="128"/>
    </row>
    <row r="73" spans="1:4">
      <c r="A73" s="84" t="s">
        <v>240</v>
      </c>
      <c r="B73" s="25">
        <v>1500</v>
      </c>
      <c r="C73" s="125">
        <v>1</v>
      </c>
      <c r="D73" s="128"/>
    </row>
    <row r="74" spans="1:4">
      <c r="A74" s="84" t="s">
        <v>241</v>
      </c>
      <c r="B74" s="25">
        <v>1000</v>
      </c>
      <c r="C74" s="125">
        <v>1</v>
      </c>
      <c r="D74" s="128"/>
    </row>
    <row r="75" spans="1:4">
      <c r="A75" s="84" t="s">
        <v>242</v>
      </c>
      <c r="B75" s="25">
        <v>1100</v>
      </c>
      <c r="C75" s="125">
        <v>1</v>
      </c>
      <c r="D75" s="128"/>
    </row>
    <row r="76" spans="1:4">
      <c r="A76" s="84" t="s">
        <v>243</v>
      </c>
      <c r="B76" s="25">
        <v>930</v>
      </c>
      <c r="C76" s="125">
        <v>1</v>
      </c>
      <c r="D76" s="128"/>
    </row>
    <row r="77" spans="1:4">
      <c r="A77" s="84" t="s">
        <v>244</v>
      </c>
      <c r="B77" s="25">
        <v>950</v>
      </c>
      <c r="C77" s="125">
        <v>1</v>
      </c>
      <c r="D77" s="128"/>
    </row>
    <row r="78" spans="1:4">
      <c r="A78" s="84" t="s">
        <v>245</v>
      </c>
      <c r="B78" s="25">
        <v>2000</v>
      </c>
      <c r="C78" s="125">
        <v>1</v>
      </c>
      <c r="D78" s="128"/>
    </row>
    <row r="79" spans="1:4">
      <c r="A79" s="84" t="s">
        <v>246</v>
      </c>
      <c r="B79" s="25">
        <v>500</v>
      </c>
      <c r="C79" s="125">
        <v>1</v>
      </c>
      <c r="D79" s="128"/>
    </row>
    <row r="80" spans="1:4" ht="15">
      <c r="A80" s="84" t="s">
        <v>247</v>
      </c>
      <c r="B80" s="25">
        <v>400</v>
      </c>
      <c r="C80" s="125">
        <v>1</v>
      </c>
      <c r="D80" s="128"/>
    </row>
    <row r="81" spans="1:4">
      <c r="A81" s="84" t="s">
        <v>145</v>
      </c>
      <c r="B81" s="25">
        <v>0.5</v>
      </c>
      <c r="C81" s="125">
        <v>1</v>
      </c>
      <c r="D81" s="128"/>
    </row>
    <row r="82" spans="1:4">
      <c r="A82" s="84" t="s">
        <v>164</v>
      </c>
      <c r="B82" s="25">
        <v>0.25</v>
      </c>
      <c r="C82" s="125">
        <v>1</v>
      </c>
      <c r="D82" s="128">
        <v>150</v>
      </c>
    </row>
    <row r="83" spans="1:4">
      <c r="A83" s="84" t="s">
        <v>165</v>
      </c>
      <c r="B83" s="25">
        <v>0.51</v>
      </c>
      <c r="C83" s="125">
        <v>1</v>
      </c>
      <c r="D83" s="128">
        <v>150</v>
      </c>
    </row>
    <row r="84" spans="1:4">
      <c r="A84" s="84" t="s">
        <v>213</v>
      </c>
      <c r="B84" s="25">
        <v>300</v>
      </c>
      <c r="C84" s="125">
        <v>1</v>
      </c>
      <c r="D84" s="128"/>
    </row>
    <row r="85" spans="1:4">
      <c r="A85" s="84" t="s">
        <v>214</v>
      </c>
      <c r="B85" s="25">
        <v>105</v>
      </c>
      <c r="C85" s="125">
        <v>1</v>
      </c>
      <c r="D85" s="128"/>
    </row>
    <row r="86" spans="1:4">
      <c r="A86" s="84" t="s">
        <v>215</v>
      </c>
      <c r="B86" s="25">
        <v>105</v>
      </c>
      <c r="C86" s="125">
        <v>1</v>
      </c>
      <c r="D86" s="128"/>
    </row>
    <row r="87" spans="1:4">
      <c r="A87" s="84" t="s">
        <v>216</v>
      </c>
      <c r="B87" s="25">
        <v>100</v>
      </c>
      <c r="C87" s="125">
        <v>1</v>
      </c>
      <c r="D87" s="128"/>
    </row>
    <row r="88" spans="1:4">
      <c r="A88" s="84" t="s">
        <v>217</v>
      </c>
      <c r="B88" s="25">
        <v>200</v>
      </c>
      <c r="C88" s="125">
        <v>1</v>
      </c>
      <c r="D88" s="128"/>
    </row>
    <row r="89" spans="1:4">
      <c r="A89" s="84" t="s">
        <v>218</v>
      </c>
      <c r="B89" s="25">
        <v>100</v>
      </c>
      <c r="C89" s="125">
        <v>1</v>
      </c>
      <c r="D89" s="128"/>
    </row>
    <row r="90" spans="1:4">
      <c r="A90" s="84" t="s">
        <v>166</v>
      </c>
      <c r="B90" s="25">
        <v>0.66</v>
      </c>
      <c r="C90" s="125">
        <v>1</v>
      </c>
      <c r="D90" s="128">
        <v>140</v>
      </c>
    </row>
    <row r="91" spans="1:4">
      <c r="A91" s="84" t="s">
        <v>167</v>
      </c>
      <c r="B91" s="25">
        <v>1.46</v>
      </c>
      <c r="C91" s="125">
        <v>1</v>
      </c>
      <c r="D91" s="128">
        <v>140</v>
      </c>
    </row>
    <row r="92" spans="1:4">
      <c r="A92" s="84" t="s">
        <v>248</v>
      </c>
      <c r="B92" s="25">
        <v>115</v>
      </c>
      <c r="C92" s="125">
        <v>1</v>
      </c>
      <c r="D92" s="128"/>
    </row>
    <row r="93" spans="1:4">
      <c r="A93" s="84" t="s">
        <v>249</v>
      </c>
      <c r="B93" s="25">
        <v>108</v>
      </c>
      <c r="C93" s="125">
        <v>1</v>
      </c>
      <c r="D93" s="128"/>
    </row>
    <row r="94" spans="1:4">
      <c r="A94" s="84" t="s">
        <v>250</v>
      </c>
      <c r="B94" s="25">
        <v>290</v>
      </c>
      <c r="C94" s="125">
        <v>1</v>
      </c>
      <c r="D94" s="128"/>
    </row>
    <row r="95" spans="1:4">
      <c r="A95" s="84" t="s">
        <v>251</v>
      </c>
      <c r="B95" s="25">
        <v>115</v>
      </c>
      <c r="C95" s="125">
        <v>1</v>
      </c>
      <c r="D95" s="128"/>
    </row>
    <row r="96" spans="1:4">
      <c r="A96" s="84" t="s">
        <v>252</v>
      </c>
      <c r="B96" s="25">
        <v>290</v>
      </c>
      <c r="C96" s="125">
        <v>1</v>
      </c>
      <c r="D96" s="128"/>
    </row>
    <row r="97" spans="1:4">
      <c r="A97" s="84" t="s">
        <v>125</v>
      </c>
      <c r="B97" s="25">
        <v>65</v>
      </c>
      <c r="C97" s="125">
        <v>1</v>
      </c>
      <c r="D97" s="128"/>
    </row>
    <row r="98" spans="1:4">
      <c r="A98" s="84" t="s">
        <v>126</v>
      </c>
      <c r="B98" s="25">
        <v>7</v>
      </c>
      <c r="C98" s="125">
        <v>1</v>
      </c>
      <c r="D98" s="128"/>
    </row>
    <row r="99" spans="1:4">
      <c r="A99" s="84" t="s">
        <v>127</v>
      </c>
      <c r="B99" s="25">
        <v>8</v>
      </c>
      <c r="C99" s="125">
        <v>1</v>
      </c>
      <c r="D99" s="128"/>
    </row>
    <row r="100" spans="1:4">
      <c r="A100" s="84" t="s">
        <v>168</v>
      </c>
      <c r="B100" s="25">
        <v>3.6</v>
      </c>
      <c r="C100" s="125">
        <v>1</v>
      </c>
      <c r="D100" s="128">
        <v>81</v>
      </c>
    </row>
    <row r="101" spans="1:4">
      <c r="A101" s="84" t="s">
        <v>169</v>
      </c>
      <c r="B101" s="25">
        <v>1.07</v>
      </c>
      <c r="C101" s="125">
        <v>1</v>
      </c>
      <c r="D101" s="128">
        <v>100</v>
      </c>
    </row>
    <row r="102" spans="1:4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>
      <c r="A103" s="84" t="s">
        <v>171</v>
      </c>
      <c r="B103" s="25">
        <v>0.64</v>
      </c>
      <c r="C103" s="125">
        <v>1</v>
      </c>
      <c r="D103" s="128">
        <v>100</v>
      </c>
    </row>
    <row r="104" spans="1:4">
      <c r="A104" s="84" t="s">
        <v>140</v>
      </c>
      <c r="B104" s="81">
        <v>7</v>
      </c>
      <c r="C104" s="125">
        <v>1</v>
      </c>
      <c r="D104" s="128"/>
    </row>
    <row r="105" spans="1:4">
      <c r="A105" s="84" t="s">
        <v>141</v>
      </c>
      <c r="B105" s="81">
        <v>8</v>
      </c>
      <c r="C105" s="125">
        <v>1</v>
      </c>
      <c r="D105" s="128"/>
    </row>
    <row r="106" spans="1:4">
      <c r="A106" s="84" t="s">
        <v>128</v>
      </c>
      <c r="B106" s="81">
        <v>3.5</v>
      </c>
      <c r="C106" s="125">
        <v>1</v>
      </c>
      <c r="D106" s="128"/>
    </row>
    <row r="107" spans="1:4">
      <c r="A107" s="84" t="s">
        <v>129</v>
      </c>
      <c r="B107" s="81">
        <v>3.6</v>
      </c>
      <c r="C107" s="125">
        <v>1</v>
      </c>
      <c r="D107" s="128"/>
    </row>
    <row r="108" spans="1:4">
      <c r="A108" s="84" t="s">
        <v>142</v>
      </c>
      <c r="B108" s="25">
        <v>300</v>
      </c>
      <c r="C108" s="125">
        <v>1</v>
      </c>
      <c r="D108" s="128"/>
    </row>
    <row r="109" spans="1:4">
      <c r="A109" s="84" t="s">
        <v>206</v>
      </c>
      <c r="B109" s="25">
        <v>0.42</v>
      </c>
      <c r="C109" s="125">
        <v>1</v>
      </c>
      <c r="D109" s="128">
        <v>140</v>
      </c>
    </row>
    <row r="110" spans="1:4">
      <c r="A110" s="84" t="s">
        <v>130</v>
      </c>
      <c r="B110" s="25">
        <v>3900</v>
      </c>
      <c r="C110" s="125">
        <v>1</v>
      </c>
      <c r="D110" s="128"/>
    </row>
    <row r="111" spans="1:4">
      <c r="A111" s="84" t="s">
        <v>133</v>
      </c>
      <c r="B111" s="25">
        <v>70</v>
      </c>
      <c r="C111" s="125">
        <v>1</v>
      </c>
      <c r="D111" s="128"/>
    </row>
    <row r="112" spans="1:4">
      <c r="A112" s="84" t="s">
        <v>132</v>
      </c>
      <c r="B112" s="25">
        <v>40</v>
      </c>
      <c r="C112" s="125">
        <v>1</v>
      </c>
      <c r="D112" s="128"/>
    </row>
    <row r="113" spans="1:4">
      <c r="A113" s="84" t="s">
        <v>131</v>
      </c>
      <c r="B113" s="25">
        <v>30</v>
      </c>
      <c r="C113" s="125">
        <v>1</v>
      </c>
      <c r="D113" s="128"/>
    </row>
    <row r="114" spans="1:4">
      <c r="A114" s="84" t="s">
        <v>258</v>
      </c>
      <c r="B114" s="25">
        <v>12</v>
      </c>
      <c r="C114" s="125">
        <v>1</v>
      </c>
      <c r="D114" s="128"/>
    </row>
    <row r="115" spans="1:4">
      <c r="A115" s="84" t="s">
        <v>259</v>
      </c>
      <c r="B115" s="25">
        <v>10</v>
      </c>
      <c r="C115" s="125">
        <v>1</v>
      </c>
      <c r="D115" s="128"/>
    </row>
    <row r="116" spans="1:4">
      <c r="A116" s="84" t="s">
        <v>260</v>
      </c>
      <c r="B116" s="25">
        <v>8</v>
      </c>
      <c r="C116" s="125">
        <v>1</v>
      </c>
      <c r="D116" s="128"/>
    </row>
    <row r="117" spans="1:4">
      <c r="A117" s="84" t="s">
        <v>261</v>
      </c>
      <c r="B117" s="25">
        <v>25</v>
      </c>
      <c r="C117" s="125">
        <v>1</v>
      </c>
      <c r="D117" s="128"/>
    </row>
    <row r="118" spans="1:4">
      <c r="A118" s="84" t="s">
        <v>262</v>
      </c>
      <c r="B118" s="25">
        <v>12</v>
      </c>
      <c r="C118" s="125">
        <v>1</v>
      </c>
      <c r="D118" s="128"/>
    </row>
    <row r="119" spans="1:4">
      <c r="A119" s="84" t="s">
        <v>263</v>
      </c>
      <c r="B119" s="25">
        <v>10</v>
      </c>
      <c r="C119" s="125">
        <v>1</v>
      </c>
      <c r="D119" s="128"/>
    </row>
    <row r="120" spans="1:4">
      <c r="A120" s="84" t="s">
        <v>264</v>
      </c>
      <c r="B120" s="25">
        <v>8</v>
      </c>
      <c r="C120" s="125">
        <v>1</v>
      </c>
      <c r="D120" s="128"/>
    </row>
    <row r="121" spans="1:4">
      <c r="A121" s="84" t="s">
        <v>265</v>
      </c>
      <c r="B121" s="25">
        <v>7</v>
      </c>
      <c r="C121" s="125">
        <v>1</v>
      </c>
      <c r="D121" s="128"/>
    </row>
    <row r="122" spans="1:4">
      <c r="A122" s="84" t="s">
        <v>172</v>
      </c>
      <c r="B122" s="25">
        <v>0.15</v>
      </c>
      <c r="C122" s="125">
        <v>1</v>
      </c>
      <c r="D122" s="128">
        <v>100</v>
      </c>
    </row>
    <row r="123" spans="1:4">
      <c r="A123" s="84" t="s">
        <v>173</v>
      </c>
      <c r="B123" s="25">
        <v>0.5</v>
      </c>
      <c r="C123" s="125">
        <v>1</v>
      </c>
      <c r="D123" s="128">
        <v>140</v>
      </c>
    </row>
    <row r="124" spans="1:4">
      <c r="A124" s="84" t="s">
        <v>174</v>
      </c>
      <c r="B124" s="25">
        <v>0.12</v>
      </c>
      <c r="C124" s="125">
        <v>1</v>
      </c>
      <c r="D124" s="128">
        <v>140</v>
      </c>
    </row>
    <row r="125" spans="1:4">
      <c r="A125" s="84" t="s">
        <v>175</v>
      </c>
      <c r="B125" s="25">
        <v>0.17</v>
      </c>
      <c r="C125" s="125">
        <v>1</v>
      </c>
      <c r="D125" s="128">
        <v>140</v>
      </c>
    </row>
    <row r="126" spans="1:4">
      <c r="A126" s="84" t="s">
        <v>176</v>
      </c>
      <c r="B126" s="25">
        <v>0.64</v>
      </c>
      <c r="C126" s="125">
        <v>1</v>
      </c>
      <c r="D126" s="128">
        <v>140</v>
      </c>
    </row>
    <row r="127" spans="1:4">
      <c r="A127" s="84" t="s">
        <v>177</v>
      </c>
      <c r="B127" s="25">
        <v>0.1</v>
      </c>
      <c r="C127" s="125">
        <v>1</v>
      </c>
      <c r="D127" s="128">
        <v>100</v>
      </c>
    </row>
    <row r="128" spans="1:4">
      <c r="A128" s="84" t="s">
        <v>178</v>
      </c>
      <c r="B128" s="25">
        <v>0.1</v>
      </c>
      <c r="C128" s="125">
        <v>1</v>
      </c>
      <c r="D128" s="128">
        <v>100</v>
      </c>
    </row>
    <row r="129" spans="1:4">
      <c r="A129" s="84" t="s">
        <v>134</v>
      </c>
      <c r="B129" s="25">
        <v>3500</v>
      </c>
      <c r="C129" s="125">
        <v>1</v>
      </c>
      <c r="D129" s="128"/>
    </row>
    <row r="130" spans="1:4">
      <c r="A130" s="84" t="s">
        <v>136</v>
      </c>
      <c r="B130" s="25">
        <v>4000</v>
      </c>
      <c r="C130" s="125">
        <v>1</v>
      </c>
      <c r="D130" s="128"/>
    </row>
    <row r="131" spans="1:4">
      <c r="A131" s="84" t="s">
        <v>137</v>
      </c>
      <c r="B131" s="25">
        <v>6500</v>
      </c>
      <c r="C131" s="125">
        <v>1</v>
      </c>
      <c r="D131" s="128"/>
    </row>
    <row r="132" spans="1:4">
      <c r="A132" s="84" t="s">
        <v>135</v>
      </c>
      <c r="B132" s="25">
        <v>4000</v>
      </c>
      <c r="C132" s="125">
        <v>1</v>
      </c>
      <c r="D132" s="128"/>
    </row>
    <row r="133" spans="1:4">
      <c r="A133" s="84" t="s">
        <v>80</v>
      </c>
      <c r="B133" s="25">
        <v>6000</v>
      </c>
      <c r="C133" s="125">
        <v>1</v>
      </c>
      <c r="D133" s="128"/>
    </row>
    <row r="134" spans="1:4">
      <c r="A134" s="84" t="s">
        <v>144</v>
      </c>
      <c r="B134" s="25">
        <v>1000</v>
      </c>
      <c r="C134" s="125">
        <v>1</v>
      </c>
      <c r="D134" s="128"/>
    </row>
    <row r="135" spans="1:4">
      <c r="A135" s="84" t="s">
        <v>253</v>
      </c>
      <c r="B135" s="25">
        <v>6500</v>
      </c>
      <c r="C135" s="125">
        <v>1</v>
      </c>
      <c r="D135" s="128"/>
    </row>
    <row r="136" spans="1:4">
      <c r="A136" s="84" t="s">
        <v>143</v>
      </c>
      <c r="B136" s="25">
        <v>2000</v>
      </c>
      <c r="C136" s="125">
        <v>1</v>
      </c>
      <c r="D136" s="128"/>
    </row>
    <row r="137" spans="1:4">
      <c r="A137" s="84" t="s">
        <v>139</v>
      </c>
      <c r="B137" s="25">
        <v>310</v>
      </c>
      <c r="C137" s="125">
        <v>1</v>
      </c>
      <c r="D137" s="128"/>
    </row>
    <row r="138" spans="1:4">
      <c r="A138" s="84" t="s">
        <v>225</v>
      </c>
      <c r="B138" s="25">
        <v>80</v>
      </c>
      <c r="C138" s="125">
        <v>1</v>
      </c>
      <c r="D138" s="128"/>
    </row>
    <row r="139" spans="1:4">
      <c r="A139" s="84" t="s">
        <v>226</v>
      </c>
      <c r="B139" s="25">
        <v>100</v>
      </c>
      <c r="C139" s="125">
        <v>1</v>
      </c>
      <c r="D139" s="128"/>
    </row>
    <row r="140" spans="1:4">
      <c r="A140" s="84" t="s">
        <v>227</v>
      </c>
      <c r="B140" s="25">
        <v>52</v>
      </c>
      <c r="C140" s="125">
        <v>1</v>
      </c>
      <c r="D140" s="128"/>
    </row>
    <row r="141" spans="1:4">
      <c r="A141" s="84" t="s">
        <v>228</v>
      </c>
      <c r="B141" s="25">
        <v>100</v>
      </c>
      <c r="C141" s="125">
        <v>1</v>
      </c>
      <c r="D141" s="128"/>
    </row>
    <row r="142" spans="1:4">
      <c r="A142" s="84" t="s">
        <v>280</v>
      </c>
      <c r="B142" s="25">
        <v>0.5</v>
      </c>
      <c r="C142" s="125">
        <v>1</v>
      </c>
      <c r="D142" s="128"/>
    </row>
    <row r="143" spans="1:4">
      <c r="A143" s="84" t="s">
        <v>271</v>
      </c>
      <c r="B143" s="26">
        <v>0.25</v>
      </c>
      <c r="C143" s="125">
        <v>1</v>
      </c>
      <c r="D143" s="128">
        <v>100</v>
      </c>
    </row>
    <row r="144" spans="1:4">
      <c r="A144" s="84" t="s">
        <v>268</v>
      </c>
      <c r="B144" s="26">
        <v>0.3</v>
      </c>
      <c r="C144" s="125">
        <v>1</v>
      </c>
      <c r="D144" s="128">
        <v>100</v>
      </c>
    </row>
    <row r="145" spans="1:4">
      <c r="A145" s="84" t="s">
        <v>229</v>
      </c>
      <c r="B145" s="25">
        <v>52</v>
      </c>
      <c r="C145" s="125">
        <v>1</v>
      </c>
      <c r="D145" s="128"/>
    </row>
    <row r="146" spans="1:4">
      <c r="A146" s="84">
        <v>0</v>
      </c>
      <c r="B146" s="26">
        <v>0</v>
      </c>
      <c r="C146" s="125">
        <v>0</v>
      </c>
      <c r="D146" s="128"/>
    </row>
    <row r="147" spans="1:4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119C6552-07F1-4E40-800F-D557A3B9D1D7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5" defaultRowHeight="13"/>
  <cols>
    <col min="1" max="1" width="39.33203125" style="6" customWidth="1"/>
    <col min="2" max="4" width="11.5" style="6"/>
    <col min="5" max="5" width="24.1640625" style="6" bestFit="1" customWidth="1"/>
    <col min="6" max="16384" width="11.5" style="6"/>
  </cols>
  <sheetData>
    <row r="1" spans="1:5">
      <c r="A1" s="224" t="s">
        <v>56</v>
      </c>
      <c r="B1" s="224"/>
      <c r="C1" s="224"/>
      <c r="D1" s="224"/>
      <c r="E1" s="224"/>
    </row>
    <row r="2" spans="1:5" ht="33.75" customHeight="1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>
      <c r="B31" s="225" t="s">
        <v>59</v>
      </c>
      <c r="C31" s="226"/>
      <c r="D31" s="227"/>
      <c r="E31" s="21">
        <f>SUM(E3:E30)</f>
        <v>7333792.8399999999</v>
      </c>
    </row>
    <row r="34" spans="1:5">
      <c r="A34" s="228" t="s">
        <v>78</v>
      </c>
      <c r="B34" s="229"/>
      <c r="C34" s="229"/>
      <c r="D34" s="229"/>
      <c r="E34" s="229"/>
    </row>
    <row r="35" spans="1:5">
      <c r="A35" s="229"/>
      <c r="B35" s="229"/>
      <c r="C35" s="229"/>
      <c r="D35" s="229"/>
      <c r="E35" s="229"/>
    </row>
    <row r="36" spans="1:5">
      <c r="A36" s="229"/>
      <c r="B36" s="229"/>
      <c r="C36" s="229"/>
      <c r="D36" s="229"/>
      <c r="E36" s="22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Juliana Romero</cp:lastModifiedBy>
  <cp:lastPrinted>2017-04-03T17:23:47Z</cp:lastPrinted>
  <dcterms:created xsi:type="dcterms:W3CDTF">2008-09-30T23:12:13Z</dcterms:created>
  <dcterms:modified xsi:type="dcterms:W3CDTF">2023-03-14T04:49:12Z</dcterms:modified>
</cp:coreProperties>
</file>