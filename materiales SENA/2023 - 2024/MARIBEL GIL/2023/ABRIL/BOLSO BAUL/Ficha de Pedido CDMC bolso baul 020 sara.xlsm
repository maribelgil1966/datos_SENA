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tamayo/Downloads/"/>
    </mc:Choice>
  </mc:AlternateContent>
  <xr:revisionPtr revIDLastSave="0" documentId="13_ncr:1_{EC0C95BE-0C2C-554A-BC4D-98B768591614}" xr6:coauthVersionLast="47" xr6:coauthVersionMax="47" xr10:uidLastSave="{00000000-0000-0000-0000-000000000000}"/>
  <bookViews>
    <workbookView showHorizontalScroll="0" showVerticalScroll="0" xWindow="0" yWindow="50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<sst xmlns="http://schemas.openxmlformats.org/spreadsheetml/2006/main" count="4131" uniqueCount="1160">
  <si>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</si>
  <si>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</si>
  <si>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</si>
  <si>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</si>
  <si>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</si>
  <si>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</si>
  <si>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</si>
  <si>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</si>
  <si>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</si>
  <si>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</si>
  <si>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</si>
  <si>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</si>
  <si>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</si>
  <si>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</si>
  <si>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</si>
  <si>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</si>
  <si>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</si>
  <si>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</si>
  <si>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</si>
  <si>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</si>
  <si>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</si>
  <si>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</si>
  <si>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</si>
  <si>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</si>
  <si>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</si>
  <si>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</si>
  <si>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</si>
  <si>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</si>
  <si>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</si>
  <si>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</si>
  <si>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</si>
  <si>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</si>
  <si>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</si>
  <si>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</si>
  <si>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</si>
  <si>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</si>
  <si>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</si>
  <si>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</si>
  <si>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</si>
  <si>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</si>
  <si>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</si>
  <si>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</si>
  <si>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</si>
  <si>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</si>
  <si>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</si>
  <si>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</si>
  <si>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</si>
  <si>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</si>
  <si>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</si>
  <si>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</si>
  <si>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</si>
  <si>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</si>
  <si>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</si>
  <si>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</si>
  <si>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</si>
  <si>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</si>
  <si>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</si>
  <si>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</si>
  <si>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</si>
  <si>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</si>
  <si>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</si>
  <si>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</si>
  <si>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</si>
  <si>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</si>
  <si>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</si>
  <si>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</si>
  <si>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</si>
  <si>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</si>
  <si>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</si>
  <si>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</si>
  <si>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</si>
  <si>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</si>
  <si>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</si>
  <si>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</si>
  <si>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</si>
  <si>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</si>
  <si>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</si>
  <si>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</si>
  <si>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</si>
  <si>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</si>
  <si>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</si>
  <si>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</si>
  <si>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</si>
  <si>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</si>
  <si>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</si>
  <si>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</si>
  <si>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</si>
  <si>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</si>
  <si>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</si>
  <si>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</si>
  <si>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</si>
  <si>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</si>
  <si>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</si>
  <si>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</si>
  <si>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</si>
  <si>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</si>
  <si>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</si>
  <si>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</si>
  <si>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</si>
  <si>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</si>
  <si>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</si>
  <si>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</si>
  <si>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</si>
  <si>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</si>
  <si>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</si>
  <si>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</si>
  <si>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</si>
  <si>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</si>
  <si>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</si>
  <si>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</si>
  <si>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</si>
  <si>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</si>
  <si>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</si>
  <si>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</si>
  <si>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</si>
  <si>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</si>
  <si>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</si>
  <si>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</si>
  <si>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</si>
  <si>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</si>
  <si>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</si>
  <si>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</si>
  <si>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</si>
  <si>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</si>
  <si>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</si>
  <si>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</si>
  <si>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</si>
  <si>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</si>
  <si>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</si>
  <si>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</si>
  <si>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</si>
  <si>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</si>
  <si>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</si>
  <si>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</si>
  <si>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</si>
  <si>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</si>
  <si>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</si>
  <si>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</si>
  <si>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</si>
  <si>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</si>
  <si>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</si>
  <si>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</si>
  <si>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</si>
  <si>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</si>
  <si>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</si>
  <si>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</si>
  <si>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</si>
  <si>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</si>
  <si>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</si>
  <si>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</si>
  <si>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</si>
  <si>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</si>
  <si>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</si>
  <si>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</si>
  <si>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</si>
  <si>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</si>
  <si>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</si>
  <si>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</si>
  <si>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</si>
  <si>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</si>
  <si>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</si>
  <si>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</si>
  <si>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</si>
  <si>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</si>
  <si>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</si>
  <si>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</si>
  <si>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</si>
  <si>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</si>
  <si>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</si>
  <si>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</si>
  <si>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</si>
  <si>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</si>
  <si>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</si>
  <si>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</si>
  <si>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</si>
  <si>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</si>
  <si>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</si>
  <si>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</si>
  <si>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</si>
  <si>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</si>
  <si>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</si>
  <si>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</si>
  <si>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</si>
  <si>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</si>
  <si>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</si>
  <si>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</si>
  <si>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</si>
  <si>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</si>
  <si>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</si>
  <si>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</si>
  <si>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</si>
  <si>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</si>
  <si>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</si>
  <si>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</si>
  <si>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</si>
  <si>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</si>
  <si>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</si>
  <si>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</si>
  <si>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</si>
  <si>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</si>
  <si>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</si>
  <si>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</si>
  <si>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</si>
  <si>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</si>
  <si>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</si>
  <si>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</si>
  <si>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</si>
  <si>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</si>
  <si>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</si>
  <si>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</si>
  <si>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</si>
  <si>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</si>
  <si>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</si>
  <si>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</si>
  <si>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</si>
  <si>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</si>
  <si>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</si>
  <si>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</si>
  <si>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</si>
  <si>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</si>
  <si>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</si>
  <si>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</si>
  <si>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</si>
  <si>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</si>
  <si>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</si>
  <si>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</si>
  <si>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</si>
  <si>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</si>
  <si>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</si>
  <si>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</si>
  <si>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</si>
  <si>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</si>
  <si>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</si>
  <si>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</si>
  <si>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</si>
  <si>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</si>
  <si>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</si>
  <si>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</si>
  <si>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</si>
  <si>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</si>
  <si>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</si>
  <si>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</si>
  <si>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</si>
  <si>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</si>
  <si>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</si>
  <si>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</si>
  <si>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</si>
  <si>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</si>
  <si>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</si>
  <si>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</si>
  <si>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</si>
  <si>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</si>
  <si>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</si>
  <si>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</si>
  <si>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</si>
  <si>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</si>
  <si>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</si>
  <si>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</si>
  <si>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</si>
  <si>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</si>
  <si>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</si>
  <si>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</si>
  <si>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</si>
  <si>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</si>
  <si>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</si>
  <si>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</si>
  <si>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</si>
  <si>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</si>
  <si>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</si>
  <si>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</si>
  <si>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</si>
  <si>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</si>
  <si>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</si>
  <si>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</si>
  <si>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</si>
  <si>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</si>
  <si>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</si>
  <si>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</si>
  <si>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</si>
  <si>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</si>
  <si>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</si>
  <si>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</si>
  <si>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</si>
  <si>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</si>
  <si>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</si>
  <si>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</si>
  <si>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</si>
  <si>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</si>
  <si>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</si>
  <si>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</si>
  <si>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</si>
  <si>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</si>
  <si>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</si>
  <si>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</si>
  <si>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</si>
  <si>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</si>
  <si>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</si>
  <si>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</si>
  <si>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</si>
  <si>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</si>
  <si>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</si>
  <si>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</si>
  <si>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</si>
  <si>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</si>
  <si>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</si>
  <si>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</si>
  <si>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</si>
  <si>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</si>
  <si>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</si>
  <si>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</si>
  <si>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</si>
  <si>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</si>
  <si>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</si>
  <si>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</si>
  <si>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</si>
  <si>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</si>
  <si>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</si>
  <si>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</si>
  <si>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</si>
  <si>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</si>
  <si>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</si>
  <si>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</si>
  <si>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</si>
  <si>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</si>
  <si>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</si>
  <si>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</si>
  <si>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</si>
  <si>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</si>
  <si>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</si>
  <si>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</si>
  <si>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</si>
  <si>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</si>
  <si>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</si>
  <si>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</si>
  <si>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</si>
  <si>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</si>
  <si>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</si>
  <si>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</si>
  <si>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</si>
  <si>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</si>
  <si>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</si>
  <si>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</si>
  <si>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</si>
  <si>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</si>
  <si>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</si>
  <si>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</si>
  <si>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</si>
  <si>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</si>
  <si>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</si>
  <si>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</si>
  <si>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</si>
  <si>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</si>
  <si>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</si>
  <si>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</si>
  <si>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</si>
  <si>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</si>
  <si>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</si>
  <si>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</si>
  <si>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</si>
  <si>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</si>
  <si>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</si>
  <si>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</si>
  <si>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</si>
  <si>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</si>
  <si>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</si>
  <si>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</si>
  <si>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</si>
  <si>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</si>
  <si>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</si>
  <si>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</si>
  <si>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</si>
  <si>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</si>
  <si>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</si>
  <si>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</si>
  <si>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</si>
  <si>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</si>
  <si>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</si>
  <si>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</si>
  <si>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</si>
  <si>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</si>
  <si>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</si>
  <si>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</si>
  <si>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</si>
  <si>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</si>
  <si>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</si>
  <si>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</si>
  <si>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</si>
  <si>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</si>
  <si>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</si>
  <si>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</si>
  <si>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</si>
  <si>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</si>
  <si>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</si>
  <si>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</si>
  <si>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</si>
  <si>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</si>
  <si>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</si>
  <si>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</si>
  <si>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</si>
  <si>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</si>
  <si>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</si>
  <si>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</si>
  <si>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</si>
  <si>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</si>
  <si>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</si>
  <si>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</si>
  <si>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</si>
  <si>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</si>
  <si>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</si>
  <si>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</si>
  <si>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</si>
  <si>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</si>
  <si>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</si>
  <si>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</si>
  <si>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</si>
  <si>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</si>
  <si>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</si>
  <si>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</si>
  <si>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</si>
  <si>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</si>
  <si>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</si>
  <si>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</si>
  <si>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</si>
  <si>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</si>
  <si>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</si>
  <si>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</si>
  <si>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</si>
  <si>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</si>
  <si>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</si>
  <si>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</si>
  <si>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</si>
  <si>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</si>
  <si>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</si>
  <si>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</si>
  <si>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</si>
  <si>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</si>
  <si>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</si>
  <si>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</si>
  <si>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</si>
  <si>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</si>
  <si>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</si>
  <si>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</si>
  <si>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</si>
  <si>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</si>
  <si>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</si>
  <si>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</si>
  <si>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</si>
  <si>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</si>
  <si>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</si>
  <si>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</si>
  <si>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</si>
  <si>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</si>
  <si>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</si>
  <si>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</si>
  <si>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</si>
  <si>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</si>
  <si>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</si>
  <si>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</si>
  <si>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</si>
  <si>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</si>
  <si>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</si>
  <si>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</si>
  <si>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</si>
  <si>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</si>
  <si>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</si>
  <si>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</si>
  <si>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</si>
  <si>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</si>
  <si>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</si>
  <si>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</si>
  <si>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</si>
  <si>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</si>
  <si>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</si>
  <si>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</si>
  <si>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</si>
  <si>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</si>
  <si>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</si>
  <si>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</si>
  <si>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</si>
  <si>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</si>
  <si>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</si>
  <si>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</si>
  <si>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</si>
  <si>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</si>
  <si>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</si>
  <si>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</si>
  <si>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</si>
  <si>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</si>
  <si>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</si>
  <si>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</si>
  <si>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</si>
  <si>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</si>
  <si>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</si>
  <si>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</si>
  <si>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</si>
  <si>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</si>
  <si>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</si>
  <si>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</si>
  <si>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</si>
  <si>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</si>
  <si>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</si>
  <si>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</si>
  <si>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</si>
  <si>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</si>
  <si>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</si>
  <si>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</si>
  <si>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</si>
  <si>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</si>
  <si>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</si>
  <si>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</si>
  <si>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</si>
  <si>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</si>
  <si>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</si>
  <si>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</si>
  <si>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</si>
  <si>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</si>
  <si>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</si>
  <si>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</si>
  <si>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</si>
  <si>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</si>
  <si>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</si>
  <si>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</si>
  <si>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</si>
  <si>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</si>
  <si>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</si>
  <si>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</si>
  <si>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</si>
  <si>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</si>
  <si>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</si>
  <si>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</si>
  <si>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</si>
  <si>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</si>
  <si>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</si>
  <si>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</si>
  <si>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</si>
  <si>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</si>
  <si>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</si>
  <si>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</si>
  <si>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</si>
  <si>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</si>
  <si>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</si>
  <si>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</si>
  <si>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</si>
  <si>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</si>
  <si>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</si>
  <si>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</si>
  <si>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</si>
  <si>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</si>
  <si>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</si>
  <si>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</si>
  <si>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</si>
  <si>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</si>
  <si>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</si>
  <si>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</si>
  <si>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</si>
  <si>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</si>
  <si>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</si>
  <si>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</si>
  <si>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</si>
  <si>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</si>
  <si>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</si>
  <si>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</si>
  <si>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</si>
  <si>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</si>
  <si>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</si>
  <si>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</si>
  <si>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</si>
  <si>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</si>
  <si>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</si>
  <si>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</si>
  <si>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</si>
  <si>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</si>
  <si>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</si>
  <si>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</si>
  <si>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</si>
  <si>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</si>
  <si>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</si>
  <si>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</si>
  <si>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</si>
  <si>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</si>
  <si>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</si>
  <si>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</si>
  <si>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</si>
  <si>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</si>
  <si>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</si>
  <si>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</si>
  <si>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</si>
  <si>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</si>
  <si>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</si>
  <si>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</si>
  <si>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</si>
  <si>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</si>
  <si>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</si>
  <si>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</si>
  <si>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</si>
  <si>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</si>
  <si>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</si>
  <si>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</si>
  <si>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</si>
  <si>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</si>
  <si>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</si>
  <si>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</si>
  <si>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</si>
  <si>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</si>
  <si>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</si>
  <si>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</si>
  <si>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</si>
  <si>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</si>
  <si>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</si>
  <si>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</si>
  <si>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</si>
  <si>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</si>
  <si>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</si>
  <si>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</si>
  <si>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</si>
  <si>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</si>
  <si>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</si>
  <si>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</si>
  <si>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</si>
  <si>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</si>
  <si>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</si>
  <si>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</si>
  <si>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</si>
  <si>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</si>
  <si>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</si>
  <si>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</si>
  <si>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</si>
  <si>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</si>
  <si>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</si>
  <si>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</si>
  <si>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</si>
  <si>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</si>
  <si>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</si>
  <si>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</si>
  <si>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</si>
  <si>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</si>
  <si>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</si>
  <si>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</si>
  <si>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</si>
  <si>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</si>
  <si>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</si>
  <si>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</si>
  <si>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</si>
  <si>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</si>
  <si>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</si>
  <si>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</si>
  <si>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</si>
  <si>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</si>
  <si>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</si>
  <si>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</si>
  <si>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</si>
  <si>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</si>
  <si>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</si>
  <si>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</si>
  <si>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</si>
  <si>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</si>
  <si>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</si>
  <si>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</si>
  <si>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</si>
  <si>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</si>
  <si>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</si>
  <si>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</si>
  <si>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</si>
  <si>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</si>
  <si>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</si>
  <si>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</si>
  <si>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</si>
  <si>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</si>
  <si>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</si>
  <si>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</si>
  <si>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</si>
  <si>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</si>
  <si>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</si>
  <si>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</si>
  <si>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</si>
  <si>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</si>
  <si>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</si>
  <si>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</si>
  <si>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</si>
  <si>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</si>
  <si>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</si>
  <si>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</si>
  <si>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</si>
  <si>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</si>
  <si>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</si>
  <si>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</si>
  <si>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</si>
  <si>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</si>
  <si>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</si>
  <si>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</si>
  <si>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</si>
  <si>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</si>
  <si>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</si>
  <si>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</si>
  <si>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</si>
  <si>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</si>
  <si>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</si>
  <si>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</si>
  <si>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</si>
  <si>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</si>
  <si>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</si>
  <si>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</si>
  <si>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</si>
  <si>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</si>
  <si>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</si>
  <si>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</si>
  <si>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</si>
  <si>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</si>
  <si>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</si>
  <si>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</si>
  <si>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</si>
  <si>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</si>
  <si>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</si>
  <si>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</si>
  <si>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</si>
  <si>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</si>
  <si>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</si>
  <si>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</si>
  <si>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</si>
  <si>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</si>
  <si>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</si>
  <si>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</si>
  <si>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</si>
  <si>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</si>
  <si>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</si>
  <si>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</si>
  <si>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</si>
  <si>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</si>
  <si>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</si>
  <si>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</si>
  <si>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</si>
  <si>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</si>
  <si>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</si>
  <si>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</si>
  <si>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</si>
  <si>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</si>
  <si>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</si>
  <si>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</si>
  <si>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</si>
  <si>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</si>
  <si>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</si>
  <si>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</si>
  <si>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</si>
  <si>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</si>
  <si>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</si>
  <si>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</si>
  <si>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</si>
  <si>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</si>
  <si>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</si>
  <si>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</si>
  <si>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</si>
  <si>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</si>
  <si>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</si>
  <si>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</si>
  <si>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</si>
  <si>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</si>
  <si>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</si>
  <si>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</si>
  <si>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</si>
  <si>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</si>
  <si>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</si>
  <si>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</si>
  <si>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</si>
  <si>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</si>
  <si>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</si>
  <si>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</si>
  <si>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</si>
  <si>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</si>
  <si>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</si>
  <si>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</si>
  <si>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</si>
  <si>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</si>
  <si>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</si>
  <si>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</si>
  <si>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</si>
  <si>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</si>
  <si>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</si>
  <si>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</si>
  <si>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</si>
  <si>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</si>
  <si>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</si>
  <si>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</si>
  <si>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</si>
  <si>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</si>
  <si>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</si>
  <si>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</si>
  <si>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</si>
  <si>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</si>
  <si>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</si>
  <si>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</si>
  <si>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</si>
  <si>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</si>
  <si>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</si>
  <si>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</si>
  <si>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</si>
  <si>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</si>
  <si>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</si>
  <si>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</si>
  <si>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</si>
  <si>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</si>
  <si>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</si>
  <si>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</si>
  <si>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</si>
  <si>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</si>
  <si>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</si>
  <si>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</si>
  <si>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</si>
  <si>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</si>
  <si>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</si>
  <si>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</si>
  <si>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</si>
  <si>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</si>
  <si>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</si>
  <si>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</si>
  <si>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</si>
  <si>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</si>
  <si>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</si>
  <si>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</si>
  <si>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</si>
  <si>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</si>
  <si>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</si>
  <si>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</si>
  <si>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</si>
  <si>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</si>
  <si>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</si>
  <si>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</si>
  <si>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</si>
  <si>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</si>
  <si>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</si>
  <si>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</si>
  <si>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</si>
  <si>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</si>
  <si>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</si>
  <si>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</si>
  <si>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</si>
  <si>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</si>
  <si>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</si>
  <si>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</si>
  <si>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</si>
  <si>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</si>
  <si>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</si>
  <si>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</si>
  <si>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</si>
  <si>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</si>
  <si>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</si>
  <si>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</si>
  <si>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</si>
  <si>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</si>
  <si>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</si>
  <si>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</si>
  <si>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</si>
  <si>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</si>
  <si>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</si>
  <si>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</si>
  <si>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</si>
  <si>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</si>
  <si>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</si>
  <si>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</si>
  <si>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</si>
  <si>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</si>
  <si>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</si>
  <si>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</si>
  <si>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</si>
  <si>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</si>
  <si>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</si>
  <si>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</si>
  <si>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</si>
  <si>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</si>
  <si>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</si>
  <si>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</si>
  <si>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</si>
  <si>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</si>
  <si>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</si>
  <si>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</si>
  <si>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</si>
  <si>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</si>
  <si>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</si>
  <si>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</si>
  <si>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</si>
  <si>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</si>
  <si>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</si>
  <si>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</si>
  <si>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</si>
  <si>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</si>
  <si>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</si>
  <si>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</si>
  <si>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</si>
  <si>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</si>
  <si>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</si>
  <si>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</si>
  <si>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</si>
  <si>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</si>
  <si>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</si>
  <si>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</si>
  <si>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</si>
  <si>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</si>
  <si>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</si>
  <si>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</si>
  <si>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</si>
  <si>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</si>
  <si>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</si>
  <si>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</si>
  <si>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</si>
  <si>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</si>
  <si>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</si>
  <si>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</si>
  <si>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</si>
  <si>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</si>
  <si>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</si>
  <si>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</si>
  <si>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</si>
  <si>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</si>
  <si>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</si>
  <si>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</si>
  <si>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</si>
  <si>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</si>
  <si>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</si>
  <si>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</si>
  <si>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</si>
  <si>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</si>
  <si>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</si>
  <si>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</si>
  <si>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</si>
  <si>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</si>
  <si>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</si>
  <si>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</si>
  <si>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</si>
  <si>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</si>
  <si>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</si>
  <si>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</si>
  <si>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</si>
  <si>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</si>
  <si>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</si>
  <si>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</si>
  <si>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</si>
  <si>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</si>
  <si>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</si>
  <si>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</si>
  <si>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</si>
  <si>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</si>
  <si>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</si>
  <si>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</si>
  <si>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</si>
  <si>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</si>
  <si>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</si>
  <si>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</si>
  <si>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</si>
  <si>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</si>
  <si>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</si>
  <si>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</si>
  <si>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</si>
  <si>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</si>
  <si>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</si>
  <si>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</si>
  <si>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</si>
  <si>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</si>
  <si>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</si>
  <si>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</si>
  <si>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</si>
  <si>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</si>
  <si>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</si>
  <si>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</si>
  <si>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</si>
  <si>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</si>
  <si>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</si>
  <si>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</si>
  <si>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</si>
  <si>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</si>
  <si>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</si>
  <si>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</si>
  <si>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</si>
  <si>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</si>
  <si>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</si>
  <si>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</si>
  <si>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</si>
  <si>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</si>
  <si>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</si>
  <si>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</si>
  <si>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</si>
  <si>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</si>
  <si>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</si>
  <si>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</si>
  <si>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</si>
  <si>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</si>
  <si>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</si>
  <si>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</si>
  <si>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</si>
  <si>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</si>
  <si>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</si>
  <si>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</si>
  <si>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</si>
  <si>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</si>
  <si>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</si>
  <si>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</si>
  <si>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</si>
  <si>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</si>
  <si>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</si>
  <si>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</si>
  <si>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</si>
  <si>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</si>
  <si>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</si>
  <si>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</si>
  <si>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</si>
  <si>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</si>
  <si>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</si>
  <si>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</si>
  <si>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</si>
  <si>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</si>
  <si>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</si>
  <si>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</si>
  <si>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</si>
  <si>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</si>
  <si>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</si>
  <si>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</si>
  <si>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</si>
  <si>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</si>
  <si>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</si>
  <si>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</si>
  <si>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</si>
  <si>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</si>
  <si>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</si>
  <si>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</si>
  <si>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</si>
  <si>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</si>
  <si>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</si>
  <si>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</si>
  <si>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</si>
  <si>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</si>
  <si>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</si>
  <si>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</si>
  <si>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</si>
  <si>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</si>
  <si>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</si>
  <si>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</si>
  <si>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</si>
  <si>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</si>
  <si>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</si>
  <si>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</si>
  <si>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</si>
  <si>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</si>
  <si>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</si>
  <si>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</si>
  <si>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</si>
  <si>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</si>
  <si>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</si>
  <si>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</si>
  <si>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</si>
  <si>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</si>
  <si>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</si>
  <si>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</si>
  <si>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</si>
  <si>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</si>
  <si>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</si>
  <si>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</si>
  <si>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</si>
  <si>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</si>
  <si>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</si>
  <si>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</si>
  <si>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</si>
  <si>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</si>
  <si>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</si>
  <si>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</si>
  <si>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</si>
  <si>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</si>
  <si>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</si>
  <si>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</si>
  <si>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</si>
  <si>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</si>
  <si>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</si>
  <si>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</si>
  <si>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</si>
  <si>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</si>
  <si>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</si>
  <si>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</si>
  <si>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</si>
  <si>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</si>
  <si>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</si>
  <si>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</si>
  <si>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</si>
  <si>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</si>
  <si>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</si>
  <si>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</si>
  <si>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</si>
  <si>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</si>
  <si>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</si>
  <si>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</si>
  <si>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</si>
  <si>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</si>
  <si>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</si>
  <si>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</si>
  <si>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</si>
  <si>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</si>
  <si>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</si>
  <si>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</si>
  <si>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</si>
  <si>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</si>
  <si>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</si>
  <si>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</si>
  <si>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</si>
  <si>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</si>
  <si>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</si>
  <si>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</si>
  <si>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</si>
  <si>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</si>
  <si>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</si>
  <si>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</si>
  <si>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</si>
  <si>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</si>
  <si>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</si>
  <si>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</si>
  <si>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</si>
  <si>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</si>
  <si>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</si>
  <si>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</si>
  <si>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</si>
  <si>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</si>
  <si>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</si>
  <si>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</si>
  <si>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</si>
  <si>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</si>
  <si>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</si>
  <si>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</si>
  <si>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</si>
  <si>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</si>
  <si>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</si>
  <si>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</si>
  <si>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</si>
  <si>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</si>
  <si>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</si>
  <si>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</si>
  <si>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</si>
  <si>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</si>
  <si>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</si>
  <si>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</si>
  <si>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</si>
  <si>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</si>
  <si>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</si>
  <si>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</si>
  <si>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</si>
  <si>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</si>
  <si>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</si>
  <si>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</si>
  <si>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</si>
  <si>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</si>
  <si>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</si>
  <si>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</si>
  <si>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</si>
  <si>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</si>
  <si>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</si>
  <si>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</si>
  <si>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</si>
  <si>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</si>
  <si>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</si>
  <si>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</si>
  <si>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</si>
  <si>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celda pcc</t>
  </si>
  <si>
    <t>bolso tipo baul 020 sara</t>
  </si>
  <si>
    <t>lambrilla #3</t>
  </si>
  <si>
    <t>no tiene que ser de lujo</t>
  </si>
  <si>
    <t>Aprobar 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</si>
</sst>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\ d\ &quot;de&quot;\ mmmm\ &quot;de&quot;\ yyyy"/>
    <numFmt numFmtId="165" formatCode="_-* #,##0_-;\-* #,##0_-;_-* &quot;-&quot;??_-;_-@_-"/>
    <numFmt numFmtId="166" formatCode="0.000"/>
    <numFmt numFmtId="167" formatCode="_-&quot;$&quot;\ * #,##0.00_-;\-&quot;$&quot;\ * #,##0.00_-;_-&quot;$&quot;\ * &quot;-&quot;??_-;_-@"/>
    <numFmt numFmtId="168" formatCode="_-* #,##0.0_-;\-* #,##0.0_-;_-* &quot;-&quot;??_-;_-@_-"/>
    <numFmt numFmtId="169" formatCode="0;[Red]0"/>
    <numFmt numFmtId="170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5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8" fontId="30" fillId="32" borderId="11" xfId="32" applyNumberFormat="1" applyFont="1" applyFill="1" applyBorder="1" applyAlignment="1">
      <alignment horizontal="right" vertical="center" wrapText="1"/>
    </xf>
    <xf numFmtId="168" fontId="27" fillId="25" borderId="0" xfId="32" applyNumberFormat="1" applyFont="1" applyFill="1" applyAlignment="1">
      <alignment horizontal="right"/>
    </xf>
    <xf numFmtId="168" fontId="36" fillId="27" borderId="11" xfId="41" applyNumberFormat="1" applyFont="1" applyFill="1" applyBorder="1" applyAlignment="1">
      <alignment horizontal="right"/>
    </xf>
    <xf numFmtId="168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8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8" fontId="45" fillId="28" borderId="11" xfId="32" applyNumberFormat="1" applyFont="1" applyFill="1" applyBorder="1" applyAlignment="1">
      <alignment horizontal="right" vertical="center" wrapText="1"/>
    </xf>
    <xf numFmtId="168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8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8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8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5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5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vertical="top"/>
    </xf>
    <xf numFmtId="168" fontId="49" fillId="25" borderId="19" xfId="32" applyNumberFormat="1" applyFont="1" applyFill="1" applyBorder="1" applyAlignment="1">
      <alignment horizontal="center" vertical="center" wrapText="1"/>
    </xf>
    <xf numFmtId="165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8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6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5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5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8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8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8" fontId="30" fillId="32" borderId="20" xfId="32" applyNumberFormat="1" applyFont="1" applyFill="1" applyBorder="1" applyAlignment="1">
      <alignment horizontal="right" vertical="center" wrapText="1"/>
    </xf>
    <xf numFmtId="165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8" fontId="30" fillId="0" borderId="0" xfId="32" applyNumberFormat="1" applyFont="1" applyFill="1" applyBorder="1" applyAlignment="1">
      <alignment horizontal="right" vertical="center" wrapText="1"/>
    </xf>
    <xf numFmtId="165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8" fontId="0" fillId="25" borderId="11" xfId="32" applyNumberFormat="1" applyFont="1" applyFill="1" applyBorder="1" applyAlignment="1">
      <alignment horizontal="right"/>
    </xf>
    <xf numFmtId="165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8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8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7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69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8" fontId="30" fillId="69" borderId="11" xfId="32" applyNumberFormat="1" applyFont="1" applyFill="1" applyBorder="1" applyAlignment="1">
      <alignment horizontal="right" vertical="center" wrapText="1"/>
    </xf>
    <xf numFmtId="168" fontId="30" fillId="0" borderId="11" xfId="32" applyNumberFormat="1" applyFont="1" applyFill="1" applyBorder="1" applyAlignment="1">
      <alignment horizontal="right" vertical="center" wrapText="1"/>
    </xf>
    <xf numFmtId="168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8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5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5" fontId="27" fillId="33" borderId="20" xfId="32" applyNumberFormat="1" applyFont="1" applyFill="1" applyBorder="1" applyAlignment="1" applyProtection="1">
      <alignment horizontal="right"/>
    </xf>
    <xf numFmtId="165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5" fontId="37" fillId="28" borderId="20" xfId="32" applyNumberFormat="1" applyFont="1" applyFill="1" applyBorder="1" applyAlignment="1">
      <alignment horizontal="left" vertical="center"/>
    </xf>
    <xf numFmtId="165" fontId="37" fillId="28" borderId="27" xfId="32" applyNumberFormat="1" applyFont="1" applyFill="1" applyBorder="1" applyAlignment="1">
      <alignment horizontal="left" vertical="center"/>
    </xf>
    <xf numFmtId="165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4" fontId="33" fillId="0" borderId="12" xfId="0" applyNumberFormat="1" applyFont="1" applyBorder="1" applyAlignment="1" applyProtection="1">
      <alignment horizontal="center" vertical="center" wrapText="1"/>
      <protection locked="0"/>
    </xf>
    <xf numFmtId="164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5" fontId="37" fillId="41" borderId="20" xfId="32" applyNumberFormat="1" applyFont="1" applyFill="1" applyBorder="1" applyAlignment="1">
      <alignment horizontal="center" vertical="center"/>
    </xf>
    <xf numFmtId="165" fontId="37" fillId="41" borderId="27" xfId="32" applyNumberFormat="1" applyFont="1" applyFill="1" applyBorder="1" applyAlignment="1">
      <alignment horizontal="center" vertical="center"/>
    </xf>
    <xf numFmtId="165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5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0" fontId="51" fillId="33" borderId="12" xfId="0" applyNumberFormat="1" applyFont="1" applyFill="1" applyBorder="1" applyAlignment="1">
      <alignment horizontal="center" vertical="center"/>
    </xf>
    <xf numFmtId="170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5" fontId="55" fillId="28" borderId="23" xfId="32" applyNumberFormat="1" applyFont="1" applyFill="1" applyBorder="1" applyAlignment="1">
      <alignment horizontal="center" vertical="center"/>
    </xf>
    <xf numFmtId="165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5" fontId="65" fillId="66" borderId="11" xfId="32" applyNumberFormat="1" applyFont="1" applyFill="1" applyBorder="1" applyAlignment="1">
      <alignment vertical="center"/>
    </xf>
    <xf numFmtId="165" fontId="65" fillId="66" borderId="10" xfId="32" applyNumberFormat="1" applyFont="1" applyFill="1" applyBorder="1" applyAlignment="1">
      <alignment vertical="center"/>
    </xf>
    <xf numFmtId="165" fontId="65" fillId="66" borderId="18" xfId="32" applyNumberFormat="1" applyFont="1" applyFill="1" applyBorder="1" applyAlignment="1">
      <alignment vertical="center"/>
    </xf>
    <xf numFmtId="165" fontId="65" fillId="66" borderId="34" xfId="32" applyNumberFormat="1" applyFont="1" applyFill="1" applyBorder="1" applyAlignment="1">
      <alignment vertical="center"/>
    </xf>
    <xf numFmtId="165" fontId="65" fillId="66" borderId="13" xfId="32" applyNumberFormat="1" applyFont="1" applyFill="1" applyBorder="1" applyAlignment="1">
      <alignment vertical="center"/>
    </xf>
    <xf numFmtId="165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68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347869</xdr:colOff>
      <xdr:row>0</xdr:row>
      <xdr:rowOff>0</xdr:rowOff>
    </xdr:from>
    <xdr:to>
      <xdr:col>22</xdr:col>
      <xdr:colOff>132521</xdr:colOff>
      <xdr:row>6</xdr:row>
      <xdr:rowOff>275892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28655DC-7E88-86DE-81CC-3FA3BDF90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912" y="0"/>
          <a:ext cx="1631674" cy="2048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640625" customWidth="1"/>
    <col min="3" max="3" width="7.33203125" customWidth="1"/>
    <col min="4" max="4" width="6" customWidth="1"/>
    <col min="5" max="5" width="3.83203125" customWidth="1"/>
    <col min="6" max="6" width="5.33203125" customWidth="1"/>
    <col min="7" max="7" width="3.83203125" customWidth="1"/>
    <col min="8" max="8" width="4.33203125" customWidth="1"/>
    <col min="9" max="9" width="6.33203125" customWidth="1"/>
    <col min="10" max="10" width="4.5" customWidth="1"/>
    <col min="11" max="11" width="5.83203125" customWidth="1"/>
    <col min="12" max="12" width="6" customWidth="1"/>
    <col min="13" max="13" width="6.6640625" customWidth="1"/>
    <col min="14" max="14" width="7.33203125" customWidth="1"/>
    <col min="15" max="15" width="6.1640625" customWidth="1"/>
    <col min="16" max="16" width="5.5" customWidth="1"/>
    <col min="17" max="17" width="6.83203125" customWidth="1"/>
    <col min="18" max="18" width="8.83203125" customWidth="1"/>
    <col min="19" max="20" width="5.6640625" customWidth="1"/>
    <col min="21" max="21" width="7.5" customWidth="1"/>
    <col min="22" max="22" width="8.83203125" customWidth="1"/>
    <col min="23" max="23" width="4.1640625" customWidth="1"/>
    <col min="24" max="24" width="5.6640625" customWidth="1"/>
    <col min="25" max="25" width="8.1640625" customWidth="1"/>
    <col min="26" max="26" width="0.83203125" customWidth="1"/>
    <col min="27" max="28" width="5.6640625" customWidth="1"/>
    <col min="29" max="16384" width="11.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MG0001-1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/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1142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43498846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1110</v>
      </c>
      <c r="F3" s="362"/>
      <c r="G3" s="362"/>
      <c r="H3" s="362"/>
      <c r="I3" s="362"/>
      <c r="J3" s="362"/>
      <c r="K3" s="363"/>
      <c r="L3" s="310" t="s">
        <v>8</v>
      </c>
      <c r="M3" s="311"/>
      <c r="N3" s="312"/>
      <c r="O3" s="286" t="s">
        <v>1155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9</v>
      </c>
      <c r="B4" s="344"/>
      <c r="C4" s="344"/>
      <c r="D4" s="338" t="s">
        <v>1156</v>
      </c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 t="s">
        <v>1082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11</v>
      </c>
      <c r="B5" s="364"/>
      <c r="C5" s="364"/>
      <c r="D5" s="365">
        <f>IF(K5="","",(SUM(W10:Y28)-(SUMIF(U10:V28,"Restar_Pedido",W10:Y28)))/$K$5)</f>
        <v>71488.331571428571</v>
      </c>
      <c r="E5" s="366"/>
      <c r="F5" s="367"/>
      <c r="G5" s="351" t="s">
        <v>12</v>
      </c>
      <c r="H5" s="368"/>
      <c r="I5" s="368"/>
      <c r="J5" s="352"/>
      <c r="K5" s="326">
        <v>4</v>
      </c>
      <c r="L5" s="326"/>
      <c r="M5" s="327" t="s">
        <v>13</v>
      </c>
      <c r="N5" s="327"/>
      <c r="O5" s="316">
        <f>IFERROR(IF(K5=0,"",D5*K5),"")</f>
        <v>285953.32628571428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16</v>
      </c>
      <c r="P7" s="305"/>
      <c r="Q7" s="358" t="s">
        <v>17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18</v>
      </c>
      <c r="T8" s="307"/>
      <c r="U8" s="307"/>
      <c r="V8" s="308">
        <f>IF(K5="","",1/K5)</f>
        <v>0.25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19</v>
      </c>
      <c r="T9" s="306"/>
      <c r="U9" s="305" t="s">
        <v>20</v>
      </c>
      <c r="V9" s="305"/>
      <c r="W9" s="305" t="s">
        <v>21</v>
      </c>
      <c r="X9" s="305"/>
      <c r="Y9" s="305"/>
    </row>
    <row r="10" spans="1:28" ht="17.25" customHeight="1">
      <c r="A10" s="279" t="s">
        <v>33</v>
      </c>
      <c r="B10" s="279"/>
      <c r="C10" s="280"/>
      <c r="D10" s="369" t="s">
        <v>333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si="0">IFERROR(IF(D10="","",INDEX(Tabla_Completa,MATCH(D10,Materiales,0),6)),"")</f>
        <v>dm2</v>
      </c>
      <c r="P10" s="285"/>
      <c r="Q10" s="286">
        <v>50.09</v>
      </c>
      <c r="R10" s="287"/>
      <c r="S10" s="288">
        <f>IFERROR(IF(Q10="Unidad","1",(Q10*$K$5)),"")</f>
        <v>200.36</v>
      </c>
      <c r="T10" s="289"/>
      <c r="U10" s="276"/>
      <c r="V10" s="372"/>
      <c r="W10" s="277">
        <f>IFERROR(IF(D10="","",INDEX(Tabla_Completa,MATCH('Soli_citud '!D10,Materiales,0),7)*S10),"")</f>
        <v>180013.44200000001</v>
      </c>
      <c r="X10" s="277"/>
      <c r="Y10" s="277"/>
      <c r="Z10" s="37"/>
    </row>
    <row r="11" spans="1:28" ht="17.25" customHeight="1">
      <c r="A11" s="278" t="s">
        <v>46</v>
      </c>
      <c r="B11" s="279"/>
      <c r="C11" s="280"/>
      <c r="D11" s="369" t="s">
        <v>778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si="0"/>
        <v>cm2</v>
      </c>
      <c r="P11" s="285"/>
      <c r="Q11" s="286">
        <v>2544</v>
      </c>
      <c r="R11" s="287"/>
      <c r="S11" s="288">
        <f t="shared" ref="S11:S31" si="1">IFERROR(IF(Q11="Unidad","1",(Q11*$K$5)),"")</f>
        <v>10176</v>
      </c>
      <c r="T11" s="289"/>
      <c r="U11" s="276"/>
      <c r="V11" s="276"/>
      <c r="W11" s="277">
        <f>IFERROR(IF(D11="","",INDEX(Tabla_Completa,MATCH('Soli_citud '!D11,Materiales,0),7)*S11),"")</f>
        <v>5066.1942857142858</v>
      </c>
      <c r="X11" s="277"/>
      <c r="Y11" s="277"/>
    </row>
    <row r="12" spans="1:28" ht="15.75" customHeight="1">
      <c r="A12" s="278" t="s">
        <v>222</v>
      </c>
      <c r="B12" s="279"/>
      <c r="C12" s="280"/>
      <c r="D12" s="373" t="s">
        <v>268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si="2">IFERROR(IF(D12="","",INDEX(Tabla_Completa,MATCH(D12,Materiales,0),6)),"")</f>
        <v>m</v>
      </c>
      <c r="P12" s="285"/>
      <c r="Q12" s="286">
        <v>1.5</v>
      </c>
      <c r="R12" s="287"/>
      <c r="S12" s="288">
        <f t="shared" si="1"/>
        <v>6</v>
      </c>
      <c r="T12" s="289"/>
      <c r="U12" s="276"/>
      <c r="V12" s="276"/>
      <c r="W12" s="277">
        <f>IFERROR(IF(D12="","",INDEX(Tabla_Completa,MATCH('Soli_citud '!D12,Materiales,0),7)*S12),"")</f>
        <v>552</v>
      </c>
      <c r="X12" s="277"/>
      <c r="Y12" s="277"/>
    </row>
    <row r="13" spans="1:28" ht="15.75" customHeight="1">
      <c r="A13" s="278" t="s">
        <v>222</v>
      </c>
      <c r="B13" s="279"/>
      <c r="C13" s="280"/>
      <c r="D13" s="369" t="s">
        <v>286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si="0"/>
        <v>cm2</v>
      </c>
      <c r="P13" s="285"/>
      <c r="Q13" s="286">
        <v>1.65</v>
      </c>
      <c r="R13" s="287"/>
      <c r="S13" s="288">
        <f t="shared" si="1"/>
        <v>6.6</v>
      </c>
      <c r="T13" s="289"/>
      <c r="U13" s="276"/>
      <c r="V13" s="276"/>
      <c r="W13" s="277">
        <f>IFERROR(IF(D13="","",INDEX(Tabla_Completa,MATCH('Soli_citud '!D13,Materiales,0),7)*S13),"")</f>
        <v>4.3999999999999995</v>
      </c>
      <c r="X13" s="277"/>
      <c r="Y13" s="277"/>
    </row>
    <row r="14" spans="1:28" ht="17.25" customHeight="1">
      <c r="A14" s="278"/>
      <c r="B14" s="279"/>
      <c r="C14" s="280"/>
      <c r="D14" s="369" t="s">
        <v>1157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si="0"/>
        <v/>
      </c>
      <c r="P14" s="285"/>
      <c r="Q14" s="286">
        <v>2131</v>
      </c>
      <c r="R14" s="287"/>
      <c r="S14" s="288">
        <f t="shared" si="1"/>
        <v>8524</v>
      </c>
      <c r="T14" s="289"/>
      <c r="U14" s="276"/>
      <c r="V14" s="276"/>
      <c r="W14" s="277" t="str">
        <f>IFERROR(IF(D14="","",INDEX(Tabla_Completa,MATCH('Soli_citud '!D14,Materiales,0),7)*S14),"")</f>
        <v/>
      </c>
      <c r="X14" s="277"/>
      <c r="Y14" s="277"/>
    </row>
    <row r="15" spans="1:28" ht="15.75" customHeight="1">
      <c r="A15" s="278" t="s">
        <v>222</v>
      </c>
      <c r="B15" s="279"/>
      <c r="C15" s="280"/>
      <c r="D15" s="369" t="s">
        <v>260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si="0"/>
        <v>cm</v>
      </c>
      <c r="P15" s="285"/>
      <c r="Q15" s="286">
        <v>24</v>
      </c>
      <c r="R15" s="287"/>
      <c r="S15" s="288">
        <f t="shared" si="1"/>
        <v>96</v>
      </c>
      <c r="T15" s="289"/>
      <c r="U15" s="276"/>
      <c r="V15" s="276"/>
      <c r="W15" s="277">
        <f>IFERROR(IF(D15="","",INDEX(Tabla_Completa,MATCH('Soli_citud '!D15,Materiales,0),7)*S15),"")</f>
        <v>1174.08</v>
      </c>
      <c r="X15" s="277"/>
      <c r="Y15" s="277"/>
    </row>
    <row r="16" spans="1:28" ht="15.75" customHeight="1">
      <c r="A16" s="278" t="s">
        <v>222</v>
      </c>
      <c r="B16" s="279"/>
      <c r="C16" s="280"/>
      <c r="D16" s="369" t="s">
        <v>258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si="0"/>
        <v>m</v>
      </c>
      <c r="P16" s="285"/>
      <c r="Q16" s="286">
        <v>0.2</v>
      </c>
      <c r="R16" s="287"/>
      <c r="S16" s="288">
        <f t="shared" si="1"/>
        <v>0.8</v>
      </c>
      <c r="T16" s="289"/>
      <c r="U16" s="276"/>
      <c r="V16" s="276"/>
      <c r="W16" s="277">
        <f>IFERROR(IF(D16="","",INDEX(Tabla_Completa,MATCH('Soli_citud '!D16,Materiales,0),7)*S16),"")</f>
        <v>754.80000000000007</v>
      </c>
      <c r="X16" s="277"/>
      <c r="Y16" s="277"/>
    </row>
    <row r="17" spans="1:25" ht="15.75" customHeight="1">
      <c r="A17" s="278" t="s">
        <v>36</v>
      </c>
      <c r="B17" s="279"/>
      <c r="C17" s="280"/>
      <c r="D17" s="369" t="s">
        <v>579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si="0"/>
        <v>U</v>
      </c>
      <c r="P17" s="285"/>
      <c r="Q17" s="286">
        <v>1</v>
      </c>
      <c r="R17" s="287"/>
      <c r="S17" s="288">
        <f t="shared" si="1"/>
        <v>4</v>
      </c>
      <c r="T17" s="289"/>
      <c r="U17" s="276"/>
      <c r="V17" s="276"/>
      <c r="W17" s="277">
        <f>IFERROR(IF(D17="","",INDEX(Tabla_Completa,MATCH('Soli_citud '!D17,Materiales,0),7)*S17),"")</f>
        <v>1822.665</v>
      </c>
      <c r="X17" s="277"/>
      <c r="Y17" s="277"/>
    </row>
    <row r="18" spans="1:25" ht="15.75" customHeight="1">
      <c r="A18" s="278" t="s">
        <v>36</v>
      </c>
      <c r="B18" s="279"/>
      <c r="C18" s="280"/>
      <c r="D18" s="369" t="s">
        <v>574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si="0"/>
        <v>U</v>
      </c>
      <c r="P18" s="285"/>
      <c r="Q18" s="286">
        <v>1</v>
      </c>
      <c r="R18" s="287"/>
      <c r="S18" s="288">
        <f t="shared" si="1"/>
        <v>4</v>
      </c>
      <c r="T18" s="289"/>
      <c r="U18" s="276"/>
      <c r="V18" s="276"/>
      <c r="W18" s="277">
        <f>IFERROR(IF(D18="","",INDEX(Tabla_Completa,MATCH('Soli_citud '!D18,Materiales,0),7)*S18),"")</f>
        <v>1822.665</v>
      </c>
      <c r="X18" s="277"/>
      <c r="Y18" s="277"/>
    </row>
    <row r="19" spans="1:25" ht="16">
      <c r="A19" s="278" t="s">
        <v>36</v>
      </c>
      <c r="B19" s="279"/>
      <c r="C19" s="280"/>
      <c r="D19" s="281" t="s">
        <v>604</v>
      </c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si="0"/>
        <v>U</v>
      </c>
      <c r="P19" s="285"/>
      <c r="Q19" s="286">
        <v>6</v>
      </c>
      <c r="R19" s="287"/>
      <c r="S19" s="288">
        <f t="shared" si="1"/>
        <v>24</v>
      </c>
      <c r="T19" s="289"/>
      <c r="U19" s="276" t="s">
        <v>1158</v>
      </c>
      <c r="V19" s="276"/>
      <c r="W19" s="277">
        <f>IFERROR(IF(D19="","",INDEX(Tabla_Completa,MATCH('Soli_citud '!D19,Materiales,0),7)*S19),"")</f>
        <v>80544</v>
      </c>
      <c r="X19" s="277"/>
      <c r="Y19" s="277"/>
    </row>
    <row r="20" spans="1:25" ht="16">
      <c r="A20" s="278" t="s">
        <v>36</v>
      </c>
      <c r="B20" s="279"/>
      <c r="C20" s="280"/>
      <c r="D20" s="281" t="s">
        <v>747</v>
      </c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si="0"/>
        <v>U</v>
      </c>
      <c r="P20" s="285"/>
      <c r="Q20" s="286">
        <v>1</v>
      </c>
      <c r="R20" s="287"/>
      <c r="S20" s="288">
        <f t="shared" si="1"/>
        <v>4</v>
      </c>
      <c r="T20" s="289"/>
      <c r="U20" s="276"/>
      <c r="V20" s="276"/>
      <c r="W20" s="277">
        <f>IFERROR(IF(D20="","",INDEX(Tabla_Completa,MATCH('Soli_citud '!D20,Materiales,0),7)*S20),"")</f>
        <v>3993.64</v>
      </c>
      <c r="X20" s="277"/>
      <c r="Y20" s="277"/>
    </row>
    <row r="21" spans="1:25" ht="16">
      <c r="A21" s="278" t="s">
        <v>36</v>
      </c>
      <c r="B21" s="279"/>
      <c r="C21" s="280"/>
      <c r="D21" s="281" t="s">
        <v>618</v>
      </c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si="0"/>
        <v>U</v>
      </c>
      <c r="P21" s="285"/>
      <c r="Q21" s="286">
        <v>2</v>
      </c>
      <c r="R21" s="287"/>
      <c r="S21" s="288">
        <f t="shared" si="1"/>
        <v>8</v>
      </c>
      <c r="T21" s="289"/>
      <c r="U21" s="276" t="s">
        <v>1158</v>
      </c>
      <c r="V21" s="276"/>
      <c r="W21" s="277">
        <f>IFERROR(IF(D21="","",INDEX(Tabla_Completa,MATCH('Soli_citud '!D21,Materiales,0),7)*S21),"")</f>
        <v>10205.44</v>
      </c>
      <c r="X21" s="277"/>
      <c r="Y21" s="277"/>
    </row>
    <row r="22" spans="1:25" ht="16">
      <c r="A22" s="278" t="s">
        <v>826</v>
      </c>
      <c r="B22" s="279"/>
      <c r="C22" s="280"/>
      <c r="D22" s="281" t="s">
        <v>860</v>
      </c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si="0"/>
        <v>m</v>
      </c>
      <c r="P22" s="285"/>
      <c r="Q22" s="286">
        <v>120</v>
      </c>
      <c r="R22" s="287"/>
      <c r="S22" s="288">
        <f t="shared" si="1"/>
        <v>480</v>
      </c>
      <c r="T22" s="289"/>
      <c r="U22" s="276"/>
      <c r="V22" s="276"/>
      <c r="W22" s="277">
        <f>IFERROR(IF(D22="","",INDEX(Tabla_Completa,MATCH('Soli_citud '!D22,Materiales,0),7)*S22),"")</f>
        <v>0</v>
      </c>
      <c r="X22" s="277"/>
      <c r="Y22" s="277"/>
    </row>
    <row r="23" spans="1:25" ht="16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>IFERROR(IF(D23="","",INDEX(Tabla_Completa,MATCH('Soli_citud '!D23,Materiales,0),7)*S23),"")</f>
        <v/>
      </c>
      <c r="X23" s="277"/>
      <c r="Y23" s="277"/>
    </row>
    <row r="24" spans="1:25" ht="16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>IFERROR(IF(D24="","",INDEX(Tabla_Completa,MATCH('Soli_citud '!D24,Materiales,0),7)*S24),"")</f>
        <v/>
      </c>
      <c r="X24" s="277"/>
      <c r="Y24" s="277"/>
    </row>
    <row r="25" spans="1:25" ht="16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>IFERROR(IF(D25="","",INDEX(Tabla_Completa,MATCH('Soli_citud '!D25,Materiales,0),7)*S25),"")</f>
        <v/>
      </c>
      <c r="X25" s="277"/>
      <c r="Y25" s="277"/>
    </row>
    <row r="26" spans="1:25" ht="16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>IFERROR(IF(D26="","",INDEX(Tabla_Completa,MATCH('Soli_citud '!D26,Materiales,0),7)*S26),"")</f>
        <v/>
      </c>
      <c r="X26" s="277"/>
      <c r="Y26" s="277"/>
    </row>
    <row r="27" spans="1:25" ht="16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>IFERROR(IF(D27="","",INDEX(Tabla_Completa,MATCH('Soli_citud '!D27,Materiales,0),7)*S27),"")</f>
        <v/>
      </c>
      <c r="X27" s="277"/>
      <c r="Y27" s="277"/>
    </row>
    <row r="28" spans="1:25" ht="16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>IFERROR(IF(D28="","",INDEX(Tabla_Completa,MATCH('Soli_citud '!D28,Materiales,0),7)*S28),"")</f>
        <v/>
      </c>
      <c r="X28" s="277"/>
      <c r="Y28" s="277"/>
    </row>
    <row r="29" spans="1:25" ht="16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>IFERROR(IF(D29="","",INDEX(Tabla_Completa,MATCH('Soli_citud '!D29,Materiales,0),7)*S29),"")</f>
        <v/>
      </c>
      <c r="X29" s="277"/>
      <c r="Y29" s="277"/>
    </row>
    <row r="30" spans="1:25" ht="16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>IFERROR(IF(D30="","",INDEX(Tabla_Completa,MATCH('Soli_citud '!D30,Materiales,0),7)*S30),"")</f>
        <v/>
      </c>
      <c r="X30" s="277"/>
      <c r="Y30" s="277"/>
    </row>
    <row r="31" spans="1:25" ht="16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>IFERROR(IF(D31="","",INDEX(Tabla_Completa,MATCH('Soli_citud '!D31,Materiales,0),7)*S31),"")</f>
        <v/>
      </c>
      <c r="X31" s="277"/>
      <c r="Y31" s="277"/>
    </row>
    <row r="32" spans="1:25" ht="16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>IFERROR(IF(D32="","",INDEX(Tabla_Completa,MATCH('Soli_citud '!D32,Materiales,0),7)*S32),"")</f>
        <v/>
      </c>
      <c r="X32" s="277"/>
      <c r="Y32" s="277"/>
    </row>
    <row r="33" spans="1:25" ht="16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22</v>
      </c>
      <c r="B39" s="290"/>
      <c r="C39" s="290"/>
      <c r="D39" s="291" t="s">
        <v>23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25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">
      <c r="A44" s="301" t="s">
        <v>26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27</v>
      </c>
      <c r="O44" s="303"/>
      <c r="P44" s="303"/>
      <c r="Q44" s="303"/>
      <c r="R44" s="298" t="s">
        <v>28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29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30</v>
      </c>
      <c r="O45" s="303"/>
      <c r="P45" s="303"/>
      <c r="Q45" s="303"/>
      <c r="R45" s="299" t="s">
        <v>31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32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33</v>
      </c>
      <c r="O46" s="303"/>
      <c r="P46" s="303"/>
      <c r="Q46" s="303"/>
      <c r="R46" s="300" t="s">
        <v>34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35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36</v>
      </c>
      <c r="O47" s="303"/>
      <c r="P47" s="303"/>
      <c r="Q47" s="303"/>
      <c r="R47" s="300" t="s">
        <v>37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38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39</v>
      </c>
      <c r="O48" s="303"/>
      <c r="P48" s="303"/>
      <c r="Q48" s="303"/>
      <c r="R48" s="300" t="s">
        <v>40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41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42</v>
      </c>
      <c r="O49" s="304"/>
      <c r="P49" s="304"/>
      <c r="Q49" s="304"/>
      <c r="R49" s="299" t="s">
        <v>43</v>
      </c>
      <c r="S49" s="299"/>
      <c r="T49" s="299"/>
      <c r="U49" s="299"/>
      <c r="V49" s="299"/>
      <c r="W49" s="299"/>
      <c r="X49" s="299"/>
    </row>
    <row r="50" spans="1:24">
      <c r="A50" s="297"/>
      <c r="B50" s="297"/>
      <c r="C50" s="297"/>
      <c r="D50" s="297"/>
      <c r="N50" s="303" t="s">
        <v>44</v>
      </c>
      <c r="O50" s="303"/>
      <c r="P50" s="303"/>
      <c r="Q50" s="303"/>
      <c r="R50" s="300" t="s">
        <v>45</v>
      </c>
      <c r="S50" s="300"/>
      <c r="T50" s="300"/>
      <c r="U50" s="300"/>
      <c r="V50" s="300"/>
      <c r="W50" s="300"/>
      <c r="X50" s="300"/>
    </row>
    <row r="51" spans="1:24">
      <c r="N51" s="303" t="s">
        <v>46</v>
      </c>
      <c r="O51" s="303"/>
      <c r="P51" s="303"/>
      <c r="Q51" s="303"/>
      <c r="R51" s="300" t="s">
        <v>47</v>
      </c>
      <c r="S51" s="300"/>
      <c r="T51" s="300"/>
      <c r="U51" s="300"/>
      <c r="V51" s="300"/>
      <c r="W51" s="300"/>
      <c r="X51" s="300"/>
    </row>
    <row r="52" spans="1:24">
      <c r="N52" s="303" t="s">
        <v>48</v>
      </c>
      <c r="O52" s="303"/>
      <c r="P52" s="303"/>
      <c r="Q52" s="303"/>
      <c r="R52" s="300" t="s">
        <v>37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I22" sqref="I22"/>
    </sheetView>
  </sheetViews>
  <sheetFormatPr baseColWidth="10" defaultColWidth="11.5" defaultRowHeight="15"/>
  <cols>
    <col min="1" max="1" width="4.6640625" customWidth="1"/>
    <col min="2" max="2" width="11.5" customWidth="1"/>
    <col min="3" max="3" width="7.6640625" customWidth="1"/>
    <col min="4" max="4" width="9.33203125" customWidth="1"/>
    <col min="6" max="6" width="8.6640625" customWidth="1"/>
    <col min="7" max="7" width="10.6640625" customWidth="1"/>
    <col min="8" max="8" width="11.6640625" customWidth="1"/>
    <col min="9" max="9" width="10.1640625" customWidth="1"/>
    <col min="10" max="10" width="10.83203125" customWidth="1"/>
    <col min="11" max="11" width="9.5" customWidth="1"/>
    <col min="12" max="12" width="10" customWidth="1"/>
    <col min="13" max="13" width="10.6640625" customWidth="1"/>
    <col min="14" max="14" width="15.5" customWidth="1"/>
    <col min="15" max="15" width="14.6640625" customWidth="1"/>
    <col min="17" max="17" width="14.5" customWidth="1"/>
  </cols>
  <sheetData>
    <row r="1" spans="1:26" ht="15.75" customHeight="1">
      <c r="A1" s="382"/>
      <c r="B1" s="382"/>
      <c r="C1" s="383" t="s">
        <v>49</v>
      </c>
      <c r="D1" s="383"/>
      <c r="E1" s="383"/>
      <c r="F1" s="383"/>
      <c r="G1" s="383"/>
      <c r="H1" s="383"/>
      <c r="I1" s="389" t="s">
        <v>50</v>
      </c>
      <c r="J1" s="390"/>
      <c r="K1" s="390"/>
      <c r="L1" s="391"/>
      <c r="M1" s="384" t="str">
        <f>IF('Soli_citud '!O1="","",'Soli_citud '!O1)</f>
        <v/>
      </c>
      <c r="N1" s="385"/>
      <c r="O1" s="428" t="s">
        <v>51</v>
      </c>
      <c r="P1" s="429"/>
      <c r="Q1" s="424" t="str">
        <f>IF('Soli_citud '!D4="","",'Soli_citud '!D4)</f>
        <v>bolso tipo baul 020 sara</v>
      </c>
      <c r="R1" s="425"/>
      <c r="Z1" s="271" t="s">
        <v>52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53</v>
      </c>
      <c r="J2" s="393"/>
      <c r="K2" s="393"/>
      <c r="L2" s="394"/>
      <c r="M2" s="386" t="str">
        <f>'Soli_citud '!F1</f>
        <v>MG0001-1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54</v>
      </c>
      <c r="J3" s="388"/>
      <c r="K3" s="388"/>
      <c r="L3" s="388"/>
      <c r="M3" s="395" t="str">
        <f>IF('Soli_citud '!O3="","",'Soli_citud '!O3)</f>
        <v>celda pcc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55</v>
      </c>
      <c r="J4" s="377"/>
      <c r="K4" s="377"/>
      <c r="L4" s="378" t="str">
        <f>IF('Soli_citud '!O4="","",'Soli_citud '!O4)</f>
        <v>Marroquinería Producción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56</v>
      </c>
      <c r="B6" s="380"/>
      <c r="C6" s="380"/>
      <c r="D6" s="397" t="s">
        <v>57</v>
      </c>
      <c r="E6" s="397"/>
      <c r="F6" s="397"/>
      <c r="G6" s="397"/>
      <c r="H6" s="398"/>
      <c r="I6" s="420" t="s">
        <v>58</v>
      </c>
      <c r="J6" s="421"/>
      <c r="K6" s="421"/>
      <c r="L6" s="421"/>
      <c r="M6" s="413" t="s">
        <v>1159</v>
      </c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>IFERROR(IF(Q3="","",F9*L10),"")</f>
        <v/>
      </c>
      <c r="R7" s="412"/>
    </row>
    <row r="8" spans="1:26" ht="20.25" customHeight="1">
      <c r="A8" s="381">
        <f>IF('Soli_citud '!D5&lt;= 0,"",'Soli_citud '!D5)</f>
        <v>71488.331571428571</v>
      </c>
      <c r="B8" s="381"/>
      <c r="C8" s="381"/>
      <c r="D8" s="399" t="s">
        <v>59</v>
      </c>
      <c r="E8" s="400"/>
      <c r="F8" s="400"/>
      <c r="G8" s="400"/>
      <c r="H8" s="401"/>
      <c r="I8" s="422" t="str">
        <f>IF('Soli_citud '!E2="","",'Soli_citud '!E2)</f>
        <v>Maribel Gil Zapata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60</v>
      </c>
      <c r="B9" s="406"/>
      <c r="C9" s="402">
        <v>0.3</v>
      </c>
      <c r="D9" s="408" t="s">
        <v>61</v>
      </c>
      <c r="E9" s="408"/>
      <c r="F9" s="414">
        <f>IFERROR(IF(C9="","",ROUNDUP(A8*(1+C9),-2)),"")</f>
        <v>93000</v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62</v>
      </c>
      <c r="J10" s="440"/>
      <c r="K10" s="441"/>
      <c r="L10" s="259">
        <f>'Soli_citud '!K5</f>
        <v>4</v>
      </c>
      <c r="M10" s="437" t="s">
        <v>63</v>
      </c>
      <c r="N10" s="438"/>
      <c r="O10" s="432"/>
      <c r="P10" s="433"/>
      <c r="Q10" s="260" t="s">
        <v>64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65</v>
      </c>
      <c r="B11" s="403" t="s">
        <v>66</v>
      </c>
      <c r="C11" s="404"/>
      <c r="D11" s="404"/>
      <c r="E11" s="405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87" t="s">
        <v>20</v>
      </c>
      <c r="L11" s="439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376" t="str">
        <f>IFERROR(IF('Soli_citud '!D10="","",'Soli_citud '!D10),"")</f>
        <v>NAPPA</v>
      </c>
      <c r="C12" s="376"/>
      <c r="D12" s="376"/>
      <c r="E12" s="376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200.36</v>
      </c>
      <c r="H12" s="240"/>
      <c r="I12" s="241"/>
      <c r="J12" s="215" cm="1">
        <f t="array" ref="J12">IFERROR(_xlfn.IFS(G12="","",I12=G12,"Cumplido",I12&lt;G12,G12-I12,I12&gt;G12,"Revisar"),"")</f>
        <v>200.36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SEDA 30-100 O SEDA TIFON</v>
      </c>
      <c r="C13" s="376"/>
      <c r="D13" s="376"/>
      <c r="E13" s="376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10176</v>
      </c>
      <c r="H13" s="240"/>
      <c r="I13" s="242"/>
      <c r="J13" s="215" cm="1">
        <f t="array" ref="J13">IFERROR(_xlfn.IFS(G13="","",I13=G13,"Cumplido",I13&lt;G13,G13-I13,I13&gt;G13,"Revisar"),"")</f>
        <v>10176</v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EMBONO PLASTICO GRIS DELGADO</v>
      </c>
      <c r="C14" s="376"/>
      <c r="D14" s="376"/>
      <c r="E14" s="376"/>
      <c r="F14" s="239" t="str">
        <f>IF('Soli_citud '!O12="","",'Soli_citud '!O12)</f>
        <v>m</v>
      </c>
      <c r="G14" s="239" cm="1">
        <f t="array" ref="G14">_xlfn.IFS('Soli_citud '!S12="","",'Soli_citud '!S12&lt;=0,"",'Soli_citud '!S12&gt;0,'Soli_citud '!S12)</f>
        <v>6</v>
      </c>
      <c r="H14" s="243"/>
      <c r="I14" s="242"/>
      <c r="J14" s="215" cm="1">
        <f t="array" ref="J14">IFERROR(_xlfn.IFS(G14="","",I14=G14,"Cumplido",I14&lt;G14,G14-I14,I14&gt;G14,"Revisar"),"")</f>
        <v>6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ODENA 1,1 mm</v>
      </c>
      <c r="C15" s="376"/>
      <c r="D15" s="376"/>
      <c r="E15" s="376"/>
      <c r="F15" s="239" t="str">
        <f>IF('Soli_citud '!O13="","",'Soli_citud '!O13)</f>
        <v>cm2</v>
      </c>
      <c r="G15" s="239" cm="1">
        <f t="array" ref="G15">_xlfn.IFS('Soli_citud '!S13="","",'Soli_citud '!S13&lt;=0,"",'Soli_citud '!S13&gt;0,'Soli_citud '!S13)</f>
        <v>6.6</v>
      </c>
      <c r="H15" s="243"/>
      <c r="I15" s="242"/>
      <c r="J15" s="215" cm="1">
        <f t="array" ref="J15">IFERROR(_xlfn.IFS(G15="","",I15=G15,"Cumplido",I15&lt;G15,G15-I15,I15&gt;G15,"Revisar"),"")</f>
        <v>6.6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lambrilla #3</v>
      </c>
      <c r="C16" s="376"/>
      <c r="D16" s="376"/>
      <c r="E16" s="376"/>
      <c r="F16" s="239" t="str">
        <f>IF('Soli_citud '!O14="","",'Soli_citud '!O14)</f>
        <v/>
      </c>
      <c r="G16" s="239" cm="1">
        <f t="array" ref="G16">_xlfn.IFS('Soli_citud '!S14="","",'Soli_citud '!S14&lt;=0,"",'Soli_citud '!S14&gt;0,'Soli_citud '!S14)</f>
        <v>8524</v>
      </c>
      <c r="H16" s="243"/>
      <c r="I16" s="242"/>
      <c r="J16" s="215" cm="1">
        <f t="array" ref="J16">IFERROR(_xlfn.IFS(G16="","",I16=G16,"Cumplido",I16&lt;G16,G16-I16,I16&gt;G16,"Revisar"),"")</f>
        <v>8524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>CREMALLERA POLIÉSTER #6</v>
      </c>
      <c r="C17" s="376"/>
      <c r="D17" s="376"/>
      <c r="E17" s="376"/>
      <c r="F17" s="239" t="str">
        <f>IF('Soli_citud '!O15="","",'Soli_citud '!O15)</f>
        <v>cm</v>
      </c>
      <c r="G17" s="239" cm="1">
        <f t="array" ref="G17">_xlfn.IFS('Soli_citud '!S15="","",'Soli_citud '!S15&lt;=0,"",'Soli_citud '!S15&gt;0,'Soli_citud '!S15)</f>
        <v>96</v>
      </c>
      <c r="H17" s="243"/>
      <c r="I17" s="242"/>
      <c r="J17" s="215" cm="1">
        <f t="array" ref="J17">IFERROR(_xlfn.IFS(G17="","",I17=G17,"Cumplido",I17&lt;G17,G17-I17,I17&gt;G17,"Revisar"),"")</f>
        <v>96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>CREMALLERA POLIÉSTER #3</v>
      </c>
      <c r="C18" s="376"/>
      <c r="D18" s="376"/>
      <c r="E18" s="376"/>
      <c r="F18" s="239" t="str">
        <f>IF('Soli_citud '!O16="","",'Soli_citud '!O16)</f>
        <v>m</v>
      </c>
      <c r="G18" s="239" cm="1">
        <f t="array" ref="G18">_xlfn.IFS('Soli_citud '!S16="","",'Soli_citud '!S16&lt;=0,"",'Soli_citud '!S16&gt;0,'Soli_citud '!S16)</f>
        <v>0.8</v>
      </c>
      <c r="H18" s="243"/>
      <c r="I18" s="242"/>
      <c r="J18" s="215" cm="1">
        <f t="array" ref="J18">IFERROR(_xlfn.IFS(G18="","",I18=G18,"Cumplido",I18&lt;G18,G18-I18,I18&gt;G18,"Revisar"),"")</f>
        <v>0.8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 xml:space="preserve">LLAVE METÁLICA DESLIZADOR   #6 PARA CREMALLERA - NÍQUEL </v>
      </c>
      <c r="C19" s="376"/>
      <c r="D19" s="376"/>
      <c r="E19" s="376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4</v>
      </c>
      <c r="H19" s="243"/>
      <c r="I19" s="242"/>
      <c r="J19" s="215" cm="1">
        <f t="array" ref="J19">IFERROR(_xlfn.IFS(G19="","",I19=G19,"Cumplido",I19&lt;G19,G19-I19,I19&gt;G19,"Revisar"),"")</f>
        <v>4</v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 xml:space="preserve">LLAVE METÁLICA DESLIZADOR   #3 PARA CREMALLERA - NÍQUEL </v>
      </c>
      <c r="C20" s="376"/>
      <c r="D20" s="376"/>
      <c r="E20" s="376"/>
      <c r="F20" s="239" t="str">
        <f>IF('Soli_citud '!O18="","",'Soli_citud '!O18)</f>
        <v>U</v>
      </c>
      <c r="G20" s="239" cm="1">
        <f t="array" ref="G20">_xlfn.IFS('Soli_citud '!S18="","",'Soli_citud '!S18&lt;=0,"",'Soli_citud '!S18&gt;0,'Soli_citud '!S18)</f>
        <v>4</v>
      </c>
      <c r="H20" s="243"/>
      <c r="I20" s="242"/>
      <c r="J20" s="215" cm="1">
        <f t="array" ref="J20">IFERROR(_xlfn.IFS(G20="","",I20=G20,"Cumplido",I20&lt;G20,G20-I20,I20&gt;G20,"Revisar"),"")</f>
        <v>4</v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>MEDIA ARGOLLA NÍQUEL 1"DE LUJO ZAMAC</v>
      </c>
      <c r="C21" s="376"/>
      <c r="D21" s="376"/>
      <c r="E21" s="376"/>
      <c r="F21" s="239" t="str">
        <f>IF('Soli_citud '!O19="","",'Soli_citud '!O19)</f>
        <v>U</v>
      </c>
      <c r="G21" s="239" cm="1">
        <f t="array" ref="G21">_xlfn.IFS('Soli_citud '!S19="","",'Soli_citud '!S19&lt;=0,"",'Soli_citud '!S19&gt;0,'Soli_citud '!S19)</f>
        <v>24</v>
      </c>
      <c r="H21" s="243"/>
      <c r="I21" s="242"/>
      <c r="J21" s="215" cm="1">
        <f t="array" ref="J21">IFERROR(_xlfn.IFS(G21="","",I21=G21,"Cumplido",I21&lt;G21,G21-I21,I21&gt;G21,"Revisar"),"")</f>
        <v>24</v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>TRABILLA 1" NÍQUEL</v>
      </c>
      <c r="C22" s="376"/>
      <c r="D22" s="376"/>
      <c r="E22" s="376"/>
      <c r="F22" s="239" t="str">
        <f>IF('Soli_citud '!O20="","",'Soli_citud '!O20)</f>
        <v>U</v>
      </c>
      <c r="G22" s="239" cm="1">
        <f t="array" ref="G22">_xlfn.IFS('Soli_citud '!S20="","",'Soli_citud '!S20&lt;=0,"",'Soli_citud '!S20&gt;0,'Soli_citud '!S20)</f>
        <v>4</v>
      </c>
      <c r="H22" s="243"/>
      <c r="I22" s="242"/>
      <c r="J22" s="215" cm="1">
        <f t="array" ref="J22">IFERROR(_xlfn.IFS(G22="","",I22=G22,"Cumplido",I22&lt;G22,G22-I22,I22&gt;G22,"Revisar"),"")</f>
        <v>4</v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>MOSQUETÓN 1" NIQUELADO LUJO</v>
      </c>
      <c r="C23" s="376"/>
      <c r="D23" s="376"/>
      <c r="E23" s="376"/>
      <c r="F23" s="239" t="str">
        <f>IF('Soli_citud '!O21="","",'Soli_citud '!O21)</f>
        <v>U</v>
      </c>
      <c r="G23" s="239" cm="1">
        <f t="array" ref="G23">_xlfn.IFS('Soli_citud '!S21="","",'Soli_citud '!S21&lt;=0,"",'Soli_citud '!S21&gt;0,'Soli_citud '!S21)</f>
        <v>8</v>
      </c>
      <c r="H23" s="243"/>
      <c r="I23" s="242"/>
      <c r="J23" s="215" cm="1">
        <f t="array" ref="J23">IFERROR(_xlfn.IFS(G23="","",I23=G23,"Cumplido",I23&lt;G23,G23-I23,I23&gt;G23,"Revisar"),"")</f>
        <v>8</v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>COLA DE RATA #6</v>
      </c>
      <c r="C24" s="376"/>
      <c r="D24" s="376"/>
      <c r="E24" s="376"/>
      <c r="F24" s="239" t="str">
        <f>IF('Soli_citud '!O22="","",'Soli_citud '!O22)</f>
        <v>m</v>
      </c>
      <c r="G24" s="239" cm="1">
        <f t="array" ref="G24">_xlfn.IFS('Soli_citud '!S22="","",'Soli_citud '!S22&lt;=0,"",'Soli_citud '!S22&gt;0,'Soli_citud '!S22)</f>
        <v>480</v>
      </c>
      <c r="H24" s="243"/>
      <c r="I24" s="242"/>
      <c r="J24" s="215" cm="1">
        <f t="array" ref="J24">IFERROR(_xlfn.IFS(G24="","",I24=G24,"Cumplido",I24&lt;G24,G24-I24,I24&gt;G24,"Revisar"),"")</f>
        <v>480</v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2FCpUTzckrWxleYeuFDOXVovHyPHY8UreytCAi0686FMYwHaE3uqHj39UIrj6g40TyJ7W1tlVUquK38WmGZAUA==" saltValue="hyfi1Yg9N3f7o6Qgy6yySg==" spinCount="100000" sheet="1" scenarios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5" defaultRowHeight="15"/>
  <cols>
    <col min="1" max="1" width="10.83203125" customWidth="1"/>
    <col min="2" max="2" width="48.6640625" style="38" customWidth="1"/>
    <col min="3" max="3" width="23.1640625" style="1" customWidth="1"/>
    <col min="4" max="4" width="17.6640625" style="50" customWidth="1"/>
    <col min="5" max="5" width="14.33203125" style="47" customWidth="1"/>
    <col min="6" max="6" width="14.33203125" style="191" customWidth="1"/>
    <col min="7" max="7" width="18.83203125" customWidth="1"/>
    <col min="8" max="8" width="10.5" style="10" customWidth="1"/>
    <col min="9" max="9" width="11.6640625" style="10" customWidth="1"/>
    <col min="10" max="10" width="24.6640625" customWidth="1"/>
    <col min="11" max="11" width="2.1640625" customWidth="1"/>
    <col min="12" max="12" width="31.33203125" bestFit="1" customWidth="1"/>
  </cols>
  <sheetData>
    <row r="1" spans="1:26" ht="56.25" customHeight="1">
      <c r="A1" s="447"/>
      <c r="B1" s="447"/>
      <c r="C1" s="447"/>
      <c r="D1" s="447"/>
      <c r="E1" s="450" t="s">
        <v>78</v>
      </c>
      <c r="F1" s="450"/>
      <c r="Z1" s="271" t="s">
        <v>52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8"/>
      <c r="D6" s="449"/>
      <c r="H6" s="446" t="s">
        <v>80</v>
      </c>
      <c r="I6" s="446"/>
    </row>
    <row r="7" spans="1:26" ht="51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51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51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2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2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2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2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2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2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2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2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2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2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2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2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16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16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16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16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16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16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16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16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2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16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2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2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2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2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 ht="16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6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6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6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6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6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6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 ht="16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2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 ht="16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 ht="16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6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 ht="16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16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16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6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6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6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6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6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16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6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6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6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6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6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6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6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6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 ht="16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 ht="16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6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 ht="16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 ht="16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6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 ht="16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 ht="16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 ht="16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 ht="16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 ht="16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6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 ht="16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 ht="16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 ht="16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 ht="16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 ht="16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 ht="16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2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6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6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6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 ht="16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6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6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2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2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2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2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2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2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 ht="16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 ht="16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 ht="16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 ht="16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 ht="16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6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 ht="16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 ht="16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 ht="16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 ht="16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 ht="16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 ht="16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 ht="16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 ht="16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 ht="16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 ht="16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6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 ht="16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 ht="16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 ht="16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 ht="16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6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6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6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6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6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6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2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2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2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2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2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2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2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2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2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2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2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2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2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6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6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6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6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6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6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6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6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6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6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6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6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6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6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6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6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6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6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6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6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6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6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6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6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6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6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6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6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6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6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6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6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6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6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6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6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6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6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6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6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6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6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6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 ht="16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 ht="16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6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6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6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6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2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6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16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 ht="16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6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6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6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6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6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6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6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6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6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6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6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6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6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6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6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6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6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9">
      <c r="A1012" s="131" t="s">
        <v>79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51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 ht="16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 ht="16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 ht="16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 ht="16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 ht="16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 ht="16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 ht="16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 ht="16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 ht="16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 ht="16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 ht="16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 ht="16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 ht="16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 ht="16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2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2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 ht="16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 ht="16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 ht="16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 ht="16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 ht="16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 ht="16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 ht="16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 ht="16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 ht="16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 ht="16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 ht="16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2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2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2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2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 ht="16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6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6" thickBot="1">
      <c r="B1067"/>
      <c r="C1067" s="445"/>
      <c r="D1067" s="444"/>
      <c r="E1067"/>
      <c r="F1067" s="194"/>
      <c r="H1067"/>
      <c r="I1067"/>
    </row>
    <row r="1068" spans="1:10" ht="22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51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2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2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2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2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2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2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6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6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51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2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2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2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2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2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8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2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 ht="16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2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 ht="16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 ht="16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2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2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2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 ht="16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2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2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2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2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 ht="16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 ht="16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2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8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2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6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6" thickBot="1">
      <c r="B1154"/>
      <c r="C1154"/>
      <c r="D1154"/>
      <c r="E1154"/>
      <c r="F1154" s="194"/>
      <c r="H1154"/>
      <c r="I1154"/>
    </row>
    <row r="1155" spans="1:10" ht="22" thickBot="1">
      <c r="A1155" s="135" t="s">
        <v>79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51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 ht="16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 ht="16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 ht="16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 ht="16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 ht="16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 ht="16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 ht="16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 ht="16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 ht="16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 ht="16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 ht="16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 ht="16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 ht="16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 ht="16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 ht="16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 ht="16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 ht="16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 ht="16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 ht="16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 ht="16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2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2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2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2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2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2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 ht="16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 ht="16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 ht="16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 ht="16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2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2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2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2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 ht="16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 ht="16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 ht="16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2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2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2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 ht="16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2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2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2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 ht="16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 ht="16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2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 ht="16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 ht="16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 ht="16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2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 ht="16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 ht="16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 ht="16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 ht="16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4">
      <c r="A1255" s="141" t="s">
        <v>79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51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 ht="16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 ht="16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 ht="16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 ht="16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 ht="16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 ht="16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 ht="16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 ht="16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 ht="16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 ht="16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 ht="16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 ht="16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 ht="16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 ht="16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 ht="16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 ht="16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 ht="16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16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2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 ht="16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 ht="16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 ht="16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 ht="16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 ht="16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 ht="16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 ht="16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 ht="16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 ht="16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 ht="16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 ht="16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 ht="16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 ht="16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 ht="16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 ht="16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 ht="16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 ht="16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 ht="16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 ht="16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 ht="16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 ht="16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 ht="16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 ht="16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 ht="16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 ht="16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 ht="16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 ht="16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 ht="16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 ht="16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 ht="16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 ht="16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 ht="16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 ht="16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 ht="16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32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8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 ht="16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 ht="16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 ht="16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 ht="16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 ht="16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 ht="16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 ht="16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 ht="16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 ht="16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 ht="16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 ht="16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 ht="16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 ht="16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 ht="16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 ht="16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 ht="16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 ht="16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 ht="16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 ht="16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 ht="16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16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16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 ht="16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 ht="16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 ht="16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 ht="16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2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 ht="16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6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9">
      <c r="A1349" s="142" t="s">
        <v>79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51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9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5" defaultRowHeight="15" outlineLevelRow="1"/>
  <cols>
    <col min="1" max="1" width="21" customWidth="1"/>
    <col min="2" max="2" width="12.5" customWidth="1"/>
    <col min="3" max="3" width="1" style="17" customWidth="1"/>
    <col min="4" max="4" width="18.6640625" customWidth="1"/>
    <col min="5" max="5" width="1" style="17" customWidth="1"/>
    <col min="6" max="6" width="28.83203125" customWidth="1"/>
    <col min="7" max="7" width="1" style="17" customWidth="1"/>
    <col min="8" max="8" width="26.5" customWidth="1"/>
    <col min="9" max="9" width="12.1640625" customWidth="1"/>
    <col min="10" max="10" width="1" style="17" customWidth="1"/>
    <col min="11" max="11" width="15.1640625" customWidth="1"/>
    <col min="12" max="12" width="1" style="17" customWidth="1"/>
    <col min="13" max="13" width="22.5" bestFit="1" customWidth="1"/>
    <col min="14" max="14" width="1" style="17" customWidth="1"/>
  </cols>
  <sheetData>
    <row r="1" spans="1:13" ht="17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2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2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ht="16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ht="16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Paul Ernesto Tamayo Caviedes</cp:lastModifiedBy>
  <cp:revision/>
  <dcterms:created xsi:type="dcterms:W3CDTF">2012-12-07T12:25:35Z</dcterms:created>
  <dcterms:modified xsi:type="dcterms:W3CDTF">2023-04-25T20:40:06Z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