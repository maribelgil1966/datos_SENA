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olso 019 cris\"/>
    </mc:Choice>
  </mc:AlternateContent>
  <xr:revisionPtr revIDLastSave="0" documentId="13_ncr:1_{3F824329-6731-4FF9-8513-5CA1B1FAFBF3}" xr6:coauthVersionLast="47" xr6:coauthVersionMax="47" xr10:uidLastSave="{00000000-0000-0000-0000-000000000000}"/>
  <bookViews>
    <workbookView xWindow="-108" yWindow="-108" windowWidth="23256" windowHeight="12576" activeTab="1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" l="1"/>
  <c r="E23" i="2" s="1"/>
  <c r="D24" i="2"/>
  <c r="E24" i="2" s="1"/>
  <c r="D25" i="2"/>
  <c r="E25" i="2" s="1"/>
  <c r="H25" i="2"/>
  <c r="E15" i="2"/>
  <c r="E22" i="2"/>
  <c r="E28" i="2"/>
  <c r="E29" i="2"/>
  <c r="D13" i="2"/>
  <c r="D12" i="2"/>
  <c r="G64" i="1"/>
  <c r="H64" i="1" s="1"/>
  <c r="J64" i="1" s="1"/>
  <c r="G65" i="1"/>
  <c r="H65" i="1" s="1"/>
  <c r="J65" i="1" s="1"/>
  <c r="D19" i="2"/>
  <c r="E19" i="2" s="1"/>
  <c r="D17" i="2"/>
  <c r="E17" i="2" s="1"/>
  <c r="D15" i="2"/>
  <c r="D14" i="2"/>
  <c r="D10" i="2"/>
  <c r="D9" i="2"/>
  <c r="D18" i="2"/>
  <c r="E18" i="2" s="1"/>
  <c r="D20" i="2"/>
  <c r="E20" i="2" s="1"/>
  <c r="D21" i="2"/>
  <c r="E21" i="2" s="1"/>
  <c r="D22" i="2"/>
  <c r="H17" i="2"/>
  <c r="H18" i="2"/>
  <c r="H19" i="2"/>
  <c r="H20" i="2"/>
  <c r="H21" i="2"/>
  <c r="H22" i="2"/>
  <c r="H23" i="2"/>
  <c r="H24" i="2"/>
  <c r="A14" i="2"/>
  <c r="A13" i="2"/>
  <c r="H62" i="1"/>
  <c r="J62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G63" i="1"/>
  <c r="H63" i="1" s="1"/>
  <c r="J63" i="1" s="1"/>
  <c r="G56" i="1"/>
  <c r="H56" i="1" s="1"/>
  <c r="J56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41" i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19" i="1"/>
  <c r="H19" i="1" s="1"/>
  <c r="J19" i="1" s="1"/>
  <c r="G81" i="1"/>
  <c r="I81" i="1" s="1"/>
  <c r="G79" i="1"/>
  <c r="I79" i="1" s="1"/>
  <c r="G78" i="1"/>
  <c r="I78" i="1" s="1"/>
  <c r="G77" i="1"/>
  <c r="I77" i="1" s="1"/>
  <c r="G71" i="1"/>
  <c r="I71" i="1" s="1"/>
  <c r="G70" i="1"/>
  <c r="I70" i="1" s="1"/>
  <c r="G69" i="1"/>
  <c r="I69" i="1" s="1"/>
  <c r="G18" i="1"/>
  <c r="H18" i="1" s="1"/>
  <c r="J1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I83" i="1" l="1"/>
  <c r="C14" i="2" s="1"/>
  <c r="E14" i="2" s="1"/>
  <c r="I74" i="1"/>
  <c r="C13" i="2" s="1"/>
  <c r="E13" i="2" s="1"/>
  <c r="F2" i="2" l="1"/>
  <c r="F3" i="2"/>
  <c r="F4" i="2"/>
  <c r="F5" i="2"/>
  <c r="F1" i="2"/>
  <c r="A12" i="2"/>
  <c r="E28" i="1"/>
  <c r="G25" i="1"/>
  <c r="H25" i="1" s="1"/>
  <c r="J25" i="1" s="1"/>
  <c r="J66" i="1" l="1"/>
  <c r="C12" i="2" s="1"/>
  <c r="E12" i="2" s="1"/>
  <c r="H29" i="2"/>
  <c r="D27" i="2"/>
  <c r="E27" i="2" s="1"/>
  <c r="D26" i="2"/>
  <c r="D16" i="2"/>
  <c r="E16" i="2" s="1"/>
  <c r="D11" i="2"/>
  <c r="I9" i="2"/>
  <c r="H12" i="2"/>
  <c r="H13" i="2"/>
  <c r="H14" i="2"/>
  <c r="H15" i="2"/>
  <c r="H16" i="2"/>
  <c r="H26" i="2"/>
  <c r="H27" i="2"/>
  <c r="H28" i="2"/>
  <c r="F28" i="1"/>
  <c r="A11" i="2"/>
  <c r="H11" i="2" s="1"/>
  <c r="G37" i="1"/>
  <c r="H37" i="1" s="1"/>
  <c r="J37" i="1" s="1"/>
  <c r="A10" i="2"/>
  <c r="H10" i="2" s="1"/>
  <c r="A9" i="2"/>
  <c r="H9" i="2" s="1"/>
  <c r="G31" i="1"/>
  <c r="H31" i="1" s="1"/>
  <c r="J31" i="1" s="1"/>
  <c r="G22" i="1"/>
  <c r="H22" i="1" s="1"/>
  <c r="J22" i="1" s="1"/>
  <c r="G23" i="1"/>
  <c r="H23" i="1" s="1"/>
  <c r="J23" i="1" s="1"/>
  <c r="G24" i="1"/>
  <c r="H24" i="1" s="1"/>
  <c r="J24" i="1" s="1"/>
  <c r="G26" i="1"/>
  <c r="H26" i="1" s="1"/>
  <c r="J26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20" i="1"/>
  <c r="H20" i="1" s="1"/>
  <c r="J20" i="1" s="1"/>
  <c r="G21" i="1"/>
  <c r="H21" i="1" s="1"/>
  <c r="J21" i="1" s="1"/>
  <c r="G9" i="1"/>
  <c r="H9" i="1" s="1"/>
  <c r="J9" i="1" s="1"/>
  <c r="J27" i="1" l="1"/>
  <c r="C9" i="2" s="1"/>
  <c r="E9" i="2" s="1"/>
  <c r="G28" i="1"/>
  <c r="H28" i="1" s="1"/>
  <c r="C26" i="2" s="1"/>
  <c r="E26" i="2" s="1"/>
  <c r="I41" i="1"/>
  <c r="J38" i="1"/>
  <c r="C10" i="2" s="1"/>
  <c r="E10" i="2" s="1"/>
  <c r="I53" i="1" l="1"/>
  <c r="C11" i="2" s="1"/>
  <c r="E11" i="2" s="1"/>
  <c r="E30" i="2" s="1"/>
  <c r="E31" i="2" s="1"/>
  <c r="E32" i="2" l="1"/>
  <c r="E33" i="2"/>
  <c r="E34" i="2" l="1"/>
</calcChain>
</file>

<file path=xl/sharedStrings.xml><?xml version="1.0" encoding="utf-8"?>
<sst xmlns="http://schemas.openxmlformats.org/spreadsheetml/2006/main" count="177" uniqueCount="92">
  <si>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</si>
  <si>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</si>
  <si>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</si>
  <si>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</si>
  <si>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</si>
  <si>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</si>
  <si>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</si>
  <si>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</si>
  <si>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</si>
  <si>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</si>
  <si>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</si>
  <si>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</si>
  <si>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</si>
  <si>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</si>
  <si>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</si>
  <si>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</si>
  <si>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</si>
  <si>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</si>
  <si>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</si>
  <si>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</si>
  <si>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</si>
  <si>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</si>
  <si>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</si>
  <si>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</si>
  <si>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</si>
  <si>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</si>
  <si>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</si>
  <si>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</si>
  <si>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</si>
  <si>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</si>
  <si>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</si>
  <si>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</si>
  <si>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</si>
  <si>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</si>
  <si>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</si>
  <si>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</si>
  <si>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</si>
  <si>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</si>
  <si>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</si>
  <si>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</si>
  <si>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</si>
  <si>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</si>
  <si>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</si>
  <si>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</si>
  <si>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</si>
  <si>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</si>
  <si>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</si>
  <si>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</si>
  <si>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</si>
  <si>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</si>
  <si>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</si>
  <si>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</si>
  <si>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</si>
  <si>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</si>
  <si>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</si>
  <si>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</si>
  <si>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</si>
  <si>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cortante</t>
  </si>
  <si>
    <t>a tono</t>
  </si>
  <si>
    <t>perimetros para consumo de hilo en cm</t>
  </si>
  <si>
    <t>total FORRO en cm_2</t>
  </si>
  <si>
    <t>PENDIENTE FOTO</t>
  </si>
  <si>
    <t>hilo x 1500</t>
  </si>
  <si>
    <t>poste</t>
  </si>
  <si>
    <t>cuero</t>
  </si>
  <si>
    <t>frente y espalda</t>
  </si>
  <si>
    <t>salpa 0.3</t>
  </si>
  <si>
    <t>lateral</t>
  </si>
  <si>
    <t>falso interno lateral</t>
  </si>
  <si>
    <t>seda 30-100</t>
  </si>
  <si>
    <t>chapetas laterales</t>
  </si>
  <si>
    <t>terminal cremallera</t>
  </si>
  <si>
    <t>falso interno 2</t>
  </si>
  <si>
    <t>falso interno 1</t>
  </si>
  <si>
    <t>bolsillo interno</t>
  </si>
  <si>
    <t>odena #1</t>
  </si>
  <si>
    <t>refuerzo fondo</t>
  </si>
  <si>
    <t>esquineros</t>
  </si>
  <si>
    <t>hebilleros</t>
  </si>
  <si>
    <t>correas</t>
  </si>
  <si>
    <t>manija</t>
  </si>
  <si>
    <t>llave #6 298</t>
  </si>
  <si>
    <t>cremallera #6</t>
  </si>
  <si>
    <t>cremallera #3</t>
  </si>
  <si>
    <t>llave #3</t>
  </si>
  <si>
    <t>remache #6 244</t>
  </si>
  <si>
    <t>hebilla 3/4'' 325</t>
  </si>
  <si>
    <t>media argolla 3/4'' 114</t>
  </si>
  <si>
    <t>mosqueton 3/4'' 63</t>
  </si>
  <si>
    <t>trabilla 1'' 421</t>
  </si>
  <si>
    <t>broche iman grande</t>
  </si>
  <si>
    <t>deslizadores 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</si>
</sst>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0" fillId="0" borderId="28" xfId="0" applyBorder="1"/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84668</xdr:colOff>
      <xdr:row>8</xdr:row>
      <xdr:rowOff>112059</xdr:rowOff>
    </xdr:from>
    <xdr:to>
      <xdr:col>15</xdr:col>
      <xdr:colOff>735107</xdr:colOff>
      <xdr:row>24</xdr:row>
      <xdr:rowOff>106829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F95663-FCBE-5563-5D76-30486929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492" y="1800412"/>
          <a:ext cx="3817968" cy="2863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0</xdr:col>
      <xdr:colOff>1273369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3"/>
  <sheetViews>
    <sheetView topLeftCell="A67" zoomScale="102" zoomScaleNormal="102" workbookViewId="0">
      <selection activeCell="B83" sqref="B83:H83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61"/>
      <c r="B1" s="62"/>
      <c r="C1" s="52" t="s">
        <v>2</v>
      </c>
      <c r="D1" s="53"/>
      <c r="E1" s="54"/>
      <c r="F1" s="57"/>
      <c r="G1" s="57"/>
      <c r="H1" s="57"/>
      <c r="I1" s="40" t="s">
        <v>19</v>
      </c>
      <c r="J1" s="41"/>
      <c r="L1" s="3" t="s">
        <v>13</v>
      </c>
      <c r="M1" s="4">
        <v>5</v>
      </c>
      <c r="N1" s="5">
        <v>1.05</v>
      </c>
    </row>
    <row r="2" spans="1:15" x14ac:dyDescent="0.3">
      <c r="A2" s="63"/>
      <c r="B2" s="64"/>
      <c r="C2" s="34" t="s">
        <v>1</v>
      </c>
      <c r="D2" s="35"/>
      <c r="E2" s="36"/>
      <c r="F2" s="33"/>
      <c r="G2" s="33"/>
      <c r="H2" s="33"/>
      <c r="I2" s="42"/>
      <c r="J2" s="43"/>
      <c r="L2" s="6" t="s">
        <v>14</v>
      </c>
      <c r="M2" s="1">
        <v>10</v>
      </c>
      <c r="N2" s="7">
        <v>1.1000000000000001</v>
      </c>
    </row>
    <row r="3" spans="1:15" x14ac:dyDescent="0.3">
      <c r="A3" s="63"/>
      <c r="B3" s="64"/>
      <c r="C3" s="34" t="s">
        <v>0</v>
      </c>
      <c r="D3" s="35"/>
      <c r="E3" s="36"/>
      <c r="F3" s="32"/>
      <c r="G3" s="33"/>
      <c r="H3" s="33"/>
      <c r="I3" s="42"/>
      <c r="J3" s="43"/>
      <c r="L3" s="6" t="s">
        <v>15</v>
      </c>
      <c r="M3" s="1">
        <v>15</v>
      </c>
      <c r="N3" s="7">
        <v>1.1499999999999999</v>
      </c>
    </row>
    <row r="4" spans="1:15" x14ac:dyDescent="0.3">
      <c r="A4" s="63"/>
      <c r="B4" s="64"/>
      <c r="C4" s="34" t="s">
        <v>20</v>
      </c>
      <c r="D4" s="35"/>
      <c r="E4" s="36"/>
      <c r="F4" s="58"/>
      <c r="G4" s="59"/>
      <c r="H4" s="60"/>
      <c r="I4" s="42"/>
      <c r="J4" s="43"/>
      <c r="L4" s="6" t="s">
        <v>16</v>
      </c>
      <c r="M4" s="1">
        <v>20</v>
      </c>
      <c r="N4" s="7">
        <v>1.2</v>
      </c>
    </row>
    <row r="5" spans="1:15" ht="15" thickBot="1" x14ac:dyDescent="0.35">
      <c r="A5" s="65"/>
      <c r="B5" s="66"/>
      <c r="C5" s="37" t="s">
        <v>21</v>
      </c>
      <c r="D5" s="38"/>
      <c r="E5" s="39"/>
      <c r="F5" s="49"/>
      <c r="G5" s="50"/>
      <c r="H5" s="51"/>
      <c r="I5" s="44"/>
      <c r="J5" s="45"/>
      <c r="L5" s="8" t="s">
        <v>17</v>
      </c>
      <c r="M5" s="9">
        <v>40</v>
      </c>
      <c r="N5" s="10">
        <v>1.4</v>
      </c>
    </row>
    <row r="6" spans="1:15" ht="4.2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</row>
    <row r="8" spans="1:15" ht="43.2" x14ac:dyDescent="0.3">
      <c r="A8" s="13" t="s">
        <v>3</v>
      </c>
      <c r="B8" s="13" t="s">
        <v>4</v>
      </c>
      <c r="C8" s="13" t="s">
        <v>5</v>
      </c>
      <c r="D8" s="13" t="s">
        <v>11</v>
      </c>
      <c r="E8" s="13" t="s">
        <v>6</v>
      </c>
      <c r="F8" s="13" t="s">
        <v>7</v>
      </c>
      <c r="G8" s="13" t="s">
        <v>12</v>
      </c>
      <c r="H8" s="13" t="s">
        <v>8</v>
      </c>
      <c r="I8" s="13" t="s">
        <v>9</v>
      </c>
      <c r="J8" s="13" t="s">
        <v>10</v>
      </c>
      <c r="K8" s="11"/>
      <c r="L8" s="31" t="s">
        <v>61</v>
      </c>
      <c r="M8" s="31"/>
      <c r="N8" s="31"/>
      <c r="O8" s="31"/>
    </row>
    <row r="9" spans="1:15" x14ac:dyDescent="0.3">
      <c r="A9" s="1" t="s">
        <v>64</v>
      </c>
      <c r="B9" s="1">
        <v>1</v>
      </c>
      <c r="C9" s="1" t="s">
        <v>65</v>
      </c>
      <c r="D9" s="1">
        <v>1</v>
      </c>
      <c r="E9" s="1">
        <v>25</v>
      </c>
      <c r="F9" s="1">
        <v>54.3</v>
      </c>
      <c r="G9" s="1">
        <f>E9*F9</f>
        <v>1357.5</v>
      </c>
      <c r="H9" s="2">
        <f>G9/100</f>
        <v>13.574999999999999</v>
      </c>
      <c r="I9" s="1">
        <v>1.2</v>
      </c>
      <c r="J9" s="2">
        <f>D9*H9*I9</f>
        <v>16.29</v>
      </c>
      <c r="L9" s="31"/>
      <c r="M9" s="31"/>
      <c r="N9" s="31"/>
      <c r="O9" s="31"/>
    </row>
    <row r="10" spans="1:15" x14ac:dyDescent="0.3">
      <c r="A10" s="1"/>
      <c r="B10" s="1">
        <v>2</v>
      </c>
      <c r="C10" s="1" t="s">
        <v>67</v>
      </c>
      <c r="D10" s="1">
        <v>2</v>
      </c>
      <c r="E10" s="1">
        <v>14.4</v>
      </c>
      <c r="F10" s="1">
        <v>22.5</v>
      </c>
      <c r="G10" s="1">
        <f>E10*F10</f>
        <v>324</v>
      </c>
      <c r="H10" s="2">
        <f t="shared" ref="H10:H26" si="0">G10/100</f>
        <v>3.24</v>
      </c>
      <c r="I10" s="1">
        <v>1.1499999999999999</v>
      </c>
      <c r="J10" s="2">
        <f t="shared" ref="J10:J26" si="1">D10*H10*I10</f>
        <v>7.452</v>
      </c>
      <c r="L10" s="31"/>
      <c r="M10" s="31"/>
      <c r="N10" s="31"/>
      <c r="O10" s="31"/>
    </row>
    <row r="11" spans="1:15" x14ac:dyDescent="0.3">
      <c r="A11" s="1"/>
      <c r="B11" s="1">
        <v>3</v>
      </c>
      <c r="C11" s="1" t="s">
        <v>68</v>
      </c>
      <c r="D11" s="1">
        <v>2</v>
      </c>
      <c r="E11" s="1">
        <v>11.7</v>
      </c>
      <c r="F11" s="1">
        <v>4</v>
      </c>
      <c r="G11" s="1">
        <f>E11*F11</f>
        <v>46.8</v>
      </c>
      <c r="H11" s="2">
        <f t="shared" si="0"/>
        <v>0.46799999999999997</v>
      </c>
      <c r="I11" s="1">
        <v>1.05</v>
      </c>
      <c r="J11" s="2">
        <f t="shared" si="1"/>
        <v>0.98280000000000001</v>
      </c>
      <c r="L11" s="31"/>
      <c r="M11" s="31"/>
      <c r="N11" s="31"/>
      <c r="O11" s="31"/>
    </row>
    <row r="12" spans="1:15" x14ac:dyDescent="0.3">
      <c r="A12" s="1"/>
      <c r="B12" s="1">
        <v>5</v>
      </c>
      <c r="C12" s="1" t="s">
        <v>70</v>
      </c>
      <c r="D12" s="1">
        <v>2</v>
      </c>
      <c r="E12" s="1">
        <v>8.3000000000000007</v>
      </c>
      <c r="F12" s="1">
        <v>1.8</v>
      </c>
      <c r="G12" s="1">
        <f>E12*F12</f>
        <v>14.940000000000001</v>
      </c>
      <c r="H12" s="2">
        <f t="shared" si="0"/>
        <v>0.14940000000000001</v>
      </c>
      <c r="I12" s="1">
        <v>1.05</v>
      </c>
      <c r="J12" s="2">
        <f t="shared" si="1"/>
        <v>0.31374000000000002</v>
      </c>
      <c r="L12" s="31"/>
      <c r="M12" s="31"/>
      <c r="N12" s="31"/>
      <c r="O12" s="31"/>
    </row>
    <row r="13" spans="1:15" x14ac:dyDescent="0.3">
      <c r="A13" s="1"/>
      <c r="B13" s="1">
        <v>6</v>
      </c>
      <c r="C13" s="1" t="s">
        <v>71</v>
      </c>
      <c r="D13" s="1">
        <v>1</v>
      </c>
      <c r="E13" s="1">
        <v>4</v>
      </c>
      <c r="F13" s="1">
        <v>2.5</v>
      </c>
      <c r="G13" s="1">
        <f t="shared" ref="G13:G26" si="2">E13*F13</f>
        <v>10</v>
      </c>
      <c r="H13" s="2">
        <f t="shared" si="0"/>
        <v>0.1</v>
      </c>
      <c r="I13" s="1">
        <v>1.05</v>
      </c>
      <c r="J13" s="2">
        <f t="shared" si="1"/>
        <v>0.10500000000000001</v>
      </c>
      <c r="L13" s="31"/>
      <c r="M13" s="31"/>
      <c r="N13" s="31"/>
      <c r="O13" s="31"/>
    </row>
    <row r="14" spans="1:15" x14ac:dyDescent="0.3">
      <c r="A14" s="1"/>
      <c r="B14" s="1">
        <v>8</v>
      </c>
      <c r="C14" s="1" t="s">
        <v>72</v>
      </c>
      <c r="D14" s="1">
        <v>4</v>
      </c>
      <c r="E14" s="1">
        <v>4</v>
      </c>
      <c r="F14" s="1">
        <v>23.4</v>
      </c>
      <c r="G14" s="1">
        <f t="shared" si="2"/>
        <v>93.6</v>
      </c>
      <c r="H14" s="2">
        <f t="shared" si="0"/>
        <v>0.93599999999999994</v>
      </c>
      <c r="I14" s="1">
        <v>1.05</v>
      </c>
      <c r="J14" s="2">
        <f t="shared" si="1"/>
        <v>3.9312</v>
      </c>
      <c r="L14" s="31"/>
      <c r="M14" s="31"/>
      <c r="N14" s="31"/>
      <c r="O14" s="31"/>
    </row>
    <row r="15" spans="1:15" x14ac:dyDescent="0.3">
      <c r="A15" s="1"/>
      <c r="B15" s="1">
        <v>9</v>
      </c>
      <c r="C15" s="1" t="s">
        <v>73</v>
      </c>
      <c r="D15" s="1">
        <v>2</v>
      </c>
      <c r="E15" s="1">
        <v>4</v>
      </c>
      <c r="F15" s="1">
        <v>23.4</v>
      </c>
      <c r="G15" s="1">
        <f t="shared" si="2"/>
        <v>93.6</v>
      </c>
      <c r="H15" s="2">
        <f t="shared" si="0"/>
        <v>0.93599999999999994</v>
      </c>
      <c r="I15" s="1">
        <v>1.05</v>
      </c>
      <c r="J15" s="2">
        <f t="shared" si="1"/>
        <v>1.9656</v>
      </c>
      <c r="L15" s="31"/>
      <c r="M15" s="31"/>
      <c r="N15" s="31"/>
      <c r="O15" s="31"/>
    </row>
    <row r="16" spans="1:15" x14ac:dyDescent="0.3">
      <c r="A16" s="1"/>
      <c r="B16" s="1">
        <v>12</v>
      </c>
      <c r="C16" s="1" t="s">
        <v>77</v>
      </c>
      <c r="D16" s="1">
        <v>4</v>
      </c>
      <c r="E16" s="1">
        <v>1</v>
      </c>
      <c r="F16" s="1">
        <v>6.3</v>
      </c>
      <c r="G16" s="1">
        <f t="shared" si="2"/>
        <v>6.3</v>
      </c>
      <c r="H16" s="2">
        <f t="shared" si="0"/>
        <v>6.3E-2</v>
      </c>
      <c r="I16" s="1">
        <v>1.05</v>
      </c>
      <c r="J16" s="2">
        <f t="shared" si="1"/>
        <v>0.2646</v>
      </c>
      <c r="L16" s="31"/>
      <c r="M16" s="31"/>
      <c r="N16" s="31"/>
      <c r="O16" s="31"/>
    </row>
    <row r="17" spans="1:15" x14ac:dyDescent="0.3">
      <c r="A17" s="1"/>
      <c r="B17" s="1">
        <v>13</v>
      </c>
      <c r="C17" s="1" t="s">
        <v>78</v>
      </c>
      <c r="D17" s="1">
        <v>2</v>
      </c>
      <c r="E17" s="1">
        <v>8.3000000000000007</v>
      </c>
      <c r="F17" s="1">
        <v>1.8</v>
      </c>
      <c r="G17" s="1">
        <f t="shared" si="2"/>
        <v>14.940000000000001</v>
      </c>
      <c r="H17" s="2">
        <f t="shared" si="0"/>
        <v>0.14940000000000001</v>
      </c>
      <c r="I17" s="1">
        <v>1.05</v>
      </c>
      <c r="J17" s="2">
        <f t="shared" si="1"/>
        <v>0.31374000000000002</v>
      </c>
      <c r="L17" s="31"/>
      <c r="M17" s="31"/>
      <c r="N17" s="31"/>
      <c r="O17" s="31"/>
    </row>
    <row r="18" spans="1:15" x14ac:dyDescent="0.3">
      <c r="A18" s="1"/>
      <c r="B18" s="1"/>
      <c r="C18" s="1" t="s">
        <v>79</v>
      </c>
      <c r="D18" s="1">
        <v>2</v>
      </c>
      <c r="E18" s="1">
        <v>4.8</v>
      </c>
      <c r="F18" s="1">
        <v>75</v>
      </c>
      <c r="G18" s="1">
        <f t="shared" si="2"/>
        <v>360</v>
      </c>
      <c r="H18" s="2">
        <f t="shared" si="0"/>
        <v>3.6</v>
      </c>
      <c r="I18" s="1">
        <v>1.1499999999999999</v>
      </c>
      <c r="J18" s="2">
        <f t="shared" si="1"/>
        <v>8.2799999999999994</v>
      </c>
      <c r="L18" s="31"/>
      <c r="M18" s="31"/>
      <c r="N18" s="31"/>
      <c r="O18" s="31"/>
    </row>
    <row r="19" spans="1:15" x14ac:dyDescent="0.3">
      <c r="A19" s="1"/>
      <c r="B19" s="1"/>
      <c r="C19" s="1" t="s">
        <v>80</v>
      </c>
      <c r="D19" s="1">
        <v>2</v>
      </c>
      <c r="E19" s="1">
        <v>4.8</v>
      </c>
      <c r="F19" s="1">
        <v>50</v>
      </c>
      <c r="G19" s="1">
        <f t="shared" si="2"/>
        <v>240</v>
      </c>
      <c r="H19" s="2">
        <f t="shared" si="0"/>
        <v>2.4</v>
      </c>
      <c r="I19" s="1">
        <v>1.1000000000000001</v>
      </c>
      <c r="J19" s="2">
        <f t="shared" si="1"/>
        <v>5.28</v>
      </c>
      <c r="L19" s="31"/>
      <c r="M19" s="31"/>
      <c r="N19" s="31"/>
      <c r="O19" s="31"/>
    </row>
    <row r="20" spans="1:15" x14ac:dyDescent="0.3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>
        <v>0</v>
      </c>
      <c r="J20" s="2">
        <f t="shared" si="1"/>
        <v>0</v>
      </c>
      <c r="L20" s="31"/>
      <c r="M20" s="31"/>
      <c r="N20" s="31"/>
      <c r="O20" s="31"/>
    </row>
    <row r="21" spans="1:15" x14ac:dyDescent="0.3">
      <c r="A21" s="1"/>
      <c r="B21" s="1"/>
      <c r="C21" s="1"/>
      <c r="D21" s="1"/>
      <c r="E21" s="1"/>
      <c r="F21" s="1"/>
      <c r="G21" s="1">
        <f t="shared" si="2"/>
        <v>0</v>
      </c>
      <c r="H21" s="2">
        <f t="shared" si="0"/>
        <v>0</v>
      </c>
      <c r="I21" s="1">
        <v>0</v>
      </c>
      <c r="J21" s="2">
        <f t="shared" si="1"/>
        <v>0</v>
      </c>
      <c r="L21" s="31"/>
      <c r="M21" s="31"/>
      <c r="N21" s="31"/>
      <c r="O21" s="31"/>
    </row>
    <row r="22" spans="1:15" x14ac:dyDescent="0.3">
      <c r="A22" s="1"/>
      <c r="B22" s="1"/>
      <c r="C22" s="1"/>
      <c r="D22" s="1"/>
      <c r="E22" s="1"/>
      <c r="F22" s="1"/>
      <c r="G22" s="1">
        <f t="shared" si="2"/>
        <v>0</v>
      </c>
      <c r="H22" s="2">
        <f t="shared" si="0"/>
        <v>0</v>
      </c>
      <c r="I22" s="1">
        <v>0</v>
      </c>
      <c r="J22" s="2">
        <f t="shared" si="1"/>
        <v>0</v>
      </c>
      <c r="L22" s="31"/>
      <c r="M22" s="31"/>
      <c r="N22" s="31"/>
      <c r="O22" s="31"/>
    </row>
    <row r="23" spans="1:15" x14ac:dyDescent="0.3">
      <c r="A23" s="1"/>
      <c r="B23" s="1"/>
      <c r="C23" s="1"/>
      <c r="D23" s="1"/>
      <c r="E23" s="1"/>
      <c r="F23" s="1"/>
      <c r="G23" s="1">
        <f t="shared" si="2"/>
        <v>0</v>
      </c>
      <c r="H23" s="2">
        <f t="shared" si="0"/>
        <v>0</v>
      </c>
      <c r="I23" s="1">
        <v>0</v>
      </c>
      <c r="J23" s="2">
        <f t="shared" si="1"/>
        <v>0</v>
      </c>
      <c r="L23" s="31"/>
      <c r="M23" s="31"/>
      <c r="N23" s="31"/>
      <c r="O23" s="31"/>
    </row>
    <row r="24" spans="1:15" x14ac:dyDescent="0.3">
      <c r="A24" s="1"/>
      <c r="B24" s="1"/>
      <c r="C24" s="1"/>
      <c r="D24" s="1"/>
      <c r="E24" s="1"/>
      <c r="F24" s="1"/>
      <c r="G24" s="1">
        <f t="shared" si="2"/>
        <v>0</v>
      </c>
      <c r="H24" s="2">
        <f t="shared" si="0"/>
        <v>0</v>
      </c>
      <c r="I24" s="1">
        <v>0</v>
      </c>
      <c r="J24" s="2">
        <f t="shared" si="1"/>
        <v>0</v>
      </c>
      <c r="L24" s="31"/>
      <c r="M24" s="31"/>
      <c r="N24" s="31"/>
      <c r="O24" s="31"/>
    </row>
    <row r="25" spans="1:15" x14ac:dyDescent="0.3">
      <c r="A25" s="1"/>
      <c r="B25" s="1"/>
      <c r="C25" s="1"/>
      <c r="D25" s="1"/>
      <c r="E25" s="1"/>
      <c r="F25" s="1"/>
      <c r="G25" s="1">
        <f t="shared" si="2"/>
        <v>0</v>
      </c>
      <c r="H25" s="2">
        <f t="shared" si="0"/>
        <v>0</v>
      </c>
      <c r="I25" s="1">
        <v>0</v>
      </c>
      <c r="J25" s="12">
        <f t="shared" si="1"/>
        <v>0</v>
      </c>
      <c r="L25" s="31"/>
      <c r="M25" s="31"/>
      <c r="N25" s="31"/>
      <c r="O25" s="31"/>
    </row>
    <row r="26" spans="1:15" ht="15" thickBot="1" x14ac:dyDescent="0.35">
      <c r="A26" s="1"/>
      <c r="B26" s="1"/>
      <c r="C26" s="1"/>
      <c r="D26" s="1"/>
      <c r="E26" s="1"/>
      <c r="F26" s="1"/>
      <c r="G26" s="1">
        <f t="shared" si="2"/>
        <v>0</v>
      </c>
      <c r="H26" s="2">
        <f t="shared" si="0"/>
        <v>0</v>
      </c>
      <c r="I26" s="1">
        <v>0</v>
      </c>
      <c r="J26" s="12">
        <f t="shared" si="1"/>
        <v>0</v>
      </c>
      <c r="L26" s="31"/>
      <c r="M26" s="31"/>
      <c r="N26" s="31"/>
      <c r="O26" s="31"/>
    </row>
    <row r="27" spans="1:15" ht="15" thickBot="1" x14ac:dyDescent="0.35">
      <c r="B27" s="46" t="s">
        <v>27</v>
      </c>
      <c r="C27" s="47"/>
      <c r="D27" s="47"/>
      <c r="E27" s="47"/>
      <c r="F27" s="47"/>
      <c r="G27" s="47"/>
      <c r="H27" s="47"/>
      <c r="I27" s="48"/>
      <c r="J27" s="14">
        <f>SUM(J9:J26)</f>
        <v>45.17868</v>
      </c>
      <c r="L27" s="31"/>
      <c r="M27" s="31"/>
      <c r="N27" s="31"/>
      <c r="O27" s="31"/>
    </row>
    <row r="28" spans="1:15" x14ac:dyDescent="0.3">
      <c r="A28" s="55" t="s">
        <v>59</v>
      </c>
      <c r="B28" s="55"/>
      <c r="C28" s="55"/>
      <c r="D28" s="56"/>
      <c r="E28" s="16">
        <f>SUM(E9:E26)</f>
        <v>90.299999999999983</v>
      </c>
      <c r="F28" s="16">
        <f>SUM(F9:F26)</f>
        <v>265</v>
      </c>
      <c r="G28" s="16">
        <f>E28+F28</f>
        <v>355.29999999999995</v>
      </c>
      <c r="H28" s="16">
        <f>G28*2</f>
        <v>710.59999999999991</v>
      </c>
      <c r="J28" s="18"/>
      <c r="L28" s="17"/>
      <c r="M28" s="17"/>
      <c r="N28" s="17"/>
      <c r="O28" s="17"/>
    </row>
    <row r="30" spans="1:15" ht="43.2" x14ac:dyDescent="0.3">
      <c r="A30" s="13" t="s">
        <v>3</v>
      </c>
      <c r="B30" s="13" t="s">
        <v>4</v>
      </c>
      <c r="C30" s="13" t="s">
        <v>5</v>
      </c>
      <c r="D30" s="13" t="s">
        <v>11</v>
      </c>
      <c r="E30" s="13" t="s">
        <v>6</v>
      </c>
      <c r="F30" s="13" t="s">
        <v>7</v>
      </c>
      <c r="G30" s="13" t="s">
        <v>18</v>
      </c>
      <c r="H30" s="13" t="s">
        <v>8</v>
      </c>
      <c r="I30" s="13" t="s">
        <v>9</v>
      </c>
      <c r="J30" s="13" t="s">
        <v>10</v>
      </c>
    </row>
    <row r="31" spans="1:15" x14ac:dyDescent="0.3">
      <c r="A31" s="1"/>
      <c r="B31" s="1"/>
      <c r="C31" s="1"/>
      <c r="D31" s="1"/>
      <c r="E31" s="1"/>
      <c r="F31" s="1"/>
      <c r="G31" s="1">
        <f>E31*F31</f>
        <v>0</v>
      </c>
      <c r="H31" s="2">
        <f>G31/100</f>
        <v>0</v>
      </c>
      <c r="I31" s="1">
        <v>1.05</v>
      </c>
      <c r="J31" s="2">
        <f>D31*H31*I31</f>
        <v>0</v>
      </c>
    </row>
    <row r="32" spans="1:15" x14ac:dyDescent="0.3">
      <c r="A32" s="1"/>
      <c r="B32" s="1"/>
      <c r="C32" s="1"/>
      <c r="D32" s="1"/>
      <c r="E32" s="1"/>
      <c r="F32" s="1"/>
      <c r="G32" s="1">
        <f t="shared" ref="G32:G36" si="3">E32*F32</f>
        <v>0</v>
      </c>
      <c r="H32" s="2">
        <f t="shared" ref="H32:H37" si="4">G32/100</f>
        <v>0</v>
      </c>
      <c r="I32" s="1">
        <v>1.05</v>
      </c>
      <c r="J32" s="2">
        <f t="shared" ref="J32:J37" si="5">D32*H32*I32</f>
        <v>0</v>
      </c>
    </row>
    <row r="33" spans="1:10" x14ac:dyDescent="0.3">
      <c r="A33" s="1"/>
      <c r="B33" s="1"/>
      <c r="C33" s="1"/>
      <c r="D33" s="1"/>
      <c r="E33" s="1"/>
      <c r="F33" s="1"/>
      <c r="G33" s="1">
        <f t="shared" si="3"/>
        <v>0</v>
      </c>
      <c r="H33" s="2">
        <f t="shared" si="4"/>
        <v>0</v>
      </c>
      <c r="I33" s="1">
        <v>1.2</v>
      </c>
      <c r="J33" s="2">
        <f t="shared" si="5"/>
        <v>0</v>
      </c>
    </row>
    <row r="34" spans="1:10" x14ac:dyDescent="0.3">
      <c r="A34" s="1"/>
      <c r="B34" s="1"/>
      <c r="C34" s="1"/>
      <c r="D34" s="1"/>
      <c r="E34" s="1"/>
      <c r="F34" s="1"/>
      <c r="G34" s="1">
        <f t="shared" si="3"/>
        <v>0</v>
      </c>
      <c r="H34" s="2">
        <f t="shared" si="4"/>
        <v>0</v>
      </c>
      <c r="I34" s="1">
        <v>1.05</v>
      </c>
      <c r="J34" s="2">
        <f t="shared" si="5"/>
        <v>0</v>
      </c>
    </row>
    <row r="35" spans="1:10" x14ac:dyDescent="0.3">
      <c r="A35" s="1"/>
      <c r="B35" s="1"/>
      <c r="C35" s="1"/>
      <c r="D35" s="1"/>
      <c r="E35" s="1"/>
      <c r="F35" s="1"/>
      <c r="G35" s="1">
        <f t="shared" si="3"/>
        <v>0</v>
      </c>
      <c r="H35" s="2">
        <f t="shared" si="4"/>
        <v>0</v>
      </c>
      <c r="I35" s="1">
        <v>1.05</v>
      </c>
      <c r="J35" s="2">
        <f t="shared" si="5"/>
        <v>0</v>
      </c>
    </row>
    <row r="36" spans="1:10" x14ac:dyDescent="0.3">
      <c r="A36" s="1"/>
      <c r="B36" s="1"/>
      <c r="C36" s="1"/>
      <c r="D36" s="1"/>
      <c r="E36" s="1"/>
      <c r="F36" s="1"/>
      <c r="G36" s="1">
        <f t="shared" si="3"/>
        <v>0</v>
      </c>
      <c r="H36" s="2">
        <f t="shared" si="4"/>
        <v>0</v>
      </c>
      <c r="I36" s="1">
        <v>1.2</v>
      </c>
      <c r="J36" s="2">
        <f t="shared" si="5"/>
        <v>0</v>
      </c>
    </row>
    <row r="37" spans="1:10" ht="15" thickBot="1" x14ac:dyDescent="0.35">
      <c r="A37" s="1"/>
      <c r="B37" s="1"/>
      <c r="C37" s="1"/>
      <c r="D37" s="1"/>
      <c r="E37" s="1"/>
      <c r="F37" s="1"/>
      <c r="G37" s="1">
        <f>E37*F37</f>
        <v>0</v>
      </c>
      <c r="H37" s="2">
        <f t="shared" si="4"/>
        <v>0</v>
      </c>
      <c r="I37" s="1">
        <v>1.1000000000000001</v>
      </c>
      <c r="J37" s="2">
        <f t="shared" si="5"/>
        <v>0</v>
      </c>
    </row>
    <row r="38" spans="1:10" ht="15" thickBot="1" x14ac:dyDescent="0.35">
      <c r="A38" s="1"/>
      <c r="B38" s="28"/>
      <c r="C38" s="29"/>
      <c r="D38" s="29"/>
      <c r="E38" s="29"/>
      <c r="F38" s="29"/>
      <c r="G38" s="29"/>
      <c r="H38" s="29"/>
      <c r="I38" s="29"/>
      <c r="J38" s="14">
        <f>SUM(J31:J37)</f>
        <v>0</v>
      </c>
    </row>
    <row r="40" spans="1:10" ht="43.2" x14ac:dyDescent="0.3">
      <c r="A40" s="13" t="s">
        <v>3</v>
      </c>
      <c r="B40" s="13" t="s">
        <v>4</v>
      </c>
      <c r="C40" s="13" t="s">
        <v>5</v>
      </c>
      <c r="D40" s="13" t="s">
        <v>11</v>
      </c>
      <c r="E40" s="13" t="s">
        <v>6</v>
      </c>
      <c r="F40" s="13" t="s">
        <v>7</v>
      </c>
      <c r="G40" s="13" t="s">
        <v>18</v>
      </c>
      <c r="H40" s="13" t="s">
        <v>9</v>
      </c>
      <c r="I40" s="13" t="s">
        <v>10</v>
      </c>
    </row>
    <row r="41" spans="1:10" x14ac:dyDescent="0.3">
      <c r="A41" s="1" t="s">
        <v>69</v>
      </c>
      <c r="B41" s="1">
        <v>4</v>
      </c>
      <c r="C41" s="1" t="s">
        <v>67</v>
      </c>
      <c r="D41" s="1">
        <v>2</v>
      </c>
      <c r="E41" s="1">
        <v>14.5</v>
      </c>
      <c r="F41" s="1">
        <v>19.8</v>
      </c>
      <c r="G41" s="1">
        <f>E41*F41</f>
        <v>287.10000000000002</v>
      </c>
      <c r="H41" s="1">
        <v>1.1000000000000001</v>
      </c>
      <c r="I41" s="2">
        <f>D41*G41*H41</f>
        <v>631.62000000000012</v>
      </c>
      <c r="J41" s="30"/>
    </row>
    <row r="42" spans="1:10" x14ac:dyDescent="0.3">
      <c r="A42" s="1"/>
      <c r="B42" s="1">
        <v>7</v>
      </c>
      <c r="C42" s="1" t="s">
        <v>65</v>
      </c>
      <c r="D42" s="1">
        <v>1</v>
      </c>
      <c r="E42" s="1">
        <v>25</v>
      </c>
      <c r="F42" s="1">
        <v>48.3</v>
      </c>
      <c r="G42" s="1">
        <f t="shared" ref="G42:G51" si="6">E42*F42</f>
        <v>1207.5</v>
      </c>
      <c r="H42" s="1">
        <v>1.1000000000000001</v>
      </c>
      <c r="I42" s="2">
        <f t="shared" ref="I42:I51" si="7">D42*G42*H42</f>
        <v>1328.25</v>
      </c>
      <c r="J42" s="30"/>
    </row>
    <row r="43" spans="1:10" x14ac:dyDescent="0.3">
      <c r="A43" s="1"/>
      <c r="B43" s="1">
        <v>10</v>
      </c>
      <c r="C43" s="1" t="s">
        <v>74</v>
      </c>
      <c r="D43" s="1">
        <v>2</v>
      </c>
      <c r="E43" s="1">
        <v>22.8</v>
      </c>
      <c r="F43" s="1">
        <v>32.299999999999997</v>
      </c>
      <c r="G43" s="1">
        <f t="shared" si="6"/>
        <v>736.43999999999994</v>
      </c>
      <c r="H43" s="1">
        <v>1.1000000000000001</v>
      </c>
      <c r="I43" s="2">
        <f t="shared" si="7"/>
        <v>1620.1679999999999</v>
      </c>
      <c r="J43" s="30"/>
    </row>
    <row r="44" spans="1:10" x14ac:dyDescent="0.3">
      <c r="A44" s="1"/>
      <c r="B44" s="1"/>
      <c r="C44" s="1"/>
      <c r="D44" s="1"/>
      <c r="E44" s="1"/>
      <c r="F44" s="1"/>
      <c r="G44" s="1">
        <f t="shared" si="6"/>
        <v>0</v>
      </c>
      <c r="H44" s="1">
        <v>1.1000000000000001</v>
      </c>
      <c r="I44" s="2">
        <f t="shared" si="7"/>
        <v>0</v>
      </c>
      <c r="J44" s="30"/>
    </row>
    <row r="45" spans="1:10" x14ac:dyDescent="0.3">
      <c r="A45" s="1"/>
      <c r="B45" s="1"/>
      <c r="C45" s="1"/>
      <c r="D45" s="1"/>
      <c r="E45" s="1"/>
      <c r="F45" s="1"/>
      <c r="G45" s="1">
        <f t="shared" si="6"/>
        <v>0</v>
      </c>
      <c r="H45" s="1">
        <v>1.1000000000000001</v>
      </c>
      <c r="I45" s="2">
        <f t="shared" si="7"/>
        <v>0</v>
      </c>
      <c r="J45" s="30"/>
    </row>
    <row r="46" spans="1:10" x14ac:dyDescent="0.3">
      <c r="A46" s="1"/>
      <c r="B46" s="1"/>
      <c r="C46" s="1"/>
      <c r="D46" s="1"/>
      <c r="E46" s="1"/>
      <c r="F46" s="1"/>
      <c r="G46" s="1">
        <f t="shared" si="6"/>
        <v>0</v>
      </c>
      <c r="H46" s="1">
        <v>1.1000000000000001</v>
      </c>
      <c r="I46" s="2">
        <f t="shared" si="7"/>
        <v>0</v>
      </c>
      <c r="J46" s="30"/>
    </row>
    <row r="47" spans="1:10" x14ac:dyDescent="0.3">
      <c r="A47" s="1"/>
      <c r="B47" s="1"/>
      <c r="C47" s="1"/>
      <c r="D47" s="1"/>
      <c r="E47" s="1"/>
      <c r="F47" s="1"/>
      <c r="G47" s="1">
        <f t="shared" si="6"/>
        <v>0</v>
      </c>
      <c r="H47" s="1">
        <v>1.1000000000000001</v>
      </c>
      <c r="I47" s="2">
        <f t="shared" si="7"/>
        <v>0</v>
      </c>
      <c r="J47" s="30"/>
    </row>
    <row r="48" spans="1:10" x14ac:dyDescent="0.3">
      <c r="A48" s="1"/>
      <c r="B48" s="1"/>
      <c r="C48" s="1"/>
      <c r="D48" s="1"/>
      <c r="E48" s="1"/>
      <c r="F48" s="1"/>
      <c r="G48" s="1">
        <f t="shared" si="6"/>
        <v>0</v>
      </c>
      <c r="H48" s="1">
        <v>1.1000000000000001</v>
      </c>
      <c r="I48" s="2">
        <f t="shared" si="7"/>
        <v>0</v>
      </c>
      <c r="J48" s="30"/>
    </row>
    <row r="49" spans="1:10" x14ac:dyDescent="0.3">
      <c r="A49" s="1"/>
      <c r="B49" s="1"/>
      <c r="C49" s="1"/>
      <c r="D49" s="1"/>
      <c r="E49" s="1"/>
      <c r="F49" s="1"/>
      <c r="G49" s="1">
        <f t="shared" si="6"/>
        <v>0</v>
      </c>
      <c r="H49" s="1">
        <v>1.1000000000000001</v>
      </c>
      <c r="I49" s="2">
        <f t="shared" si="7"/>
        <v>0</v>
      </c>
      <c r="J49" s="30"/>
    </row>
    <row r="50" spans="1:10" x14ac:dyDescent="0.3">
      <c r="A50" s="1"/>
      <c r="B50" s="1"/>
      <c r="C50" s="1"/>
      <c r="D50" s="1"/>
      <c r="E50" s="1"/>
      <c r="F50" s="1"/>
      <c r="G50" s="1">
        <f t="shared" si="6"/>
        <v>0</v>
      </c>
      <c r="H50" s="1">
        <v>1.1000000000000001</v>
      </c>
      <c r="I50" s="2">
        <f t="shared" si="7"/>
        <v>0</v>
      </c>
      <c r="J50" s="30"/>
    </row>
    <row r="51" spans="1:10" x14ac:dyDescent="0.3">
      <c r="A51" s="1"/>
      <c r="B51" s="1"/>
      <c r="C51" s="1"/>
      <c r="D51" s="1"/>
      <c r="E51" s="1"/>
      <c r="F51" s="1"/>
      <c r="G51" s="1">
        <f t="shared" si="6"/>
        <v>0</v>
      </c>
      <c r="H51" s="1">
        <v>1.1000000000000001</v>
      </c>
      <c r="I51" s="2">
        <f t="shared" si="7"/>
        <v>0</v>
      </c>
      <c r="J51" s="30"/>
    </row>
    <row r="52" spans="1:10" ht="15" thickBot="1" x14ac:dyDescent="0.35">
      <c r="A52" s="1"/>
      <c r="B52" s="1"/>
      <c r="C52" s="1"/>
      <c r="D52" s="1"/>
      <c r="E52" s="1"/>
      <c r="F52" s="1"/>
      <c r="G52" s="1"/>
      <c r="H52" s="1"/>
      <c r="I52" s="15"/>
      <c r="J52" s="30"/>
    </row>
    <row r="53" spans="1:10" ht="15" thickBot="1" x14ac:dyDescent="0.35">
      <c r="A53" s="1"/>
      <c r="B53" s="46" t="s">
        <v>60</v>
      </c>
      <c r="C53" s="47"/>
      <c r="D53" s="47"/>
      <c r="E53" s="47"/>
      <c r="F53" s="47"/>
      <c r="G53" s="47"/>
      <c r="H53" s="47"/>
      <c r="I53" s="14">
        <f>SUM(I41:I52)</f>
        <v>3580.038</v>
      </c>
      <c r="J53" s="30"/>
    </row>
    <row r="55" spans="1:10" ht="43.2" x14ac:dyDescent="0.3">
      <c r="A55" s="13" t="s">
        <v>3</v>
      </c>
      <c r="B55" s="13" t="s">
        <v>4</v>
      </c>
      <c r="C55" s="13" t="s">
        <v>5</v>
      </c>
      <c r="D55" s="13" t="s">
        <v>11</v>
      </c>
      <c r="E55" s="13" t="s">
        <v>6</v>
      </c>
      <c r="F55" s="13" t="s">
        <v>7</v>
      </c>
      <c r="G55" s="13" t="s">
        <v>18</v>
      </c>
      <c r="H55" s="13" t="s">
        <v>8</v>
      </c>
      <c r="I55" s="13" t="s">
        <v>9</v>
      </c>
      <c r="J55" s="13" t="s">
        <v>10</v>
      </c>
    </row>
    <row r="56" spans="1:10" x14ac:dyDescent="0.3">
      <c r="A56" s="1"/>
      <c r="B56" s="1"/>
      <c r="C56" s="1"/>
      <c r="D56" s="1"/>
      <c r="E56" s="1"/>
      <c r="F56" s="1"/>
      <c r="G56" s="1">
        <f>E56*F56</f>
        <v>0</v>
      </c>
      <c r="H56" s="2">
        <f>G56/100</f>
        <v>0</v>
      </c>
      <c r="I56" s="1">
        <v>1.05</v>
      </c>
      <c r="J56" s="2">
        <f>D56*H56*I56</f>
        <v>0</v>
      </c>
    </row>
    <row r="57" spans="1:10" x14ac:dyDescent="0.3">
      <c r="A57" s="1"/>
      <c r="B57" s="1"/>
      <c r="C57" s="1"/>
      <c r="D57" s="1"/>
      <c r="E57" s="1"/>
      <c r="F57" s="1"/>
      <c r="G57" s="1">
        <f t="shared" ref="G57:G65" si="8">E57*F57</f>
        <v>0</v>
      </c>
      <c r="H57" s="2">
        <f t="shared" ref="H57:H65" si="9">G57/100</f>
        <v>0</v>
      </c>
      <c r="I57" s="1">
        <v>1.05</v>
      </c>
      <c r="J57" s="2">
        <f t="shared" ref="J57:J65" si="10">D57*H57*I57</f>
        <v>0</v>
      </c>
    </row>
    <row r="58" spans="1:10" x14ac:dyDescent="0.3">
      <c r="A58" s="1"/>
      <c r="B58" s="1"/>
      <c r="C58" s="1"/>
      <c r="D58" s="1"/>
      <c r="E58" s="1"/>
      <c r="F58" s="1"/>
      <c r="G58" s="1">
        <f t="shared" si="8"/>
        <v>0</v>
      </c>
      <c r="H58" s="2">
        <f t="shared" si="9"/>
        <v>0</v>
      </c>
      <c r="I58" s="1">
        <v>1.05</v>
      </c>
      <c r="J58" s="2">
        <f t="shared" si="10"/>
        <v>0</v>
      </c>
    </row>
    <row r="59" spans="1:10" x14ac:dyDescent="0.3">
      <c r="A59" s="1"/>
      <c r="B59" s="1"/>
      <c r="C59" s="1"/>
      <c r="D59" s="1"/>
      <c r="E59" s="1"/>
      <c r="F59" s="1"/>
      <c r="G59" s="1">
        <f t="shared" si="8"/>
        <v>0</v>
      </c>
      <c r="H59" s="2">
        <f t="shared" si="9"/>
        <v>0</v>
      </c>
      <c r="I59" s="1">
        <v>1.05</v>
      </c>
      <c r="J59" s="2">
        <f t="shared" si="10"/>
        <v>0</v>
      </c>
    </row>
    <row r="60" spans="1:10" x14ac:dyDescent="0.3">
      <c r="A60" s="1"/>
      <c r="B60" s="1"/>
      <c r="C60" s="1"/>
      <c r="D60" s="1"/>
      <c r="E60" s="1"/>
      <c r="F60" s="1"/>
      <c r="G60" s="1">
        <f t="shared" si="8"/>
        <v>0</v>
      </c>
      <c r="H60" s="2">
        <f t="shared" si="9"/>
        <v>0</v>
      </c>
      <c r="I60" s="1">
        <v>1.05</v>
      </c>
      <c r="J60" s="2">
        <f t="shared" si="10"/>
        <v>0</v>
      </c>
    </row>
    <row r="61" spans="1:10" x14ac:dyDescent="0.3">
      <c r="A61" s="1"/>
      <c r="B61" s="1"/>
      <c r="C61" s="1"/>
      <c r="D61" s="1"/>
      <c r="E61" s="1"/>
      <c r="F61" s="1"/>
      <c r="G61" s="1">
        <f t="shared" si="8"/>
        <v>0</v>
      </c>
      <c r="H61" s="2">
        <f t="shared" si="9"/>
        <v>0</v>
      </c>
      <c r="I61" s="1">
        <v>1.05</v>
      </c>
      <c r="J61" s="2">
        <f t="shared" si="10"/>
        <v>0</v>
      </c>
    </row>
    <row r="62" spans="1:10" x14ac:dyDescent="0.3">
      <c r="A62" s="1"/>
      <c r="B62" s="1"/>
      <c r="C62" s="1"/>
      <c r="D62" s="1"/>
      <c r="E62" s="1"/>
      <c r="F62" s="1"/>
      <c r="G62" s="1">
        <f t="shared" si="8"/>
        <v>0</v>
      </c>
      <c r="H62" s="2">
        <f t="shared" si="9"/>
        <v>0</v>
      </c>
      <c r="I62" s="1">
        <v>1.05</v>
      </c>
      <c r="J62" s="2">
        <f t="shared" si="10"/>
        <v>0</v>
      </c>
    </row>
    <row r="63" spans="1:10" x14ac:dyDescent="0.3">
      <c r="A63" s="1"/>
      <c r="B63" s="1"/>
      <c r="C63" s="1"/>
      <c r="D63" s="1"/>
      <c r="E63" s="1"/>
      <c r="F63" s="1"/>
      <c r="G63" s="1">
        <f t="shared" si="8"/>
        <v>0</v>
      </c>
      <c r="H63" s="2">
        <f t="shared" si="9"/>
        <v>0</v>
      </c>
      <c r="I63" s="1">
        <v>1.05</v>
      </c>
      <c r="J63" s="2">
        <f t="shared" si="10"/>
        <v>0</v>
      </c>
    </row>
    <row r="64" spans="1:10" x14ac:dyDescent="0.3">
      <c r="A64" s="1"/>
      <c r="B64" s="1"/>
      <c r="C64" s="1"/>
      <c r="D64" s="1"/>
      <c r="E64" s="1"/>
      <c r="F64" s="1"/>
      <c r="G64" s="1">
        <f t="shared" si="8"/>
        <v>0</v>
      </c>
      <c r="H64" s="2">
        <f t="shared" si="9"/>
        <v>0</v>
      </c>
      <c r="I64" s="1">
        <v>0</v>
      </c>
      <c r="J64" s="2">
        <f t="shared" si="10"/>
        <v>0</v>
      </c>
    </row>
    <row r="65" spans="1:10" ht="15" thickBot="1" x14ac:dyDescent="0.35">
      <c r="A65" s="1"/>
      <c r="B65" s="1"/>
      <c r="C65" s="1"/>
      <c r="D65" s="1"/>
      <c r="E65" s="1"/>
      <c r="F65" s="1"/>
      <c r="G65" s="1">
        <f t="shared" si="8"/>
        <v>0</v>
      </c>
      <c r="H65" s="2">
        <f t="shared" si="9"/>
        <v>0</v>
      </c>
      <c r="I65" s="1">
        <v>0</v>
      </c>
      <c r="J65" s="2">
        <f t="shared" si="10"/>
        <v>0</v>
      </c>
    </row>
    <row r="66" spans="1:10" ht="15" thickBot="1" x14ac:dyDescent="0.35">
      <c r="A66" s="1"/>
      <c r="B66" s="28"/>
      <c r="C66" s="29"/>
      <c r="D66" s="29"/>
      <c r="E66" s="29"/>
      <c r="F66" s="29"/>
      <c r="G66" s="29"/>
      <c r="H66" s="29"/>
      <c r="I66" s="29"/>
      <c r="J66" s="14">
        <f>SUM(J56:J65)</f>
        <v>0</v>
      </c>
    </row>
    <row r="68" spans="1:10" ht="43.2" x14ac:dyDescent="0.3">
      <c r="A68" s="13" t="s">
        <v>3</v>
      </c>
      <c r="B68" s="13" t="s">
        <v>4</v>
      </c>
      <c r="C68" s="13" t="s">
        <v>5</v>
      </c>
      <c r="D68" s="13" t="s">
        <v>11</v>
      </c>
      <c r="E68" s="13" t="s">
        <v>6</v>
      </c>
      <c r="F68" s="13" t="s">
        <v>7</v>
      </c>
      <c r="G68" s="13" t="s">
        <v>18</v>
      </c>
      <c r="H68" s="13" t="s">
        <v>9</v>
      </c>
      <c r="I68" s="13" t="s">
        <v>10</v>
      </c>
    </row>
    <row r="69" spans="1:10" x14ac:dyDescent="0.3">
      <c r="A69" s="1" t="s">
        <v>66</v>
      </c>
      <c r="B69" s="1">
        <v>1</v>
      </c>
      <c r="C69" s="1" t="s">
        <v>65</v>
      </c>
      <c r="D69" s="1">
        <v>1</v>
      </c>
      <c r="E69" s="1">
        <v>25</v>
      </c>
      <c r="F69" s="1">
        <v>54.3</v>
      </c>
      <c r="G69" s="1">
        <f>E69*F69</f>
        <v>1357.5</v>
      </c>
      <c r="H69" s="1">
        <v>1.1000000000000001</v>
      </c>
      <c r="I69" s="2">
        <f>D69*G69*H69</f>
        <v>1493.2500000000002</v>
      </c>
    </row>
    <row r="70" spans="1:10" x14ac:dyDescent="0.3">
      <c r="A70" s="1"/>
      <c r="B70" s="1"/>
      <c r="C70" s="1"/>
      <c r="D70" s="1"/>
      <c r="E70" s="1"/>
      <c r="F70" s="1"/>
      <c r="G70" s="1">
        <f t="shared" ref="G70:G71" si="11">E70*F70</f>
        <v>0</v>
      </c>
      <c r="H70" s="1">
        <v>1.1000000000000001</v>
      </c>
      <c r="I70" s="2">
        <f t="shared" ref="I70:I71" si="12">D70*G70*H70</f>
        <v>0</v>
      </c>
    </row>
    <row r="71" spans="1:10" x14ac:dyDescent="0.3">
      <c r="A71" s="1"/>
      <c r="B71" s="1"/>
      <c r="C71" s="1"/>
      <c r="D71" s="1"/>
      <c r="E71" s="1"/>
      <c r="F71" s="1"/>
      <c r="G71" s="1">
        <f t="shared" si="11"/>
        <v>0</v>
      </c>
      <c r="H71" s="1">
        <v>1.1000000000000001</v>
      </c>
      <c r="I71" s="2">
        <f t="shared" si="12"/>
        <v>0</v>
      </c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2"/>
    </row>
    <row r="73" spans="1:10" ht="15" thickBot="1" x14ac:dyDescent="0.35">
      <c r="A73" s="1"/>
      <c r="B73" s="1"/>
      <c r="C73" s="1"/>
      <c r="D73" s="1"/>
      <c r="E73" s="1"/>
      <c r="F73" s="1"/>
      <c r="G73" s="1"/>
      <c r="H73" s="1"/>
      <c r="I73" s="15"/>
    </row>
    <row r="74" spans="1:10" ht="15" thickBot="1" x14ac:dyDescent="0.35">
      <c r="A74" s="1"/>
      <c r="B74" s="46"/>
      <c r="C74" s="47"/>
      <c r="D74" s="47"/>
      <c r="E74" s="47"/>
      <c r="F74" s="47"/>
      <c r="G74" s="47"/>
      <c r="H74" s="47"/>
      <c r="I74" s="14">
        <f>SUM(I69:I73)</f>
        <v>1493.2500000000002</v>
      </c>
    </row>
    <row r="76" spans="1:10" ht="43.2" x14ac:dyDescent="0.3">
      <c r="A76" s="13" t="s">
        <v>3</v>
      </c>
      <c r="B76" s="13" t="s">
        <v>4</v>
      </c>
      <c r="C76" s="13" t="s">
        <v>5</v>
      </c>
      <c r="D76" s="13" t="s">
        <v>11</v>
      </c>
      <c r="E76" s="13" t="s">
        <v>6</v>
      </c>
      <c r="F76" s="13" t="s">
        <v>7</v>
      </c>
      <c r="G76" s="13" t="s">
        <v>18</v>
      </c>
      <c r="H76" s="13" t="s">
        <v>9</v>
      </c>
      <c r="I76" s="13" t="s">
        <v>10</v>
      </c>
    </row>
    <row r="77" spans="1:10" x14ac:dyDescent="0.3">
      <c r="A77" s="1" t="s">
        <v>75</v>
      </c>
      <c r="B77" s="1">
        <v>11</v>
      </c>
      <c r="C77" s="1" t="s">
        <v>76</v>
      </c>
      <c r="D77" s="1">
        <v>1</v>
      </c>
      <c r="E77" s="1">
        <v>23</v>
      </c>
      <c r="F77" s="1">
        <v>9</v>
      </c>
      <c r="G77" s="1">
        <f>E77*F77</f>
        <v>207</v>
      </c>
      <c r="H77" s="1">
        <v>1.1000000000000001</v>
      </c>
      <c r="I77" s="2">
        <f>D77*G77*H77</f>
        <v>227.70000000000002</v>
      </c>
    </row>
    <row r="78" spans="1:10" x14ac:dyDescent="0.3">
      <c r="A78" s="1"/>
      <c r="B78" s="1"/>
      <c r="C78" s="1"/>
      <c r="D78" s="1"/>
      <c r="E78" s="1"/>
      <c r="F78" s="1"/>
      <c r="G78" s="1">
        <f t="shared" ref="G78:G79" si="13">E78*F78</f>
        <v>0</v>
      </c>
      <c r="H78" s="1">
        <v>1.1000000000000001</v>
      </c>
      <c r="I78" s="2">
        <f t="shared" ref="I78:I79" si="14">D78*G78*H78</f>
        <v>0</v>
      </c>
    </row>
    <row r="79" spans="1:10" x14ac:dyDescent="0.3">
      <c r="A79" s="1"/>
      <c r="B79" s="1"/>
      <c r="C79" s="1"/>
      <c r="D79" s="1"/>
      <c r="E79" s="1"/>
      <c r="F79" s="1"/>
      <c r="G79" s="1">
        <f t="shared" si="13"/>
        <v>0</v>
      </c>
      <c r="H79" s="1">
        <v>1.1000000000000001</v>
      </c>
      <c r="I79" s="2">
        <f t="shared" si="14"/>
        <v>0</v>
      </c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2"/>
    </row>
    <row r="81" spans="1:9" x14ac:dyDescent="0.3">
      <c r="A81" s="1"/>
      <c r="B81" s="1"/>
      <c r="C81" s="1"/>
      <c r="D81" s="1"/>
      <c r="E81" s="1"/>
      <c r="F81" s="1"/>
      <c r="G81" s="1">
        <f t="shared" ref="G81" si="15">E81*F81</f>
        <v>0</v>
      </c>
      <c r="H81" s="1">
        <v>1.1000000000000001</v>
      </c>
      <c r="I81" s="2">
        <f t="shared" ref="I81" si="16">D81*G81*H81</f>
        <v>0</v>
      </c>
    </row>
    <row r="82" spans="1:9" ht="15" thickBot="1" x14ac:dyDescent="0.35">
      <c r="A82" s="1"/>
      <c r="B82" s="1"/>
      <c r="C82" s="1"/>
      <c r="D82" s="1"/>
      <c r="E82" s="1"/>
      <c r="F82" s="1"/>
      <c r="G82" s="1"/>
      <c r="H82" s="1"/>
      <c r="I82" s="15"/>
    </row>
    <row r="83" spans="1:9" ht="15" thickBot="1" x14ac:dyDescent="0.35">
      <c r="A83" s="1"/>
      <c r="B83" s="46"/>
      <c r="C83" s="47"/>
      <c r="D83" s="47"/>
      <c r="E83" s="47"/>
      <c r="F83" s="47"/>
      <c r="G83" s="47"/>
      <c r="H83" s="47"/>
      <c r="I83" s="14">
        <f>SUM(I77:I82)</f>
        <v>227.70000000000002</v>
      </c>
    </row>
  </sheetData>
  <mergeCells count="18">
    <mergeCell ref="B53:H53"/>
    <mergeCell ref="A28:D28"/>
    <mergeCell ref="B74:H74"/>
    <mergeCell ref="B83:H83"/>
    <mergeCell ref="F1:H1"/>
    <mergeCell ref="F4:H4"/>
    <mergeCell ref="A1:B5"/>
    <mergeCell ref="L8:O27"/>
    <mergeCell ref="F3:H3"/>
    <mergeCell ref="F2:H2"/>
    <mergeCell ref="C2:E2"/>
    <mergeCell ref="C3:E3"/>
    <mergeCell ref="C4:E4"/>
    <mergeCell ref="C5:E5"/>
    <mergeCell ref="I1:J5"/>
    <mergeCell ref="B27:I27"/>
    <mergeCell ref="F5:H5"/>
    <mergeCell ref="C1:E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5"/>
  <sheetViews>
    <sheetView tabSelected="1" topLeftCell="A14" zoomScale="85" zoomScaleNormal="85" workbookViewId="0">
      <selection activeCell="M25" sqref="M25"/>
    </sheetView>
  </sheetViews>
  <sheetFormatPr baseColWidth="10" defaultRowHeight="14.4" x14ac:dyDescent="0.3"/>
  <cols>
    <col min="1" max="1" width="22.44140625" customWidth="1"/>
    <col min="8" max="8" width="13.21875" customWidth="1"/>
  </cols>
  <sheetData>
    <row r="1" spans="1:10" ht="14.4" customHeight="1" x14ac:dyDescent="0.3">
      <c r="A1" s="61"/>
      <c r="B1" s="62"/>
      <c r="C1" s="52" t="s">
        <v>2</v>
      </c>
      <c r="D1" s="53"/>
      <c r="E1" s="54"/>
      <c r="F1" s="33">
        <f>Hoja1!F1</f>
        <v>0</v>
      </c>
      <c r="G1" s="33"/>
      <c r="H1" s="33"/>
      <c r="I1" s="40" t="s">
        <v>19</v>
      </c>
      <c r="J1" s="41"/>
    </row>
    <row r="2" spans="1:10" ht="14.4" customHeight="1" x14ac:dyDescent="0.3">
      <c r="A2" s="63"/>
      <c r="B2" s="64"/>
      <c r="C2" s="34" t="s">
        <v>1</v>
      </c>
      <c r="D2" s="35"/>
      <c r="E2" s="36"/>
      <c r="F2" s="33">
        <f>Hoja1!F2</f>
        <v>0</v>
      </c>
      <c r="G2" s="33"/>
      <c r="H2" s="33"/>
      <c r="I2" s="42"/>
      <c r="J2" s="43"/>
    </row>
    <row r="3" spans="1:10" ht="14.4" customHeight="1" x14ac:dyDescent="0.3">
      <c r="A3" s="63"/>
      <c r="B3" s="64"/>
      <c r="C3" s="34" t="s">
        <v>0</v>
      </c>
      <c r="D3" s="35"/>
      <c r="E3" s="36"/>
      <c r="F3" s="33">
        <f>Hoja1!F3</f>
        <v>0</v>
      </c>
      <c r="G3" s="33"/>
      <c r="H3" s="33"/>
      <c r="I3" s="42"/>
      <c r="J3" s="43"/>
    </row>
    <row r="4" spans="1:10" ht="14.4" customHeight="1" x14ac:dyDescent="0.3">
      <c r="A4" s="63"/>
      <c r="B4" s="64"/>
      <c r="C4" s="34" t="s">
        <v>20</v>
      </c>
      <c r="D4" s="35"/>
      <c r="E4" s="36"/>
      <c r="F4" s="33">
        <f>Hoja1!F4</f>
        <v>0</v>
      </c>
      <c r="G4" s="33"/>
      <c r="H4" s="33"/>
      <c r="I4" s="42"/>
      <c r="J4" s="43"/>
    </row>
    <row r="5" spans="1:10" ht="15" customHeight="1" thickBot="1" x14ac:dyDescent="0.35">
      <c r="A5" s="65"/>
      <c r="B5" s="66"/>
      <c r="C5" s="37" t="s">
        <v>21</v>
      </c>
      <c r="D5" s="38"/>
      <c r="E5" s="39"/>
      <c r="F5" s="69">
        <f>Hoja1!F5</f>
        <v>0</v>
      </c>
      <c r="G5" s="69"/>
      <c r="H5" s="69"/>
      <c r="I5" s="44"/>
      <c r="J5" s="45"/>
    </row>
    <row r="6" spans="1:10" ht="6.6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</row>
    <row r="8" spans="1:10" ht="43.2" x14ac:dyDescent="0.3">
      <c r="A8" s="21" t="s">
        <v>22</v>
      </c>
      <c r="B8" s="21" t="s">
        <v>23</v>
      </c>
      <c r="C8" s="21" t="s">
        <v>24</v>
      </c>
      <c r="D8" s="21" t="s">
        <v>25</v>
      </c>
      <c r="E8" s="21" t="s">
        <v>39</v>
      </c>
      <c r="F8" s="19"/>
      <c r="H8" s="21" t="s">
        <v>3</v>
      </c>
      <c r="I8" s="21" t="s">
        <v>32</v>
      </c>
      <c r="J8" s="21" t="s">
        <v>33</v>
      </c>
    </row>
    <row r="9" spans="1:10" x14ac:dyDescent="0.3">
      <c r="A9" s="1" t="str">
        <f>Hoja1!A9</f>
        <v>cuero</v>
      </c>
      <c r="B9" s="1" t="s">
        <v>8</v>
      </c>
      <c r="C9" s="2">
        <f>Hoja1!J27</f>
        <v>45.17868</v>
      </c>
      <c r="D9" s="1">
        <f>J9</f>
        <v>0</v>
      </c>
      <c r="E9" s="20">
        <f>C9*D9</f>
        <v>0</v>
      </c>
      <c r="H9" s="25" t="str">
        <f>A9</f>
        <v>cuero</v>
      </c>
      <c r="I9" s="25" t="str">
        <f>B9</f>
        <v>dm_2</v>
      </c>
      <c r="J9" s="25">
        <v>0</v>
      </c>
    </row>
    <row r="10" spans="1:10" x14ac:dyDescent="0.3">
      <c r="A10" s="1">
        <f>Hoja1!A31</f>
        <v>0</v>
      </c>
      <c r="B10" s="1" t="s">
        <v>8</v>
      </c>
      <c r="C10" s="2">
        <f>Hoja1!J38</f>
        <v>0</v>
      </c>
      <c r="D10" s="1">
        <f>J10</f>
        <v>0</v>
      </c>
      <c r="E10" s="20">
        <f t="shared" ref="E10:E29" si="0">C10*D10</f>
        <v>0</v>
      </c>
      <c r="H10" s="25">
        <f t="shared" ref="H10:H29" si="1">A10</f>
        <v>0</v>
      </c>
      <c r="I10" s="25" t="s">
        <v>34</v>
      </c>
      <c r="J10" s="25">
        <v>0</v>
      </c>
    </row>
    <row r="11" spans="1:10" x14ac:dyDescent="0.3">
      <c r="A11" s="1" t="str">
        <f>Hoja1!A41</f>
        <v>seda 30-100</v>
      </c>
      <c r="B11" s="1" t="s">
        <v>26</v>
      </c>
      <c r="C11" s="2">
        <f>Hoja1!I53/140</f>
        <v>25.5717</v>
      </c>
      <c r="D11" s="1">
        <f>J11/100</f>
        <v>0</v>
      </c>
      <c r="E11" s="20">
        <f t="shared" si="0"/>
        <v>0</v>
      </c>
      <c r="H11" s="25" t="str">
        <f t="shared" si="1"/>
        <v>seda 30-100</v>
      </c>
      <c r="I11" s="25" t="s">
        <v>34</v>
      </c>
      <c r="J11" s="25">
        <v>0</v>
      </c>
    </row>
    <row r="12" spans="1:10" x14ac:dyDescent="0.3">
      <c r="A12" s="1">
        <f>Hoja1!A56</f>
        <v>0</v>
      </c>
      <c r="B12" s="1" t="s">
        <v>8</v>
      </c>
      <c r="C12" s="2">
        <f>Hoja1!J66</f>
        <v>0</v>
      </c>
      <c r="D12" s="1">
        <f>J12</f>
        <v>0</v>
      </c>
      <c r="E12" s="20">
        <f t="shared" si="0"/>
        <v>0</v>
      </c>
      <c r="H12" s="25">
        <f t="shared" si="1"/>
        <v>0</v>
      </c>
      <c r="I12" s="25" t="s">
        <v>34</v>
      </c>
      <c r="J12" s="25">
        <v>0</v>
      </c>
    </row>
    <row r="13" spans="1:10" x14ac:dyDescent="0.3">
      <c r="A13" s="1" t="str">
        <f>Hoja1!A69</f>
        <v>salpa 0.3</v>
      </c>
      <c r="B13" s="1" t="s">
        <v>26</v>
      </c>
      <c r="C13" s="2">
        <f>Hoja1!I74/140</f>
        <v>10.66607142857143</v>
      </c>
      <c r="D13" s="1">
        <f>J13/100</f>
        <v>0</v>
      </c>
      <c r="E13" s="20">
        <f t="shared" si="0"/>
        <v>0</v>
      </c>
      <c r="H13" s="25" t="str">
        <f t="shared" si="1"/>
        <v>salpa 0.3</v>
      </c>
      <c r="I13" s="25" t="s">
        <v>34</v>
      </c>
      <c r="J13" s="25">
        <v>0</v>
      </c>
    </row>
    <row r="14" spans="1:10" x14ac:dyDescent="0.3">
      <c r="A14" s="1" t="str">
        <f>Hoja1!A77</f>
        <v>odena #1</v>
      </c>
      <c r="B14" s="1" t="s">
        <v>26</v>
      </c>
      <c r="C14" s="2">
        <f>Hoja1!I83/100</f>
        <v>2.2770000000000001</v>
      </c>
      <c r="D14" s="1">
        <f>J14/100</f>
        <v>0</v>
      </c>
      <c r="E14" s="20">
        <f t="shared" si="0"/>
        <v>0</v>
      </c>
      <c r="H14" s="25" t="str">
        <f t="shared" si="1"/>
        <v>odena #1</v>
      </c>
      <c r="I14" s="25" t="s">
        <v>35</v>
      </c>
      <c r="J14" s="25">
        <v>0</v>
      </c>
    </row>
    <row r="15" spans="1:10" x14ac:dyDescent="0.3">
      <c r="A15" s="1" t="s">
        <v>82</v>
      </c>
      <c r="B15" s="1" t="s">
        <v>26</v>
      </c>
      <c r="C15" s="2">
        <v>25</v>
      </c>
      <c r="D15" s="1">
        <f>J15/100</f>
        <v>0</v>
      </c>
      <c r="E15" s="20">
        <f t="shared" si="0"/>
        <v>0</v>
      </c>
      <c r="H15" s="25" t="str">
        <f t="shared" si="1"/>
        <v>cremallera #6</v>
      </c>
      <c r="I15" s="25" t="s">
        <v>35</v>
      </c>
      <c r="J15" s="25">
        <v>0</v>
      </c>
    </row>
    <row r="16" spans="1:10" x14ac:dyDescent="0.3">
      <c r="A16" s="1" t="s">
        <v>81</v>
      </c>
      <c r="B16" s="1" t="s">
        <v>28</v>
      </c>
      <c r="C16" s="2">
        <v>1</v>
      </c>
      <c r="D16" s="1">
        <f>J16</f>
        <v>0</v>
      </c>
      <c r="E16" s="20">
        <f t="shared" si="0"/>
        <v>0</v>
      </c>
      <c r="H16" s="25" t="str">
        <f t="shared" si="1"/>
        <v>llave #6 298</v>
      </c>
      <c r="I16" s="25" t="s">
        <v>35</v>
      </c>
      <c r="J16" s="25">
        <v>0</v>
      </c>
    </row>
    <row r="17" spans="1:10" x14ac:dyDescent="0.3">
      <c r="A17" s="1" t="s">
        <v>83</v>
      </c>
      <c r="B17" s="1" t="s">
        <v>26</v>
      </c>
      <c r="C17" s="2">
        <v>17</v>
      </c>
      <c r="D17" s="1">
        <f>J17/100</f>
        <v>0</v>
      </c>
      <c r="E17" s="20">
        <f t="shared" si="0"/>
        <v>0</v>
      </c>
      <c r="H17" s="25" t="str">
        <f t="shared" si="1"/>
        <v>cremallera #3</v>
      </c>
      <c r="I17" s="25" t="s">
        <v>34</v>
      </c>
      <c r="J17" s="25">
        <v>0</v>
      </c>
    </row>
    <row r="18" spans="1:10" x14ac:dyDescent="0.3">
      <c r="A18" s="1" t="s">
        <v>84</v>
      </c>
      <c r="B18" s="1" t="s">
        <v>28</v>
      </c>
      <c r="C18" s="2">
        <v>1</v>
      </c>
      <c r="D18" s="1">
        <f t="shared" ref="D18:D25" si="2">J18</f>
        <v>0</v>
      </c>
      <c r="E18" s="20">
        <f t="shared" si="0"/>
        <v>0</v>
      </c>
      <c r="H18" s="25" t="str">
        <f t="shared" si="1"/>
        <v>llave #3</v>
      </c>
      <c r="I18" s="25" t="s">
        <v>35</v>
      </c>
      <c r="J18" s="25">
        <v>0</v>
      </c>
    </row>
    <row r="19" spans="1:10" x14ac:dyDescent="0.3">
      <c r="A19" s="1" t="s">
        <v>85</v>
      </c>
      <c r="B19" s="1" t="s">
        <v>26</v>
      </c>
      <c r="C19" s="2">
        <v>4</v>
      </c>
      <c r="D19" s="1">
        <f>J19/100</f>
        <v>0</v>
      </c>
      <c r="E19" s="20">
        <f t="shared" si="0"/>
        <v>0</v>
      </c>
      <c r="H19" s="25" t="str">
        <f t="shared" si="1"/>
        <v>remache #6 244</v>
      </c>
      <c r="I19" s="25" t="s">
        <v>34</v>
      </c>
      <c r="J19" s="25">
        <v>0</v>
      </c>
    </row>
    <row r="20" spans="1:10" x14ac:dyDescent="0.3">
      <c r="A20" s="1" t="s">
        <v>86</v>
      </c>
      <c r="B20" s="1" t="s">
        <v>28</v>
      </c>
      <c r="C20" s="2">
        <v>2</v>
      </c>
      <c r="D20" s="1">
        <f t="shared" si="2"/>
        <v>0</v>
      </c>
      <c r="E20" s="20">
        <f t="shared" si="0"/>
        <v>0</v>
      </c>
      <c r="H20" s="25" t="str">
        <f t="shared" si="1"/>
        <v>hebilla 3/4'' 325</v>
      </c>
      <c r="I20" s="25" t="s">
        <v>35</v>
      </c>
      <c r="J20" s="25">
        <v>0</v>
      </c>
    </row>
    <row r="21" spans="1:10" x14ac:dyDescent="0.3">
      <c r="A21" s="1" t="s">
        <v>87</v>
      </c>
      <c r="B21" s="1" t="s">
        <v>28</v>
      </c>
      <c r="C21" s="2">
        <v>2</v>
      </c>
      <c r="D21" s="1">
        <f t="shared" si="2"/>
        <v>0</v>
      </c>
      <c r="E21" s="20">
        <f t="shared" si="0"/>
        <v>0</v>
      </c>
      <c r="H21" s="25" t="str">
        <f t="shared" si="1"/>
        <v>media argolla 3/4'' 114</v>
      </c>
      <c r="I21" s="25" t="s">
        <v>35</v>
      </c>
      <c r="J21" s="25">
        <v>0</v>
      </c>
    </row>
    <row r="22" spans="1:10" x14ac:dyDescent="0.3">
      <c r="A22" s="1" t="s">
        <v>88</v>
      </c>
      <c r="B22" s="1" t="s">
        <v>28</v>
      </c>
      <c r="C22" s="2">
        <v>2</v>
      </c>
      <c r="D22" s="1">
        <f t="shared" si="2"/>
        <v>0</v>
      </c>
      <c r="E22" s="20">
        <f t="shared" si="0"/>
        <v>0</v>
      </c>
      <c r="H22" s="25" t="str">
        <f t="shared" si="1"/>
        <v>mosqueton 3/4'' 63</v>
      </c>
      <c r="I22" s="25" t="s">
        <v>35</v>
      </c>
      <c r="J22" s="25">
        <v>0</v>
      </c>
    </row>
    <row r="23" spans="1:10" x14ac:dyDescent="0.3">
      <c r="A23" s="1" t="s">
        <v>89</v>
      </c>
      <c r="B23" s="1" t="s">
        <v>28</v>
      </c>
      <c r="C23" s="2">
        <v>1</v>
      </c>
      <c r="D23" s="1">
        <f t="shared" si="2"/>
        <v>0</v>
      </c>
      <c r="E23" s="20">
        <f t="shared" si="0"/>
        <v>0</v>
      </c>
      <c r="H23" s="25" t="str">
        <f t="shared" si="1"/>
        <v>trabilla 1'' 421</v>
      </c>
      <c r="I23" s="25" t="s">
        <v>35</v>
      </c>
      <c r="J23" s="25">
        <v>0</v>
      </c>
    </row>
    <row r="24" spans="1:10" x14ac:dyDescent="0.3">
      <c r="A24" s="1" t="s">
        <v>90</v>
      </c>
      <c r="B24" s="1" t="s">
        <v>28</v>
      </c>
      <c r="C24" s="2">
        <v>2</v>
      </c>
      <c r="D24" s="1">
        <f t="shared" si="2"/>
        <v>0</v>
      </c>
      <c r="E24" s="20">
        <f t="shared" si="0"/>
        <v>0</v>
      </c>
      <c r="H24" s="25" t="str">
        <f t="shared" si="1"/>
        <v>broche iman grande</v>
      </c>
      <c r="I24" s="25" t="s">
        <v>35</v>
      </c>
      <c r="J24" s="25">
        <v>0</v>
      </c>
    </row>
    <row r="25" spans="1:10" x14ac:dyDescent="0.3">
      <c r="A25" s="1" t="s">
        <v>91</v>
      </c>
      <c r="B25" s="1" t="s">
        <v>28</v>
      </c>
      <c r="C25" s="2">
        <v>4</v>
      </c>
      <c r="D25" s="1">
        <f t="shared" si="2"/>
        <v>0</v>
      </c>
      <c r="E25" s="20">
        <f t="shared" si="0"/>
        <v>0</v>
      </c>
      <c r="H25" s="25" t="str">
        <f t="shared" si="1"/>
        <v>deslizadores 129</v>
      </c>
      <c r="I25" s="25" t="s">
        <v>35</v>
      </c>
      <c r="J25" s="25">
        <v>0</v>
      </c>
    </row>
    <row r="26" spans="1:10" x14ac:dyDescent="0.3">
      <c r="A26" s="1" t="s">
        <v>62</v>
      </c>
      <c r="B26" s="1" t="s">
        <v>30</v>
      </c>
      <c r="C26" s="2">
        <f>(Hoja1!H28/100)*3</f>
        <v>21.317999999999998</v>
      </c>
      <c r="D26" s="2">
        <f>J26/3000</f>
        <v>0</v>
      </c>
      <c r="E26" s="20">
        <f t="shared" si="0"/>
        <v>0</v>
      </c>
      <c r="H26" s="25" t="str">
        <f t="shared" si="1"/>
        <v>hilo x 1500</v>
      </c>
      <c r="I26" s="25" t="s">
        <v>36</v>
      </c>
      <c r="J26" s="25">
        <v>0</v>
      </c>
    </row>
    <row r="27" spans="1:10" x14ac:dyDescent="0.3">
      <c r="A27" s="1" t="s">
        <v>38</v>
      </c>
      <c r="B27" s="1" t="s">
        <v>31</v>
      </c>
      <c r="C27" s="2">
        <v>58</v>
      </c>
      <c r="D27" s="1">
        <f>J27/3000</f>
        <v>0</v>
      </c>
      <c r="E27" s="20">
        <f t="shared" si="0"/>
        <v>0</v>
      </c>
      <c r="H27" s="25" t="str">
        <f t="shared" si="1"/>
        <v>pegante x 3000</v>
      </c>
      <c r="I27" s="25" t="s">
        <v>37</v>
      </c>
      <c r="J27" s="25">
        <v>0</v>
      </c>
    </row>
    <row r="28" spans="1:10" x14ac:dyDescent="0.3">
      <c r="A28" s="1" t="s">
        <v>29</v>
      </c>
      <c r="B28" s="1"/>
      <c r="C28" s="2">
        <v>1</v>
      </c>
      <c r="D28" s="1">
        <v>0</v>
      </c>
      <c r="E28" s="20">
        <f t="shared" si="0"/>
        <v>0</v>
      </c>
      <c r="H28" s="25" t="str">
        <f t="shared" si="1"/>
        <v>mano de obra</v>
      </c>
      <c r="I28" s="25"/>
      <c r="J28" s="25"/>
    </row>
    <row r="29" spans="1:10" x14ac:dyDescent="0.3">
      <c r="A29" s="1" t="s">
        <v>43</v>
      </c>
      <c r="B29" s="1"/>
      <c r="C29" s="2"/>
      <c r="D29" s="1"/>
      <c r="E29" s="20">
        <f t="shared" si="0"/>
        <v>0</v>
      </c>
      <c r="H29" s="25" t="str">
        <f t="shared" si="1"/>
        <v>empaque</v>
      </c>
      <c r="I29" s="25"/>
      <c r="J29" s="25"/>
    </row>
    <row r="30" spans="1:10" x14ac:dyDescent="0.3">
      <c r="A30" s="70" t="s">
        <v>40</v>
      </c>
      <c r="B30" s="70"/>
      <c r="C30" s="70"/>
      <c r="D30" s="70"/>
      <c r="E30" s="23">
        <f>SUM(E9:E29)</f>
        <v>0</v>
      </c>
    </row>
    <row r="31" spans="1:10" x14ac:dyDescent="0.3">
      <c r="A31" s="71" t="s">
        <v>41</v>
      </c>
      <c r="B31" s="71"/>
      <c r="C31" s="22">
        <v>0</v>
      </c>
      <c r="D31" s="1"/>
      <c r="E31" s="20">
        <f>E30*C31</f>
        <v>0</v>
      </c>
    </row>
    <row r="32" spans="1:10" ht="14.4" customHeight="1" x14ac:dyDescent="0.3">
      <c r="A32" s="71" t="s">
        <v>42</v>
      </c>
      <c r="B32" s="71"/>
      <c r="C32" s="22">
        <v>0</v>
      </c>
      <c r="D32" s="1"/>
      <c r="E32" s="20">
        <f>E30*C32</f>
        <v>0</v>
      </c>
      <c r="G32" s="68" t="s">
        <v>46</v>
      </c>
      <c r="H32" s="68" t="s">
        <v>47</v>
      </c>
      <c r="I32" s="68"/>
      <c r="J32" s="68"/>
    </row>
    <row r="33" spans="1:10" x14ac:dyDescent="0.3">
      <c r="A33" s="71" t="s">
        <v>44</v>
      </c>
      <c r="B33" s="71"/>
      <c r="C33" s="22">
        <v>0</v>
      </c>
      <c r="D33" s="1"/>
      <c r="E33" s="20">
        <f>E30*C33</f>
        <v>0</v>
      </c>
      <c r="G33" s="68"/>
      <c r="H33" s="68"/>
      <c r="I33" s="68"/>
      <c r="J33" s="68"/>
    </row>
    <row r="34" spans="1:10" x14ac:dyDescent="0.3">
      <c r="A34" s="46" t="s">
        <v>45</v>
      </c>
      <c r="B34" s="47"/>
      <c r="C34" s="47"/>
      <c r="D34" s="67"/>
      <c r="E34" s="24">
        <f>SUM(E30:E33)</f>
        <v>0</v>
      </c>
      <c r="G34" s="68"/>
      <c r="H34" s="68"/>
      <c r="I34" s="68"/>
      <c r="J34" s="68"/>
    </row>
    <row r="37" spans="1:10" x14ac:dyDescent="0.3">
      <c r="A37" s="1" t="s">
        <v>48</v>
      </c>
      <c r="B37" s="1" t="s">
        <v>63</v>
      </c>
    </row>
    <row r="38" spans="1:10" x14ac:dyDescent="0.3">
      <c r="A38" s="1" t="s">
        <v>49</v>
      </c>
      <c r="B38" s="1" t="s">
        <v>57</v>
      </c>
    </row>
    <row r="39" spans="1:10" x14ac:dyDescent="0.3">
      <c r="A39" s="1" t="s">
        <v>50</v>
      </c>
      <c r="B39" s="1">
        <v>110</v>
      </c>
    </row>
    <row r="40" spans="1:10" x14ac:dyDescent="0.3">
      <c r="A40" s="1" t="s">
        <v>51</v>
      </c>
      <c r="B40" s="1">
        <v>40</v>
      </c>
    </row>
    <row r="41" spans="1:10" x14ac:dyDescent="0.3">
      <c r="A41" s="1" t="s">
        <v>52</v>
      </c>
      <c r="B41" s="1" t="s">
        <v>58</v>
      </c>
    </row>
    <row r="42" spans="1:10" x14ac:dyDescent="0.3">
      <c r="A42" s="1" t="s">
        <v>53</v>
      </c>
      <c r="B42" s="27"/>
    </row>
    <row r="43" spans="1:10" x14ac:dyDescent="0.3">
      <c r="A43" s="1" t="s">
        <v>56</v>
      </c>
      <c r="B43" s="27"/>
    </row>
    <row r="44" spans="1:10" x14ac:dyDescent="0.3">
      <c r="A44" s="1" t="s">
        <v>54</v>
      </c>
      <c r="B44" s="27"/>
    </row>
    <row r="45" spans="1:10" x14ac:dyDescent="0.3">
      <c r="A45" s="1" t="s">
        <v>55</v>
      </c>
      <c r="B45" s="27"/>
    </row>
  </sheetData>
  <mergeCells count="19">
    <mergeCell ref="A34:D34"/>
    <mergeCell ref="G32:G34"/>
    <mergeCell ref="H32:J34"/>
    <mergeCell ref="A1:B5"/>
    <mergeCell ref="C1:E1"/>
    <mergeCell ref="C2:E2"/>
    <mergeCell ref="C3:E3"/>
    <mergeCell ref="C4:E4"/>
    <mergeCell ref="F5:H5"/>
    <mergeCell ref="A30:D30"/>
    <mergeCell ref="A31:B31"/>
    <mergeCell ref="A32:B32"/>
    <mergeCell ref="A33:B33"/>
    <mergeCell ref="C5:E5"/>
    <mergeCell ref="F1:H1"/>
    <mergeCell ref="I1:J5"/>
    <mergeCell ref="F2:H2"/>
    <mergeCell ref="F3:H3"/>
    <mergeCell ref="F4:H4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2023-03-27T16:02:39Z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