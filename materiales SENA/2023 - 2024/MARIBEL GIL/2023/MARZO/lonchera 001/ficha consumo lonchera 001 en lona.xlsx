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lonchera 001\"/>
    </mc:Choice>
  </mc:AlternateContent>
  <xr:revisionPtr revIDLastSave="0" documentId="8_{8CB6D232-F48A-4721-A57B-8EF8EC5695A5}" xr6:coauthVersionLast="47" xr6:coauthVersionMax="47" xr10:uidLastSave="{00000000-0000-0000-0000-000000000000}"/>
  <bookViews>
    <workbookView xWindow="-108" yWindow="-108" windowWidth="23256" windowHeight="12576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" i="2" l="1"/>
  <c r="C19" i="2"/>
  <c r="C14" i="2"/>
  <c r="D23" i="2"/>
  <c r="E23" i="2" s="1"/>
  <c r="D17" i="2"/>
  <c r="D10" i="2"/>
  <c r="D11" i="2"/>
  <c r="D12" i="2"/>
  <c r="D13" i="2"/>
  <c r="D14" i="2"/>
  <c r="D15" i="2"/>
  <c r="D16" i="2"/>
  <c r="D18" i="2"/>
  <c r="D19" i="2"/>
  <c r="D20" i="2"/>
  <c r="D21" i="2"/>
  <c r="D9" i="2"/>
  <c r="F18" i="1"/>
  <c r="F25" i="1" s="1"/>
  <c r="E18" i="1"/>
  <c r="E25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A13" i="2"/>
  <c r="A12" i="2"/>
  <c r="H12" i="2" s="1"/>
  <c r="A11" i="2"/>
  <c r="H11" i="2" s="1"/>
  <c r="A10" i="2"/>
  <c r="H10" i="2" s="1"/>
  <c r="A9" i="2"/>
  <c r="G37" i="1"/>
  <c r="I37" i="1" s="1"/>
  <c r="G36" i="1"/>
  <c r="I36" i="1" s="1"/>
  <c r="G23" i="1"/>
  <c r="I23" i="1" s="1"/>
  <c r="G22" i="1"/>
  <c r="I22" i="1" s="1"/>
  <c r="G21" i="1"/>
  <c r="I21" i="1" s="1"/>
  <c r="G16" i="1"/>
  <c r="I16" i="1" s="1"/>
  <c r="G9" i="1"/>
  <c r="I9" i="1" s="1"/>
  <c r="F2" i="2"/>
  <c r="F3" i="2"/>
  <c r="F4" i="2"/>
  <c r="F5" i="2"/>
  <c r="F1" i="2"/>
  <c r="G53" i="1"/>
  <c r="I53" i="1" s="1"/>
  <c r="G54" i="1"/>
  <c r="I54" i="1" s="1"/>
  <c r="I24" i="1" l="1"/>
  <c r="C10" i="2" s="1"/>
  <c r="E10" i="2" s="1"/>
  <c r="I17" i="1"/>
  <c r="C9" i="2" s="1"/>
  <c r="G18" i="1"/>
  <c r="I38" i="1"/>
  <c r="C12" i="2" s="1"/>
  <c r="E12" i="2" s="1"/>
  <c r="G25" i="1"/>
  <c r="I55" i="1"/>
  <c r="H23" i="2"/>
  <c r="E22" i="2"/>
  <c r="E21" i="2"/>
  <c r="E19" i="2"/>
  <c r="E18" i="2"/>
  <c r="E17" i="2"/>
  <c r="E16" i="2"/>
  <c r="E15" i="2"/>
  <c r="H14" i="2"/>
  <c r="H15" i="2"/>
  <c r="H16" i="2"/>
  <c r="H17" i="2"/>
  <c r="H18" i="2"/>
  <c r="H19" i="2"/>
  <c r="H20" i="2"/>
  <c r="H21" i="2"/>
  <c r="H22" i="2"/>
  <c r="H13" i="2"/>
  <c r="G32" i="1"/>
  <c r="I32" i="1" s="1"/>
  <c r="H9" i="2"/>
  <c r="G31" i="1"/>
  <c r="C20" i="2" l="1"/>
  <c r="E14" i="2"/>
  <c r="G48" i="1"/>
  <c r="I48" i="1" s="1"/>
  <c r="G42" i="1"/>
  <c r="I42" i="1" s="1"/>
  <c r="G46" i="1"/>
  <c r="I46" i="1" s="1"/>
  <c r="G43" i="1"/>
  <c r="I43" i="1" s="1"/>
  <c r="G47" i="1"/>
  <c r="I47" i="1" s="1"/>
  <c r="G44" i="1"/>
  <c r="I44" i="1" s="1"/>
  <c r="G45" i="1"/>
  <c r="I45" i="1" s="1"/>
  <c r="I31" i="1"/>
  <c r="I33" i="1" s="1"/>
  <c r="C11" i="2" s="1"/>
  <c r="E11" i="2" s="1"/>
  <c r="E9" i="2" l="1"/>
  <c r="E20" i="2"/>
  <c r="I50" i="1"/>
  <c r="C13" i="2" s="1"/>
  <c r="E13" i="2" l="1"/>
  <c r="E24" i="2" s="1"/>
  <c r="E25" i="2" l="1"/>
  <c r="E27" i="2"/>
  <c r="E26" i="2"/>
  <c r="E28" i="2" l="1"/>
</calcChain>
</file>

<file path=xl/sharedStrings.xml><?xml version="1.0" encoding="utf-8"?>
<sst xmlns="http://schemas.openxmlformats.org/spreadsheetml/2006/main" count="157" uniqueCount="82">
  <si>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</si>
  <si>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</si>
  <si>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</si>
  <si>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</si>
  <si>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</si>
  <si>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</si>
  <si>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</si>
  <si>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</si>
  <si>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% desperdicio</t>
  </si>
  <si>
    <t>Total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</si>
  <si>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</si>
  <si>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</si>
  <si>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</si>
  <si>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</si>
  <si>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</si>
  <si>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</si>
  <si>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</si>
  <si>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</si>
  <si>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</si>
  <si>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</si>
  <si>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numero de ficha</t>
  </si>
  <si>
    <t>MATERIAL</t>
  </si>
  <si>
    <t>UNIDAD DE MEDIDA</t>
  </si>
  <si>
    <t>CANTIDAD</t>
  </si>
  <si>
    <t>VALOR UNITARIO</t>
  </si>
  <si>
    <t>cm</t>
  </si>
  <si>
    <t>unid</t>
  </si>
  <si>
    <t>mano de obra</t>
  </si>
  <si>
    <t>metros</t>
  </si>
  <si>
    <t>gramos</t>
  </si>
  <si>
    <t>unidad de medida compra</t>
  </si>
  <si>
    <t>valor</t>
  </si>
  <si>
    <t>metro</t>
  </si>
  <si>
    <t>unidad</t>
  </si>
  <si>
    <t>cono</t>
  </si>
  <si>
    <t>galon</t>
  </si>
  <si>
    <t>hilo x 3000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</si>
  <si>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</si>
  <si>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</si>
  <si>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</si>
  <si>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</si>
  <si>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</si>
  <si>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</si>
  <si>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</si>
  <si>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</si>
  <si>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</si>
  <si>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</si>
  <si>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</si>
  <si>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</si>
  <si>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</si>
  <si>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</si>
  <si>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</si>
  <si>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</si>
  <si>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</si>
  <si>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</si>
  <si>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</si>
  <si>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plana</t>
  </si>
  <si>
    <t>a tono</t>
  </si>
  <si>
    <t>perimetros para consumo de hilo en cm</t>
  </si>
  <si>
    <t>total FORRO en cm_2</t>
  </si>
  <si>
    <t>total sintético en cm_2</t>
  </si>
  <si>
    <t>bola</t>
  </si>
  <si>
    <t>40-60</t>
  </si>
  <si>
    <t>lonchera en lona</t>
  </si>
  <si>
    <t>SENA</t>
  </si>
  <si>
    <t>celda de pcc</t>
  </si>
  <si>
    <t>lona sintetica</t>
  </si>
  <si>
    <t>seda 30100</t>
  </si>
  <si>
    <t>bolsillo delantero</t>
  </si>
  <si>
    <t>tapa</t>
  </si>
  <si>
    <t>complemento tapa</t>
  </si>
  <si>
    <t>fondo</t>
  </si>
  <si>
    <t>yumbolon #3</t>
  </si>
  <si>
    <t>refuerzo falso</t>
  </si>
  <si>
    <t>refuerzo tapa</t>
  </si>
  <si>
    <t>refuerzo cuerpo</t>
  </si>
  <si>
    <t>vivo</t>
  </si>
  <si>
    <t>reata 1 1/2''</t>
  </si>
  <si>
    <t>llave #6</t>
  </si>
  <si>
    <t>trabilla 1 1/2''</t>
  </si>
  <si>
    <t>cuadrante 1 1/2''</t>
  </si>
  <si>
    <t>cremallera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</si>
</sst>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ED5B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5" xfId="0" applyFill="1" applyBorder="1" applyAlignment="1">
      <alignment wrapText="1"/>
    </xf>
    <xf numFmtId="2" fontId="1" fillId="3" borderId="1" xfId="0" applyNumberFormat="1" applyFont="1" applyFill="1" applyBorder="1"/>
    <xf numFmtId="0" fontId="0" fillId="0" borderId="15" xfId="0" applyBorder="1"/>
    <xf numFmtId="0" fontId="1" fillId="3" borderId="1" xfId="0" applyFont="1" applyFill="1" applyBorder="1"/>
    <xf numFmtId="0" fontId="0" fillId="4" borderId="5" xfId="0" applyFill="1" applyBorder="1"/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2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2" borderId="5" xfId="0" applyNumberFormat="1" applyFill="1" applyBorder="1"/>
    <xf numFmtId="1" fontId="0" fillId="5" borderId="5" xfId="0" applyNumberFormat="1" applyFill="1" applyBorder="1"/>
    <xf numFmtId="0" fontId="0" fillId="5" borderId="5" xfId="0" applyFill="1" applyBorder="1"/>
    <xf numFmtId="0" fontId="0" fillId="6" borderId="0" xfId="0" applyFill="1"/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3" borderId="28" xfId="0" applyNumberFormat="1" applyFont="1" applyFill="1" applyBorder="1"/>
    <xf numFmtId="0" fontId="1" fillId="0" borderId="0" xfId="0" applyFont="1"/>
    <xf numFmtId="0" fontId="0" fillId="0" borderId="29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8" borderId="14" xfId="0" applyFont="1" applyFill="1" applyBorder="1" applyAlignment="1">
      <alignment horizontal="left"/>
    </xf>
    <xf numFmtId="0" fontId="1" fillId="8" borderId="16" xfId="0" applyFont="1" applyFill="1" applyBorder="1" applyAlignment="1">
      <alignment horizontal="left"/>
    </xf>
    <xf numFmtId="0" fontId="1" fillId="8" borderId="17" xfId="0" applyFont="1" applyFill="1" applyBorder="1" applyAlignment="1">
      <alignment horizontal="left"/>
    </xf>
    <xf numFmtId="0" fontId="1" fillId="8" borderId="18" xfId="0" applyFont="1" applyFill="1" applyBorder="1" applyAlignment="1">
      <alignment horizontal="left"/>
    </xf>
    <xf numFmtId="0" fontId="1" fillId="8" borderId="20" xfId="0" applyFont="1" applyFill="1" applyBorder="1" applyAlignment="1">
      <alignment horizontal="left"/>
    </xf>
    <xf numFmtId="0" fontId="1" fillId="8" borderId="19" xfId="0" applyFont="1" applyFill="1" applyBorder="1" applyAlignment="1">
      <alignment horizontal="left"/>
    </xf>
    <xf numFmtId="0" fontId="0" fillId="8" borderId="7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1" fillId="8" borderId="25" xfId="0" applyFont="1" applyFill="1" applyBorder="1" applyAlignment="1">
      <alignment horizontal="left"/>
    </xf>
    <xf numFmtId="0" fontId="1" fillId="8" borderId="26" xfId="0" applyFont="1" applyFill="1" applyBorder="1" applyAlignment="1">
      <alignment horizontal="left"/>
    </xf>
    <xf numFmtId="0" fontId="1" fillId="8" borderId="27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7" borderId="5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ED5B"/>
      <color rgb="FF36F927"/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0</xdr:rowOff>
    </xdr:from>
    <xdr:to>
      <xdr:col>1</xdr:col>
      <xdr:colOff>550985</xdr:colOff>
      <xdr:row>5</xdr:row>
      <xdr:rowOff>21663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2FEC2F-7C51-EB44-1549-252F3BDB5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8" t="3277" r="6193" b="8009"/>
        <a:stretch/>
      </xdr:blipFill>
      <xdr:spPr>
        <a:xfrm>
          <a:off x="152401" y="0"/>
          <a:ext cx="931984" cy="941925"/>
        </a:xfrm>
        <a:prstGeom prst="rect">
          <a:avLst/>
        </a:prstGeom>
      </xdr:spPr>
    </xdr:pic>
    <xdr:clientData/>
  </xdr:twoCellAnchor>
  <xdr:twoCellAnchor editAs="oneCell">
    <xdr:from>
      <xdr:col>10</xdr:col>
      <xdr:colOff>62524</xdr:colOff>
      <xdr:row>7</xdr:row>
      <xdr:rowOff>281354</xdr:rowOff>
    </xdr:from>
    <xdr:to>
      <xdr:col>13</xdr:col>
      <xdr:colOff>779585</xdr:colOff>
      <xdr:row>19</xdr:row>
      <xdr:rowOff>225669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4A1D1-D1EC-3FB7-156A-82A53C23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924" y="1307123"/>
          <a:ext cx="3090984" cy="2318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335796</xdr:colOff>
      <xdr:row>0</xdr:row>
      <xdr:rowOff>0</xdr:rowOff>
    </xdr:from>
    <xdr:to>
      <xdr:col>1</xdr:col>
      <xdr:colOff>253933</xdr:colOff>
      <xdr:row>5</xdr:row>
      <xdr:rowOff>24942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99CF1A-6552-4F91-BE83-7C95CE440F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8" t="3277" r="6193" b="8009"/>
        <a:stretch/>
      </xdr:blipFill>
      <xdr:spPr>
        <a:xfrm>
          <a:off x="335796" y="0"/>
          <a:ext cx="931984" cy="94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N55"/>
  <sheetViews>
    <sheetView tabSelected="1" zoomScale="130" zoomScaleNormal="130" workbookViewId="0">
      <selection activeCell="K8" sqref="K8:N20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4" x14ac:dyDescent="0.3">
      <c r="A1" s="48"/>
      <c r="B1" s="49"/>
      <c r="C1" s="63" t="s">
        <v>2</v>
      </c>
      <c r="D1" s="64"/>
      <c r="E1" s="65"/>
      <c r="F1" s="44">
        <v>1</v>
      </c>
      <c r="G1" s="44"/>
      <c r="H1" s="44"/>
      <c r="I1" s="54" t="s">
        <v>18</v>
      </c>
      <c r="J1" s="55"/>
      <c r="L1" s="3" t="s">
        <v>12</v>
      </c>
      <c r="M1" s="4">
        <v>5</v>
      </c>
      <c r="N1" s="5">
        <v>1.05</v>
      </c>
    </row>
    <row r="2" spans="1:14" x14ac:dyDescent="0.3">
      <c r="A2" s="50"/>
      <c r="B2" s="51"/>
      <c r="C2" s="38" t="s">
        <v>1</v>
      </c>
      <c r="D2" s="39"/>
      <c r="E2" s="40"/>
      <c r="F2" s="34" t="s">
        <v>63</v>
      </c>
      <c r="G2" s="34"/>
      <c r="H2" s="34"/>
      <c r="I2" s="56"/>
      <c r="J2" s="57"/>
      <c r="L2" s="6" t="s">
        <v>13</v>
      </c>
      <c r="M2" s="1">
        <v>10</v>
      </c>
      <c r="N2" s="7">
        <v>1.1000000000000001</v>
      </c>
    </row>
    <row r="3" spans="1:14" x14ac:dyDescent="0.3">
      <c r="A3" s="50"/>
      <c r="B3" s="51"/>
      <c r="C3" s="38" t="s">
        <v>0</v>
      </c>
      <c r="D3" s="39"/>
      <c r="E3" s="40"/>
      <c r="F3" s="33">
        <v>45012</v>
      </c>
      <c r="G3" s="34"/>
      <c r="H3" s="34"/>
      <c r="I3" s="56"/>
      <c r="J3" s="57"/>
      <c r="L3" s="6" t="s">
        <v>14</v>
      </c>
      <c r="M3" s="1">
        <v>15</v>
      </c>
      <c r="N3" s="7">
        <v>1.1499999999999999</v>
      </c>
    </row>
    <row r="4" spans="1:14" x14ac:dyDescent="0.3">
      <c r="A4" s="50"/>
      <c r="B4" s="51"/>
      <c r="C4" s="38" t="s">
        <v>19</v>
      </c>
      <c r="D4" s="39"/>
      <c r="E4" s="40"/>
      <c r="F4" s="45" t="s">
        <v>64</v>
      </c>
      <c r="G4" s="46"/>
      <c r="H4" s="47"/>
      <c r="I4" s="56"/>
      <c r="J4" s="57"/>
      <c r="L4" s="6" t="s">
        <v>15</v>
      </c>
      <c r="M4" s="1">
        <v>20</v>
      </c>
      <c r="N4" s="7">
        <v>1.2</v>
      </c>
    </row>
    <row r="5" spans="1:14" ht="15" thickBot="1" x14ac:dyDescent="0.35">
      <c r="A5" s="52"/>
      <c r="B5" s="53"/>
      <c r="C5" s="41" t="s">
        <v>20</v>
      </c>
      <c r="D5" s="42"/>
      <c r="E5" s="43"/>
      <c r="F5" s="60" t="s">
        <v>65</v>
      </c>
      <c r="G5" s="61"/>
      <c r="H5" s="62"/>
      <c r="I5" s="58"/>
      <c r="J5" s="59"/>
      <c r="L5" s="8" t="s">
        <v>16</v>
      </c>
      <c r="M5" s="9">
        <v>40</v>
      </c>
      <c r="N5" s="10">
        <v>1.4</v>
      </c>
    </row>
    <row r="6" spans="1:14" ht="4.2" customHeight="1" x14ac:dyDescent="0.3">
      <c r="A6" s="24"/>
      <c r="B6" s="24"/>
      <c r="C6" s="24"/>
      <c r="D6" s="24"/>
      <c r="E6" s="24"/>
      <c r="F6" s="24"/>
      <c r="G6" s="24"/>
      <c r="H6" s="24"/>
      <c r="I6" s="24"/>
      <c r="J6" s="24"/>
    </row>
    <row r="7" spans="1:14" ht="4.2" customHeight="1" x14ac:dyDescent="0.3"/>
    <row r="8" spans="1:14" ht="27.6" customHeight="1" x14ac:dyDescent="0.3">
      <c r="A8" s="11" t="s">
        <v>3</v>
      </c>
      <c r="B8" s="11" t="s">
        <v>4</v>
      </c>
      <c r="C8" s="11" t="s">
        <v>5</v>
      </c>
      <c r="D8" s="11" t="s">
        <v>10</v>
      </c>
      <c r="E8" s="11" t="s">
        <v>6</v>
      </c>
      <c r="F8" s="11" t="s">
        <v>7</v>
      </c>
      <c r="G8" s="11" t="s">
        <v>11</v>
      </c>
      <c r="H8" s="11" t="s">
        <v>8</v>
      </c>
      <c r="I8" s="11" t="s">
        <v>9</v>
      </c>
      <c r="K8" s="71"/>
      <c r="L8" s="71"/>
      <c r="M8" s="71"/>
      <c r="N8" s="71"/>
    </row>
    <row r="9" spans="1:14" x14ac:dyDescent="0.3">
      <c r="A9" s="1" t="s">
        <v>66</v>
      </c>
      <c r="B9" s="1">
        <v>1</v>
      </c>
      <c r="C9" s="1" t="b">
        <v>0</v>
      </c>
      <c r="D9" s="1">
        <v>2</v>
      </c>
      <c r="E9" s="1">
        <v>16</v>
      </c>
      <c r="F9" s="1">
        <v>20</v>
      </c>
      <c r="G9" s="1">
        <f>E9*F9</f>
        <v>320</v>
      </c>
      <c r="H9" s="1">
        <v>1.1000000000000001</v>
      </c>
      <c r="I9" s="2">
        <f>D9*G9*H9</f>
        <v>704</v>
      </c>
      <c r="K9" s="71"/>
      <c r="L9" s="71"/>
      <c r="M9" s="71"/>
      <c r="N9" s="71"/>
    </row>
    <row r="10" spans="1:14" x14ac:dyDescent="0.3">
      <c r="A10" s="1"/>
      <c r="B10" s="1">
        <v>4</v>
      </c>
      <c r="C10" s="1" t="s">
        <v>69</v>
      </c>
      <c r="D10" s="1">
        <v>1</v>
      </c>
      <c r="E10" s="1">
        <v>20</v>
      </c>
      <c r="F10" s="1">
        <v>18.899999999999999</v>
      </c>
      <c r="G10" s="1">
        <f t="shared" ref="G10:G15" si="0">E10*F10</f>
        <v>378</v>
      </c>
      <c r="H10" s="1">
        <v>1.1000000000000001</v>
      </c>
      <c r="I10" s="2">
        <f t="shared" ref="I10:I16" si="1">D10*G10*H10</f>
        <v>415.8</v>
      </c>
      <c r="K10" s="71"/>
      <c r="L10" s="71"/>
      <c r="M10" s="71"/>
      <c r="N10" s="71"/>
    </row>
    <row r="11" spans="1:14" x14ac:dyDescent="0.3">
      <c r="A11" s="1"/>
      <c r="B11" s="1">
        <v>5</v>
      </c>
      <c r="C11" s="1" t="s">
        <v>70</v>
      </c>
      <c r="D11" s="1">
        <v>1</v>
      </c>
      <c r="E11" s="1">
        <v>24</v>
      </c>
      <c r="F11" s="1">
        <v>26.6</v>
      </c>
      <c r="G11" s="1">
        <f t="shared" si="0"/>
        <v>638.40000000000009</v>
      </c>
      <c r="H11" s="1">
        <v>1.1000000000000001</v>
      </c>
      <c r="I11" s="2">
        <f t="shared" si="1"/>
        <v>702.24000000000012</v>
      </c>
      <c r="K11" s="71"/>
      <c r="L11" s="71"/>
      <c r="M11" s="71"/>
      <c r="N11" s="71"/>
    </row>
    <row r="12" spans="1:14" x14ac:dyDescent="0.3">
      <c r="A12" s="1"/>
      <c r="B12" s="1">
        <v>6</v>
      </c>
      <c r="C12" s="1" t="s">
        <v>71</v>
      </c>
      <c r="D12" s="1">
        <v>1</v>
      </c>
      <c r="E12" s="1">
        <v>24</v>
      </c>
      <c r="F12" s="1">
        <v>38.200000000000003</v>
      </c>
      <c r="G12" s="1">
        <f t="shared" si="0"/>
        <v>916.80000000000007</v>
      </c>
      <c r="H12" s="1">
        <v>1.1000000000000001</v>
      </c>
      <c r="I12" s="2">
        <f t="shared" si="1"/>
        <v>1008.4800000000001</v>
      </c>
      <c r="K12" s="71"/>
      <c r="L12" s="71"/>
      <c r="M12" s="71"/>
      <c r="N12" s="71"/>
    </row>
    <row r="13" spans="1:14" x14ac:dyDescent="0.3">
      <c r="A13" s="1"/>
      <c r="B13" s="1"/>
      <c r="C13" s="1" t="s">
        <v>76</v>
      </c>
      <c r="D13" s="1">
        <v>2</v>
      </c>
      <c r="E13" s="1">
        <v>64</v>
      </c>
      <c r="F13" s="1">
        <v>2.5</v>
      </c>
      <c r="G13" s="1">
        <f t="shared" si="0"/>
        <v>160</v>
      </c>
      <c r="H13" s="1">
        <v>1.1000000000000001</v>
      </c>
      <c r="I13" s="2">
        <f t="shared" si="1"/>
        <v>352</v>
      </c>
      <c r="K13" s="71"/>
      <c r="L13" s="71"/>
      <c r="M13" s="71"/>
      <c r="N13" s="71"/>
    </row>
    <row r="14" spans="1:14" x14ac:dyDescent="0.3">
      <c r="A14" s="1"/>
      <c r="B14" s="1"/>
      <c r="C14" s="1"/>
      <c r="D14" s="1"/>
      <c r="E14" s="1"/>
      <c r="F14" s="1"/>
      <c r="G14" s="1">
        <f t="shared" si="0"/>
        <v>0</v>
      </c>
      <c r="H14" s="1">
        <v>1.1000000000000001</v>
      </c>
      <c r="I14" s="2">
        <f t="shared" si="1"/>
        <v>0</v>
      </c>
      <c r="K14" s="71"/>
      <c r="L14" s="71"/>
      <c r="M14" s="71"/>
      <c r="N14" s="71"/>
    </row>
    <row r="15" spans="1:14" x14ac:dyDescent="0.3">
      <c r="A15" s="1"/>
      <c r="B15" s="1"/>
      <c r="C15" s="1"/>
      <c r="D15" s="1"/>
      <c r="E15" s="1"/>
      <c r="F15" s="1"/>
      <c r="G15" s="1">
        <f t="shared" si="0"/>
        <v>0</v>
      </c>
      <c r="H15" s="1">
        <v>1.1000000000000001</v>
      </c>
      <c r="I15" s="2">
        <f t="shared" si="1"/>
        <v>0</v>
      </c>
      <c r="K15" s="71"/>
      <c r="L15" s="71"/>
      <c r="M15" s="71"/>
      <c r="N15" s="71"/>
    </row>
    <row r="16" spans="1:14" ht="15" thickBot="1" x14ac:dyDescent="0.35">
      <c r="A16" s="1"/>
      <c r="B16" s="1"/>
      <c r="C16" s="1"/>
      <c r="D16" s="1"/>
      <c r="E16" s="1"/>
      <c r="F16" s="1"/>
      <c r="G16" s="1">
        <f>E16*F16</f>
        <v>0</v>
      </c>
      <c r="H16" s="1">
        <v>1.1000000000000001</v>
      </c>
      <c r="I16" s="2">
        <f t="shared" si="1"/>
        <v>0</v>
      </c>
      <c r="K16" s="71"/>
      <c r="L16" s="71"/>
      <c r="M16" s="71"/>
      <c r="N16" s="71"/>
    </row>
    <row r="17" spans="1:14" ht="15" thickBot="1" x14ac:dyDescent="0.35">
      <c r="B17" s="31" t="s">
        <v>60</v>
      </c>
      <c r="C17" s="32"/>
      <c r="D17" s="32"/>
      <c r="E17" s="32"/>
      <c r="F17" s="32"/>
      <c r="G17" s="32"/>
      <c r="H17" s="37"/>
      <c r="I17" s="28">
        <f>SUM(I9:I16)</f>
        <v>3182.52</v>
      </c>
      <c r="J17" s="16"/>
      <c r="K17" s="71"/>
      <c r="L17" s="71"/>
      <c r="M17" s="71"/>
      <c r="N17" s="71"/>
    </row>
    <row r="18" spans="1:14" x14ac:dyDescent="0.3">
      <c r="A18" s="35" t="s">
        <v>58</v>
      </c>
      <c r="B18" s="35"/>
      <c r="C18" s="35"/>
      <c r="D18" s="36"/>
      <c r="E18" s="15">
        <f>SUM(E9:E16)</f>
        <v>148</v>
      </c>
      <c r="F18" s="15">
        <f>SUM(F9:F16)</f>
        <v>106.2</v>
      </c>
      <c r="G18" s="15">
        <f>E18+F18</f>
        <v>254.2</v>
      </c>
      <c r="I18" s="16"/>
      <c r="J18" s="16"/>
      <c r="K18" s="71"/>
      <c r="L18" s="71"/>
      <c r="M18" s="71"/>
      <c r="N18" s="71"/>
    </row>
    <row r="19" spans="1:14" x14ac:dyDescent="0.3">
      <c r="I19" s="27"/>
      <c r="K19" s="71"/>
      <c r="L19" s="71"/>
      <c r="M19" s="71"/>
      <c r="N19" s="71"/>
    </row>
    <row r="20" spans="1:14" ht="43.2" x14ac:dyDescent="0.3">
      <c r="A20" s="11" t="s">
        <v>3</v>
      </c>
      <c r="B20" s="11" t="s">
        <v>4</v>
      </c>
      <c r="C20" s="11" t="s">
        <v>5</v>
      </c>
      <c r="D20" s="11" t="s">
        <v>10</v>
      </c>
      <c r="E20" s="11" t="s">
        <v>6</v>
      </c>
      <c r="F20" s="11" t="s">
        <v>7</v>
      </c>
      <c r="G20" s="11" t="s">
        <v>11</v>
      </c>
      <c r="H20" s="11" t="s">
        <v>8</v>
      </c>
      <c r="I20" s="11" t="s">
        <v>9</v>
      </c>
      <c r="K20" s="71"/>
      <c r="L20" s="71"/>
      <c r="M20" s="71"/>
      <c r="N20" s="71"/>
    </row>
    <row r="21" spans="1:14" x14ac:dyDescent="0.3">
      <c r="A21" s="1" t="s">
        <v>72</v>
      </c>
      <c r="B21" s="1">
        <v>7</v>
      </c>
      <c r="C21" s="1" t="s">
        <v>73</v>
      </c>
      <c r="D21" s="1">
        <v>2</v>
      </c>
      <c r="E21" s="1">
        <v>11</v>
      </c>
      <c r="F21" s="1">
        <v>15</v>
      </c>
      <c r="G21" s="1">
        <f>E21*F21</f>
        <v>165</v>
      </c>
      <c r="H21" s="1">
        <v>1.1000000000000001</v>
      </c>
      <c r="I21" s="2">
        <f>D21*G21*H21</f>
        <v>363.00000000000006</v>
      </c>
    </row>
    <row r="22" spans="1:14" x14ac:dyDescent="0.3">
      <c r="A22" s="1"/>
      <c r="B22" s="1">
        <v>8</v>
      </c>
      <c r="C22" s="1" t="s">
        <v>74</v>
      </c>
      <c r="D22" s="1">
        <v>1</v>
      </c>
      <c r="E22" s="1">
        <v>13.5</v>
      </c>
      <c r="F22" s="1">
        <v>15</v>
      </c>
      <c r="G22" s="1">
        <f>E22*F22</f>
        <v>202.5</v>
      </c>
      <c r="H22" s="1">
        <v>1.1000000000000001</v>
      </c>
      <c r="I22" s="2">
        <f t="shared" ref="I22:I23" si="2">D22*G22*H22</f>
        <v>222.75000000000003</v>
      </c>
    </row>
    <row r="23" spans="1:14" ht="15" thickBot="1" x14ac:dyDescent="0.35">
      <c r="A23" s="1"/>
      <c r="B23" s="1">
        <v>9</v>
      </c>
      <c r="C23" s="1" t="s">
        <v>75</v>
      </c>
      <c r="D23" s="1">
        <v>1</v>
      </c>
      <c r="E23" s="1">
        <v>19</v>
      </c>
      <c r="F23" s="1">
        <v>33.200000000000003</v>
      </c>
      <c r="G23" s="1">
        <f>E23*F23</f>
        <v>630.80000000000007</v>
      </c>
      <c r="H23" s="1">
        <v>1.1000000000000001</v>
      </c>
      <c r="I23" s="2">
        <f t="shared" si="2"/>
        <v>693.88000000000011</v>
      </c>
    </row>
    <row r="24" spans="1:14" ht="15" thickBot="1" x14ac:dyDescent="0.35">
      <c r="B24" s="31" t="s">
        <v>60</v>
      </c>
      <c r="C24" s="32"/>
      <c r="D24" s="32"/>
      <c r="E24" s="32"/>
      <c r="F24" s="32"/>
      <c r="G24" s="32"/>
      <c r="H24" s="37"/>
      <c r="I24" s="12">
        <f>SUM(I21:I23)</f>
        <v>1279.6300000000001</v>
      </c>
    </row>
    <row r="25" spans="1:14" x14ac:dyDescent="0.3">
      <c r="A25" s="35" t="s">
        <v>58</v>
      </c>
      <c r="B25" s="35"/>
      <c r="C25" s="35"/>
      <c r="D25" s="36"/>
      <c r="E25" s="15">
        <f>SUM(E7:E23)</f>
        <v>339.5</v>
      </c>
      <c r="F25" s="15">
        <f>SUM(F7:F23)</f>
        <v>275.60000000000002</v>
      </c>
      <c r="G25" s="15">
        <f>E25+F25</f>
        <v>615.1</v>
      </c>
      <c r="I25" s="16"/>
    </row>
    <row r="26" spans="1:14" ht="4.2" customHeight="1" x14ac:dyDescent="0.3"/>
    <row r="27" spans="1:14" ht="4.2" customHeight="1" x14ac:dyDescent="0.3"/>
    <row r="30" spans="1:14" ht="43.2" x14ac:dyDescent="0.3">
      <c r="A30" s="11" t="s">
        <v>3</v>
      </c>
      <c r="B30" s="11" t="s">
        <v>4</v>
      </c>
      <c r="C30" s="11" t="s">
        <v>5</v>
      </c>
      <c r="D30" s="11" t="s">
        <v>10</v>
      </c>
      <c r="E30" s="11" t="s">
        <v>6</v>
      </c>
      <c r="F30" s="11" t="s">
        <v>7</v>
      </c>
      <c r="G30" s="11" t="s">
        <v>17</v>
      </c>
      <c r="H30" s="11" t="s">
        <v>8</v>
      </c>
      <c r="I30" s="11" t="s">
        <v>9</v>
      </c>
    </row>
    <row r="31" spans="1:14" x14ac:dyDescent="0.3">
      <c r="A31" s="1"/>
      <c r="B31" s="1"/>
      <c r="C31" s="1"/>
      <c r="D31" s="1"/>
      <c r="E31" s="1"/>
      <c r="F31" s="1"/>
      <c r="G31" s="1">
        <f>E31*F31</f>
        <v>0</v>
      </c>
      <c r="H31" s="1">
        <v>1.1000000000000001</v>
      </c>
      <c r="I31" s="1">
        <f>D31*G31*H31</f>
        <v>0</v>
      </c>
    </row>
    <row r="32" spans="1:14" ht="15" thickBot="1" x14ac:dyDescent="0.35">
      <c r="A32" s="1"/>
      <c r="B32" s="1"/>
      <c r="C32" s="1"/>
      <c r="D32" s="1"/>
      <c r="E32" s="1"/>
      <c r="F32" s="1"/>
      <c r="G32" s="1">
        <f>E32*F32</f>
        <v>0</v>
      </c>
      <c r="H32" s="1">
        <v>1.1000000000000001</v>
      </c>
      <c r="I32" s="1">
        <f>D32*G32*H32</f>
        <v>0</v>
      </c>
    </row>
    <row r="33" spans="1:10" ht="15" thickBot="1" x14ac:dyDescent="0.35">
      <c r="A33" s="1"/>
      <c r="B33" s="31"/>
      <c r="C33" s="32"/>
      <c r="D33" s="32"/>
      <c r="E33" s="32"/>
      <c r="F33" s="32"/>
      <c r="G33" s="32"/>
      <c r="H33" s="32"/>
      <c r="I33" s="14">
        <f>SUM(I31:I32)</f>
        <v>0</v>
      </c>
    </row>
    <row r="34" spans="1:10" x14ac:dyDescent="0.3">
      <c r="B34" s="26"/>
      <c r="C34" s="26"/>
      <c r="D34" s="26"/>
      <c r="E34" s="26"/>
      <c r="F34" s="26"/>
      <c r="G34" s="26"/>
      <c r="H34" s="26"/>
      <c r="I34" s="29"/>
    </row>
    <row r="35" spans="1:10" ht="43.2" x14ac:dyDescent="0.3">
      <c r="A35" s="11" t="s">
        <v>3</v>
      </c>
      <c r="B35" s="11" t="s">
        <v>4</v>
      </c>
      <c r="C35" s="11" t="s">
        <v>5</v>
      </c>
      <c r="D35" s="11" t="s">
        <v>10</v>
      </c>
      <c r="E35" s="11" t="s">
        <v>6</v>
      </c>
      <c r="F35" s="11" t="s">
        <v>7</v>
      </c>
      <c r="G35" s="11" t="s">
        <v>17</v>
      </c>
      <c r="H35" s="11" t="s">
        <v>8</v>
      </c>
      <c r="I35" s="11" t="s">
        <v>9</v>
      </c>
    </row>
    <row r="36" spans="1:10" x14ac:dyDescent="0.3">
      <c r="A36" s="1"/>
      <c r="B36" s="1"/>
      <c r="C36" s="1"/>
      <c r="D36" s="1"/>
      <c r="E36" s="1"/>
      <c r="F36" s="1"/>
      <c r="G36" s="1">
        <f>E36*F36</f>
        <v>0</v>
      </c>
      <c r="H36" s="1">
        <v>1.1000000000000001</v>
      </c>
      <c r="I36" s="1">
        <f>D36*G36*H36</f>
        <v>0</v>
      </c>
    </row>
    <row r="37" spans="1:10" ht="15" thickBot="1" x14ac:dyDescent="0.35">
      <c r="A37" s="1"/>
      <c r="B37" s="1"/>
      <c r="C37" s="1"/>
      <c r="D37" s="1"/>
      <c r="E37" s="1"/>
      <c r="F37" s="1"/>
      <c r="G37" s="1">
        <f>E37*F37</f>
        <v>0</v>
      </c>
      <c r="H37" s="1">
        <v>1.1000000000000001</v>
      </c>
      <c r="I37" s="1">
        <f>D37*G37*H37</f>
        <v>0</v>
      </c>
    </row>
    <row r="38" spans="1:10" ht="15" thickBot="1" x14ac:dyDescent="0.35">
      <c r="A38" s="1"/>
      <c r="B38" s="31"/>
      <c r="C38" s="32"/>
      <c r="D38" s="32"/>
      <c r="E38" s="32"/>
      <c r="F38" s="32"/>
      <c r="G38" s="32"/>
      <c r="H38" s="32"/>
      <c r="I38" s="14">
        <f>SUM(I36:I37)</f>
        <v>0</v>
      </c>
    </row>
    <row r="39" spans="1:10" x14ac:dyDescent="0.3">
      <c r="B39" s="26"/>
      <c r="C39" s="26"/>
      <c r="D39" s="26"/>
      <c r="E39" s="26"/>
      <c r="F39" s="26"/>
      <c r="G39" s="26"/>
      <c r="H39" s="26"/>
      <c r="I39" s="29"/>
    </row>
    <row r="41" spans="1:10" ht="43.2" x14ac:dyDescent="0.3">
      <c r="A41" s="11" t="s">
        <v>3</v>
      </c>
      <c r="B41" s="11" t="s">
        <v>4</v>
      </c>
      <c r="C41" s="11" t="s">
        <v>5</v>
      </c>
      <c r="D41" s="11" t="s">
        <v>10</v>
      </c>
      <c r="E41" s="11" t="s">
        <v>6</v>
      </c>
      <c r="F41" s="11" t="s">
        <v>7</v>
      </c>
      <c r="G41" s="11" t="s">
        <v>17</v>
      </c>
      <c r="H41" s="11" t="s">
        <v>8</v>
      </c>
      <c r="I41" s="11" t="s">
        <v>9</v>
      </c>
    </row>
    <row r="42" spans="1:10" x14ac:dyDescent="0.3">
      <c r="A42" s="1" t="s">
        <v>67</v>
      </c>
      <c r="B42" s="1">
        <v>1</v>
      </c>
      <c r="C42" s="1" t="b">
        <v>0</v>
      </c>
      <c r="D42" s="1">
        <v>2</v>
      </c>
      <c r="E42" s="1">
        <v>16</v>
      </c>
      <c r="F42" s="1">
        <v>20</v>
      </c>
      <c r="G42" s="1">
        <f>E42*F42</f>
        <v>320</v>
      </c>
      <c r="H42" s="1">
        <v>1.1000000000000001</v>
      </c>
      <c r="I42" s="2">
        <f>D42*G42*H42</f>
        <v>704</v>
      </c>
      <c r="J42" s="30"/>
    </row>
    <row r="43" spans="1:10" x14ac:dyDescent="0.3">
      <c r="A43" s="1"/>
      <c r="B43" s="1">
        <v>3</v>
      </c>
      <c r="C43" s="1" t="s">
        <v>68</v>
      </c>
      <c r="D43" s="1">
        <v>1</v>
      </c>
      <c r="E43" s="1">
        <v>24</v>
      </c>
      <c r="F43" s="1">
        <v>24</v>
      </c>
      <c r="G43" s="1">
        <f t="shared" ref="G43:G48" si="3">E43*F43</f>
        <v>576</v>
      </c>
      <c r="H43" s="1">
        <v>1.1000000000000001</v>
      </c>
      <c r="I43" s="2">
        <f t="shared" ref="I43:I48" si="4">D43*G43*H43</f>
        <v>633.6</v>
      </c>
      <c r="J43" s="30"/>
    </row>
    <row r="44" spans="1:10" x14ac:dyDescent="0.3">
      <c r="A44" s="1"/>
      <c r="B44" s="1">
        <v>4</v>
      </c>
      <c r="C44" s="1" t="s">
        <v>69</v>
      </c>
      <c r="D44" s="1">
        <v>1</v>
      </c>
      <c r="E44" s="1">
        <v>20</v>
      </c>
      <c r="F44" s="1">
        <v>18.899999999999999</v>
      </c>
      <c r="G44" s="1">
        <f t="shared" si="3"/>
        <v>378</v>
      </c>
      <c r="H44" s="1">
        <v>1.1000000000000001</v>
      </c>
      <c r="I44" s="2">
        <f t="shared" si="4"/>
        <v>415.8</v>
      </c>
      <c r="J44" s="30"/>
    </row>
    <row r="45" spans="1:10" x14ac:dyDescent="0.3">
      <c r="A45" s="1"/>
      <c r="B45" s="1">
        <v>5</v>
      </c>
      <c r="C45" s="1" t="s">
        <v>70</v>
      </c>
      <c r="D45" s="1">
        <v>1</v>
      </c>
      <c r="E45" s="1">
        <v>24</v>
      </c>
      <c r="F45" s="1">
        <v>26.6</v>
      </c>
      <c r="G45" s="1">
        <f t="shared" si="3"/>
        <v>638.40000000000009</v>
      </c>
      <c r="H45" s="1">
        <v>1.1000000000000001</v>
      </c>
      <c r="I45" s="2">
        <f t="shared" si="4"/>
        <v>702.24000000000012</v>
      </c>
      <c r="J45" s="30"/>
    </row>
    <row r="46" spans="1:10" x14ac:dyDescent="0.3">
      <c r="A46" s="1"/>
      <c r="B46" s="1">
        <v>6</v>
      </c>
      <c r="C46" s="1" t="s">
        <v>71</v>
      </c>
      <c r="D46" s="1">
        <v>1</v>
      </c>
      <c r="E46" s="1">
        <v>24</v>
      </c>
      <c r="F46" s="1">
        <v>38.200000000000003</v>
      </c>
      <c r="G46" s="1">
        <f t="shared" si="3"/>
        <v>916.80000000000007</v>
      </c>
      <c r="H46" s="1">
        <v>1.1000000000000001</v>
      </c>
      <c r="I46" s="2">
        <f t="shared" si="4"/>
        <v>1008.4800000000001</v>
      </c>
      <c r="J46" s="30"/>
    </row>
    <row r="47" spans="1:10" x14ac:dyDescent="0.3">
      <c r="A47" s="1"/>
      <c r="B47" s="1"/>
      <c r="C47" s="1"/>
      <c r="D47" s="1"/>
      <c r="E47" s="1"/>
      <c r="F47" s="1"/>
      <c r="G47" s="1">
        <f t="shared" si="3"/>
        <v>0</v>
      </c>
      <c r="H47" s="1">
        <v>1.1000000000000001</v>
      </c>
      <c r="I47" s="2">
        <f t="shared" si="4"/>
        <v>0</v>
      </c>
      <c r="J47" s="30"/>
    </row>
    <row r="48" spans="1:10" x14ac:dyDescent="0.3">
      <c r="A48" s="1"/>
      <c r="B48" s="1"/>
      <c r="C48" s="1"/>
      <c r="D48" s="1"/>
      <c r="E48" s="1"/>
      <c r="F48" s="1"/>
      <c r="G48" s="1">
        <f t="shared" si="3"/>
        <v>0</v>
      </c>
      <c r="H48" s="1">
        <v>1.1000000000000001</v>
      </c>
      <c r="I48" s="2">
        <f t="shared" si="4"/>
        <v>0</v>
      </c>
      <c r="J48" s="30"/>
    </row>
    <row r="49" spans="1:10" ht="15" thickBot="1" x14ac:dyDescent="0.35">
      <c r="A49" s="1"/>
      <c r="B49" s="1"/>
      <c r="C49" s="1"/>
      <c r="D49" s="1"/>
      <c r="E49" s="1"/>
      <c r="F49" s="1"/>
      <c r="G49" s="1"/>
      <c r="H49" s="1"/>
      <c r="I49" s="13"/>
      <c r="J49" s="30"/>
    </row>
    <row r="50" spans="1:10" ht="15" thickBot="1" x14ac:dyDescent="0.35">
      <c r="A50" s="1"/>
      <c r="B50" s="31" t="s">
        <v>59</v>
      </c>
      <c r="C50" s="32"/>
      <c r="D50" s="32"/>
      <c r="E50" s="32"/>
      <c r="F50" s="32"/>
      <c r="G50" s="32"/>
      <c r="H50" s="32"/>
      <c r="I50" s="12">
        <f>SUM(I42:I49)</f>
        <v>3464.12</v>
      </c>
      <c r="J50" s="30"/>
    </row>
    <row r="52" spans="1:10" ht="43.2" x14ac:dyDescent="0.3">
      <c r="A52" s="11" t="s">
        <v>3</v>
      </c>
      <c r="B52" s="11" t="s">
        <v>4</v>
      </c>
      <c r="C52" s="11" t="s">
        <v>5</v>
      </c>
      <c r="D52" s="11" t="s">
        <v>10</v>
      </c>
      <c r="E52" s="11" t="s">
        <v>6</v>
      </c>
      <c r="F52" s="11" t="s">
        <v>7</v>
      </c>
      <c r="G52" s="11" t="s">
        <v>17</v>
      </c>
      <c r="H52" s="11" t="s">
        <v>8</v>
      </c>
      <c r="I52" s="11" t="s">
        <v>9</v>
      </c>
    </row>
    <row r="53" spans="1:10" x14ac:dyDescent="0.3">
      <c r="A53" s="1"/>
      <c r="B53" s="1"/>
      <c r="C53" s="1"/>
      <c r="D53" s="1"/>
      <c r="E53" s="1"/>
      <c r="F53" s="1"/>
      <c r="G53" s="1">
        <f>E53*F53</f>
        <v>0</v>
      </c>
      <c r="H53" s="1">
        <v>1.1000000000000001</v>
      </c>
      <c r="I53" s="1">
        <f>D53*G53*H53</f>
        <v>0</v>
      </c>
    </row>
    <row r="54" spans="1:10" ht="15" thickBot="1" x14ac:dyDescent="0.35">
      <c r="A54" s="1"/>
      <c r="B54" s="1"/>
      <c r="C54" s="1"/>
      <c r="D54" s="1"/>
      <c r="E54" s="1"/>
      <c r="F54" s="1"/>
      <c r="G54" s="1">
        <f>E54*F54</f>
        <v>0</v>
      </c>
      <c r="H54" s="1">
        <v>1.1000000000000001</v>
      </c>
      <c r="I54" s="1">
        <f>D54*G54*H54</f>
        <v>0</v>
      </c>
    </row>
    <row r="55" spans="1:10" ht="15" thickBot="1" x14ac:dyDescent="0.35">
      <c r="A55" s="1"/>
      <c r="B55" s="31"/>
      <c r="C55" s="32"/>
      <c r="D55" s="32"/>
      <c r="E55" s="32"/>
      <c r="F55" s="32"/>
      <c r="G55" s="32"/>
      <c r="H55" s="32"/>
      <c r="I55" s="14">
        <f>SUM(I53:I54)</f>
        <v>0</v>
      </c>
    </row>
  </sheetData>
  <mergeCells count="21">
    <mergeCell ref="K8:N20"/>
    <mergeCell ref="F1:H1"/>
    <mergeCell ref="F4:H4"/>
    <mergeCell ref="A1:B5"/>
    <mergeCell ref="I1:J5"/>
    <mergeCell ref="F5:H5"/>
    <mergeCell ref="C1:E1"/>
    <mergeCell ref="F2:H2"/>
    <mergeCell ref="B17:H17"/>
    <mergeCell ref="B24:H24"/>
    <mergeCell ref="C2:E2"/>
    <mergeCell ref="C3:E3"/>
    <mergeCell ref="C4:E4"/>
    <mergeCell ref="C5:E5"/>
    <mergeCell ref="A18:D18"/>
    <mergeCell ref="B38:H38"/>
    <mergeCell ref="B55:H55"/>
    <mergeCell ref="B50:H50"/>
    <mergeCell ref="F3:H3"/>
    <mergeCell ref="B33:H33"/>
    <mergeCell ref="A25:D2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39"/>
  <sheetViews>
    <sheetView topLeftCell="A7" zoomScale="118" zoomScaleNormal="118" workbookViewId="0">
      <selection activeCell="C16" sqref="C16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48"/>
      <c r="B1" s="49"/>
      <c r="C1" s="63" t="s">
        <v>2</v>
      </c>
      <c r="D1" s="64"/>
      <c r="E1" s="65"/>
      <c r="F1" s="34">
        <f>Hoja1!F1</f>
        <v>1</v>
      </c>
      <c r="G1" s="34"/>
      <c r="H1" s="34"/>
      <c r="I1" s="54" t="s">
        <v>18</v>
      </c>
      <c r="J1" s="55"/>
    </row>
    <row r="2" spans="1:10" ht="14.4" customHeight="1" x14ac:dyDescent="0.3">
      <c r="A2" s="50"/>
      <c r="B2" s="51"/>
      <c r="C2" s="38" t="s">
        <v>1</v>
      </c>
      <c r="D2" s="39"/>
      <c r="E2" s="40"/>
      <c r="F2" s="34" t="str">
        <f>Hoja1!F2</f>
        <v>lonchera en lona</v>
      </c>
      <c r="G2" s="34"/>
      <c r="H2" s="34"/>
      <c r="I2" s="56"/>
      <c r="J2" s="57"/>
    </row>
    <row r="3" spans="1:10" ht="14.4" customHeight="1" x14ac:dyDescent="0.3">
      <c r="A3" s="50"/>
      <c r="B3" s="51"/>
      <c r="C3" s="38" t="s">
        <v>0</v>
      </c>
      <c r="D3" s="39"/>
      <c r="E3" s="40"/>
      <c r="F3" s="34">
        <f>Hoja1!F3</f>
        <v>45012</v>
      </c>
      <c r="G3" s="34"/>
      <c r="H3" s="34"/>
      <c r="I3" s="56"/>
      <c r="J3" s="57"/>
    </row>
    <row r="4" spans="1:10" ht="14.4" customHeight="1" x14ac:dyDescent="0.3">
      <c r="A4" s="50"/>
      <c r="B4" s="51"/>
      <c r="C4" s="38" t="s">
        <v>19</v>
      </c>
      <c r="D4" s="39"/>
      <c r="E4" s="40"/>
      <c r="F4" s="34" t="str">
        <f>Hoja1!F4</f>
        <v>SENA</v>
      </c>
      <c r="G4" s="34"/>
      <c r="H4" s="34"/>
      <c r="I4" s="56"/>
      <c r="J4" s="57"/>
    </row>
    <row r="5" spans="1:10" ht="15" customHeight="1" thickBot="1" x14ac:dyDescent="0.35">
      <c r="A5" s="52"/>
      <c r="B5" s="53"/>
      <c r="C5" s="41" t="s">
        <v>20</v>
      </c>
      <c r="D5" s="42"/>
      <c r="E5" s="43"/>
      <c r="F5" s="68" t="str">
        <f>Hoja1!F5</f>
        <v>celda de pcc</v>
      </c>
      <c r="G5" s="68"/>
      <c r="H5" s="68"/>
      <c r="I5" s="58"/>
      <c r="J5" s="59"/>
    </row>
    <row r="6" spans="1:10" ht="6.6" customHeight="1" x14ac:dyDescent="0.3">
      <c r="A6" s="24"/>
      <c r="B6" s="24"/>
      <c r="C6" s="24"/>
      <c r="D6" s="24"/>
      <c r="E6" s="24"/>
      <c r="F6" s="24"/>
      <c r="G6" s="24"/>
      <c r="H6" s="24"/>
      <c r="I6" s="24"/>
      <c r="J6" s="24"/>
    </row>
    <row r="8" spans="1:10" ht="43.2" x14ac:dyDescent="0.3">
      <c r="A8" s="19" t="s">
        <v>21</v>
      </c>
      <c r="B8" s="19" t="s">
        <v>22</v>
      </c>
      <c r="C8" s="19" t="s">
        <v>23</v>
      </c>
      <c r="D8" s="19" t="s">
        <v>24</v>
      </c>
      <c r="E8" s="19" t="s">
        <v>38</v>
      </c>
      <c r="F8" s="17"/>
      <c r="H8" s="19" t="s">
        <v>3</v>
      </c>
      <c r="I8" s="19" t="s">
        <v>30</v>
      </c>
      <c r="J8" s="19" t="s">
        <v>31</v>
      </c>
    </row>
    <row r="9" spans="1:10" x14ac:dyDescent="0.3">
      <c r="A9" s="1" t="str">
        <f>Hoja1!A9</f>
        <v>lona sintetica</v>
      </c>
      <c r="B9" s="1" t="s">
        <v>25</v>
      </c>
      <c r="C9" s="2">
        <f>Hoja1!I17/140</f>
        <v>22.732285714285712</v>
      </c>
      <c r="D9" s="1">
        <f>J9/100</f>
        <v>0</v>
      </c>
      <c r="E9" s="18">
        <f>C9*D9</f>
        <v>0</v>
      </c>
      <c r="H9" s="23" t="str">
        <f>A9</f>
        <v>lona sintetica</v>
      </c>
      <c r="I9" s="23" t="s">
        <v>32</v>
      </c>
      <c r="J9" s="23">
        <v>0</v>
      </c>
    </row>
    <row r="10" spans="1:10" x14ac:dyDescent="0.3">
      <c r="A10" s="1" t="str">
        <f>Hoja1!A21</f>
        <v>yumbolon #3</v>
      </c>
      <c r="B10" s="1" t="s">
        <v>25</v>
      </c>
      <c r="C10" s="2">
        <f>Hoja1!I24/140</f>
        <v>9.1402142857142863</v>
      </c>
      <c r="D10" s="1">
        <f>J10/100</f>
        <v>0</v>
      </c>
      <c r="E10" s="18">
        <f t="shared" ref="E10:E12" si="0">C10*D10</f>
        <v>0</v>
      </c>
      <c r="H10" s="23" t="str">
        <f t="shared" ref="H10:H12" si="1">A10</f>
        <v>yumbolon #3</v>
      </c>
      <c r="I10" s="23" t="s">
        <v>32</v>
      </c>
      <c r="J10" s="23">
        <v>0</v>
      </c>
    </row>
    <row r="11" spans="1:10" x14ac:dyDescent="0.3">
      <c r="A11" s="1">
        <f>Hoja1!A31</f>
        <v>0</v>
      </c>
      <c r="B11" s="1" t="s">
        <v>25</v>
      </c>
      <c r="C11" s="2">
        <f>Hoja1!I33/70</f>
        <v>0</v>
      </c>
      <c r="D11" s="1">
        <f>J11/100</f>
        <v>0</v>
      </c>
      <c r="E11" s="18">
        <f t="shared" si="0"/>
        <v>0</v>
      </c>
      <c r="H11" s="23">
        <f t="shared" si="1"/>
        <v>0</v>
      </c>
      <c r="I11" s="23" t="s">
        <v>32</v>
      </c>
      <c r="J11" s="23">
        <v>0</v>
      </c>
    </row>
    <row r="12" spans="1:10" x14ac:dyDescent="0.3">
      <c r="A12" s="1">
        <f>Hoja1!A36</f>
        <v>0</v>
      </c>
      <c r="B12" s="1" t="s">
        <v>25</v>
      </c>
      <c r="C12" s="2">
        <f>Hoja1!I38/140</f>
        <v>0</v>
      </c>
      <c r="D12" s="1">
        <f t="shared" ref="D12:D14" si="2">J12/100</f>
        <v>0</v>
      </c>
      <c r="E12" s="18">
        <f t="shared" si="0"/>
        <v>0</v>
      </c>
      <c r="H12" s="23">
        <f t="shared" si="1"/>
        <v>0</v>
      </c>
      <c r="I12" s="23" t="s">
        <v>32</v>
      </c>
      <c r="J12" s="23">
        <v>0</v>
      </c>
    </row>
    <row r="13" spans="1:10" x14ac:dyDescent="0.3">
      <c r="A13" s="1" t="str">
        <f>Hoja1!A42</f>
        <v>seda 30100</v>
      </c>
      <c r="B13" s="1" t="s">
        <v>25</v>
      </c>
      <c r="C13" s="2">
        <f>Hoja1!I50/140</f>
        <v>24.743714285714287</v>
      </c>
      <c r="D13" s="1">
        <f t="shared" si="2"/>
        <v>0</v>
      </c>
      <c r="E13" s="18">
        <f t="shared" ref="E13:E23" si="3">C13*D13</f>
        <v>0</v>
      </c>
      <c r="H13" s="23" t="str">
        <f t="shared" ref="H13:H23" si="4">A13</f>
        <v>seda 30100</v>
      </c>
      <c r="I13" s="23" t="s">
        <v>32</v>
      </c>
      <c r="J13" s="23">
        <v>0</v>
      </c>
    </row>
    <row r="14" spans="1:10" x14ac:dyDescent="0.3">
      <c r="A14" s="1"/>
      <c r="B14" s="1" t="s">
        <v>25</v>
      </c>
      <c r="C14" s="2">
        <f>Hoja1!I55/140</f>
        <v>0</v>
      </c>
      <c r="D14" s="1">
        <f t="shared" si="2"/>
        <v>0</v>
      </c>
      <c r="E14" s="18">
        <f t="shared" si="3"/>
        <v>0</v>
      </c>
      <c r="H14" s="23">
        <f t="shared" si="4"/>
        <v>0</v>
      </c>
      <c r="I14" s="23" t="s">
        <v>32</v>
      </c>
      <c r="J14" s="23">
        <v>0</v>
      </c>
    </row>
    <row r="15" spans="1:10" x14ac:dyDescent="0.3">
      <c r="A15" s="1" t="s">
        <v>81</v>
      </c>
      <c r="B15" s="1" t="s">
        <v>25</v>
      </c>
      <c r="C15" s="1">
        <f>54+24</f>
        <v>78</v>
      </c>
      <c r="D15" s="1">
        <f t="shared" ref="D15" si="5">J15/100</f>
        <v>0</v>
      </c>
      <c r="E15" s="18">
        <f t="shared" si="3"/>
        <v>0</v>
      </c>
      <c r="H15" s="23" t="str">
        <f t="shared" si="4"/>
        <v>cremallera #6</v>
      </c>
      <c r="I15" s="23" t="s">
        <v>32</v>
      </c>
      <c r="J15" s="23">
        <v>0</v>
      </c>
    </row>
    <row r="16" spans="1:10" x14ac:dyDescent="0.3">
      <c r="A16" s="1" t="s">
        <v>78</v>
      </c>
      <c r="B16" s="1" t="s">
        <v>26</v>
      </c>
      <c r="C16" s="1">
        <v>2</v>
      </c>
      <c r="D16" s="1">
        <f>J16</f>
        <v>0</v>
      </c>
      <c r="E16" s="18">
        <f t="shared" si="3"/>
        <v>0</v>
      </c>
      <c r="H16" s="23" t="str">
        <f t="shared" si="4"/>
        <v>llave #6</v>
      </c>
      <c r="I16" s="23" t="s">
        <v>33</v>
      </c>
      <c r="J16" s="23">
        <v>0</v>
      </c>
    </row>
    <row r="17" spans="1:10" x14ac:dyDescent="0.3">
      <c r="A17" s="1" t="s">
        <v>79</v>
      </c>
      <c r="B17" s="1" t="s">
        <v>26</v>
      </c>
      <c r="C17" s="1">
        <v>1</v>
      </c>
      <c r="D17" s="1">
        <f>J17</f>
        <v>0</v>
      </c>
      <c r="E17" s="18">
        <f t="shared" si="3"/>
        <v>0</v>
      </c>
      <c r="H17" s="23" t="str">
        <f t="shared" si="4"/>
        <v>trabilla 1 1/2''</v>
      </c>
      <c r="I17" s="23" t="s">
        <v>33</v>
      </c>
      <c r="J17" s="23">
        <v>0</v>
      </c>
    </row>
    <row r="18" spans="1:10" x14ac:dyDescent="0.3">
      <c r="A18" s="1" t="s">
        <v>80</v>
      </c>
      <c r="B18" s="1" t="s">
        <v>26</v>
      </c>
      <c r="C18" s="1">
        <v>1</v>
      </c>
      <c r="D18" s="1">
        <f>J18</f>
        <v>0</v>
      </c>
      <c r="E18" s="18">
        <f t="shared" si="3"/>
        <v>0</v>
      </c>
      <c r="H18" s="23" t="str">
        <f t="shared" si="4"/>
        <v>cuadrante 1 1/2''</v>
      </c>
      <c r="I18" s="23" t="s">
        <v>33</v>
      </c>
      <c r="J18" s="23">
        <v>0</v>
      </c>
    </row>
    <row r="19" spans="1:10" x14ac:dyDescent="0.3">
      <c r="A19" s="1" t="s">
        <v>77</v>
      </c>
      <c r="B19" s="1" t="s">
        <v>25</v>
      </c>
      <c r="C19" s="1">
        <f>17+17+8+20+160</f>
        <v>222</v>
      </c>
      <c r="D19" s="1">
        <f>J19/100</f>
        <v>0</v>
      </c>
      <c r="E19" s="18">
        <f t="shared" si="3"/>
        <v>0</v>
      </c>
      <c r="H19" s="23" t="str">
        <f t="shared" si="4"/>
        <v>reata 1 1/2''</v>
      </c>
      <c r="I19" s="23" t="s">
        <v>32</v>
      </c>
      <c r="J19" s="23">
        <v>0</v>
      </c>
    </row>
    <row r="20" spans="1:10" x14ac:dyDescent="0.3">
      <c r="A20" s="1" t="s">
        <v>36</v>
      </c>
      <c r="B20" s="1" t="s">
        <v>28</v>
      </c>
      <c r="C20" s="2">
        <f>(Hoja1!G18+Hoja1!G25)*3/100</f>
        <v>26.078999999999997</v>
      </c>
      <c r="D20" s="2">
        <f>J20/3000</f>
        <v>0</v>
      </c>
      <c r="E20" s="18">
        <f t="shared" si="3"/>
        <v>0</v>
      </c>
      <c r="H20" s="23" t="str">
        <f t="shared" si="4"/>
        <v>hilo x 3000</v>
      </c>
      <c r="I20" s="23" t="s">
        <v>34</v>
      </c>
      <c r="J20" s="23">
        <v>0</v>
      </c>
    </row>
    <row r="21" spans="1:10" x14ac:dyDescent="0.3">
      <c r="A21" s="1" t="s">
        <v>37</v>
      </c>
      <c r="B21" s="1" t="s">
        <v>29</v>
      </c>
      <c r="C21" s="1">
        <v>58</v>
      </c>
      <c r="D21" s="1">
        <f>J21/3000</f>
        <v>0</v>
      </c>
      <c r="E21" s="18">
        <f t="shared" si="3"/>
        <v>0</v>
      </c>
      <c r="H21" s="23" t="str">
        <f t="shared" si="4"/>
        <v>pegante x 3000</v>
      </c>
      <c r="I21" s="23" t="s">
        <v>35</v>
      </c>
      <c r="J21" s="23">
        <v>0</v>
      </c>
    </row>
    <row r="22" spans="1:10" x14ac:dyDescent="0.3">
      <c r="A22" s="1" t="s">
        <v>27</v>
      </c>
      <c r="B22" s="1"/>
      <c r="C22" s="1">
        <v>1</v>
      </c>
      <c r="D22" s="1">
        <v>0</v>
      </c>
      <c r="E22" s="18">
        <f t="shared" si="3"/>
        <v>0</v>
      </c>
      <c r="H22" s="23" t="str">
        <f t="shared" si="4"/>
        <v>mano de obra</v>
      </c>
      <c r="I22" s="23"/>
      <c r="J22" s="23">
        <v>0</v>
      </c>
    </row>
    <row r="23" spans="1:10" x14ac:dyDescent="0.3">
      <c r="A23" s="1" t="s">
        <v>42</v>
      </c>
      <c r="B23" s="1" t="s">
        <v>33</v>
      </c>
      <c r="C23" s="1">
        <v>1</v>
      </c>
      <c r="D23" s="1">
        <f>J23</f>
        <v>0</v>
      </c>
      <c r="E23" s="18">
        <f t="shared" si="3"/>
        <v>0</v>
      </c>
      <c r="H23" s="23" t="str">
        <f t="shared" si="4"/>
        <v>empaque</v>
      </c>
      <c r="I23" s="23"/>
      <c r="J23" s="23">
        <v>0</v>
      </c>
    </row>
    <row r="24" spans="1:10" x14ac:dyDescent="0.3">
      <c r="A24" s="69" t="s">
        <v>39</v>
      </c>
      <c r="B24" s="69"/>
      <c r="C24" s="69"/>
      <c r="D24" s="69"/>
      <c r="E24" s="21">
        <f>SUM(E9:E22)</f>
        <v>0</v>
      </c>
    </row>
    <row r="25" spans="1:10" x14ac:dyDescent="0.3">
      <c r="A25" s="70" t="s">
        <v>40</v>
      </c>
      <c r="B25" s="70"/>
      <c r="C25" s="20">
        <v>0</v>
      </c>
      <c r="D25" s="1"/>
      <c r="E25" s="18">
        <f>E24*C25</f>
        <v>0</v>
      </c>
    </row>
    <row r="26" spans="1:10" ht="14.4" customHeight="1" x14ac:dyDescent="0.3">
      <c r="A26" s="70" t="s">
        <v>41</v>
      </c>
      <c r="B26" s="70"/>
      <c r="C26" s="20">
        <v>0</v>
      </c>
      <c r="D26" s="1"/>
      <c r="E26" s="18">
        <f>E24*C26</f>
        <v>0</v>
      </c>
      <c r="G26" s="67" t="s">
        <v>45</v>
      </c>
      <c r="H26" s="67" t="s">
        <v>46</v>
      </c>
      <c r="I26" s="67"/>
      <c r="J26" s="67"/>
    </row>
    <row r="27" spans="1:10" x14ac:dyDescent="0.3">
      <c r="A27" s="70" t="s">
        <v>43</v>
      </c>
      <c r="B27" s="70"/>
      <c r="C27" s="20">
        <v>0</v>
      </c>
      <c r="D27" s="1"/>
      <c r="E27" s="18">
        <f>E24*C27</f>
        <v>0</v>
      </c>
      <c r="G27" s="67"/>
      <c r="H27" s="67"/>
      <c r="I27" s="67"/>
      <c r="J27" s="67"/>
    </row>
    <row r="28" spans="1:10" x14ac:dyDescent="0.3">
      <c r="A28" s="31" t="s">
        <v>44</v>
      </c>
      <c r="B28" s="32"/>
      <c r="C28" s="32"/>
      <c r="D28" s="66"/>
      <c r="E28" s="22">
        <f>SUM(E24:E27)</f>
        <v>0</v>
      </c>
      <c r="G28" s="67"/>
      <c r="H28" s="67"/>
      <c r="I28" s="67"/>
      <c r="J28" s="67"/>
    </row>
    <row r="31" spans="1:10" x14ac:dyDescent="0.3">
      <c r="A31" s="1" t="s">
        <v>47</v>
      </c>
      <c r="B31" s="1" t="s">
        <v>56</v>
      </c>
    </row>
    <row r="32" spans="1:10" x14ac:dyDescent="0.3">
      <c r="A32" s="1" t="s">
        <v>48</v>
      </c>
      <c r="B32" s="1" t="s">
        <v>61</v>
      </c>
    </row>
    <row r="33" spans="1:2" x14ac:dyDescent="0.3">
      <c r="A33" s="1" t="s">
        <v>49</v>
      </c>
      <c r="B33" s="1">
        <v>110</v>
      </c>
    </row>
    <row r="34" spans="1:2" x14ac:dyDescent="0.3">
      <c r="A34" s="1" t="s">
        <v>50</v>
      </c>
      <c r="B34" s="1" t="s">
        <v>62</v>
      </c>
    </row>
    <row r="35" spans="1:2" x14ac:dyDescent="0.3">
      <c r="A35" s="1" t="s">
        <v>51</v>
      </c>
      <c r="B35" s="1" t="s">
        <v>57</v>
      </c>
    </row>
    <row r="36" spans="1:2" x14ac:dyDescent="0.3">
      <c r="A36" s="1" t="s">
        <v>52</v>
      </c>
      <c r="B36" s="25"/>
    </row>
    <row r="37" spans="1:2" x14ac:dyDescent="0.3">
      <c r="A37" s="1" t="s">
        <v>55</v>
      </c>
      <c r="B37" s="25"/>
    </row>
    <row r="38" spans="1:2" x14ac:dyDescent="0.3">
      <c r="A38" s="1" t="s">
        <v>53</v>
      </c>
      <c r="B38" s="25"/>
    </row>
    <row r="39" spans="1:2" x14ac:dyDescent="0.3">
      <c r="A39" s="1" t="s">
        <v>54</v>
      </c>
      <c r="B39" s="25"/>
    </row>
  </sheetData>
  <mergeCells count="19">
    <mergeCell ref="A28:D28"/>
    <mergeCell ref="G26:G28"/>
    <mergeCell ref="H26:J28"/>
    <mergeCell ref="A1:B5"/>
    <mergeCell ref="C1:E1"/>
    <mergeCell ref="C2:E2"/>
    <mergeCell ref="C3:E3"/>
    <mergeCell ref="C4:E4"/>
    <mergeCell ref="F5:H5"/>
    <mergeCell ref="A24:D24"/>
    <mergeCell ref="A25:B25"/>
    <mergeCell ref="A26:B26"/>
    <mergeCell ref="A27:B27"/>
    <mergeCell ref="C5:E5"/>
    <mergeCell ref="F1:H1"/>
    <mergeCell ref="I1:J5"/>
    <mergeCell ref="F2:H2"/>
    <mergeCell ref="F3:H3"/>
    <mergeCell ref="F4:H4"/>
  </mergeCells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2023-03-27T12:56:39Z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