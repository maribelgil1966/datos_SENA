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na4-my.sharepoint.com/personal/jperez_sena_edu_co/Documents/Escritorio/AÑO 2023/2023/PEDIDOS 2023/MARIBEL GIL/MARZO/lonchera 001/"/>
    </mc:Choice>
  </mc:AlternateContent>
  <xr:revisionPtr revIDLastSave="3" documentId="8_{7BA9AFD4-B4C2-4E4A-9050-5ECE511A206B}" xr6:coauthVersionLast="47" xr6:coauthVersionMax="47" xr10:uidLastSave="{6593AF9B-BF43-4B0B-B5C1-AF73B1C1EA50}"/>
  <bookViews>
    <workbookView xWindow="-120" yWindow="-120" windowWidth="29040" windowHeight="15840" firstSheet="2" activeTab="2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6" r:id="rId4"/>
    <sheet name="INVENTARIO" sheetId="4" r:id="rId5"/>
    <sheet name="Hoja3" sheetId="5" state="hidden" r:id="rId6"/>
  </sheets>
  <externalReferences>
    <externalReference r:id="rId7"/>
  </externalReferences>
  <definedNames>
    <definedName name="_xlnm._FilterDatabase" localSheetId="0" hidden="1">consumos!$A$76:$A$124</definedName>
    <definedName name="_xlnm._FilterDatabase" localSheetId="4" hidden="1">INVENTARIO!$A$1:$C$145</definedName>
    <definedName name="_xlnm._FilterDatabase" localSheetId="2" hidden="1">PEDIDO!$U$3:$X$44</definedName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 hidden="1">consumos!$B:$C,consumos!$G:$I</definedName>
    <definedName name="Z_0F6C7FCE_20BD_4B57_B04C_CA521EC9CEDE_.wvu.Cols" localSheetId="2" hidden="1">PEDIDO!#REF!,PEDIDO!$I:$I</definedName>
    <definedName name="Z_0F6C7FCE_20BD_4B57_B04C_CA521EC9CEDE_.wvu.FilterData" localSheetId="0" hidden="1">consumos!$A$7:$F$58</definedName>
    <definedName name="Z_0F6C7FCE_20BD_4B57_B04C_CA521EC9CEDE_.wvu.FilterData" localSheetId="4" hidden="1">INVENTARIO!$A$1:$C$145</definedName>
    <definedName name="Z_0F6C7FCE_20BD_4B57_B04C_CA521EC9CEDE_.wvu.FilterData" localSheetId="2" hidden="1">PEDIDO!$U$3:$X$44</definedName>
    <definedName name="Z_0F6C7FCE_20BD_4B57_B04C_CA521EC9CEDE_.wvu.Rows" localSheetId="0" hidden="1">consumos!$6:$6</definedName>
  </definedNames>
  <calcPr calcId="191028"/>
  <customWorkbookViews>
    <customWorkbookView name="PC - Vista personalizada" guid="{0F6C7FCE-20BD-4B57-B04C-CA521EC9CED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6" i="1" s="1"/>
  <c r="B17" i="1"/>
  <c r="C17" i="1" s="1"/>
  <c r="B18" i="1"/>
  <c r="C18" i="1" s="1"/>
  <c r="B19" i="1"/>
  <c r="C19" i="1" s="1"/>
  <c r="C13" i="3" l="1"/>
  <c r="B30" i="6" s="1"/>
  <c r="C30" i="6" s="1"/>
  <c r="C14" i="3"/>
  <c r="B31" i="6" s="1"/>
  <c r="C31" i="6" s="1"/>
  <c r="D31" i="6" s="1"/>
  <c r="C15" i="3"/>
  <c r="B32" i="6" s="1"/>
  <c r="C32" i="6" s="1"/>
  <c r="C16" i="3"/>
  <c r="B33" i="6" s="1"/>
  <c r="C33" i="6" s="1"/>
  <c r="E16" i="3" s="1"/>
  <c r="C17" i="3"/>
  <c r="B34" i="6" s="1"/>
  <c r="C34" i="6" s="1"/>
  <c r="C18" i="3"/>
  <c r="B35" i="6" s="1"/>
  <c r="C35" i="6" s="1"/>
  <c r="D35" i="6" s="1"/>
  <c r="C19" i="3"/>
  <c r="B36" i="6"/>
  <c r="C36" i="6" s="1"/>
  <c r="C20" i="3"/>
  <c r="B37" i="6" s="1"/>
  <c r="C37" i="6" s="1"/>
  <c r="C21" i="3"/>
  <c r="B38" i="6" s="1"/>
  <c r="C38" i="6" s="1"/>
  <c r="C22" i="3"/>
  <c r="B39" i="6" s="1"/>
  <c r="C39" i="6" s="1"/>
  <c r="D39" i="6" s="1"/>
  <c r="C23" i="3"/>
  <c r="B40" i="6" s="1"/>
  <c r="C40" i="6" s="1"/>
  <c r="C24" i="3"/>
  <c r="B41" i="6" s="1"/>
  <c r="C41" i="6" s="1"/>
  <c r="E41" i="6" s="1"/>
  <c r="G41" i="6" s="1"/>
  <c r="C25" i="3"/>
  <c r="B42" i="6" s="1"/>
  <c r="C42" i="6" s="1"/>
  <c r="C26" i="3"/>
  <c r="B43" i="6" s="1"/>
  <c r="C43" i="6" s="1"/>
  <c r="E26" i="3" s="1"/>
  <c r="C27" i="3"/>
  <c r="B44" i="6" s="1"/>
  <c r="C44" i="6" s="1"/>
  <c r="C28" i="3"/>
  <c r="B45" i="6" s="1"/>
  <c r="C45" i="6" s="1"/>
  <c r="E28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D4" i="3"/>
  <c r="H4" i="3" s="1"/>
  <c r="D16" i="3"/>
  <c r="J16" i="3" s="1"/>
  <c r="D1" i="3"/>
  <c r="C17" i="6"/>
  <c r="E17" i="6" s="1"/>
  <c r="G17" i="6" s="1"/>
  <c r="C16" i="6"/>
  <c r="E16" i="6" s="1"/>
  <c r="G16" i="6" s="1"/>
  <c r="C15" i="6"/>
  <c r="E15" i="6" s="1"/>
  <c r="G15" i="6" s="1"/>
  <c r="C14" i="6"/>
  <c r="D14" i="6" s="1"/>
  <c r="C11" i="6"/>
  <c r="D11" i="6" s="1"/>
  <c r="C10" i="6"/>
  <c r="E10" i="6" s="1"/>
  <c r="G10" i="6" s="1"/>
  <c r="C9" i="6"/>
  <c r="D9" i="6" s="1"/>
  <c r="C8" i="6"/>
  <c r="D8" i="6" s="1"/>
  <c r="C5" i="6"/>
  <c r="D5" i="6" s="1"/>
  <c r="C4" i="6"/>
  <c r="E4" i="6" s="1"/>
  <c r="G4" i="6" s="1"/>
  <c r="C3" i="6"/>
  <c r="E3" i="6" s="1"/>
  <c r="G3" i="6" s="1"/>
  <c r="B8" i="1"/>
  <c r="C8" i="1" s="1"/>
  <c r="E34" i="1" s="1"/>
  <c r="G34" i="1" s="1"/>
  <c r="A1" i="3"/>
  <c r="B1" i="3"/>
  <c r="C1" i="3"/>
  <c r="D2" i="3"/>
  <c r="C2" i="3"/>
  <c r="B2" i="3"/>
  <c r="A2" i="3"/>
  <c r="D5" i="3"/>
  <c r="J5" i="3" s="1"/>
  <c r="D6" i="3"/>
  <c r="J6" i="3" s="1"/>
  <c r="D7" i="3"/>
  <c r="J7" i="3" s="1"/>
  <c r="D8" i="3"/>
  <c r="D9" i="3"/>
  <c r="J9" i="3" s="1"/>
  <c r="D10" i="3"/>
  <c r="J10" i="3" s="1"/>
  <c r="D11" i="3"/>
  <c r="D12" i="3"/>
  <c r="J12" i="3" s="1"/>
  <c r="D13" i="3"/>
  <c r="J13" i="3" s="1"/>
  <c r="D14" i="3"/>
  <c r="J14" i="3" s="1"/>
  <c r="D15" i="3"/>
  <c r="J15" i="3" s="1"/>
  <c r="D17" i="3"/>
  <c r="J17" i="3" s="1"/>
  <c r="D18" i="3"/>
  <c r="J18" i="3" s="1"/>
  <c r="D19" i="3"/>
  <c r="D20" i="3"/>
  <c r="J20" i="3" s="1"/>
  <c r="D21" i="3"/>
  <c r="J21" i="3" s="1"/>
  <c r="D22" i="3"/>
  <c r="J22" i="3" s="1"/>
  <c r="D23" i="3"/>
  <c r="J23" i="3" s="1"/>
  <c r="D24" i="3"/>
  <c r="H24" i="3" s="1"/>
  <c r="D25" i="3"/>
  <c r="J25" i="3" s="1"/>
  <c r="D26" i="3"/>
  <c r="J26" i="3" s="1"/>
  <c r="D27" i="3"/>
  <c r="J27" i="3" s="1"/>
  <c r="D28" i="3"/>
  <c r="U43" i="3"/>
  <c r="K31" i="3"/>
  <c r="E76" i="1"/>
  <c r="K32" i="3"/>
  <c r="K33" i="3"/>
  <c r="K34" i="3"/>
  <c r="K35" i="3"/>
  <c r="K36" i="3"/>
  <c r="K37" i="3"/>
  <c r="K38" i="3"/>
  <c r="K39" i="3"/>
  <c r="K40" i="3"/>
  <c r="K41" i="3"/>
  <c r="K42" i="3"/>
  <c r="K43" i="3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U45" i="3"/>
  <c r="U46" i="3"/>
  <c r="U47" i="3"/>
  <c r="U48" i="3"/>
  <c r="U49" i="3"/>
  <c r="U50" i="3"/>
  <c r="U5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4" i="3"/>
  <c r="U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6" i="3"/>
  <c r="B23" i="6" s="1"/>
  <c r="C23" i="6" s="1"/>
  <c r="C7" i="3"/>
  <c r="B24" i="6" s="1"/>
  <c r="C24" i="6" s="1"/>
  <c r="C8" i="3"/>
  <c r="B25" i="6" s="1"/>
  <c r="C25" i="6" s="1"/>
  <c r="E8" i="3" s="1"/>
  <c r="C9" i="3"/>
  <c r="B26" i="6" s="1"/>
  <c r="C26" i="6" s="1"/>
  <c r="C10" i="3"/>
  <c r="B27" i="6" s="1"/>
  <c r="C27" i="6" s="1"/>
  <c r="C11" i="3"/>
  <c r="B28" i="6" s="1"/>
  <c r="C28" i="6" s="1"/>
  <c r="E28" i="6" s="1"/>
  <c r="G28" i="6" s="1"/>
  <c r="C12" i="3"/>
  <c r="B29" i="6" s="1"/>
  <c r="C29" i="6" s="1"/>
  <c r="E20" i="3"/>
  <c r="E24" i="3"/>
  <c r="C5" i="3"/>
  <c r="B22" i="6" s="1"/>
  <c r="C22" i="6" s="1"/>
  <c r="E5" i="3" s="1"/>
  <c r="C4" i="3"/>
  <c r="B21" i="6" s="1"/>
  <c r="C21" i="6" s="1"/>
  <c r="E21" i="6" s="1"/>
  <c r="G21" i="6" s="1"/>
  <c r="B4" i="3"/>
  <c r="K29" i="3"/>
  <c r="F2" i="3"/>
  <c r="B9" i="1"/>
  <c r="C9" i="1" s="1"/>
  <c r="E35" i="1" s="1"/>
  <c r="G35" i="1" s="1"/>
  <c r="B10" i="1"/>
  <c r="C10" i="1" s="1"/>
  <c r="E36" i="1" s="1"/>
  <c r="G36" i="1" s="1"/>
  <c r="B11" i="1"/>
  <c r="C11" i="1" s="1"/>
  <c r="E37" i="1" s="1"/>
  <c r="G37" i="1" s="1"/>
  <c r="B12" i="1"/>
  <c r="C12" i="1" s="1"/>
  <c r="E38" i="1" s="1"/>
  <c r="G38" i="1" s="1"/>
  <c r="B13" i="1"/>
  <c r="C13" i="1" s="1"/>
  <c r="E39" i="1" s="1"/>
  <c r="G39" i="1" s="1"/>
  <c r="B14" i="1"/>
  <c r="C14" i="1" s="1"/>
  <c r="E40" i="1" s="1"/>
  <c r="G40" i="1" s="1"/>
  <c r="B15" i="1"/>
  <c r="C15" i="1" s="1"/>
  <c r="E41" i="1" s="1"/>
  <c r="G41" i="1" s="1"/>
  <c r="E42" i="1"/>
  <c r="G42" i="1" s="1"/>
  <c r="F43" i="1"/>
  <c r="F44" i="1"/>
  <c r="E45" i="1"/>
  <c r="G45" i="1" s="1"/>
  <c r="B20" i="1"/>
  <c r="F46" i="1" s="1"/>
  <c r="B21" i="1"/>
  <c r="F47" i="1" s="1"/>
  <c r="C22" i="1"/>
  <c r="E48" i="1" s="1"/>
  <c r="G48" i="1" s="1"/>
  <c r="F22" i="1" s="1"/>
  <c r="F48" i="1"/>
  <c r="B23" i="1"/>
  <c r="F49" i="1" s="1"/>
  <c r="B24" i="1"/>
  <c r="C24" i="1" s="1"/>
  <c r="E50" i="1" s="1"/>
  <c r="G50" i="1" s="1"/>
  <c r="B25" i="1"/>
  <c r="F51" i="1" s="1"/>
  <c r="B26" i="1"/>
  <c r="B27" i="1"/>
  <c r="F53" i="1" s="1"/>
  <c r="B28" i="1"/>
  <c r="F54" i="1" s="1"/>
  <c r="B29" i="1"/>
  <c r="F55" i="1" s="1"/>
  <c r="B30" i="1"/>
  <c r="F56" i="1" s="1"/>
  <c r="B31" i="1"/>
  <c r="F57" i="1" s="1"/>
  <c r="B32" i="1"/>
  <c r="C32" i="1" s="1"/>
  <c r="E58" i="1" s="1"/>
  <c r="G58" i="1" s="1"/>
  <c r="H58" i="1"/>
  <c r="H57" i="1"/>
  <c r="H56" i="1"/>
  <c r="H55" i="1"/>
  <c r="H54" i="1"/>
  <c r="H53" i="1"/>
  <c r="H52" i="1"/>
  <c r="H51" i="1"/>
  <c r="H50" i="1"/>
  <c r="F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V4" i="3"/>
  <c r="W4" i="3" s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4" i="1"/>
  <c r="A34" i="1"/>
  <c r="A4" i="3" s="1"/>
  <c r="A35" i="1"/>
  <c r="A5" i="3" s="1"/>
  <c r="E26" i="5"/>
  <c r="E30" i="5"/>
  <c r="E19" i="5"/>
  <c r="E20" i="5"/>
  <c r="E21" i="5"/>
  <c r="E22" i="5"/>
  <c r="E23" i="5"/>
  <c r="E24" i="5"/>
  <c r="E25" i="5"/>
  <c r="E27" i="5"/>
  <c r="E28" i="5"/>
  <c r="E29" i="5"/>
  <c r="E7" i="5"/>
  <c r="E18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3" i="5"/>
  <c r="A50" i="1"/>
  <c r="A20" i="3" s="1"/>
  <c r="A51" i="1"/>
  <c r="A21" i="3" s="1"/>
  <c r="A52" i="1"/>
  <c r="A22" i="3" s="1"/>
  <c r="A53" i="1"/>
  <c r="A23" i="3" s="1"/>
  <c r="A54" i="1"/>
  <c r="A24" i="3" s="1"/>
  <c r="A55" i="1"/>
  <c r="A25" i="3" s="1"/>
  <c r="A56" i="1"/>
  <c r="A26" i="3" s="1"/>
  <c r="A57" i="1"/>
  <c r="A27" i="3" s="1"/>
  <c r="A58" i="1"/>
  <c r="A28" i="3" s="1"/>
  <c r="A46" i="1"/>
  <c r="A16" i="3" s="1"/>
  <c r="A47" i="1"/>
  <c r="A17" i="3" s="1"/>
  <c r="A48" i="1"/>
  <c r="A18" i="3" s="1"/>
  <c r="A49" i="1"/>
  <c r="A19" i="3" s="1"/>
  <c r="A36" i="1"/>
  <c r="A6" i="3" s="1"/>
  <c r="A37" i="1"/>
  <c r="A7" i="3" s="1"/>
  <c r="A38" i="1"/>
  <c r="A8" i="3" s="1"/>
  <c r="A39" i="1"/>
  <c r="A9" i="3" s="1"/>
  <c r="A40" i="1"/>
  <c r="A10" i="3" s="1"/>
  <c r="A41" i="1"/>
  <c r="A11" i="3" s="1"/>
  <c r="A42" i="1"/>
  <c r="A12" i="3" s="1"/>
  <c r="A43" i="1"/>
  <c r="A13" i="3" s="1"/>
  <c r="A44" i="1"/>
  <c r="A14" i="3" s="1"/>
  <c r="A45" i="1"/>
  <c r="A15" i="3" s="1"/>
  <c r="E37" i="6"/>
  <c r="G37" i="6" s="1"/>
  <c r="D17" i="6"/>
  <c r="E9" i="6"/>
  <c r="G9" i="6" s="1"/>
  <c r="E11" i="6"/>
  <c r="G11" i="6" s="1"/>
  <c r="D4" i="6"/>
  <c r="D37" i="6"/>
  <c r="D33" i="6"/>
  <c r="E43" i="6"/>
  <c r="G43" i="6" s="1"/>
  <c r="C2" i="6"/>
  <c r="D2" i="6" s="1"/>
  <c r="F45" i="1"/>
  <c r="C25" i="1"/>
  <c r="E51" i="1" s="1"/>
  <c r="G51" i="1" s="1"/>
  <c r="C21" i="1" l="1"/>
  <c r="E47" i="1" s="1"/>
  <c r="G47" i="1" s="1"/>
  <c r="F21" i="1" s="1"/>
  <c r="G21" i="1" s="1"/>
  <c r="I47" i="1" s="1"/>
  <c r="C27" i="1"/>
  <c r="E53" i="1" s="1"/>
  <c r="G53" i="1" s="1"/>
  <c r="D3" i="6"/>
  <c r="D15" i="6"/>
  <c r="D28" i="6"/>
  <c r="H23" i="3"/>
  <c r="E11" i="3"/>
  <c r="E23" i="3"/>
  <c r="D40" i="6"/>
  <c r="D22" i="6"/>
  <c r="F58" i="1"/>
  <c r="F32" i="1" s="1"/>
  <c r="E2" i="6"/>
  <c r="G2" i="6" s="1"/>
  <c r="E35" i="6"/>
  <c r="G35" i="6" s="1"/>
  <c r="D43" i="6"/>
  <c r="D41" i="6"/>
  <c r="D45" i="6"/>
  <c r="E14" i="6"/>
  <c r="G14" i="6" s="1"/>
  <c r="E18" i="3"/>
  <c r="H19" i="3"/>
  <c r="E14" i="3"/>
  <c r="E44" i="1"/>
  <c r="G44" i="1" s="1"/>
  <c r="F18" i="1" s="1"/>
  <c r="G18" i="1" s="1"/>
  <c r="I44" i="1" s="1"/>
  <c r="E43" i="1"/>
  <c r="G43" i="1" s="1"/>
  <c r="F17" i="1" s="1"/>
  <c r="G17" i="1" s="1"/>
  <c r="I43" i="1" s="1"/>
  <c r="H12" i="3"/>
  <c r="F41" i="1"/>
  <c r="F15" i="1" s="1"/>
  <c r="G15" i="1" s="1"/>
  <c r="I41" i="1" s="1"/>
  <c r="H15" i="3"/>
  <c r="H13" i="3"/>
  <c r="J24" i="3"/>
  <c r="E21" i="3"/>
  <c r="D38" i="6"/>
  <c r="E38" i="6"/>
  <c r="G38" i="6" s="1"/>
  <c r="F25" i="1"/>
  <c r="H25" i="1" s="1"/>
  <c r="F21" i="3" s="1"/>
  <c r="E31" i="5"/>
  <c r="E22" i="6"/>
  <c r="G22" i="6" s="1"/>
  <c r="F19" i="1"/>
  <c r="G19" i="1" s="1"/>
  <c r="I45" i="1" s="1"/>
  <c r="E39" i="6"/>
  <c r="G39" i="6" s="1"/>
  <c r="E40" i="6"/>
  <c r="G40" i="6" s="1"/>
  <c r="E45" i="6"/>
  <c r="G45" i="6" s="1"/>
  <c r="D16" i="6"/>
  <c r="D10" i="6"/>
  <c r="E33" i="6"/>
  <c r="G33" i="6" s="1"/>
  <c r="C23" i="1"/>
  <c r="E49" i="1" s="1"/>
  <c r="G49" i="1" s="1"/>
  <c r="F23" i="1" s="1"/>
  <c r="G23" i="1" s="1"/>
  <c r="I49" i="1" s="1"/>
  <c r="F24" i="1"/>
  <c r="G24" i="1" s="1"/>
  <c r="I50" i="1" s="1"/>
  <c r="C28" i="1"/>
  <c r="E54" i="1" s="1"/>
  <c r="G54" i="1" s="1"/>
  <c r="F28" i="1" s="1"/>
  <c r="H28" i="1" s="1"/>
  <c r="F24" i="3" s="1"/>
  <c r="E22" i="3"/>
  <c r="J4" i="3"/>
  <c r="H10" i="3"/>
  <c r="H7" i="3"/>
  <c r="D23" i="6"/>
  <c r="E23" i="6"/>
  <c r="G23" i="6" s="1"/>
  <c r="D21" i="6"/>
  <c r="E4" i="3"/>
  <c r="H20" i="3"/>
  <c r="J19" i="3"/>
  <c r="F39" i="1"/>
  <c r="F13" i="1" s="1"/>
  <c r="H13" i="1" s="1"/>
  <c r="F9" i="3" s="1"/>
  <c r="F38" i="1"/>
  <c r="F12" i="1" s="1"/>
  <c r="H12" i="1" s="1"/>
  <c r="F8" i="3" s="1"/>
  <c r="D27" i="6"/>
  <c r="E27" i="6"/>
  <c r="G27" i="6" s="1"/>
  <c r="E10" i="3"/>
  <c r="E9" i="3"/>
  <c r="D26" i="6"/>
  <c r="E26" i="6"/>
  <c r="G26" i="6" s="1"/>
  <c r="E17" i="3"/>
  <c r="D34" i="6"/>
  <c r="E34" i="6"/>
  <c r="G34" i="6" s="1"/>
  <c r="E25" i="3"/>
  <c r="D42" i="6"/>
  <c r="E42" i="6"/>
  <c r="G42" i="6" s="1"/>
  <c r="E15" i="3"/>
  <c r="D32" i="6"/>
  <c r="E32" i="6"/>
  <c r="G32" i="6" s="1"/>
  <c r="E13" i="3"/>
  <c r="D30" i="6"/>
  <c r="E30" i="6"/>
  <c r="G30" i="6" s="1"/>
  <c r="C20" i="1"/>
  <c r="E46" i="1" s="1"/>
  <c r="G46" i="1" s="1"/>
  <c r="F20" i="1" s="1"/>
  <c r="H20" i="1" s="1"/>
  <c r="F16" i="3" s="1"/>
  <c r="C30" i="1"/>
  <c r="E56" i="1" s="1"/>
  <c r="G56" i="1" s="1"/>
  <c r="F30" i="1" s="1"/>
  <c r="H30" i="1" s="1"/>
  <c r="F26" i="3" s="1"/>
  <c r="F37" i="1"/>
  <c r="F11" i="1" s="1"/>
  <c r="G11" i="1" s="1"/>
  <c r="I37" i="1" s="1"/>
  <c r="H26" i="3"/>
  <c r="H18" i="3"/>
  <c r="H25" i="3"/>
  <c r="H17" i="3"/>
  <c r="H5" i="3"/>
  <c r="F35" i="1"/>
  <c r="F9" i="1" s="1"/>
  <c r="G9" i="1" s="1"/>
  <c r="I35" i="1" s="1"/>
  <c r="H16" i="3"/>
  <c r="C31" i="1"/>
  <c r="E57" i="1" s="1"/>
  <c r="G57" i="1" s="1"/>
  <c r="F31" i="1" s="1"/>
  <c r="H27" i="3"/>
  <c r="F42" i="1"/>
  <c r="F16" i="1" s="1"/>
  <c r="H16" i="1" s="1"/>
  <c r="F12" i="3" s="1"/>
  <c r="E5" i="6"/>
  <c r="G5" i="6" s="1"/>
  <c r="H21" i="3"/>
  <c r="C29" i="1"/>
  <c r="E55" i="1" s="1"/>
  <c r="G55" i="1" s="1"/>
  <c r="F29" i="1" s="1"/>
  <c r="G29" i="1" s="1"/>
  <c r="I55" i="1" s="1"/>
  <c r="H22" i="3"/>
  <c r="H14" i="3"/>
  <c r="G22" i="1"/>
  <c r="I48" i="1" s="1"/>
  <c r="H22" i="1"/>
  <c r="F18" i="3" s="1"/>
  <c r="D24" i="6"/>
  <c r="E7" i="3"/>
  <c r="E24" i="6"/>
  <c r="G24" i="6" s="1"/>
  <c r="E27" i="3"/>
  <c r="E44" i="6"/>
  <c r="G44" i="6" s="1"/>
  <c r="D44" i="6"/>
  <c r="E19" i="3"/>
  <c r="D36" i="6"/>
  <c r="E36" i="6"/>
  <c r="G36" i="6" s="1"/>
  <c r="E29" i="6"/>
  <c r="G29" i="6" s="1"/>
  <c r="E12" i="3"/>
  <c r="D29" i="6"/>
  <c r="G25" i="1"/>
  <c r="I51" i="1" s="1"/>
  <c r="D25" i="6"/>
  <c r="F40" i="1"/>
  <c r="F14" i="1" s="1"/>
  <c r="H28" i="3"/>
  <c r="J28" i="3"/>
  <c r="J11" i="3"/>
  <c r="H11" i="3"/>
  <c r="E8" i="6"/>
  <c r="G8" i="6" s="1"/>
  <c r="J8" i="3"/>
  <c r="H8" i="3"/>
  <c r="H6" i="3"/>
  <c r="E31" i="6"/>
  <c r="G31" i="6" s="1"/>
  <c r="C26" i="1"/>
  <c r="E52" i="1" s="1"/>
  <c r="G52" i="1" s="1"/>
  <c r="F52" i="1"/>
  <c r="F36" i="1"/>
  <c r="F10" i="1" s="1"/>
  <c r="F34" i="1"/>
  <c r="F8" i="1" s="1"/>
  <c r="H9" i="3"/>
  <c r="E25" i="6"/>
  <c r="G25" i="6" s="1"/>
  <c r="E6" i="3"/>
  <c r="F27" i="1"/>
  <c r="H32" i="1" l="1"/>
  <c r="F28" i="3" s="1"/>
  <c r="G32" i="1"/>
  <c r="I58" i="1" s="1"/>
  <c r="H24" i="1"/>
  <c r="F20" i="3" s="1"/>
  <c r="H21" i="1"/>
  <c r="F17" i="3" s="1"/>
  <c r="H19" i="1"/>
  <c r="F15" i="3" s="1"/>
  <c r="G16" i="1"/>
  <c r="I42" i="1" s="1"/>
  <c r="G13" i="1"/>
  <c r="I39" i="1" s="1"/>
  <c r="H15" i="1"/>
  <c r="F11" i="3" s="1"/>
  <c r="G20" i="1"/>
  <c r="I46" i="1" s="1"/>
  <c r="H17" i="1"/>
  <c r="F13" i="3" s="1"/>
  <c r="H23" i="1"/>
  <c r="F19" i="3" s="1"/>
  <c r="G12" i="1"/>
  <c r="I38" i="1" s="1"/>
  <c r="H31" i="1"/>
  <c r="F27" i="3" s="1"/>
  <c r="G31" i="1"/>
  <c r="I57" i="1" s="1"/>
  <c r="H29" i="1"/>
  <c r="F25" i="3" s="1"/>
  <c r="G28" i="1"/>
  <c r="I54" i="1" s="1"/>
  <c r="H11" i="1"/>
  <c r="F7" i="3" s="1"/>
  <c r="H18" i="1"/>
  <c r="F14" i="3" s="1"/>
  <c r="H9" i="1"/>
  <c r="F5" i="3" s="1"/>
  <c r="F26" i="1"/>
  <c r="H26" i="1" s="1"/>
  <c r="F22" i="3" s="1"/>
  <c r="G30" i="1"/>
  <c r="I56" i="1" s="1"/>
  <c r="G10" i="1"/>
  <c r="I36" i="1" s="1"/>
  <c r="H10" i="1"/>
  <c r="F6" i="3" s="1"/>
  <c r="H14" i="1"/>
  <c r="F10" i="3" s="1"/>
  <c r="G14" i="1"/>
  <c r="I40" i="1" s="1"/>
  <c r="G27" i="1"/>
  <c r="I53" i="1" s="1"/>
  <c r="H27" i="1"/>
  <c r="F23" i="3" s="1"/>
  <c r="G8" i="1"/>
  <c r="H8" i="1"/>
  <c r="F4" i="3" s="1"/>
  <c r="G26" i="1" l="1"/>
  <c r="I52" i="1" s="1"/>
  <c r="F29" i="3"/>
  <c r="I34" i="1"/>
  <c r="J3" i="1" l="1"/>
  <c r="L25" i="1" s="1"/>
  <c r="L28" i="1" s="1"/>
</calcChain>
</file>

<file path=xl/sharedStrings.xml><?xml version="1.0" encoding="utf-8"?>
<sst xmlns="http://schemas.openxmlformats.org/spreadsheetml/2006/main" count="383" uniqueCount="316">
  <si>
    <t>FICHA PARA EL CONSUMO DE MATERIALES  DE CALZADO Y MARROQUINERIA</t>
  </si>
  <si>
    <t>DOCENTE ENCARGADO</t>
  </si>
  <si>
    <t>Maribel Gil</t>
  </si>
  <si>
    <t>CURSO/TECNICO</t>
  </si>
  <si>
    <t>COSTO POR PAR/PRODUCTO</t>
  </si>
  <si>
    <t>NOMBRE DEL PRODUCTO</t>
  </si>
  <si>
    <t>lonchera 001 textil</t>
  </si>
  <si>
    <t>marroqunería</t>
  </si>
  <si>
    <t>FECHA DE ELABORACION DEL PRODUCTO</t>
  </si>
  <si>
    <t>NUMERO DE CEDULA</t>
  </si>
  <si>
    <t>NUMERO DE FICHA</t>
  </si>
  <si>
    <t>CANTIDAD A PRODUCIR</t>
  </si>
  <si>
    <t>FECHA ENTREGA DEL PRODUCTO</t>
  </si>
  <si>
    <t>celda de pcc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</si>
  <si>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</si>
  <si>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</si>
  <si>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</si>
  <si>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</si>
  <si>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</si>
  <si>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</si>
  <si>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</si>
  <si>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</si>
  <si>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</si>
  <si>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Lona Sintetica Colores  (cm²)</t>
  </si>
  <si>
    <t>Seda 30-100 Colores  (cm²)</t>
  </si>
  <si>
    <t>Yumbolon 3mm  (cm²)</t>
  </si>
  <si>
    <t>Cremallera Nylon #6(cm)</t>
  </si>
  <si>
    <t xml:space="preserve">llaves #6 Nq de lujo </t>
  </si>
  <si>
    <t xml:space="preserve">trabilla 1"¼ pb </t>
  </si>
  <si>
    <t>jordao</t>
  </si>
  <si>
    <t xml:space="preserve">cuadrante 1" ¼ niquel </t>
  </si>
  <si>
    <t>Reata sintetica 1 1/4"-33mm (cm)</t>
  </si>
  <si>
    <t>VALOR DEL PRODUCTO FINAL</t>
  </si>
  <si>
    <t>VALOR DE LA PRODUCCION</t>
  </si>
  <si>
    <t>OBSERVACIONES</t>
  </si>
  <si>
    <t>los colores para las loncheras depende del color de la reata y la reata que sea acorde con los herrajes</t>
  </si>
  <si>
    <t>hilos a tono con los colores de la lona</t>
  </si>
  <si>
    <t>aguja 110 R punta bola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</si>
  <si>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</si>
  <si>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</si>
  <si>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</si>
  <si>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</si>
  <si>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</si>
  <si>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</si>
  <si>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</si>
  <si>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</si>
  <si>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</si>
  <si>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</si>
  <si>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</si>
  <si>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</si>
  <si>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</si>
  <si>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</si>
  <si>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</si>
  <si>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</si>
  <si>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</si>
  <si>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</si>
  <si>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</si>
  <si>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</si>
  <si>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</si>
  <si>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</si>
  <si>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</si>
  <si>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</si>
  <si>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</si>
  <si>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</si>
  <si>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</si>
  <si>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</si>
  <si>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</si>
  <si>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</si>
  <si>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</si>
  <si>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</si>
  <si>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</si>
  <si>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</si>
  <si>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</si>
  <si>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</si>
  <si>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</si>
  <si>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</si>
  <si>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</si>
  <si>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</si>
  <si>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</si>
  <si>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</si>
  <si>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</si>
  <si>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</si>
  <si>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</si>
  <si>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</si>
  <si>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</si>
  <si>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</si>
  <si>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</si>
  <si>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</si>
  <si>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</si>
  <si>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</si>
  <si>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</si>
  <si>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</si>
  <si>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</si>
  <si>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</si>
  <si>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</si>
  <si>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</si>
  <si>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</si>
  <si>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</si>
  <si>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</si>
  <si>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</si>
  <si>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</si>
  <si>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</si>
  <si>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</si>
  <si>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</si>
  <si>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</si>
  <si>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</si>
  <si>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</si>
  <si>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</si>
  <si>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</si>
  <si>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</si>
  <si>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</si>
  <si>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</si>
  <si>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</si>
  <si>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</si>
  <si>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</si>
  <si>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</si>
  <si>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</si>
  <si>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</si>
  <si>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</si>
  <si>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</si>
  <si>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</si>
  <si>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</si>
  <si>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</si>
  <si>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</si>
  <si>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</si>
  <si>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</si>
  <si>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t xml:space="preserve">Elaborado por: JAIRO E GUERRERO B. Docente técnico SENA ITAGUI ANTIOQUIA 16-09-2010                </t>
    </r>
    <r>
      <rPr>
        <b/>
        <sz val="10"/>
        <color indexed="1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</si>
  <si>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</si>
  <si>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</si>
  <si>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</si>
  <si>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</si>
  <si>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</si>
  <si>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</si>
  <si>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</si>
  <si>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</si>
  <si>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</si>
  <si>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</si>
  <si>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</si>
  <si>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</si>
  <si>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</si>
  <si>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</si>
  <si>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</si>
  <si>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</si>
  <si>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</si>
  <si>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</si>
  <si>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</si>
  <si>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</si>
  <si>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</si>
  <si>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</si>
  <si>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</si>
  <si>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</si>
  <si>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</si>
  <si>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</si>
  <si>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</si>
  <si>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</si>
  <si>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</si>
  <si>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</si>
  <si>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</si>
  <si>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</si>
  <si>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</si>
  <si>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</si>
  <si>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</si>
  <si>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</si>
  <si>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</si>
  <si>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</si>
  <si>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</si>
  <si>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</si>
  <si>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</si>
  <si>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</si>
  <si>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</si>
  <si>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</si>
  <si>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</si>
  <si>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</si>
  <si>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</si>
  <si>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</si>
  <si>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Crepe #3   (cm²)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</si>
  <si>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niquel </t>
    </r>
  </si>
  <si>
    <r>
      <t xml:space="preserve">cuadrante </t>
    </r>
    <r>
      <rPr>
        <sz val="11"/>
        <color indexed="8"/>
        <rFont val="Calibri"/>
        <family val="2"/>
      </rPr>
      <t xml:space="preserve">¾ </t>
    </r>
    <r>
      <rPr>
        <sz val="10"/>
        <color indexed="8"/>
        <rFont val="Arial"/>
        <family val="2"/>
      </rPr>
      <t xml:space="preserve">niquel </t>
    </r>
  </si>
  <si>
    <t xml:space="preserve">cuadrante 1"  ½ niquel </t>
  </si>
  <si>
    <t xml:space="preserve">cuadrante 2" niquel 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</si>
  <si>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pb</t>
    </r>
  </si>
  <si>
    <r>
      <t xml:space="preserve">cuadrante </t>
    </r>
    <r>
      <rPr>
        <sz val="11"/>
        <color indexed="8"/>
        <rFont val="Calibri"/>
        <family val="2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</si>
  <si>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</si>
  <si>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</si>
  <si>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</si>
  <si>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</si>
  <si>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</si>
  <si>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</si>
  <si>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</si>
  <si>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</si>
  <si>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Napa Variada 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</si>
  <si>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</si>
  <si>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</si>
  <si>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</si>
  <si>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</si>
  <si>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</si>
  <si>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</si>
  <si>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</si>
  <si>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</si>
  <si>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</si>
  <si>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</si>
  <si>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</si>
  <si>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</si>
  <si>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</si>
  <si>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</si>
  <si>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</si>
  <si>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</si>
  <si>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</si>
  <si>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</si>
  <si>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</si>
  <si>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</si>
  <si>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</si>
  <si>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</si>
  <si>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</si>
  <si>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</si>
  <si>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</si>
  <si>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</si>
  <si>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t xml:space="preserve">hebilla  </t>
    </r>
    <r>
      <rPr>
        <sz val="11"/>
        <color indexed="8"/>
        <rFont val="Calibri"/>
        <family val="2"/>
      </rPr>
      <t>¾ negra</t>
    </r>
  </si>
  <si>
    <t>Hiladilla (cm)</t>
  </si>
  <si>
    <t>Lambrilla de 3mm  (cm²)</t>
  </si>
  <si>
    <t>Lambrilla de 4mm  (cm²)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</si>
  <si>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</si>
  <si>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</si>
  <si>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</si>
  <si>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</si>
  <si>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</si>
  <si>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</si>
  <si>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</si>
  <si>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</si>
  <si>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</si>
  <si>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</si>
  <si>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</si>
  <si>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</si>
  <si>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</si>
  <si>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</si>
  <si>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</si>
  <si>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</si>
  <si>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</si>
  <si>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</si>
  <si>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</si>
  <si>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</si>
  <si>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</si>
  <si>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</si>
  <si>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</si>
  <si>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</si>
  <si>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</si>
  <si>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</si>
  <si>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1"-25mm (cm)</t>
  </si>
  <si>
    <r>
      <t xml:space="preserve">Remache  doble cabeza </t>
    </r>
    <r>
      <rPr>
        <i/>
        <sz val="10"/>
        <color indexed="8"/>
        <rFont val="Arial"/>
        <family val="2"/>
      </rPr>
      <t># 8 (unidad)</t>
    </r>
  </si>
  <si>
    <r>
      <t xml:space="preserve">Remache doble cabeza </t>
    </r>
    <r>
      <rPr>
        <i/>
        <sz val="10"/>
        <color indexed="8"/>
        <rFont val="Arial"/>
        <family val="2"/>
      </rPr>
      <t># 4 (unidad)</t>
    </r>
  </si>
  <si>
    <r>
      <t xml:space="preserve">Remache doble cabeza </t>
    </r>
    <r>
      <rPr>
        <i/>
        <sz val="10"/>
        <color indexed="8"/>
        <rFont val="Arial"/>
        <family val="2"/>
      </rPr>
      <t># 6 (unidad)</t>
    </r>
  </si>
  <si>
    <r>
      <t xml:space="preserve">Remache tubular doble cabeza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</si>
  <si>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</si>
  <si>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4 (unidad)</t>
    </r>
  </si>
  <si>
    <r>
      <t xml:space="preserve">Remache tubular sencillo </t>
    </r>
    <r>
      <rPr>
        <i/>
        <sz val="10"/>
        <color indexed="8"/>
        <rFont val="Arial"/>
        <family val="2"/>
      </rPr>
      <t># 6 (unidad)</t>
    </r>
  </si>
  <si>
    <r>
      <t xml:space="preserve">Remache tubular sencillo </t>
    </r>
    <r>
      <rPr>
        <i/>
        <sz val="10"/>
        <color indexed="8"/>
        <rFont val="Arial"/>
        <family val="2"/>
      </rPr>
      <t># 8 (unidad)</t>
    </r>
  </si>
  <si>
    <t>Salpa 0.5mm 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</si>
  <si>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</si>
  <si>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</si>
  <si>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</si>
  <si>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</si>
  <si>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</si>
  <si>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</si>
  <si>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</si>
  <si>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</si>
  <si>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</si>
  <si>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</si>
  <si>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</si>
  <si>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</si>
  <si>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</si>
  <si>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</si>
  <si>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</si>
  <si>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</si>
  <si>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</si>
  <si>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>velcro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</si>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</sst>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(&quot;$&quot;\ * #,##0.00_);_(&quot;$&quot;\ * \(#,##0.00\);_(&quot;$&quot;\ * &quot;-&quot;??_);_(@_)"/>
    <numFmt numFmtId="167" formatCode="0.0"/>
    <numFmt numFmtId="168" formatCode="_-* #,##0.0\ _€_-;\-* #,##0.0\ _€_-;_-* &quot;-&quot;??\ _€_-;_-@_-"/>
    <numFmt numFmtId="169" formatCode="&quot;$&quot;\ #,##0"/>
    <numFmt numFmtId="170" formatCode="#,##0.0"/>
    <numFmt numFmtId="171" formatCode="&quot;$&quot;#,##0.0"/>
    <numFmt numFmtId="172" formatCode="&quot;$&quot;\ #,##0.0"/>
  </numFmts>
  <fonts count="57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b/>
      <sz val="16"/>
      <name val="Arial"/>
      <family val="2"/>
    </font>
    <font>
      <b/>
      <sz val="6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indexed="1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12"/>
      <color rgb="FFFF0000"/>
      <name val="Calibri"/>
      <family val="2"/>
    </font>
    <font>
      <b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4"/>
      <color rgb="FFFF0000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</font>
    <font>
      <sz val="22"/>
      <color rgb="FFFF0000"/>
      <name val="Calibri"/>
      <family val="2"/>
    </font>
    <font>
      <b/>
      <sz val="20"/>
      <color rgb="FFFF0000"/>
      <name val="Calibri"/>
      <family val="2"/>
    </font>
    <font>
      <sz val="6"/>
      <name val="Calibri"/>
      <family val="2"/>
    </font>
    <font>
      <sz val="11"/>
      <name val="Calibri"/>
      <family val="2"/>
    </font>
    <font>
      <b/>
      <sz val="14"/>
      <color indexed="10"/>
      <name val="Calibri"/>
      <family val="2"/>
    </font>
    <font>
      <b/>
      <sz val="8"/>
      <color theme="1"/>
      <name val="Calibri"/>
      <family val="2"/>
    </font>
    <font>
      <b/>
      <sz val="8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b/>
      <sz val="22"/>
      <color theme="6" tint="-0.499984740745262"/>
      <name val="Calibri"/>
      <family val="2"/>
    </font>
    <font>
      <b/>
      <sz val="8"/>
      <color indexed="10"/>
      <name val="Calibri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b/>
      <sz val="8"/>
      <color indexed="8"/>
      <name val="Calibri"/>
      <family val="2"/>
    </font>
    <font>
      <b/>
      <sz val="6"/>
      <color indexed="8"/>
      <name val="Calibri"/>
      <family val="2"/>
    </font>
    <font>
      <sz val="20"/>
      <color theme="2" tint="-0.89999084444715716"/>
      <name val="Calibri"/>
      <family val="2"/>
    </font>
    <font>
      <sz val="9"/>
      <name val="Calibri"/>
      <family val="2"/>
    </font>
    <font>
      <b/>
      <sz val="5"/>
      <name val="Calibri"/>
      <family val="2"/>
    </font>
    <font>
      <sz val="10"/>
      <name val="Calibri"/>
      <family val="2"/>
      <scheme val="minor"/>
    </font>
    <font>
      <b/>
      <sz val="7"/>
      <color indexed="8"/>
      <name val="Calibri"/>
      <family val="2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4">
    <xf numFmtId="0" fontId="0" fillId="0" borderId="0" xfId="0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7" fontId="0" fillId="3" borderId="0" xfId="0" applyNumberFormat="1" applyFill="1" applyAlignment="1">
      <alignment horizontal="center" vertical="top"/>
    </xf>
    <xf numFmtId="167" fontId="5" fillId="3" borderId="0" xfId="0" applyNumberFormat="1" applyFont="1" applyFill="1" applyAlignment="1">
      <alignment horizontal="center" vertical="top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wrapText="1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top"/>
      <protection locked="0"/>
    </xf>
    <xf numFmtId="12" fontId="8" fillId="3" borderId="1" xfId="0" applyNumberFormat="1" applyFont="1" applyFill="1" applyBorder="1" applyAlignment="1" applyProtection="1">
      <alignment horizontal="center" vertical="top"/>
      <protection locked="0"/>
    </xf>
    <xf numFmtId="49" fontId="8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166" fontId="9" fillId="3" borderId="1" xfId="0" applyNumberFormat="1" applyFont="1" applyFill="1" applyBorder="1"/>
    <xf numFmtId="167" fontId="5" fillId="3" borderId="1" xfId="0" applyNumberFormat="1" applyFont="1" applyFill="1" applyBorder="1" applyAlignment="1">
      <alignment horizontal="center" vertical="top"/>
    </xf>
    <xf numFmtId="167" fontId="0" fillId="3" borderId="2" xfId="0" applyNumberFormat="1" applyFill="1" applyBorder="1" applyAlignment="1">
      <alignment horizontal="center" vertical="top"/>
    </xf>
    <xf numFmtId="169" fontId="22" fillId="3" borderId="3" xfId="0" applyNumberFormat="1" applyFont="1" applyFill="1" applyBorder="1"/>
    <xf numFmtId="2" fontId="23" fillId="4" borderId="3" xfId="0" applyNumberFormat="1" applyFont="1" applyFill="1" applyBorder="1" applyAlignment="1">
      <alignment horizontal="center" vertical="center" wrapText="1"/>
    </xf>
    <xf numFmtId="2" fontId="23" fillId="4" borderId="1" xfId="0" applyNumberFormat="1" applyFont="1" applyFill="1" applyBorder="1" applyAlignment="1">
      <alignment horizontal="center" vertical="center" wrapText="1"/>
    </xf>
    <xf numFmtId="2" fontId="23" fillId="4" borderId="4" xfId="0" applyNumberFormat="1" applyFont="1" applyFill="1" applyBorder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vertical="center"/>
      <protection locked="0"/>
    </xf>
    <xf numFmtId="0" fontId="14" fillId="6" borderId="1" xfId="0" applyFont="1" applyFill="1" applyBorder="1" applyAlignment="1" applyProtection="1">
      <alignment horizontal="center" vertical="center" wrapText="1"/>
      <protection hidden="1"/>
    </xf>
    <xf numFmtId="0" fontId="16" fillId="6" borderId="8" xfId="0" applyFont="1" applyFill="1" applyBorder="1" applyAlignment="1" applyProtection="1">
      <alignment horizontal="center" vertical="center" wrapText="1"/>
      <protection hidden="1"/>
    </xf>
    <xf numFmtId="0" fontId="16" fillId="6" borderId="9" xfId="0" applyFont="1" applyFill="1" applyBorder="1" applyAlignment="1" applyProtection="1">
      <alignment horizontal="center" vertical="center" wrapText="1"/>
      <protection hidden="1"/>
    </xf>
    <xf numFmtId="0" fontId="24" fillId="6" borderId="1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horizontal="right"/>
    </xf>
    <xf numFmtId="167" fontId="3" fillId="5" borderId="1" xfId="1" applyNumberFormat="1" applyFont="1" applyFill="1" applyBorder="1" applyAlignment="1" applyProtection="1">
      <alignment vertical="center"/>
    </xf>
    <xf numFmtId="14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1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0" fontId="14" fillId="6" borderId="3" xfId="0" applyFont="1" applyFill="1" applyBorder="1" applyAlignment="1">
      <alignment horizontal="center" vertical="center" wrapText="1"/>
    </xf>
    <xf numFmtId="1" fontId="14" fillId="6" borderId="3" xfId="0" applyNumberFormat="1" applyFont="1" applyFill="1" applyBorder="1" applyAlignment="1" applyProtection="1">
      <alignment horizontal="center" vertical="center" wrapText="1"/>
      <protection hidden="1"/>
    </xf>
    <xf numFmtId="2" fontId="23" fillId="4" borderId="1" xfId="0" applyNumberFormat="1" applyFont="1" applyFill="1" applyBorder="1" applyAlignment="1">
      <alignment horizontal="right"/>
    </xf>
    <xf numFmtId="2" fontId="25" fillId="4" borderId="1" xfId="0" applyNumberFormat="1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/>
    </xf>
    <xf numFmtId="0" fontId="23" fillId="4" borderId="1" xfId="0" applyFont="1" applyFill="1" applyBorder="1"/>
    <xf numFmtId="2" fontId="23" fillId="4" borderId="0" xfId="0" applyNumberFormat="1" applyFont="1" applyFill="1"/>
    <xf numFmtId="2" fontId="23" fillId="3" borderId="0" xfId="0" applyNumberFormat="1" applyFont="1" applyFill="1"/>
    <xf numFmtId="0" fontId="23" fillId="3" borderId="0" xfId="0" applyFont="1" applyFill="1"/>
    <xf numFmtId="2" fontId="23" fillId="3" borderId="0" xfId="0" applyNumberFormat="1" applyFont="1" applyFill="1" applyAlignment="1">
      <alignment horizontal="right"/>
    </xf>
    <xf numFmtId="0" fontId="11" fillId="6" borderId="1" xfId="0" applyFont="1" applyFill="1" applyBorder="1" applyAlignment="1" applyProtection="1">
      <alignment horizontal="center" vertical="center" wrapText="1"/>
      <protection hidden="1"/>
    </xf>
    <xf numFmtId="0" fontId="2" fillId="5" borderId="1" xfId="0" applyFont="1" applyFill="1" applyBorder="1"/>
    <xf numFmtId="0" fontId="15" fillId="8" borderId="1" xfId="0" applyFont="1" applyFill="1" applyBorder="1" applyAlignment="1">
      <alignment horizontal="center" vertical="center" wrapText="1"/>
    </xf>
    <xf numFmtId="167" fontId="0" fillId="5" borderId="1" xfId="0" applyNumberFormat="1" applyFill="1" applyBorder="1" applyAlignment="1" applyProtection="1">
      <alignment horizontal="center"/>
      <protection locked="0"/>
    </xf>
    <xf numFmtId="167" fontId="0" fillId="5" borderId="10" xfId="0" applyNumberFormat="1" applyFill="1" applyBorder="1" applyAlignment="1" applyProtection="1">
      <alignment horizontal="center"/>
      <protection locked="0"/>
    </xf>
    <xf numFmtId="0" fontId="4" fillId="5" borderId="1" xfId="0" applyFont="1" applyFill="1" applyBorder="1" applyAlignment="1" applyProtection="1">
      <alignment horizontal="left" vertical="center"/>
      <protection hidden="1"/>
    </xf>
    <xf numFmtId="1" fontId="4" fillId="5" borderId="1" xfId="0" applyNumberFormat="1" applyFont="1" applyFill="1" applyBorder="1" applyAlignment="1" applyProtection="1">
      <alignment horizontal="center" vertical="center"/>
      <protection hidden="1"/>
    </xf>
    <xf numFmtId="167" fontId="5" fillId="5" borderId="1" xfId="0" applyNumberFormat="1" applyFont="1" applyFill="1" applyBorder="1" applyAlignment="1">
      <alignment horizontal="center" vertical="top"/>
    </xf>
    <xf numFmtId="0" fontId="3" fillId="5" borderId="1" xfId="0" applyFont="1" applyFill="1" applyBorder="1" applyAlignment="1" applyProtection="1">
      <alignment horizontal="center" vertical="center"/>
      <protection hidden="1"/>
    </xf>
    <xf numFmtId="170" fontId="0" fillId="5" borderId="1" xfId="0" applyNumberFormat="1" applyFill="1" applyBorder="1" applyAlignment="1">
      <alignment horizontal="right"/>
    </xf>
    <xf numFmtId="0" fontId="0" fillId="5" borderId="0" xfId="0" applyFill="1"/>
    <xf numFmtId="0" fontId="5" fillId="5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top"/>
    </xf>
    <xf numFmtId="0" fontId="5" fillId="5" borderId="10" xfId="0" applyFon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top"/>
    </xf>
    <xf numFmtId="0" fontId="26" fillId="10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4" borderId="1" xfId="0" applyNumberFormat="1" applyFill="1" applyBorder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26" fillId="11" borderId="1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2" fontId="25" fillId="4" borderId="2" xfId="0" applyNumberFormat="1" applyFont="1" applyFill="1" applyBorder="1" applyAlignment="1">
      <alignment horizontal="center" vertical="center"/>
    </xf>
    <xf numFmtId="2" fontId="23" fillId="4" borderId="2" xfId="0" applyNumberFormat="1" applyFont="1" applyFill="1" applyBorder="1" applyAlignment="1">
      <alignment horizontal="center" vertical="center"/>
    </xf>
    <xf numFmtId="0" fontId="23" fillId="4" borderId="2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29" fillId="5" borderId="1" xfId="0" applyNumberFormat="1" applyFont="1" applyFill="1" applyBorder="1" applyAlignment="1" applyProtection="1">
      <alignment horizontal="center" vertical="center"/>
      <protection hidden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 applyProtection="1">
      <alignment horizontal="left"/>
      <protection hidden="1"/>
    </xf>
    <xf numFmtId="0" fontId="10" fillId="3" borderId="0" xfId="0" applyFont="1" applyFill="1" applyAlignment="1" applyProtection="1">
      <alignment horizontal="left"/>
      <protection hidden="1"/>
    </xf>
    <xf numFmtId="0" fontId="31" fillId="0" borderId="0" xfId="0" applyFont="1"/>
    <xf numFmtId="0" fontId="33" fillId="6" borderId="1" xfId="0" applyFont="1" applyFill="1" applyBorder="1" applyAlignment="1">
      <alignment horizontal="center" vertical="center"/>
    </xf>
    <xf numFmtId="0" fontId="31" fillId="3" borderId="0" xfId="0" applyFont="1" applyFill="1"/>
    <xf numFmtId="0" fontId="32" fillId="6" borderId="6" xfId="0" applyFont="1" applyFill="1" applyBorder="1" applyAlignment="1">
      <alignment vertical="center" wrapText="1"/>
    </xf>
    <xf numFmtId="0" fontId="32" fillId="6" borderId="1" xfId="0" applyFont="1" applyFill="1" applyBorder="1" applyAlignment="1" applyProtection="1">
      <alignment vertical="center" wrapText="1"/>
      <protection locked="0"/>
    </xf>
    <xf numFmtId="0" fontId="33" fillId="6" borderId="1" xfId="0" applyFont="1" applyFill="1" applyBorder="1" applyAlignment="1" applyProtection="1">
      <alignment horizontal="center" vertical="center"/>
      <protection locked="0"/>
    </xf>
    <xf numFmtId="0" fontId="32" fillId="6" borderId="2" xfId="0" applyFont="1" applyFill="1" applyBorder="1" applyAlignment="1">
      <alignment vertical="center" wrapText="1"/>
    </xf>
    <xf numFmtId="14" fontId="33" fillId="6" borderId="2" xfId="0" applyNumberFormat="1" applyFont="1" applyFill="1" applyBorder="1" applyAlignment="1">
      <alignment vertical="center" wrapText="1"/>
    </xf>
    <xf numFmtId="14" fontId="32" fillId="6" borderId="1" xfId="0" applyNumberFormat="1" applyFont="1" applyFill="1" applyBorder="1" applyAlignment="1">
      <alignment vertical="center"/>
    </xf>
    <xf numFmtId="1" fontId="33" fillId="6" borderId="8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vertical="center" wrapText="1"/>
    </xf>
    <xf numFmtId="0" fontId="38" fillId="6" borderId="5" xfId="0" applyFont="1" applyFill="1" applyBorder="1" applyAlignment="1" applyProtection="1">
      <alignment vertical="center" wrapText="1"/>
      <protection locked="0"/>
    </xf>
    <xf numFmtId="0" fontId="33" fillId="3" borderId="0" xfId="0" applyFont="1" applyFill="1"/>
    <xf numFmtId="0" fontId="30" fillId="6" borderId="1" xfId="0" applyFont="1" applyFill="1" applyBorder="1" applyAlignment="1" applyProtection="1">
      <alignment horizontal="center" vertical="center" wrapText="1"/>
      <protection hidden="1"/>
    </xf>
    <xf numFmtId="0" fontId="40" fillId="6" borderId="1" xfId="0" applyFont="1" applyFill="1" applyBorder="1" applyAlignment="1" applyProtection="1">
      <alignment horizontal="center" vertical="center" wrapText="1"/>
      <protection hidden="1"/>
    </xf>
    <xf numFmtId="0" fontId="42" fillId="3" borderId="1" xfId="0" applyFont="1" applyFill="1" applyBorder="1" applyAlignment="1">
      <alignment horizontal="center" vertical="center" wrapText="1"/>
    </xf>
    <xf numFmtId="1" fontId="33" fillId="3" borderId="1" xfId="0" applyNumberFormat="1" applyFont="1" applyFill="1" applyBorder="1"/>
    <xf numFmtId="1" fontId="43" fillId="3" borderId="1" xfId="0" applyNumberFormat="1" applyFont="1" applyFill="1" applyBorder="1" applyProtection="1">
      <protection locked="0"/>
    </xf>
    <xf numFmtId="167" fontId="42" fillId="3" borderId="1" xfId="1" applyNumberFormat="1" applyFont="1" applyFill="1" applyBorder="1" applyAlignment="1" applyProtection="1">
      <alignment horizontal="right"/>
      <protection locked="0"/>
    </xf>
    <xf numFmtId="172" fontId="42" fillId="3" borderId="1" xfId="0" applyNumberFormat="1" applyFont="1" applyFill="1" applyBorder="1" applyAlignment="1">
      <alignment horizontal="right"/>
    </xf>
    <xf numFmtId="171" fontId="42" fillId="3" borderId="1" xfId="0" applyNumberFormat="1" applyFont="1" applyFill="1" applyBorder="1" applyAlignment="1">
      <alignment horizontal="center"/>
    </xf>
    <xf numFmtId="171" fontId="33" fillId="3" borderId="1" xfId="0" applyNumberFormat="1" applyFont="1" applyFill="1" applyBorder="1" applyAlignment="1">
      <alignment horizontal="center" vertical="center"/>
    </xf>
    <xf numFmtId="2" fontId="46" fillId="9" borderId="1" xfId="0" applyNumberFormat="1" applyFont="1" applyFill="1" applyBorder="1" applyAlignment="1">
      <alignment horizontal="left" vertical="center" wrapText="1"/>
    </xf>
    <xf numFmtId="0" fontId="47" fillId="0" borderId="1" xfId="0" applyFont="1" applyBorder="1" applyAlignment="1">
      <alignment wrapText="1"/>
    </xf>
    <xf numFmtId="167" fontId="48" fillId="3" borderId="0" xfId="0" applyNumberFormat="1" applyFont="1" applyFill="1" applyAlignment="1">
      <alignment horizontal="center" vertical="center"/>
    </xf>
    <xf numFmtId="0" fontId="49" fillId="0" borderId="2" xfId="0" applyFont="1" applyBorder="1" applyAlignment="1">
      <alignment horizontal="left" vertical="center"/>
    </xf>
    <xf numFmtId="0" fontId="50" fillId="0" borderId="2" xfId="0" applyFont="1" applyBorder="1" applyAlignment="1">
      <alignment horizontal="left" vertical="center"/>
    </xf>
    <xf numFmtId="0" fontId="49" fillId="0" borderId="1" xfId="0" applyFont="1" applyBorder="1" applyAlignment="1">
      <alignment horizontal="center" vertical="center"/>
    </xf>
    <xf numFmtId="1" fontId="42" fillId="7" borderId="1" xfId="0" applyNumberFormat="1" applyFont="1" applyFill="1" applyBorder="1" applyAlignment="1">
      <alignment horizontal="center" vertical="center"/>
    </xf>
    <xf numFmtId="170" fontId="42" fillId="7" borderId="1" xfId="0" applyNumberFormat="1" applyFont="1" applyFill="1" applyBorder="1" applyAlignment="1">
      <alignment vertical="center"/>
    </xf>
    <xf numFmtId="0" fontId="42" fillId="3" borderId="5" xfId="0" applyFont="1" applyFill="1" applyBorder="1" applyAlignment="1" applyProtection="1">
      <alignment horizontal="center" vertical="center"/>
      <protection locked="0"/>
    </xf>
    <xf numFmtId="167" fontId="48" fillId="6" borderId="1" xfId="0" applyNumberFormat="1" applyFont="1" applyFill="1" applyBorder="1" applyAlignment="1">
      <alignment vertical="center"/>
    </xf>
    <xf numFmtId="0" fontId="33" fillId="3" borderId="6" xfId="0" applyFont="1" applyFill="1" applyBorder="1" applyAlignment="1">
      <alignment horizontal="left"/>
    </xf>
    <xf numFmtId="0" fontId="33" fillId="3" borderId="7" xfId="0" applyFont="1" applyFill="1" applyBorder="1" applyAlignment="1">
      <alignment horizontal="left"/>
    </xf>
    <xf numFmtId="0" fontId="33" fillId="3" borderId="0" xfId="0" applyFont="1" applyFill="1" applyAlignment="1">
      <alignment horizontal="left"/>
    </xf>
    <xf numFmtId="0" fontId="54" fillId="5" borderId="1" xfId="0" applyFont="1" applyFill="1" applyBorder="1"/>
    <xf numFmtId="49" fontId="55" fillId="5" borderId="1" xfId="0" applyNumberFormat="1" applyFont="1" applyFill="1" applyBorder="1" applyAlignment="1" applyProtection="1">
      <alignment horizontal="center" vertical="center"/>
      <protection locked="0"/>
    </xf>
    <xf numFmtId="167" fontId="33" fillId="5" borderId="1" xfId="2" applyNumberFormat="1" applyFont="1" applyFill="1" applyBorder="1" applyAlignment="1" applyProtection="1">
      <alignment vertical="center"/>
      <protection locked="0"/>
    </xf>
    <xf numFmtId="0" fontId="33" fillId="5" borderId="1" xfId="0" applyFont="1" applyFill="1" applyBorder="1"/>
    <xf numFmtId="0" fontId="56" fillId="5" borderId="1" xfId="0" applyFont="1" applyFill="1" applyBorder="1" applyAlignment="1">
      <alignment horizontal="left"/>
    </xf>
    <xf numFmtId="0" fontId="33" fillId="0" borderId="0" xfId="0" applyFont="1"/>
    <xf numFmtId="0" fontId="56" fillId="5" borderId="10" xfId="0" applyFont="1" applyFill="1" applyBorder="1" applyAlignment="1">
      <alignment horizontal="left"/>
    </xf>
    <xf numFmtId="3" fontId="20" fillId="11" borderId="1" xfId="0" applyNumberFormat="1" applyFont="1" applyFill="1" applyBorder="1" applyAlignment="1">
      <alignment horizontal="center" vertical="center"/>
    </xf>
    <xf numFmtId="1" fontId="52" fillId="13" borderId="2" xfId="0" applyNumberFormat="1" applyFont="1" applyFill="1" applyBorder="1" applyAlignment="1">
      <alignment horizontal="center" vertical="center"/>
    </xf>
    <xf numFmtId="1" fontId="52" fillId="13" borderId="12" xfId="0" applyNumberFormat="1" applyFont="1" applyFill="1" applyBorder="1" applyAlignment="1">
      <alignment horizontal="center" vertical="center"/>
    </xf>
    <xf numFmtId="1" fontId="52" fillId="13" borderId="3" xfId="0" applyNumberFormat="1" applyFont="1" applyFill="1" applyBorder="1" applyAlignment="1">
      <alignment horizontal="center" vertical="center"/>
    </xf>
    <xf numFmtId="0" fontId="34" fillId="6" borderId="10" xfId="0" applyFont="1" applyFill="1" applyBorder="1" applyAlignment="1">
      <alignment horizontal="center" vertical="center"/>
    </xf>
    <xf numFmtId="0" fontId="34" fillId="6" borderId="8" xfId="0" applyFont="1" applyFill="1" applyBorder="1" applyAlignment="1">
      <alignment horizontal="center" vertical="center"/>
    </xf>
    <xf numFmtId="0" fontId="44" fillId="6" borderId="7" xfId="0" applyFont="1" applyFill="1" applyBorder="1" applyAlignment="1">
      <alignment horizontal="center" vertical="center" wrapText="1"/>
    </xf>
    <xf numFmtId="0" fontId="44" fillId="6" borderId="22" xfId="0" applyFont="1" applyFill="1" applyBorder="1" applyAlignment="1">
      <alignment horizontal="center" vertical="center" wrapText="1"/>
    </xf>
    <xf numFmtId="0" fontId="44" fillId="6" borderId="13" xfId="0" applyFont="1" applyFill="1" applyBorder="1" applyAlignment="1">
      <alignment horizontal="center" vertical="center" wrapText="1"/>
    </xf>
    <xf numFmtId="0" fontId="44" fillId="6" borderId="11" xfId="0" applyFont="1" applyFill="1" applyBorder="1" applyAlignment="1">
      <alignment horizontal="center" vertical="center" wrapText="1"/>
    </xf>
    <xf numFmtId="0" fontId="44" fillId="6" borderId="9" xfId="0" applyFont="1" applyFill="1" applyBorder="1" applyAlignment="1">
      <alignment horizontal="center" vertical="center" wrapText="1"/>
    </xf>
    <xf numFmtId="0" fontId="44" fillId="6" borderId="4" xfId="0" applyFont="1" applyFill="1" applyBorder="1" applyAlignment="1">
      <alignment horizontal="center" vertical="center" wrapText="1"/>
    </xf>
    <xf numFmtId="169" fontId="45" fillId="6" borderId="7" xfId="0" applyNumberFormat="1" applyFont="1" applyFill="1" applyBorder="1" applyAlignment="1">
      <alignment horizontal="center" vertical="center"/>
    </xf>
    <xf numFmtId="169" fontId="45" fillId="6" borderId="22" xfId="0" applyNumberFormat="1" applyFont="1" applyFill="1" applyBorder="1" applyAlignment="1">
      <alignment horizontal="center" vertical="center"/>
    </xf>
    <xf numFmtId="169" fontId="45" fillId="6" borderId="13" xfId="0" applyNumberFormat="1" applyFont="1" applyFill="1" applyBorder="1" applyAlignment="1">
      <alignment horizontal="center" vertical="center"/>
    </xf>
    <xf numFmtId="169" fontId="45" fillId="6" borderId="11" xfId="0" applyNumberFormat="1" applyFont="1" applyFill="1" applyBorder="1" applyAlignment="1">
      <alignment horizontal="center" vertical="center"/>
    </xf>
    <xf numFmtId="169" fontId="45" fillId="6" borderId="9" xfId="0" applyNumberFormat="1" applyFont="1" applyFill="1" applyBorder="1" applyAlignment="1">
      <alignment horizontal="center" vertical="center"/>
    </xf>
    <xf numFmtId="169" fontId="45" fillId="6" borderId="4" xfId="0" applyNumberFormat="1" applyFont="1" applyFill="1" applyBorder="1" applyAlignment="1">
      <alignment horizontal="center" vertical="center"/>
    </xf>
    <xf numFmtId="0" fontId="35" fillId="6" borderId="13" xfId="0" applyFont="1" applyFill="1" applyBorder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35" fillId="6" borderId="11" xfId="0" applyFont="1" applyFill="1" applyBorder="1" applyAlignment="1">
      <alignment horizontal="center" vertical="center"/>
    </xf>
    <xf numFmtId="1" fontId="37" fillId="6" borderId="1" xfId="0" applyNumberFormat="1" applyFont="1" applyFill="1" applyBorder="1" applyAlignment="1" applyProtection="1">
      <alignment horizontal="center" vertical="center" wrapText="1"/>
      <protection locked="0"/>
    </xf>
    <xf numFmtId="169" fontId="36" fillId="6" borderId="9" xfId="0" applyNumberFormat="1" applyFont="1" applyFill="1" applyBorder="1" applyAlignment="1">
      <alignment horizontal="center" vertical="center"/>
    </xf>
    <xf numFmtId="169" fontId="36" fillId="6" borderId="5" xfId="0" applyNumberFormat="1" applyFont="1" applyFill="1" applyBorder="1" applyAlignment="1">
      <alignment horizontal="center" vertical="center"/>
    </xf>
    <xf numFmtId="169" fontId="36" fillId="6" borderId="4" xfId="0" applyNumberFormat="1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 wrapText="1"/>
    </xf>
    <xf numFmtId="1" fontId="33" fillId="6" borderId="2" xfId="0" applyNumberFormat="1" applyFont="1" applyFill="1" applyBorder="1" applyAlignment="1">
      <alignment horizontal="center" vertical="center" wrapText="1"/>
    </xf>
    <xf numFmtId="1" fontId="33" fillId="6" borderId="22" xfId="0" applyNumberFormat="1" applyFont="1" applyFill="1" applyBorder="1" applyAlignment="1">
      <alignment horizontal="center" vertical="center" wrapText="1"/>
    </xf>
    <xf numFmtId="0" fontId="33" fillId="3" borderId="0" xfId="0" applyFont="1" applyFill="1" applyAlignment="1" applyProtection="1">
      <alignment horizontal="left"/>
      <protection locked="0"/>
    </xf>
    <xf numFmtId="1" fontId="33" fillId="6" borderId="3" xfId="0" applyNumberFormat="1" applyFont="1" applyFill="1" applyBorder="1" applyAlignment="1">
      <alignment horizontal="center" vertical="center" wrapText="1"/>
    </xf>
    <xf numFmtId="0" fontId="32" fillId="6" borderId="3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51" fillId="6" borderId="2" xfId="0" applyFont="1" applyFill="1" applyBorder="1" applyAlignment="1">
      <alignment horizontal="center" vertical="center" wrapText="1"/>
    </xf>
    <xf numFmtId="0" fontId="51" fillId="6" borderId="12" xfId="0" applyFont="1" applyFill="1" applyBorder="1" applyAlignment="1">
      <alignment horizontal="center" vertical="center" wrapText="1"/>
    </xf>
    <xf numFmtId="0" fontId="51" fillId="6" borderId="3" xfId="0" applyFont="1" applyFill="1" applyBorder="1" applyAlignment="1">
      <alignment horizontal="center" vertical="center" wrapText="1"/>
    </xf>
    <xf numFmtId="0" fontId="53" fillId="3" borderId="1" xfId="0" applyFont="1" applyFill="1" applyBorder="1" applyAlignment="1">
      <alignment horizontal="center" vertical="center"/>
    </xf>
    <xf numFmtId="1" fontId="33" fillId="6" borderId="7" xfId="0" applyNumberFormat="1" applyFont="1" applyFill="1" applyBorder="1" applyAlignment="1">
      <alignment horizontal="center" vertical="center" wrapText="1"/>
    </xf>
    <xf numFmtId="1" fontId="33" fillId="6" borderId="12" xfId="0" applyNumberFormat="1" applyFont="1" applyFill="1" applyBorder="1" applyAlignment="1">
      <alignment horizontal="center" vertical="center" wrapText="1"/>
    </xf>
    <xf numFmtId="169" fontId="45" fillId="6" borderId="13" xfId="3" applyNumberFormat="1" applyFont="1" applyFill="1" applyBorder="1" applyAlignment="1" applyProtection="1">
      <alignment horizontal="center" vertical="center"/>
    </xf>
    <xf numFmtId="169" fontId="45" fillId="6" borderId="11" xfId="3" applyNumberFormat="1" applyFont="1" applyFill="1" applyBorder="1" applyAlignment="1" applyProtection="1">
      <alignment horizontal="center" vertical="center"/>
    </xf>
    <xf numFmtId="169" fontId="45" fillId="6" borderId="9" xfId="3" applyNumberFormat="1" applyFont="1" applyFill="1" applyBorder="1" applyAlignment="1" applyProtection="1">
      <alignment horizontal="center" vertical="center"/>
    </xf>
    <xf numFmtId="169" fontId="45" fillId="6" borderId="4" xfId="3" applyNumberFormat="1" applyFont="1" applyFill="1" applyBorder="1" applyAlignment="1" applyProtection="1">
      <alignment horizontal="center" vertical="center"/>
    </xf>
    <xf numFmtId="0" fontId="35" fillId="3" borderId="14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16" xfId="0" applyFont="1" applyFill="1" applyBorder="1" applyAlignment="1">
      <alignment horizontal="center" vertical="center" wrapText="1"/>
    </xf>
    <xf numFmtId="0" fontId="41" fillId="3" borderId="17" xfId="0" applyFont="1" applyFill="1" applyBorder="1" applyAlignment="1">
      <alignment horizontal="center" vertical="center" wrapText="1"/>
    </xf>
    <xf numFmtId="0" fontId="41" fillId="3" borderId="0" xfId="0" applyFont="1" applyFill="1" applyAlignment="1">
      <alignment horizontal="center" vertical="center" wrapText="1"/>
    </xf>
    <xf numFmtId="0" fontId="41" fillId="3" borderId="18" xfId="0" applyFont="1" applyFill="1" applyBorder="1" applyAlignment="1">
      <alignment horizontal="center" vertical="center" wrapText="1"/>
    </xf>
    <xf numFmtId="0" fontId="41" fillId="3" borderId="19" xfId="0" applyFont="1" applyFill="1" applyBorder="1" applyAlignment="1">
      <alignment horizontal="center" vertical="center" wrapText="1"/>
    </xf>
    <xf numFmtId="0" fontId="41" fillId="3" borderId="20" xfId="0" applyFont="1" applyFill="1" applyBorder="1" applyAlignment="1">
      <alignment horizontal="center" vertical="center" wrapText="1"/>
    </xf>
    <xf numFmtId="0" fontId="41" fillId="3" borderId="21" xfId="0" applyFont="1" applyFill="1" applyBorder="1" applyAlignment="1">
      <alignment horizontal="center" vertical="center" wrapText="1"/>
    </xf>
    <xf numFmtId="0" fontId="39" fillId="6" borderId="1" xfId="0" applyFont="1" applyFill="1" applyBorder="1" applyAlignment="1" applyProtection="1">
      <alignment horizontal="center" vertical="center" wrapText="1"/>
      <protection locked="0"/>
    </xf>
    <xf numFmtId="0" fontId="35" fillId="6" borderId="1" xfId="0" applyFont="1" applyFill="1" applyBorder="1" applyAlignment="1">
      <alignment horizontal="center" vertical="center" wrapText="1"/>
    </xf>
    <xf numFmtId="0" fontId="32" fillId="6" borderId="2" xfId="0" applyFont="1" applyFill="1" applyBorder="1" applyAlignment="1">
      <alignment vertical="center" wrapText="1"/>
    </xf>
    <xf numFmtId="0" fontId="32" fillId="6" borderId="3" xfId="0" applyFont="1" applyFill="1" applyBorder="1" applyAlignment="1">
      <alignment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1" fontId="23" fillId="14" borderId="2" xfId="0" applyNumberFormat="1" applyFont="1" applyFill="1" applyBorder="1" applyAlignment="1">
      <alignment horizontal="center"/>
    </xf>
    <xf numFmtId="1" fontId="23" fillId="14" borderId="12" xfId="0" applyNumberFormat="1" applyFont="1" applyFill="1" applyBorder="1" applyAlignment="1">
      <alignment horizontal="center"/>
    </xf>
    <xf numFmtId="1" fontId="23" fillId="14" borderId="3" xfId="0" applyNumberFormat="1" applyFont="1" applyFill="1" applyBorder="1" applyAlignment="1">
      <alignment horizontal="center"/>
    </xf>
    <xf numFmtId="0" fontId="29" fillId="5" borderId="7" xfId="0" applyFont="1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 wrapText="1"/>
    </xf>
    <xf numFmtId="0" fontId="29" fillId="5" borderId="22" xfId="0" applyFont="1" applyFill="1" applyBorder="1" applyAlignment="1">
      <alignment horizontal="center" vertical="center" wrapText="1"/>
    </xf>
    <xf numFmtId="0" fontId="29" fillId="5" borderId="9" xfId="0" applyFont="1" applyFill="1" applyBorder="1" applyAlignment="1">
      <alignment horizontal="center" vertical="center" wrapText="1"/>
    </xf>
    <xf numFmtId="0" fontId="29" fillId="5" borderId="5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 applyProtection="1">
      <alignment horizontal="left"/>
      <protection hidden="1"/>
    </xf>
    <xf numFmtId="0" fontId="10" fillId="3" borderId="24" xfId="0" applyFont="1" applyFill="1" applyBorder="1" applyAlignment="1" applyProtection="1">
      <alignment horizontal="left"/>
      <protection hidden="1"/>
    </xf>
    <xf numFmtId="0" fontId="10" fillId="3" borderId="25" xfId="0" applyFont="1" applyFill="1" applyBorder="1" applyAlignment="1" applyProtection="1">
      <alignment horizontal="left"/>
      <protection hidden="1"/>
    </xf>
    <xf numFmtId="0" fontId="10" fillId="3" borderId="26" xfId="0" applyFont="1" applyFill="1" applyBorder="1" applyAlignment="1" applyProtection="1">
      <alignment horizontal="left"/>
      <protection hidden="1"/>
    </xf>
    <xf numFmtId="0" fontId="10" fillId="3" borderId="27" xfId="0" applyFont="1" applyFill="1" applyBorder="1" applyAlignment="1" applyProtection="1">
      <alignment horizontal="left"/>
      <protection hidden="1"/>
    </xf>
    <xf numFmtId="0" fontId="3" fillId="15" borderId="13" xfId="0" applyFont="1" applyFill="1" applyBorder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0" xfId="0" applyFill="1" applyAlignment="1">
      <alignment horizontal="center" vertical="top"/>
    </xf>
    <xf numFmtId="0" fontId="1" fillId="0" borderId="0" xfId="0" applyFont="1"/>
    <xf numFmtId="0" fontId="12" fillId="6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12" fillId="6" borderId="1" xfId="0" applyFont="1" applyFill="1" applyBorder="1" applyAlignment="1">
      <alignment vertical="center" wrapText="1"/>
    </xf>
    <xf numFmtId="1" fontId="12" fillId="6" borderId="1" xfId="0" applyNumberFormat="1" applyFont="1" applyFill="1" applyBorder="1" applyAlignment="1">
      <alignment horizontal="center" vertical="center" wrapText="1"/>
    </xf>
    <xf numFmtId="14" fontId="12" fillId="6" borderId="2" xfId="0" applyNumberFormat="1" applyFont="1" applyFill="1" applyBorder="1" applyAlignment="1" applyProtection="1">
      <alignment wrapText="1"/>
      <protection locked="0"/>
    </xf>
    <xf numFmtId="0" fontId="14" fillId="6" borderId="5" xfId="0" applyFont="1" applyFill="1" applyBorder="1" applyAlignment="1" applyProtection="1">
      <alignment vertical="center" wrapText="1"/>
      <protection locked="0"/>
    </xf>
    <xf numFmtId="0" fontId="14" fillId="6" borderId="4" xfId="0" applyFont="1" applyFill="1" applyBorder="1" applyAlignment="1" applyProtection="1">
      <alignment vertical="center" wrapText="1"/>
      <protection locked="0"/>
    </xf>
    <xf numFmtId="0" fontId="15" fillId="6" borderId="1" xfId="0" applyFont="1" applyFill="1" applyBorder="1" applyAlignment="1" applyProtection="1">
      <alignment horizontal="center" vertical="center" wrapText="1"/>
      <protection locked="0"/>
    </xf>
    <xf numFmtId="0" fontId="15" fillId="4" borderId="1" xfId="0" applyFont="1" applyFill="1" applyBorder="1" applyAlignment="1" applyProtection="1">
      <alignment horizontal="center" vertical="center" wrapText="1"/>
      <protection locked="0"/>
    </xf>
    <xf numFmtId="0" fontId="1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 applyProtection="1">
      <alignment horizontal="center" vertical="center" wrapText="1"/>
      <protection hidden="1"/>
    </xf>
    <xf numFmtId="0" fontId="11" fillId="0" borderId="2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4" fillId="3" borderId="0" xfId="0" applyFont="1" applyFill="1"/>
    <xf numFmtId="2" fontId="23" fillId="5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68" fontId="3" fillId="3" borderId="0" xfId="1" applyNumberFormat="1" applyFont="1" applyFill="1" applyBorder="1" applyAlignment="1" applyProtection="1">
      <alignment horizontal="center"/>
    </xf>
    <xf numFmtId="168" fontId="3" fillId="3" borderId="0" xfId="1" applyNumberFormat="1" applyFont="1" applyFill="1" applyBorder="1" applyAlignment="1" applyProtection="1">
      <alignment vertical="center"/>
    </xf>
    <xf numFmtId="0" fontId="1" fillId="0" borderId="0" xfId="0" applyFont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8194</xdr:colOff>
      <xdr:row>6</xdr:row>
      <xdr:rowOff>71693</xdr:rowOff>
    </xdr:from>
    <xdr:to>
      <xdr:col>12</xdr:col>
      <xdr:colOff>573548</xdr:colOff>
      <xdr:row>15</xdr:row>
      <xdr:rowOff>178208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34CE1F-87FA-E141-A6CC-748C8B5CE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5162" y="1505564"/>
          <a:ext cx="3408515" cy="2556386"/>
        </a:xfrm>
        <a:prstGeom prst="rect">
          <a:avLst/>
        </a:prstGeom>
      </xdr:spPr>
    </xdr:pic>
    <xdr:clientData/>
  </xdr:twoCellAnchor>
  <xdr:twoCellAnchor editAs="oneCell">
    <xdr:from>
      <xdr:col>9</xdr:col>
      <xdr:colOff>532581</xdr:colOff>
      <xdr:row>15</xdr:row>
      <xdr:rowOff>147483</xdr:rowOff>
    </xdr:from>
    <xdr:to>
      <xdr:col>12</xdr:col>
      <xdr:colOff>147485</xdr:colOff>
      <xdr:row>23</xdr:row>
      <xdr:rowOff>155677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38318C9-6004-E432-8BCE-47BB69D2C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9549" y="4031225"/>
          <a:ext cx="2458065" cy="18435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2960"/>
  <sheetViews>
    <sheetView topLeftCell="A7" zoomScale="93" zoomScaleNormal="93" workbookViewId="0">
      <selection activeCell="R17" sqref="R17"/>
    </sheetView>
  </sheetViews>
  <sheetFormatPr defaultColWidth="11.42578125" defaultRowHeight="12.75"/>
  <cols>
    <col min="1" max="1" width="36.7109375" style="86" customWidth="1"/>
    <col min="2" max="2" width="13" style="86" hidden="1" customWidth="1"/>
    <col min="3" max="3" width="14.28515625" style="86" hidden="1" customWidth="1"/>
    <col min="4" max="4" width="15.85546875" style="86" customWidth="1"/>
    <col min="5" max="5" width="18.42578125" style="86" customWidth="1"/>
    <col min="6" max="6" width="18.5703125" style="86" customWidth="1"/>
    <col min="7" max="7" width="18" style="86" hidden="1" customWidth="1"/>
    <col min="8" max="8" width="17.28515625" style="86" hidden="1" customWidth="1"/>
    <col min="9" max="9" width="11.42578125" style="86" hidden="1" customWidth="1"/>
    <col min="10" max="10" width="15.5703125" style="86" customWidth="1"/>
    <col min="11" max="11" width="14.42578125" style="86" customWidth="1"/>
    <col min="12" max="12" width="11.42578125" style="86"/>
    <col min="13" max="13" width="10.140625" style="86" customWidth="1"/>
    <col min="14" max="14" width="11.42578125" style="86" customWidth="1"/>
    <col min="15" max="16384" width="11.42578125" style="86"/>
  </cols>
  <sheetData>
    <row r="1" spans="1:22" ht="29.25" customHeight="1">
      <c r="A1" s="153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210"/>
      <c r="O1" s="210"/>
      <c r="P1" s="210"/>
      <c r="Q1" s="210"/>
      <c r="R1" s="210"/>
      <c r="S1" s="210"/>
      <c r="T1" s="210"/>
      <c r="U1" s="210"/>
      <c r="V1" s="210"/>
    </row>
    <row r="2" spans="1:22" ht="24" customHeight="1">
      <c r="A2" s="181" t="s">
        <v>1</v>
      </c>
      <c r="B2" s="182"/>
      <c r="C2" s="87"/>
      <c r="D2" s="154" t="s">
        <v>2</v>
      </c>
      <c r="E2" s="157"/>
      <c r="F2" s="211" t="s">
        <v>3</v>
      </c>
      <c r="G2" s="211"/>
      <c r="H2" s="211"/>
      <c r="I2" s="132">
        <v>1</v>
      </c>
      <c r="J2" s="180" t="s">
        <v>4</v>
      </c>
      <c r="K2" s="180"/>
      <c r="L2" s="180"/>
      <c r="M2" s="180"/>
      <c r="N2" s="212"/>
      <c r="O2" s="212"/>
      <c r="P2" s="212"/>
      <c r="Q2" s="212"/>
      <c r="R2" s="212"/>
      <c r="S2" s="212"/>
      <c r="T2" s="212"/>
      <c r="U2" s="212"/>
      <c r="V2" s="212"/>
    </row>
    <row r="3" spans="1:22" ht="20.25" customHeight="1">
      <c r="A3" s="89" t="s">
        <v>5</v>
      </c>
      <c r="B3" s="90"/>
      <c r="C3" s="91"/>
      <c r="D3" s="154" t="s">
        <v>6</v>
      </c>
      <c r="E3" s="155"/>
      <c r="F3" s="164" t="s">
        <v>7</v>
      </c>
      <c r="G3" s="165"/>
      <c r="H3" s="157"/>
      <c r="I3" s="133"/>
      <c r="J3" s="150">
        <f>SUM(G8:G32)</f>
        <v>14315</v>
      </c>
      <c r="K3" s="151"/>
      <c r="L3" s="151"/>
      <c r="M3" s="152"/>
      <c r="N3" s="212"/>
      <c r="O3" s="212"/>
      <c r="P3" s="212"/>
      <c r="Q3" s="212"/>
      <c r="R3" s="212"/>
      <c r="S3" s="212"/>
      <c r="T3" s="212"/>
      <c r="U3" s="212"/>
      <c r="V3" s="212"/>
    </row>
    <row r="4" spans="1:22" ht="20.25" customHeight="1">
      <c r="A4" s="92" t="s">
        <v>8</v>
      </c>
      <c r="B4" s="90"/>
      <c r="C4" s="213"/>
      <c r="D4" s="93">
        <v>45012</v>
      </c>
      <c r="E4" s="214" t="s">
        <v>9</v>
      </c>
      <c r="F4" s="214" t="s">
        <v>10</v>
      </c>
      <c r="G4" s="158" t="s">
        <v>10</v>
      </c>
      <c r="H4" s="159"/>
      <c r="I4" s="132">
        <v>1</v>
      </c>
      <c r="J4" s="146" t="s">
        <v>11</v>
      </c>
      <c r="K4" s="147"/>
      <c r="L4" s="147"/>
      <c r="M4" s="148"/>
      <c r="N4" s="212"/>
      <c r="O4" s="212"/>
      <c r="P4" s="212"/>
      <c r="Q4" s="212"/>
      <c r="R4" s="212"/>
      <c r="S4" s="212"/>
      <c r="T4" s="212"/>
      <c r="U4" s="212"/>
      <c r="V4" s="212"/>
    </row>
    <row r="5" spans="1:22" ht="20.25" customHeight="1" thickBot="1">
      <c r="A5" s="94" t="s">
        <v>12</v>
      </c>
      <c r="B5" s="89"/>
      <c r="C5" s="215"/>
      <c r="D5" s="93">
        <v>45016</v>
      </c>
      <c r="E5" s="95">
        <v>43498846</v>
      </c>
      <c r="F5" s="95" t="s">
        <v>13</v>
      </c>
      <c r="G5" s="96"/>
      <c r="H5" s="96"/>
      <c r="I5" s="133"/>
      <c r="J5" s="149">
        <v>15</v>
      </c>
      <c r="K5" s="149"/>
      <c r="L5" s="149"/>
      <c r="M5" s="149"/>
      <c r="N5" s="212"/>
      <c r="O5" s="212"/>
      <c r="P5" s="212"/>
      <c r="Q5" s="212"/>
      <c r="R5" s="212"/>
      <c r="S5" s="212"/>
      <c r="T5" s="212"/>
      <c r="U5" s="212"/>
      <c r="V5" s="212"/>
    </row>
    <row r="6" spans="1:22" ht="10.5" hidden="1" customHeight="1">
      <c r="A6" s="216"/>
      <c r="B6" s="217"/>
      <c r="C6" s="97"/>
      <c r="D6" s="179"/>
      <c r="E6" s="179"/>
      <c r="F6" s="218"/>
      <c r="G6" s="219"/>
      <c r="H6" s="219"/>
      <c r="I6" s="98"/>
      <c r="J6" s="210"/>
      <c r="K6" s="210"/>
      <c r="L6" s="210"/>
      <c r="M6" s="210"/>
      <c r="N6" s="212"/>
      <c r="O6" s="212"/>
      <c r="P6" s="212"/>
      <c r="Q6" s="212"/>
      <c r="R6" s="212"/>
      <c r="S6" s="212"/>
      <c r="T6" s="212"/>
      <c r="U6" s="212"/>
      <c r="V6" s="212"/>
    </row>
    <row r="7" spans="1:22" ht="48.75" customHeight="1">
      <c r="A7" s="220" t="s">
        <v>14</v>
      </c>
      <c r="B7" s="220" t="s">
        <v>15</v>
      </c>
      <c r="C7" s="220" t="s">
        <v>16</v>
      </c>
      <c r="D7" s="220" t="s">
        <v>17</v>
      </c>
      <c r="E7" s="221" t="s">
        <v>18</v>
      </c>
      <c r="F7" s="221" t="s">
        <v>19</v>
      </c>
      <c r="G7" s="99" t="s">
        <v>20</v>
      </c>
      <c r="H7" s="100" t="s">
        <v>21</v>
      </c>
      <c r="I7" s="210"/>
      <c r="J7" s="170" t="s">
        <v>22</v>
      </c>
      <c r="K7" s="171"/>
      <c r="L7" s="171"/>
      <c r="M7" s="172"/>
      <c r="N7" s="212"/>
      <c r="O7" s="212"/>
      <c r="P7" s="212"/>
      <c r="Q7" s="212"/>
      <c r="R7" s="212"/>
      <c r="S7" s="212"/>
      <c r="T7" s="212"/>
      <c r="U7" s="212"/>
      <c r="V7" s="210"/>
    </row>
    <row r="8" spans="1:22" s="88" customFormat="1" ht="18" customHeight="1">
      <c r="A8" s="101" t="s">
        <v>23</v>
      </c>
      <c r="B8" s="102">
        <f t="shared" ref="B8:B32" si="0">VLOOKUP(A8,INVENTARIO,2,FALSE)</f>
        <v>0.66</v>
      </c>
      <c r="C8" s="102">
        <f t="shared" ref="C8:C32" si="1">VLOOKUP(B8,broche,2,FALSE)</f>
        <v>1</v>
      </c>
      <c r="D8" s="103">
        <v>0</v>
      </c>
      <c r="E8" s="104">
        <v>3200</v>
      </c>
      <c r="F8" s="105">
        <f>F34/G34</f>
        <v>0.66</v>
      </c>
      <c r="G8" s="106">
        <f>E8*F8*$I$2</f>
        <v>2112</v>
      </c>
      <c r="H8" s="107">
        <f>H34*F8*E8</f>
        <v>31680</v>
      </c>
      <c r="I8" s="212"/>
      <c r="J8" s="173"/>
      <c r="K8" s="174"/>
      <c r="L8" s="174"/>
      <c r="M8" s="175"/>
      <c r="N8" s="212"/>
      <c r="O8" s="212"/>
      <c r="P8" s="212"/>
      <c r="Q8" s="212"/>
      <c r="R8" s="212"/>
      <c r="S8" s="212"/>
      <c r="T8" s="212"/>
      <c r="U8" s="212"/>
      <c r="V8" s="212"/>
    </row>
    <row r="9" spans="1:22" s="88" customFormat="1" ht="18" customHeight="1">
      <c r="A9" s="101" t="s">
        <v>24</v>
      </c>
      <c r="B9" s="102">
        <f t="shared" si="0"/>
        <v>0.5</v>
      </c>
      <c r="C9" s="102">
        <f t="shared" si="1"/>
        <v>1</v>
      </c>
      <c r="D9" s="103">
        <v>0</v>
      </c>
      <c r="E9" s="104">
        <v>3500</v>
      </c>
      <c r="F9" s="105">
        <f>F35/G35</f>
        <v>0.5</v>
      </c>
      <c r="G9" s="106">
        <f t="shared" ref="G9:G32" si="2">E9*F9*$I$2</f>
        <v>1750</v>
      </c>
      <c r="H9" s="107">
        <f t="shared" ref="H9:H32" si="3">H35*F9*E9</f>
        <v>26250</v>
      </c>
      <c r="I9" s="212"/>
      <c r="J9" s="173"/>
      <c r="K9" s="174"/>
      <c r="L9" s="174"/>
      <c r="M9" s="175"/>
      <c r="N9" s="212"/>
      <c r="O9" s="212"/>
      <c r="P9" s="212"/>
      <c r="Q9" s="212"/>
      <c r="R9" s="212"/>
      <c r="S9" s="212"/>
      <c r="T9" s="212"/>
      <c r="U9" s="212"/>
      <c r="V9" s="212"/>
    </row>
    <row r="10" spans="1:22" s="88" customFormat="1" ht="18" customHeight="1">
      <c r="A10" s="101" t="s">
        <v>25</v>
      </c>
      <c r="B10" s="102">
        <f t="shared" si="0"/>
        <v>0.25</v>
      </c>
      <c r="C10" s="102">
        <f t="shared" si="1"/>
        <v>1</v>
      </c>
      <c r="D10" s="103">
        <v>0</v>
      </c>
      <c r="E10" s="104">
        <v>1300</v>
      </c>
      <c r="F10" s="105">
        <f>F36/G36</f>
        <v>0.25</v>
      </c>
      <c r="G10" s="106">
        <f t="shared" si="2"/>
        <v>325</v>
      </c>
      <c r="H10" s="107">
        <f t="shared" si="3"/>
        <v>4875</v>
      </c>
      <c r="I10" s="212"/>
      <c r="J10" s="173"/>
      <c r="K10" s="174"/>
      <c r="L10" s="174"/>
      <c r="M10" s="175"/>
      <c r="N10" s="212"/>
      <c r="O10" s="212"/>
      <c r="P10" s="212"/>
      <c r="Q10" s="212"/>
      <c r="R10" s="212"/>
      <c r="S10" s="212"/>
      <c r="T10" s="212"/>
      <c r="U10" s="212"/>
      <c r="V10" s="212"/>
    </row>
    <row r="11" spans="1:22" s="88" customFormat="1" ht="18" customHeight="1">
      <c r="A11" s="101" t="s">
        <v>26</v>
      </c>
      <c r="B11" s="102">
        <f t="shared" si="0"/>
        <v>6</v>
      </c>
      <c r="C11" s="102">
        <f t="shared" si="1"/>
        <v>1</v>
      </c>
      <c r="D11" s="103">
        <v>0</v>
      </c>
      <c r="E11" s="104">
        <v>78</v>
      </c>
      <c r="F11" s="105">
        <f>F37/G37</f>
        <v>6</v>
      </c>
      <c r="G11" s="106">
        <f t="shared" si="2"/>
        <v>468</v>
      </c>
      <c r="H11" s="107">
        <f t="shared" si="3"/>
        <v>7020</v>
      </c>
      <c r="I11" s="212"/>
      <c r="J11" s="173"/>
      <c r="K11" s="174"/>
      <c r="L11" s="174"/>
      <c r="M11" s="175"/>
      <c r="N11" s="212"/>
      <c r="O11" s="212"/>
      <c r="P11" s="212"/>
      <c r="Q11" s="212"/>
      <c r="R11" s="212"/>
      <c r="S11" s="212"/>
      <c r="T11" s="212"/>
      <c r="U11" s="212"/>
      <c r="V11" s="212"/>
    </row>
    <row r="12" spans="1:22" s="88" customFormat="1" ht="18" customHeight="1">
      <c r="A12" s="101" t="s">
        <v>27</v>
      </c>
      <c r="B12" s="102">
        <f t="shared" si="0"/>
        <v>300</v>
      </c>
      <c r="C12" s="102">
        <f t="shared" si="1"/>
        <v>1</v>
      </c>
      <c r="D12" s="103">
        <v>0</v>
      </c>
      <c r="E12" s="104">
        <v>2</v>
      </c>
      <c r="F12" s="105">
        <f t="shared" ref="F12:F32" si="4">F38/G38</f>
        <v>300</v>
      </c>
      <c r="G12" s="106">
        <f t="shared" si="2"/>
        <v>600</v>
      </c>
      <c r="H12" s="107">
        <f t="shared" si="3"/>
        <v>9000</v>
      </c>
      <c r="I12" s="212"/>
      <c r="J12" s="173"/>
      <c r="K12" s="174"/>
      <c r="L12" s="174"/>
      <c r="M12" s="175"/>
      <c r="N12" s="212"/>
      <c r="O12" s="212"/>
      <c r="P12" s="212"/>
      <c r="Q12" s="212"/>
      <c r="R12" s="212"/>
      <c r="S12" s="212"/>
      <c r="T12" s="212"/>
      <c r="U12" s="212"/>
      <c r="V12" s="212"/>
    </row>
    <row r="13" spans="1:22" s="88" customFormat="1" ht="18" customHeight="1">
      <c r="A13" s="101" t="s">
        <v>28</v>
      </c>
      <c r="B13" s="102">
        <f t="shared" si="0"/>
        <v>100</v>
      </c>
      <c r="C13" s="102">
        <f t="shared" si="1"/>
        <v>1</v>
      </c>
      <c r="D13" s="103" t="s">
        <v>29</v>
      </c>
      <c r="E13" s="104">
        <v>1</v>
      </c>
      <c r="F13" s="105">
        <f t="shared" si="4"/>
        <v>100</v>
      </c>
      <c r="G13" s="106">
        <f t="shared" si="2"/>
        <v>100</v>
      </c>
      <c r="H13" s="107">
        <f t="shared" si="3"/>
        <v>1500</v>
      </c>
      <c r="I13" s="212"/>
      <c r="J13" s="173"/>
      <c r="K13" s="174"/>
      <c r="L13" s="174"/>
      <c r="M13" s="175"/>
      <c r="N13" s="212"/>
      <c r="O13" s="212"/>
      <c r="P13" s="212"/>
      <c r="Q13" s="212"/>
      <c r="R13" s="212"/>
      <c r="S13" s="212"/>
      <c r="T13" s="212"/>
      <c r="U13" s="212"/>
      <c r="V13" s="212"/>
    </row>
    <row r="14" spans="1:22" s="88" customFormat="1" ht="18" customHeight="1">
      <c r="A14" s="101" t="s">
        <v>30</v>
      </c>
      <c r="B14" s="102">
        <f t="shared" si="0"/>
        <v>80</v>
      </c>
      <c r="C14" s="102">
        <f t="shared" si="1"/>
        <v>1</v>
      </c>
      <c r="D14" s="103" t="s">
        <v>29</v>
      </c>
      <c r="E14" s="104">
        <v>1</v>
      </c>
      <c r="F14" s="105">
        <f t="shared" si="4"/>
        <v>80</v>
      </c>
      <c r="G14" s="106">
        <f t="shared" si="2"/>
        <v>80</v>
      </c>
      <c r="H14" s="107">
        <f t="shared" si="3"/>
        <v>1200</v>
      </c>
      <c r="I14" s="212"/>
      <c r="J14" s="173"/>
      <c r="K14" s="174"/>
      <c r="L14" s="174"/>
      <c r="M14" s="175"/>
      <c r="N14" s="212"/>
      <c r="O14" s="212"/>
      <c r="P14" s="212"/>
      <c r="Q14" s="212"/>
      <c r="R14" s="212"/>
      <c r="S14" s="212"/>
      <c r="T14" s="212"/>
      <c r="U14" s="212"/>
      <c r="V14" s="212"/>
    </row>
    <row r="15" spans="1:22" s="88" customFormat="1" ht="18" customHeight="1">
      <c r="A15" s="101" t="s">
        <v>31</v>
      </c>
      <c r="B15" s="102">
        <f t="shared" si="0"/>
        <v>40</v>
      </c>
      <c r="C15" s="102">
        <f t="shared" si="1"/>
        <v>1</v>
      </c>
      <c r="D15" s="103">
        <v>0</v>
      </c>
      <c r="E15" s="104">
        <v>222</v>
      </c>
      <c r="F15" s="105">
        <f t="shared" si="4"/>
        <v>40</v>
      </c>
      <c r="G15" s="106">
        <f t="shared" si="2"/>
        <v>8880</v>
      </c>
      <c r="H15" s="107">
        <f t="shared" si="3"/>
        <v>133200</v>
      </c>
      <c r="I15" s="212"/>
      <c r="J15" s="173"/>
      <c r="K15" s="174"/>
      <c r="L15" s="174"/>
      <c r="M15" s="175"/>
      <c r="N15" s="212"/>
      <c r="O15" s="212"/>
      <c r="P15" s="212"/>
      <c r="Q15" s="212"/>
      <c r="R15" s="212"/>
      <c r="S15" s="212"/>
      <c r="T15" s="212"/>
      <c r="U15" s="212"/>
      <c r="V15" s="212"/>
    </row>
    <row r="16" spans="1:22" s="88" customFormat="1" ht="18" customHeight="1">
      <c r="A16" s="101">
        <v>0</v>
      </c>
      <c r="B16" s="102">
        <f t="shared" ref="B16:B19" si="5">VLOOKUP(A16,INVENTARIO,2,FALSE)</f>
        <v>0</v>
      </c>
      <c r="C16" s="102">
        <f t="shared" ref="C16:C19" si="6">VLOOKUP(B16,broche,2,FALSE)</f>
        <v>0</v>
      </c>
      <c r="D16" s="103">
        <v>0</v>
      </c>
      <c r="E16" s="104">
        <v>0</v>
      </c>
      <c r="F16" s="105">
        <f t="shared" si="4"/>
        <v>0</v>
      </c>
      <c r="G16" s="106">
        <f t="shared" si="2"/>
        <v>0</v>
      </c>
      <c r="H16" s="107">
        <f t="shared" si="3"/>
        <v>0</v>
      </c>
      <c r="I16" s="212"/>
      <c r="J16" s="173"/>
      <c r="K16" s="174"/>
      <c r="L16" s="174"/>
      <c r="M16" s="175"/>
      <c r="N16" s="212"/>
      <c r="O16" s="212"/>
      <c r="P16" s="212"/>
      <c r="Q16" s="212"/>
      <c r="R16" s="212"/>
      <c r="S16" s="212"/>
      <c r="T16" s="212"/>
      <c r="U16" s="212"/>
      <c r="V16" s="212"/>
    </row>
    <row r="17" spans="1:18" s="88" customFormat="1" ht="18" customHeight="1">
      <c r="A17" s="101">
        <v>0</v>
      </c>
      <c r="B17" s="102">
        <f t="shared" si="5"/>
        <v>0</v>
      </c>
      <c r="C17" s="102">
        <f t="shared" si="6"/>
        <v>0</v>
      </c>
      <c r="D17" s="103">
        <v>0</v>
      </c>
      <c r="E17" s="104">
        <v>0</v>
      </c>
      <c r="F17" s="105">
        <f t="shared" si="4"/>
        <v>0</v>
      </c>
      <c r="G17" s="106">
        <f t="shared" si="2"/>
        <v>0</v>
      </c>
      <c r="H17" s="107">
        <f t="shared" si="3"/>
        <v>0</v>
      </c>
      <c r="I17" s="212"/>
      <c r="J17" s="173"/>
      <c r="K17" s="174"/>
      <c r="L17" s="174"/>
      <c r="M17" s="175"/>
      <c r="N17" s="212"/>
      <c r="O17" s="212"/>
      <c r="P17" s="212"/>
      <c r="Q17" s="212"/>
      <c r="R17" s="212"/>
    </row>
    <row r="18" spans="1:18" s="88" customFormat="1" ht="18" customHeight="1">
      <c r="A18" s="101">
        <v>0</v>
      </c>
      <c r="B18" s="102">
        <f t="shared" si="5"/>
        <v>0</v>
      </c>
      <c r="C18" s="102">
        <f t="shared" si="6"/>
        <v>0</v>
      </c>
      <c r="D18" s="103">
        <v>0</v>
      </c>
      <c r="E18" s="104">
        <v>0</v>
      </c>
      <c r="F18" s="105">
        <f t="shared" si="4"/>
        <v>0</v>
      </c>
      <c r="G18" s="106">
        <f t="shared" si="2"/>
        <v>0</v>
      </c>
      <c r="H18" s="107">
        <f t="shared" si="3"/>
        <v>0</v>
      </c>
      <c r="I18" s="212"/>
      <c r="J18" s="173"/>
      <c r="K18" s="174"/>
      <c r="L18" s="174"/>
      <c r="M18" s="175"/>
      <c r="N18" s="212"/>
      <c r="O18" s="212"/>
      <c r="P18" s="212"/>
      <c r="Q18" s="212"/>
      <c r="R18" s="212"/>
    </row>
    <row r="19" spans="1:18" s="88" customFormat="1" ht="18" customHeight="1">
      <c r="A19" s="101">
        <v>0</v>
      </c>
      <c r="B19" s="102">
        <f t="shared" si="5"/>
        <v>0</v>
      </c>
      <c r="C19" s="102">
        <f t="shared" si="6"/>
        <v>0</v>
      </c>
      <c r="D19" s="103">
        <v>0</v>
      </c>
      <c r="E19" s="104">
        <v>0</v>
      </c>
      <c r="F19" s="105">
        <f t="shared" si="4"/>
        <v>0</v>
      </c>
      <c r="G19" s="106">
        <f t="shared" si="2"/>
        <v>0</v>
      </c>
      <c r="H19" s="107">
        <f t="shared" si="3"/>
        <v>0</v>
      </c>
      <c r="I19" s="212"/>
      <c r="J19" s="173"/>
      <c r="K19" s="174"/>
      <c r="L19" s="174"/>
      <c r="M19" s="175"/>
      <c r="N19" s="212"/>
      <c r="O19" s="212"/>
      <c r="P19" s="212"/>
      <c r="Q19" s="212"/>
      <c r="R19" s="212"/>
    </row>
    <row r="20" spans="1:18" s="88" customFormat="1" ht="18" customHeight="1">
      <c r="A20" s="101">
        <v>0</v>
      </c>
      <c r="B20" s="102">
        <f t="shared" si="0"/>
        <v>0</v>
      </c>
      <c r="C20" s="102">
        <f t="shared" si="1"/>
        <v>0</v>
      </c>
      <c r="D20" s="103">
        <v>0</v>
      </c>
      <c r="E20" s="104">
        <v>0</v>
      </c>
      <c r="F20" s="105">
        <f t="shared" si="4"/>
        <v>0</v>
      </c>
      <c r="G20" s="106">
        <f t="shared" si="2"/>
        <v>0</v>
      </c>
      <c r="H20" s="107">
        <f t="shared" si="3"/>
        <v>0</v>
      </c>
      <c r="I20" s="212"/>
      <c r="J20" s="173"/>
      <c r="K20" s="174"/>
      <c r="L20" s="174"/>
      <c r="M20" s="175"/>
      <c r="N20" s="212"/>
      <c r="O20" s="212"/>
      <c r="P20" s="212"/>
      <c r="Q20" s="212"/>
      <c r="R20" s="212"/>
    </row>
    <row r="21" spans="1:18" s="88" customFormat="1" ht="18" customHeight="1">
      <c r="A21" s="101">
        <v>0</v>
      </c>
      <c r="B21" s="102">
        <f t="shared" si="0"/>
        <v>0</v>
      </c>
      <c r="C21" s="102">
        <f t="shared" si="1"/>
        <v>0</v>
      </c>
      <c r="D21" s="103">
        <v>0</v>
      </c>
      <c r="E21" s="104">
        <v>0</v>
      </c>
      <c r="F21" s="105">
        <f t="shared" si="4"/>
        <v>0</v>
      </c>
      <c r="G21" s="106">
        <f t="shared" si="2"/>
        <v>0</v>
      </c>
      <c r="H21" s="107">
        <f t="shared" si="3"/>
        <v>0</v>
      </c>
      <c r="I21" s="212"/>
      <c r="J21" s="173"/>
      <c r="K21" s="174"/>
      <c r="L21" s="174"/>
      <c r="M21" s="175"/>
      <c r="N21" s="212"/>
      <c r="O21" s="212"/>
      <c r="P21" s="212"/>
      <c r="Q21" s="212"/>
      <c r="R21" s="212"/>
    </row>
    <row r="22" spans="1:18" s="88" customFormat="1" ht="18" customHeight="1">
      <c r="A22" s="101">
        <v>0</v>
      </c>
      <c r="B22" s="102">
        <v>0.5</v>
      </c>
      <c r="C22" s="102">
        <f t="shared" si="1"/>
        <v>1</v>
      </c>
      <c r="D22" s="103">
        <v>0</v>
      </c>
      <c r="E22" s="104">
        <v>0</v>
      </c>
      <c r="F22" s="105">
        <f t="shared" si="4"/>
        <v>0.5</v>
      </c>
      <c r="G22" s="106">
        <f t="shared" si="2"/>
        <v>0</v>
      </c>
      <c r="H22" s="107">
        <f t="shared" si="3"/>
        <v>0</v>
      </c>
      <c r="I22" s="212"/>
      <c r="J22" s="173"/>
      <c r="K22" s="174"/>
      <c r="L22" s="174"/>
      <c r="M22" s="175"/>
      <c r="N22" s="212"/>
      <c r="O22" s="212"/>
      <c r="P22" s="212"/>
      <c r="Q22" s="212"/>
      <c r="R22" s="212"/>
    </row>
    <row r="23" spans="1:18" s="88" customFormat="1" ht="18" customHeight="1">
      <c r="A23" s="101">
        <v>0</v>
      </c>
      <c r="B23" s="102">
        <f t="shared" si="0"/>
        <v>0</v>
      </c>
      <c r="C23" s="102">
        <f t="shared" si="1"/>
        <v>0</v>
      </c>
      <c r="D23" s="103">
        <v>0</v>
      </c>
      <c r="E23" s="104">
        <v>0</v>
      </c>
      <c r="F23" s="105">
        <f t="shared" si="4"/>
        <v>0</v>
      </c>
      <c r="G23" s="106">
        <f t="shared" si="2"/>
        <v>0</v>
      </c>
      <c r="H23" s="107">
        <f t="shared" si="3"/>
        <v>0</v>
      </c>
      <c r="I23" s="212"/>
      <c r="J23" s="173"/>
      <c r="K23" s="174"/>
      <c r="L23" s="174"/>
      <c r="M23" s="175"/>
      <c r="N23" s="212"/>
      <c r="O23" s="212"/>
      <c r="P23" s="212"/>
      <c r="Q23" s="212"/>
      <c r="R23" s="212"/>
    </row>
    <row r="24" spans="1:18" s="88" customFormat="1" ht="18" customHeight="1" thickBot="1">
      <c r="A24" s="101">
        <v>0</v>
      </c>
      <c r="B24" s="102">
        <f t="shared" si="0"/>
        <v>0</v>
      </c>
      <c r="C24" s="102">
        <f t="shared" si="1"/>
        <v>0</v>
      </c>
      <c r="D24" s="103">
        <v>0</v>
      </c>
      <c r="E24" s="104">
        <v>0</v>
      </c>
      <c r="F24" s="105">
        <f t="shared" si="4"/>
        <v>0</v>
      </c>
      <c r="G24" s="106">
        <f t="shared" si="2"/>
        <v>0</v>
      </c>
      <c r="H24" s="107">
        <f t="shared" si="3"/>
        <v>0</v>
      </c>
      <c r="I24" s="212"/>
      <c r="J24" s="176"/>
      <c r="K24" s="177"/>
      <c r="L24" s="177"/>
      <c r="M24" s="178"/>
      <c r="N24" s="212"/>
      <c r="O24" s="212"/>
      <c r="P24" s="212"/>
      <c r="Q24" s="212"/>
      <c r="R24" s="212"/>
    </row>
    <row r="25" spans="1:18" s="88" customFormat="1" ht="18" customHeight="1">
      <c r="A25" s="101">
        <v>0</v>
      </c>
      <c r="B25" s="102">
        <f t="shared" si="0"/>
        <v>0</v>
      </c>
      <c r="C25" s="102">
        <f t="shared" si="1"/>
        <v>0</v>
      </c>
      <c r="D25" s="103">
        <v>0</v>
      </c>
      <c r="E25" s="104">
        <v>0</v>
      </c>
      <c r="F25" s="105">
        <f t="shared" si="4"/>
        <v>0</v>
      </c>
      <c r="G25" s="106">
        <f t="shared" si="2"/>
        <v>0</v>
      </c>
      <c r="H25" s="107">
        <f t="shared" si="3"/>
        <v>0</v>
      </c>
      <c r="I25" s="212"/>
      <c r="J25" s="136" t="s">
        <v>32</v>
      </c>
      <c r="K25" s="137"/>
      <c r="L25" s="166">
        <f>J3*110%</f>
        <v>15746.500000000002</v>
      </c>
      <c r="M25" s="167"/>
      <c r="N25" s="212"/>
      <c r="O25" s="212"/>
      <c r="P25" s="212"/>
      <c r="Q25" s="212"/>
      <c r="R25" s="212"/>
    </row>
    <row r="26" spans="1:18" s="88" customFormat="1" ht="18" customHeight="1">
      <c r="A26" s="101">
        <v>0</v>
      </c>
      <c r="B26" s="102">
        <f t="shared" si="0"/>
        <v>0</v>
      </c>
      <c r="C26" s="102">
        <f t="shared" si="1"/>
        <v>0</v>
      </c>
      <c r="D26" s="103">
        <v>0</v>
      </c>
      <c r="E26" s="104">
        <v>0</v>
      </c>
      <c r="F26" s="105">
        <f t="shared" si="4"/>
        <v>0</v>
      </c>
      <c r="G26" s="106">
        <f t="shared" si="2"/>
        <v>0</v>
      </c>
      <c r="H26" s="107">
        <f t="shared" si="3"/>
        <v>0</v>
      </c>
      <c r="I26" s="212"/>
      <c r="J26" s="136"/>
      <c r="K26" s="137"/>
      <c r="L26" s="166"/>
      <c r="M26" s="167"/>
      <c r="N26" s="212"/>
      <c r="O26" s="212"/>
      <c r="P26" s="212"/>
      <c r="Q26" s="212"/>
      <c r="R26" s="212"/>
    </row>
    <row r="27" spans="1:18" s="88" customFormat="1" ht="18" customHeight="1">
      <c r="A27" s="101">
        <v>0</v>
      </c>
      <c r="B27" s="102">
        <f t="shared" si="0"/>
        <v>0</v>
      </c>
      <c r="C27" s="102">
        <f t="shared" si="1"/>
        <v>0</v>
      </c>
      <c r="D27" s="103">
        <v>0</v>
      </c>
      <c r="E27" s="104">
        <v>0</v>
      </c>
      <c r="F27" s="105">
        <f t="shared" si="4"/>
        <v>0</v>
      </c>
      <c r="G27" s="106">
        <f t="shared" si="2"/>
        <v>0</v>
      </c>
      <c r="H27" s="107">
        <f t="shared" si="3"/>
        <v>0</v>
      </c>
      <c r="I27" s="212"/>
      <c r="J27" s="138"/>
      <c r="K27" s="139"/>
      <c r="L27" s="168"/>
      <c r="M27" s="169"/>
      <c r="N27" s="212"/>
      <c r="O27" s="212"/>
      <c r="P27" s="212"/>
      <c r="Q27" s="212"/>
      <c r="R27" s="212"/>
    </row>
    <row r="28" spans="1:18" s="88" customFormat="1" ht="18" customHeight="1">
      <c r="A28" s="101">
        <v>0</v>
      </c>
      <c r="B28" s="102">
        <f t="shared" si="0"/>
        <v>0</v>
      </c>
      <c r="C28" s="102">
        <f t="shared" si="1"/>
        <v>0</v>
      </c>
      <c r="D28" s="103">
        <v>0</v>
      </c>
      <c r="E28" s="104">
        <v>0</v>
      </c>
      <c r="F28" s="105">
        <f t="shared" si="4"/>
        <v>0</v>
      </c>
      <c r="G28" s="106">
        <f t="shared" si="2"/>
        <v>0</v>
      </c>
      <c r="H28" s="107">
        <f t="shared" si="3"/>
        <v>0</v>
      </c>
      <c r="I28" s="212"/>
      <c r="J28" s="134" t="s">
        <v>33</v>
      </c>
      <c r="K28" s="135"/>
      <c r="L28" s="140">
        <f>L25*J5</f>
        <v>236197.50000000003</v>
      </c>
      <c r="M28" s="141"/>
      <c r="N28" s="212"/>
      <c r="O28" s="212"/>
      <c r="P28" s="212"/>
      <c r="Q28" s="212"/>
      <c r="R28" s="212"/>
    </row>
    <row r="29" spans="1:18" s="88" customFormat="1" ht="18" customHeight="1">
      <c r="A29" s="101">
        <v>0</v>
      </c>
      <c r="B29" s="102">
        <f t="shared" si="0"/>
        <v>0</v>
      </c>
      <c r="C29" s="102">
        <f t="shared" si="1"/>
        <v>0</v>
      </c>
      <c r="D29" s="103">
        <v>0</v>
      </c>
      <c r="E29" s="104">
        <v>0</v>
      </c>
      <c r="F29" s="105">
        <f t="shared" si="4"/>
        <v>0</v>
      </c>
      <c r="G29" s="106">
        <f t="shared" si="2"/>
        <v>0</v>
      </c>
      <c r="H29" s="107">
        <f t="shared" si="3"/>
        <v>0</v>
      </c>
      <c r="I29" s="212"/>
      <c r="J29" s="136"/>
      <c r="K29" s="137"/>
      <c r="L29" s="142"/>
      <c r="M29" s="143"/>
      <c r="N29" s="212"/>
      <c r="O29" s="212"/>
      <c r="P29" s="212"/>
      <c r="Q29" s="212"/>
      <c r="R29" s="212"/>
    </row>
    <row r="30" spans="1:18" s="88" customFormat="1" ht="18" customHeight="1">
      <c r="A30" s="101">
        <v>0</v>
      </c>
      <c r="B30" s="102">
        <f t="shared" si="0"/>
        <v>0</v>
      </c>
      <c r="C30" s="102">
        <f t="shared" si="1"/>
        <v>0</v>
      </c>
      <c r="D30" s="103">
        <v>0</v>
      </c>
      <c r="E30" s="104">
        <v>0</v>
      </c>
      <c r="F30" s="105">
        <f t="shared" si="4"/>
        <v>0</v>
      </c>
      <c r="G30" s="106">
        <f t="shared" si="2"/>
        <v>0</v>
      </c>
      <c r="H30" s="107">
        <f t="shared" si="3"/>
        <v>0</v>
      </c>
      <c r="I30" s="212"/>
      <c r="J30" s="138"/>
      <c r="K30" s="139"/>
      <c r="L30" s="144"/>
      <c r="M30" s="145"/>
      <c r="N30" s="212"/>
      <c r="O30" s="212"/>
      <c r="P30" s="212"/>
      <c r="Q30" s="212"/>
      <c r="R30" s="212"/>
    </row>
    <row r="31" spans="1:18" s="88" customFormat="1" ht="18" customHeight="1">
      <c r="A31" s="101">
        <v>0</v>
      </c>
      <c r="B31" s="102">
        <f t="shared" si="0"/>
        <v>0</v>
      </c>
      <c r="C31" s="102">
        <f t="shared" si="1"/>
        <v>0</v>
      </c>
      <c r="D31" s="103">
        <v>0</v>
      </c>
      <c r="E31" s="104">
        <v>0</v>
      </c>
      <c r="F31" s="105">
        <f t="shared" si="4"/>
        <v>0</v>
      </c>
      <c r="G31" s="106">
        <f t="shared" si="2"/>
        <v>0</v>
      </c>
      <c r="H31" s="107">
        <f t="shared" si="3"/>
        <v>0</v>
      </c>
      <c r="I31" s="212"/>
      <c r="J31" s="212"/>
      <c r="K31" s="212"/>
      <c r="L31" s="212"/>
      <c r="M31" s="212"/>
      <c r="N31" s="212"/>
      <c r="O31" s="212"/>
      <c r="P31" s="212"/>
      <c r="Q31" s="212"/>
      <c r="R31" s="212"/>
    </row>
    <row r="32" spans="1:18" ht="17.25" customHeight="1">
      <c r="A32" s="101">
        <v>0</v>
      </c>
      <c r="B32" s="102">
        <f t="shared" si="0"/>
        <v>0</v>
      </c>
      <c r="C32" s="102">
        <f t="shared" si="1"/>
        <v>0</v>
      </c>
      <c r="D32" s="103">
        <v>0</v>
      </c>
      <c r="E32" s="104">
        <v>0</v>
      </c>
      <c r="F32" s="105">
        <f t="shared" si="4"/>
        <v>0</v>
      </c>
      <c r="G32" s="106">
        <f t="shared" si="2"/>
        <v>0</v>
      </c>
      <c r="H32" s="107">
        <f t="shared" si="3"/>
        <v>0</v>
      </c>
      <c r="I32" s="210"/>
      <c r="J32" s="212"/>
      <c r="K32" s="212"/>
      <c r="L32" s="212"/>
      <c r="M32" s="212"/>
      <c r="N32" s="212"/>
      <c r="O32" s="212"/>
      <c r="P32" s="212"/>
      <c r="Q32" s="212"/>
      <c r="R32" s="212"/>
    </row>
    <row r="33" spans="1:22" ht="18" hidden="1" customHeight="1">
      <c r="A33" s="222"/>
      <c r="B33" s="222"/>
      <c r="C33" s="102"/>
      <c r="D33" s="108"/>
      <c r="E33" s="104"/>
      <c r="F33" s="109"/>
      <c r="G33" s="223"/>
      <c r="H33" s="223"/>
      <c r="I33" s="224"/>
      <c r="J33" s="110"/>
      <c r="K33" s="98"/>
      <c r="L33" s="98"/>
      <c r="M33" s="98"/>
      <c r="N33" s="212"/>
      <c r="O33" s="212"/>
      <c r="P33" s="212"/>
      <c r="Q33" s="212"/>
      <c r="R33" s="212"/>
      <c r="S33" s="212"/>
      <c r="T33" s="212"/>
      <c r="U33" s="212"/>
      <c r="V33" s="212"/>
    </row>
    <row r="34" spans="1:22" ht="12.75" hidden="1" customHeight="1">
      <c r="A34" s="111" t="str">
        <f t="shared" ref="A34:A58" si="7">A8</f>
        <v>Lona Sintetica Colores  (cm²)</v>
      </c>
      <c r="B34" s="112"/>
      <c r="C34" s="112"/>
      <c r="D34" s="113">
        <f>IF(D8&lt;1,0,D8)</f>
        <v>0</v>
      </c>
      <c r="E34" s="114">
        <f>IF(C8*B8&lt;1,0,C8)</f>
        <v>0</v>
      </c>
      <c r="F34" s="115">
        <f>B8</f>
        <v>0.66</v>
      </c>
      <c r="G34" s="116">
        <f t="shared" ref="G34:G58" si="8">IF(E34&lt;1,(1),E34)</f>
        <v>1</v>
      </c>
      <c r="H34" s="102">
        <f>J5</f>
        <v>15</v>
      </c>
      <c r="I34" s="117">
        <f t="shared" ref="I34:I58" si="9">G8/G34</f>
        <v>2112</v>
      </c>
      <c r="J34" s="110"/>
      <c r="K34" s="98"/>
      <c r="L34" s="98"/>
      <c r="M34" s="98"/>
      <c r="N34" s="212"/>
      <c r="O34" s="212"/>
      <c r="P34" s="212"/>
      <c r="Q34" s="212"/>
      <c r="R34" s="212"/>
      <c r="S34" s="212"/>
      <c r="T34" s="212"/>
      <c r="U34" s="212"/>
      <c r="V34" s="212"/>
    </row>
    <row r="35" spans="1:22" ht="12.75" hidden="1" customHeight="1">
      <c r="A35" s="111" t="str">
        <f t="shared" si="7"/>
        <v>Seda 30-100 Colores  (cm²)</v>
      </c>
      <c r="B35" s="112"/>
      <c r="C35" s="112"/>
      <c r="D35" s="113">
        <f t="shared" ref="D35:D58" si="10">IF(D9&lt;1,0,D9)</f>
        <v>0</v>
      </c>
      <c r="E35" s="114">
        <f t="shared" ref="E35:E58" si="11">IF(C9*B9&lt;1,0,C9)</f>
        <v>0</v>
      </c>
      <c r="F35" s="115">
        <f t="shared" ref="F35:F58" si="12">B9</f>
        <v>0.5</v>
      </c>
      <c r="G35" s="116">
        <f t="shared" si="8"/>
        <v>1</v>
      </c>
      <c r="H35" s="102">
        <f>J5</f>
        <v>15</v>
      </c>
      <c r="I35" s="117">
        <f t="shared" si="9"/>
        <v>1750</v>
      </c>
      <c r="J35" s="110"/>
      <c r="K35" s="98"/>
      <c r="L35" s="98"/>
      <c r="M35" s="98"/>
      <c r="N35" s="212"/>
      <c r="O35" s="212"/>
      <c r="P35" s="212"/>
      <c r="Q35" s="212"/>
      <c r="R35" s="212"/>
      <c r="S35" s="212"/>
      <c r="T35" s="212"/>
      <c r="U35" s="212"/>
      <c r="V35" s="212"/>
    </row>
    <row r="36" spans="1:22" ht="12.75" hidden="1" customHeight="1">
      <c r="A36" s="111" t="str">
        <f t="shared" si="7"/>
        <v>Yumbolon 3mm  (cm²)</v>
      </c>
      <c r="B36" s="112"/>
      <c r="C36" s="112"/>
      <c r="D36" s="113">
        <f t="shared" si="10"/>
        <v>0</v>
      </c>
      <c r="E36" s="114">
        <f t="shared" si="11"/>
        <v>0</v>
      </c>
      <c r="F36" s="115">
        <f t="shared" si="12"/>
        <v>0.25</v>
      </c>
      <c r="G36" s="116">
        <f t="shared" si="8"/>
        <v>1</v>
      </c>
      <c r="H36" s="102">
        <f>J5</f>
        <v>15</v>
      </c>
      <c r="I36" s="117">
        <f t="shared" si="9"/>
        <v>325</v>
      </c>
      <c r="J36" s="110"/>
      <c r="K36" s="98"/>
      <c r="L36" s="98"/>
      <c r="M36" s="98"/>
      <c r="N36" s="212"/>
      <c r="O36" s="212"/>
      <c r="P36" s="212"/>
      <c r="Q36" s="212"/>
      <c r="R36" s="212"/>
      <c r="S36" s="212"/>
      <c r="T36" s="212"/>
      <c r="U36" s="212"/>
      <c r="V36" s="212"/>
    </row>
    <row r="37" spans="1:22" ht="12.75" hidden="1" customHeight="1">
      <c r="A37" s="111" t="str">
        <f t="shared" si="7"/>
        <v>Cremallera Nylon #6(cm)</v>
      </c>
      <c r="B37" s="112"/>
      <c r="C37" s="112"/>
      <c r="D37" s="113">
        <f t="shared" si="10"/>
        <v>0</v>
      </c>
      <c r="E37" s="114">
        <f t="shared" si="11"/>
        <v>1</v>
      </c>
      <c r="F37" s="115">
        <f t="shared" si="12"/>
        <v>6</v>
      </c>
      <c r="G37" s="116">
        <f t="shared" si="8"/>
        <v>1</v>
      </c>
      <c r="H37" s="102">
        <f>J5</f>
        <v>15</v>
      </c>
      <c r="I37" s="117">
        <f t="shared" si="9"/>
        <v>468</v>
      </c>
      <c r="J37" s="110"/>
      <c r="K37" s="98"/>
      <c r="L37" s="98"/>
      <c r="M37" s="98"/>
      <c r="N37" s="212"/>
      <c r="O37" s="212"/>
      <c r="P37" s="212"/>
      <c r="Q37" s="212"/>
      <c r="R37" s="212"/>
      <c r="S37" s="212"/>
      <c r="T37" s="212"/>
      <c r="U37" s="212"/>
      <c r="V37" s="212"/>
    </row>
    <row r="38" spans="1:22" ht="12.75" hidden="1" customHeight="1">
      <c r="A38" s="111" t="str">
        <f t="shared" si="7"/>
        <v xml:space="preserve">llaves #6 Nq de lujo </v>
      </c>
      <c r="B38" s="112"/>
      <c r="C38" s="112"/>
      <c r="D38" s="113">
        <f t="shared" si="10"/>
        <v>0</v>
      </c>
      <c r="E38" s="114">
        <f t="shared" si="11"/>
        <v>1</v>
      </c>
      <c r="F38" s="115">
        <f t="shared" si="12"/>
        <v>300</v>
      </c>
      <c r="G38" s="116">
        <f t="shared" si="8"/>
        <v>1</v>
      </c>
      <c r="H38" s="102">
        <f>J5</f>
        <v>15</v>
      </c>
      <c r="I38" s="117">
        <f t="shared" si="9"/>
        <v>600</v>
      </c>
      <c r="J38" s="110"/>
      <c r="K38" s="98"/>
      <c r="L38" s="98"/>
      <c r="M38" s="98"/>
      <c r="N38" s="212"/>
      <c r="O38" s="212"/>
      <c r="P38" s="212"/>
      <c r="Q38" s="212"/>
      <c r="R38" s="212"/>
      <c r="S38" s="212"/>
      <c r="T38" s="212"/>
      <c r="U38" s="212"/>
      <c r="V38" s="212"/>
    </row>
    <row r="39" spans="1:22" ht="12.75" hidden="1" customHeight="1">
      <c r="A39" s="111" t="str">
        <f t="shared" si="7"/>
        <v xml:space="preserve">trabilla 1"¼ pb </v>
      </c>
      <c r="B39" s="112"/>
      <c r="C39" s="112"/>
      <c r="D39" s="113" t="str">
        <f t="shared" si="10"/>
        <v>jordao</v>
      </c>
      <c r="E39" s="114">
        <f t="shared" si="11"/>
        <v>1</v>
      </c>
      <c r="F39" s="115">
        <f t="shared" si="12"/>
        <v>100</v>
      </c>
      <c r="G39" s="116">
        <f t="shared" si="8"/>
        <v>1</v>
      </c>
      <c r="H39" s="102">
        <f>J5</f>
        <v>15</v>
      </c>
      <c r="I39" s="117">
        <f t="shared" si="9"/>
        <v>100</v>
      </c>
      <c r="J39" s="110"/>
      <c r="K39" s="98"/>
      <c r="L39" s="98"/>
      <c r="M39" s="98"/>
      <c r="N39" s="212"/>
      <c r="O39" s="212"/>
      <c r="P39" s="212"/>
      <c r="Q39" s="212"/>
      <c r="R39" s="212"/>
      <c r="S39" s="212"/>
      <c r="T39" s="212"/>
      <c r="U39" s="212"/>
      <c r="V39" s="212"/>
    </row>
    <row r="40" spans="1:22" ht="12.75" hidden="1" customHeight="1">
      <c r="A40" s="111" t="str">
        <f t="shared" si="7"/>
        <v xml:space="preserve">cuadrante 1" ¼ niquel </v>
      </c>
      <c r="B40" s="112"/>
      <c r="C40" s="112"/>
      <c r="D40" s="113" t="str">
        <f t="shared" si="10"/>
        <v>jordao</v>
      </c>
      <c r="E40" s="114">
        <f t="shared" si="11"/>
        <v>1</v>
      </c>
      <c r="F40" s="115">
        <f t="shared" si="12"/>
        <v>80</v>
      </c>
      <c r="G40" s="116">
        <f t="shared" si="8"/>
        <v>1</v>
      </c>
      <c r="H40" s="102">
        <f>J5</f>
        <v>15</v>
      </c>
      <c r="I40" s="117">
        <f t="shared" si="9"/>
        <v>80</v>
      </c>
      <c r="J40" s="110"/>
      <c r="K40" s="98"/>
      <c r="L40" s="98"/>
      <c r="M40" s="98"/>
      <c r="N40" s="212"/>
      <c r="O40" s="212"/>
      <c r="P40" s="212"/>
      <c r="Q40" s="212"/>
      <c r="R40" s="212"/>
      <c r="S40" s="212"/>
      <c r="T40" s="212"/>
      <c r="U40" s="212"/>
      <c r="V40" s="212"/>
    </row>
    <row r="41" spans="1:22" ht="12.75" hidden="1" customHeight="1">
      <c r="A41" s="111" t="str">
        <f t="shared" si="7"/>
        <v>Reata sintetica 1 1/4"-33mm (cm)</v>
      </c>
      <c r="B41" s="112"/>
      <c r="C41" s="112"/>
      <c r="D41" s="113">
        <f t="shared" si="10"/>
        <v>0</v>
      </c>
      <c r="E41" s="114">
        <f t="shared" si="11"/>
        <v>1</v>
      </c>
      <c r="F41" s="115">
        <f t="shared" si="12"/>
        <v>40</v>
      </c>
      <c r="G41" s="116">
        <f t="shared" si="8"/>
        <v>1</v>
      </c>
      <c r="H41" s="102">
        <f>J5</f>
        <v>15</v>
      </c>
      <c r="I41" s="117">
        <f t="shared" si="9"/>
        <v>8880</v>
      </c>
      <c r="J41" s="110"/>
      <c r="K41" s="98"/>
      <c r="L41" s="98"/>
      <c r="M41" s="98"/>
      <c r="N41" s="212"/>
      <c r="O41" s="212"/>
      <c r="P41" s="212"/>
      <c r="Q41" s="212"/>
      <c r="R41" s="212"/>
      <c r="S41" s="212"/>
      <c r="T41" s="212"/>
      <c r="U41" s="212"/>
      <c r="V41" s="212"/>
    </row>
    <row r="42" spans="1:22" ht="12.75" hidden="1" customHeight="1">
      <c r="A42" s="111">
        <f t="shared" si="7"/>
        <v>0</v>
      </c>
      <c r="B42" s="112"/>
      <c r="C42" s="112"/>
      <c r="D42" s="113">
        <f t="shared" si="10"/>
        <v>0</v>
      </c>
      <c r="E42" s="114">
        <f t="shared" si="11"/>
        <v>0</v>
      </c>
      <c r="F42" s="115">
        <f t="shared" si="12"/>
        <v>0</v>
      </c>
      <c r="G42" s="116">
        <f t="shared" si="8"/>
        <v>1</v>
      </c>
      <c r="H42" s="102">
        <f>J5</f>
        <v>15</v>
      </c>
      <c r="I42" s="117">
        <f t="shared" si="9"/>
        <v>0</v>
      </c>
      <c r="J42" s="110"/>
      <c r="K42" s="98"/>
      <c r="L42" s="98"/>
      <c r="M42" s="98"/>
      <c r="N42" s="212"/>
      <c r="O42" s="212"/>
      <c r="P42" s="212"/>
      <c r="Q42" s="212"/>
      <c r="R42" s="212"/>
      <c r="S42" s="212"/>
      <c r="T42" s="212"/>
      <c r="U42" s="212"/>
      <c r="V42" s="212"/>
    </row>
    <row r="43" spans="1:22" ht="12.75" hidden="1" customHeight="1">
      <c r="A43" s="111">
        <f t="shared" si="7"/>
        <v>0</v>
      </c>
      <c r="B43" s="112"/>
      <c r="C43" s="112"/>
      <c r="D43" s="113">
        <f t="shared" si="10"/>
        <v>0</v>
      </c>
      <c r="E43" s="114">
        <f t="shared" si="11"/>
        <v>0</v>
      </c>
      <c r="F43" s="115">
        <f t="shared" si="12"/>
        <v>0</v>
      </c>
      <c r="G43" s="116">
        <f t="shared" si="8"/>
        <v>1</v>
      </c>
      <c r="H43" s="102">
        <f>J5</f>
        <v>15</v>
      </c>
      <c r="I43" s="117">
        <f t="shared" si="9"/>
        <v>0</v>
      </c>
      <c r="J43" s="110"/>
      <c r="K43" s="98"/>
      <c r="L43" s="98"/>
      <c r="M43" s="98"/>
      <c r="N43" s="212"/>
      <c r="O43" s="212"/>
      <c r="P43" s="212"/>
      <c r="Q43" s="212"/>
      <c r="R43" s="212"/>
      <c r="S43" s="212"/>
      <c r="T43" s="212"/>
      <c r="U43" s="212"/>
      <c r="V43" s="212"/>
    </row>
    <row r="44" spans="1:22" ht="12.75" hidden="1" customHeight="1">
      <c r="A44" s="111">
        <f t="shared" si="7"/>
        <v>0</v>
      </c>
      <c r="B44" s="112"/>
      <c r="C44" s="112"/>
      <c r="D44" s="113">
        <f t="shared" si="10"/>
        <v>0</v>
      </c>
      <c r="E44" s="114">
        <f t="shared" si="11"/>
        <v>0</v>
      </c>
      <c r="F44" s="115">
        <f t="shared" si="12"/>
        <v>0</v>
      </c>
      <c r="G44" s="116">
        <f t="shared" si="8"/>
        <v>1</v>
      </c>
      <c r="H44" s="102">
        <f>J5</f>
        <v>15</v>
      </c>
      <c r="I44" s="117">
        <f t="shared" si="9"/>
        <v>0</v>
      </c>
      <c r="J44" s="110"/>
      <c r="K44" s="98"/>
      <c r="L44" s="98"/>
      <c r="M44" s="98"/>
      <c r="N44" s="212"/>
      <c r="O44" s="212"/>
      <c r="P44" s="212"/>
      <c r="Q44" s="212"/>
      <c r="R44" s="212"/>
      <c r="S44" s="212"/>
      <c r="T44" s="212"/>
      <c r="U44" s="212"/>
      <c r="V44" s="212"/>
    </row>
    <row r="45" spans="1:22" ht="12.75" hidden="1" customHeight="1">
      <c r="A45" s="111">
        <f t="shared" si="7"/>
        <v>0</v>
      </c>
      <c r="B45" s="112"/>
      <c r="C45" s="112"/>
      <c r="D45" s="113">
        <f t="shared" si="10"/>
        <v>0</v>
      </c>
      <c r="E45" s="114">
        <f t="shared" si="11"/>
        <v>0</v>
      </c>
      <c r="F45" s="115">
        <f t="shared" si="12"/>
        <v>0</v>
      </c>
      <c r="G45" s="116">
        <f t="shared" si="8"/>
        <v>1</v>
      </c>
      <c r="H45" s="102">
        <f>J5</f>
        <v>15</v>
      </c>
      <c r="I45" s="117">
        <f t="shared" si="9"/>
        <v>0</v>
      </c>
      <c r="J45" s="110"/>
      <c r="K45" s="98"/>
      <c r="L45" s="98"/>
      <c r="M45" s="98"/>
      <c r="N45" s="212"/>
      <c r="O45" s="212"/>
      <c r="P45" s="212"/>
      <c r="Q45" s="212"/>
      <c r="R45" s="212"/>
      <c r="S45" s="212"/>
      <c r="T45" s="212"/>
      <c r="U45" s="212"/>
      <c r="V45" s="212"/>
    </row>
    <row r="46" spans="1:22" ht="12.75" hidden="1" customHeight="1">
      <c r="A46" s="111">
        <f t="shared" si="7"/>
        <v>0</v>
      </c>
      <c r="B46" s="112"/>
      <c r="C46" s="112"/>
      <c r="D46" s="113">
        <f t="shared" si="10"/>
        <v>0</v>
      </c>
      <c r="E46" s="114">
        <f t="shared" si="11"/>
        <v>0</v>
      </c>
      <c r="F46" s="115">
        <f t="shared" si="12"/>
        <v>0</v>
      </c>
      <c r="G46" s="116">
        <f t="shared" si="8"/>
        <v>1</v>
      </c>
      <c r="H46" s="102">
        <f>J5</f>
        <v>15</v>
      </c>
      <c r="I46" s="117">
        <f t="shared" si="9"/>
        <v>0</v>
      </c>
      <c r="J46" s="110"/>
      <c r="K46" s="98"/>
      <c r="L46" s="98"/>
      <c r="M46" s="98"/>
      <c r="N46" s="212"/>
      <c r="O46" s="212"/>
      <c r="P46" s="212"/>
      <c r="Q46" s="212"/>
      <c r="R46" s="212"/>
      <c r="S46" s="212"/>
      <c r="T46" s="212"/>
      <c r="U46" s="212"/>
      <c r="V46" s="212"/>
    </row>
    <row r="47" spans="1:22" ht="12.75" hidden="1" customHeight="1">
      <c r="A47" s="111">
        <f t="shared" si="7"/>
        <v>0</v>
      </c>
      <c r="B47" s="112"/>
      <c r="C47" s="112"/>
      <c r="D47" s="113">
        <f t="shared" si="10"/>
        <v>0</v>
      </c>
      <c r="E47" s="114">
        <f t="shared" si="11"/>
        <v>0</v>
      </c>
      <c r="F47" s="115">
        <f t="shared" si="12"/>
        <v>0</v>
      </c>
      <c r="G47" s="116">
        <f t="shared" si="8"/>
        <v>1</v>
      </c>
      <c r="H47" s="102">
        <f>J5</f>
        <v>15</v>
      </c>
      <c r="I47" s="117">
        <f t="shared" si="9"/>
        <v>0</v>
      </c>
      <c r="J47" s="110"/>
      <c r="K47" s="98"/>
      <c r="L47" s="98"/>
      <c r="M47" s="98"/>
      <c r="N47" s="212"/>
      <c r="O47" s="212"/>
      <c r="P47" s="212"/>
      <c r="Q47" s="212"/>
      <c r="R47" s="212"/>
      <c r="S47" s="212"/>
      <c r="T47" s="212"/>
      <c r="U47" s="212"/>
      <c r="V47" s="212"/>
    </row>
    <row r="48" spans="1:22" ht="12.75" hidden="1" customHeight="1">
      <c r="A48" s="111">
        <f t="shared" si="7"/>
        <v>0</v>
      </c>
      <c r="B48" s="112"/>
      <c r="C48" s="112"/>
      <c r="D48" s="113">
        <f t="shared" si="10"/>
        <v>0</v>
      </c>
      <c r="E48" s="114">
        <f t="shared" si="11"/>
        <v>0</v>
      </c>
      <c r="F48" s="115">
        <f t="shared" si="12"/>
        <v>0.5</v>
      </c>
      <c r="G48" s="116">
        <f t="shared" si="8"/>
        <v>1</v>
      </c>
      <c r="H48" s="102">
        <f>J5</f>
        <v>15</v>
      </c>
      <c r="I48" s="117">
        <f t="shared" si="9"/>
        <v>0</v>
      </c>
      <c r="J48" s="110"/>
      <c r="K48" s="98"/>
      <c r="L48" s="98"/>
      <c r="M48" s="98"/>
      <c r="N48" s="212"/>
      <c r="O48" s="212"/>
      <c r="P48" s="212"/>
      <c r="Q48" s="212"/>
      <c r="R48" s="212"/>
      <c r="S48" s="212"/>
      <c r="T48" s="212"/>
      <c r="U48" s="212"/>
      <c r="V48" s="212"/>
    </row>
    <row r="49" spans="1:22" ht="12.75" hidden="1" customHeight="1">
      <c r="A49" s="111">
        <f t="shared" si="7"/>
        <v>0</v>
      </c>
      <c r="B49" s="112"/>
      <c r="C49" s="112"/>
      <c r="D49" s="113">
        <f t="shared" si="10"/>
        <v>0</v>
      </c>
      <c r="E49" s="114">
        <f t="shared" si="11"/>
        <v>0</v>
      </c>
      <c r="F49" s="115">
        <f t="shared" si="12"/>
        <v>0</v>
      </c>
      <c r="G49" s="116">
        <f t="shared" si="8"/>
        <v>1</v>
      </c>
      <c r="H49" s="102">
        <f>J5</f>
        <v>15</v>
      </c>
      <c r="I49" s="117">
        <f t="shared" si="9"/>
        <v>0</v>
      </c>
      <c r="J49" s="110"/>
      <c r="K49" s="98"/>
      <c r="L49" s="98"/>
      <c r="M49" s="98"/>
      <c r="N49" s="212"/>
      <c r="O49" s="212"/>
      <c r="P49" s="212"/>
      <c r="Q49" s="212"/>
      <c r="R49" s="212"/>
      <c r="S49" s="212"/>
      <c r="T49" s="212"/>
      <c r="U49" s="212"/>
      <c r="V49" s="212"/>
    </row>
    <row r="50" spans="1:22" ht="12.75" hidden="1" customHeight="1">
      <c r="A50" s="111">
        <f t="shared" si="7"/>
        <v>0</v>
      </c>
      <c r="B50" s="112"/>
      <c r="C50" s="112"/>
      <c r="D50" s="113">
        <f t="shared" si="10"/>
        <v>0</v>
      </c>
      <c r="E50" s="114">
        <f t="shared" si="11"/>
        <v>0</v>
      </c>
      <c r="F50" s="115">
        <f t="shared" si="12"/>
        <v>0</v>
      </c>
      <c r="G50" s="116">
        <f t="shared" si="8"/>
        <v>1</v>
      </c>
      <c r="H50" s="102">
        <f>J5</f>
        <v>15</v>
      </c>
      <c r="I50" s="117">
        <f t="shared" si="9"/>
        <v>0</v>
      </c>
      <c r="J50" s="110"/>
      <c r="K50" s="98"/>
      <c r="L50" s="98"/>
      <c r="M50" s="98"/>
      <c r="N50" s="212"/>
      <c r="O50" s="212"/>
      <c r="P50" s="212"/>
      <c r="Q50" s="212"/>
      <c r="R50" s="212"/>
      <c r="S50" s="212"/>
      <c r="T50" s="212"/>
      <c r="U50" s="212"/>
      <c r="V50" s="212"/>
    </row>
    <row r="51" spans="1:22" ht="12.75" hidden="1" customHeight="1">
      <c r="A51" s="111">
        <f t="shared" si="7"/>
        <v>0</v>
      </c>
      <c r="B51" s="112"/>
      <c r="C51" s="112"/>
      <c r="D51" s="113">
        <f t="shared" si="10"/>
        <v>0</v>
      </c>
      <c r="E51" s="114">
        <f t="shared" si="11"/>
        <v>0</v>
      </c>
      <c r="F51" s="115">
        <f t="shared" si="12"/>
        <v>0</v>
      </c>
      <c r="G51" s="116">
        <f t="shared" si="8"/>
        <v>1</v>
      </c>
      <c r="H51" s="102">
        <f>J5</f>
        <v>15</v>
      </c>
      <c r="I51" s="117">
        <f t="shared" si="9"/>
        <v>0</v>
      </c>
      <c r="J51" s="110"/>
      <c r="K51" s="98"/>
      <c r="L51" s="98"/>
      <c r="M51" s="98"/>
      <c r="N51" s="212"/>
      <c r="O51" s="212"/>
      <c r="P51" s="212"/>
      <c r="Q51" s="212"/>
      <c r="R51" s="212"/>
      <c r="S51" s="212"/>
      <c r="T51" s="212"/>
      <c r="U51" s="212"/>
      <c r="V51" s="212"/>
    </row>
    <row r="52" spans="1:22" ht="12.75" hidden="1" customHeight="1">
      <c r="A52" s="111">
        <f t="shared" si="7"/>
        <v>0</v>
      </c>
      <c r="B52" s="112"/>
      <c r="C52" s="112"/>
      <c r="D52" s="113">
        <f t="shared" si="10"/>
        <v>0</v>
      </c>
      <c r="E52" s="114">
        <f t="shared" si="11"/>
        <v>0</v>
      </c>
      <c r="F52" s="115">
        <f t="shared" si="12"/>
        <v>0</v>
      </c>
      <c r="G52" s="116">
        <f t="shared" si="8"/>
        <v>1</v>
      </c>
      <c r="H52" s="102">
        <f>J5</f>
        <v>15</v>
      </c>
      <c r="I52" s="117">
        <f t="shared" si="9"/>
        <v>0</v>
      </c>
      <c r="J52" s="110"/>
      <c r="K52" s="98"/>
      <c r="L52" s="98"/>
      <c r="M52" s="98"/>
      <c r="N52" s="212"/>
      <c r="O52" s="212"/>
      <c r="P52" s="212"/>
      <c r="Q52" s="212"/>
      <c r="R52" s="212"/>
      <c r="S52" s="212"/>
      <c r="T52" s="212"/>
      <c r="U52" s="212"/>
      <c r="V52" s="212"/>
    </row>
    <row r="53" spans="1:22" ht="12.75" hidden="1" customHeight="1">
      <c r="A53" s="111">
        <f t="shared" si="7"/>
        <v>0</v>
      </c>
      <c r="B53" s="112"/>
      <c r="C53" s="112"/>
      <c r="D53" s="113">
        <f t="shared" si="10"/>
        <v>0</v>
      </c>
      <c r="E53" s="114">
        <f t="shared" si="11"/>
        <v>0</v>
      </c>
      <c r="F53" s="115">
        <f t="shared" si="12"/>
        <v>0</v>
      </c>
      <c r="G53" s="116">
        <f t="shared" si="8"/>
        <v>1</v>
      </c>
      <c r="H53" s="102">
        <f>J5</f>
        <v>15</v>
      </c>
      <c r="I53" s="117">
        <f t="shared" si="9"/>
        <v>0</v>
      </c>
      <c r="J53" s="110"/>
      <c r="K53" s="98"/>
      <c r="L53" s="98"/>
      <c r="M53" s="98"/>
      <c r="N53" s="212"/>
      <c r="O53" s="212"/>
      <c r="P53" s="212"/>
      <c r="Q53" s="212"/>
      <c r="R53" s="212"/>
      <c r="S53" s="212"/>
      <c r="T53" s="212"/>
      <c r="U53" s="212"/>
      <c r="V53" s="212"/>
    </row>
    <row r="54" spans="1:22" ht="12.75" hidden="1" customHeight="1">
      <c r="A54" s="111">
        <f t="shared" si="7"/>
        <v>0</v>
      </c>
      <c r="B54" s="112"/>
      <c r="C54" s="112"/>
      <c r="D54" s="113">
        <f t="shared" si="10"/>
        <v>0</v>
      </c>
      <c r="E54" s="114">
        <f t="shared" si="11"/>
        <v>0</v>
      </c>
      <c r="F54" s="115">
        <f t="shared" si="12"/>
        <v>0</v>
      </c>
      <c r="G54" s="116">
        <f t="shared" si="8"/>
        <v>1</v>
      </c>
      <c r="H54" s="102">
        <f>J5</f>
        <v>15</v>
      </c>
      <c r="I54" s="117">
        <f t="shared" si="9"/>
        <v>0</v>
      </c>
      <c r="J54" s="110"/>
      <c r="K54" s="98"/>
      <c r="L54" s="98"/>
      <c r="M54" s="98"/>
      <c r="N54" s="212"/>
      <c r="O54" s="212"/>
      <c r="P54" s="212"/>
      <c r="Q54" s="212"/>
      <c r="R54" s="212"/>
      <c r="S54" s="212"/>
      <c r="T54" s="212"/>
      <c r="U54" s="212"/>
      <c r="V54" s="212"/>
    </row>
    <row r="55" spans="1:22" ht="12.75" hidden="1" customHeight="1">
      <c r="A55" s="111">
        <f t="shared" si="7"/>
        <v>0</v>
      </c>
      <c r="B55" s="112"/>
      <c r="C55" s="112"/>
      <c r="D55" s="113">
        <f t="shared" si="10"/>
        <v>0</v>
      </c>
      <c r="E55" s="114">
        <f t="shared" si="11"/>
        <v>0</v>
      </c>
      <c r="F55" s="115">
        <f t="shared" si="12"/>
        <v>0</v>
      </c>
      <c r="G55" s="116">
        <f t="shared" si="8"/>
        <v>1</v>
      </c>
      <c r="H55" s="102">
        <f>J5</f>
        <v>15</v>
      </c>
      <c r="I55" s="117">
        <f t="shared" si="9"/>
        <v>0</v>
      </c>
      <c r="J55" s="110"/>
      <c r="K55" s="98"/>
      <c r="L55" s="98"/>
      <c r="M55" s="98"/>
      <c r="N55" s="212"/>
      <c r="O55" s="212"/>
      <c r="P55" s="212"/>
      <c r="Q55" s="212"/>
      <c r="R55" s="212"/>
      <c r="S55" s="212"/>
      <c r="T55" s="212"/>
      <c r="U55" s="212"/>
      <c r="V55" s="212"/>
    </row>
    <row r="56" spans="1:22" ht="12.75" hidden="1" customHeight="1">
      <c r="A56" s="111">
        <f t="shared" si="7"/>
        <v>0</v>
      </c>
      <c r="B56" s="112"/>
      <c r="C56" s="112"/>
      <c r="D56" s="113">
        <f t="shared" si="10"/>
        <v>0</v>
      </c>
      <c r="E56" s="114">
        <f t="shared" si="11"/>
        <v>0</v>
      </c>
      <c r="F56" s="115">
        <f t="shared" si="12"/>
        <v>0</v>
      </c>
      <c r="G56" s="116">
        <f t="shared" si="8"/>
        <v>1</v>
      </c>
      <c r="H56" s="102">
        <f>J5</f>
        <v>15</v>
      </c>
      <c r="I56" s="117">
        <f t="shared" si="9"/>
        <v>0</v>
      </c>
      <c r="J56" s="110"/>
      <c r="K56" s="98"/>
      <c r="L56" s="98"/>
      <c r="M56" s="98"/>
      <c r="N56" s="212"/>
      <c r="O56" s="212"/>
      <c r="P56" s="212"/>
      <c r="Q56" s="212"/>
      <c r="R56" s="212"/>
      <c r="S56" s="212"/>
      <c r="T56" s="212"/>
      <c r="U56" s="212"/>
      <c r="V56" s="212"/>
    </row>
    <row r="57" spans="1:22" ht="12.75" hidden="1" customHeight="1">
      <c r="A57" s="111">
        <f t="shared" si="7"/>
        <v>0</v>
      </c>
      <c r="B57" s="112"/>
      <c r="C57" s="112"/>
      <c r="D57" s="113">
        <f t="shared" si="10"/>
        <v>0</v>
      </c>
      <c r="E57" s="114">
        <f t="shared" si="11"/>
        <v>0</v>
      </c>
      <c r="F57" s="115">
        <f t="shared" si="12"/>
        <v>0</v>
      </c>
      <c r="G57" s="116">
        <f t="shared" si="8"/>
        <v>1</v>
      </c>
      <c r="H57" s="102">
        <f>J5</f>
        <v>15</v>
      </c>
      <c r="I57" s="117">
        <f t="shared" si="9"/>
        <v>0</v>
      </c>
      <c r="J57" s="110"/>
      <c r="K57" s="98"/>
      <c r="L57" s="98"/>
      <c r="M57" s="98"/>
      <c r="N57" s="212"/>
      <c r="O57" s="212"/>
      <c r="P57" s="212"/>
      <c r="Q57" s="212"/>
      <c r="R57" s="212"/>
      <c r="S57" s="212"/>
      <c r="T57" s="212"/>
      <c r="U57" s="212"/>
      <c r="V57" s="212"/>
    </row>
    <row r="58" spans="1:22" hidden="1">
      <c r="A58" s="111">
        <f t="shared" si="7"/>
        <v>0</v>
      </c>
      <c r="B58" s="112"/>
      <c r="C58" s="112"/>
      <c r="D58" s="113">
        <f t="shared" si="10"/>
        <v>0</v>
      </c>
      <c r="E58" s="114">
        <f t="shared" si="11"/>
        <v>0</v>
      </c>
      <c r="F58" s="115">
        <f t="shared" si="12"/>
        <v>0</v>
      </c>
      <c r="G58" s="116">
        <f t="shared" si="8"/>
        <v>1</v>
      </c>
      <c r="H58" s="102">
        <f>J5</f>
        <v>15</v>
      </c>
      <c r="I58" s="117">
        <f t="shared" si="9"/>
        <v>0</v>
      </c>
      <c r="J58" s="110"/>
      <c r="K58" s="98"/>
      <c r="L58" s="98"/>
      <c r="M58" s="98"/>
      <c r="N58" s="212"/>
      <c r="O58" s="212"/>
      <c r="P58" s="212"/>
      <c r="Q58" s="212"/>
      <c r="R58" s="212"/>
      <c r="S58" s="212"/>
      <c r="T58" s="212"/>
      <c r="U58" s="212"/>
      <c r="V58" s="212"/>
    </row>
    <row r="59" spans="1:22" ht="12.75" hidden="1" customHeight="1">
      <c r="A59" s="118"/>
      <c r="B59" s="118"/>
      <c r="C59" s="118"/>
      <c r="D59" s="119"/>
      <c r="E59" s="118"/>
      <c r="F59" s="118"/>
      <c r="G59" s="98"/>
      <c r="H59" s="98"/>
      <c r="I59" s="98"/>
      <c r="J59" s="98"/>
      <c r="K59" s="98"/>
      <c r="L59" s="98"/>
      <c r="M59" s="98"/>
      <c r="N59" s="212"/>
      <c r="O59" s="212"/>
      <c r="P59" s="212"/>
      <c r="Q59" s="212"/>
      <c r="R59" s="212"/>
      <c r="S59" s="212"/>
      <c r="T59" s="212"/>
      <c r="U59" s="212"/>
      <c r="V59" s="212"/>
    </row>
    <row r="60" spans="1:22" ht="12.75" hidden="1" customHeight="1">
      <c r="A60" s="120"/>
      <c r="B60" s="120"/>
      <c r="C60" s="120"/>
      <c r="D60" s="120"/>
      <c r="E60" s="120"/>
      <c r="F60" s="120"/>
      <c r="G60" s="98"/>
      <c r="H60" s="98"/>
      <c r="I60" s="98"/>
      <c r="J60" s="98"/>
      <c r="K60" s="98"/>
      <c r="L60" s="98"/>
      <c r="M60" s="98"/>
      <c r="N60" s="212"/>
      <c r="O60" s="212"/>
      <c r="P60" s="212"/>
      <c r="Q60" s="212"/>
      <c r="R60" s="212"/>
      <c r="S60" s="212"/>
      <c r="T60" s="212"/>
      <c r="U60" s="212"/>
      <c r="V60" s="212"/>
    </row>
    <row r="61" spans="1:22" ht="12.75" hidden="1" customHeight="1">
      <c r="A61" s="156"/>
      <c r="B61" s="156"/>
      <c r="C61" s="156"/>
      <c r="D61" s="156"/>
      <c r="E61" s="156"/>
      <c r="F61" s="156"/>
      <c r="G61" s="98"/>
      <c r="H61" s="98"/>
      <c r="I61" s="98"/>
      <c r="J61" s="98"/>
      <c r="K61" s="98"/>
      <c r="L61" s="98"/>
      <c r="M61" s="98"/>
      <c r="N61" s="212"/>
      <c r="O61" s="212"/>
      <c r="P61" s="212"/>
      <c r="Q61" s="212"/>
      <c r="R61" s="212"/>
      <c r="S61" s="212"/>
      <c r="T61" s="212"/>
      <c r="U61" s="212"/>
      <c r="V61" s="212"/>
    </row>
    <row r="62" spans="1:22" ht="36" customHeight="1">
      <c r="A62" s="160" t="s">
        <v>34</v>
      </c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2"/>
      <c r="N62" s="212"/>
      <c r="O62" s="212"/>
      <c r="P62" s="212"/>
      <c r="Q62" s="212"/>
      <c r="R62" s="212"/>
      <c r="S62" s="212"/>
      <c r="T62" s="212"/>
      <c r="U62" s="212"/>
      <c r="V62" s="212"/>
    </row>
    <row r="63" spans="1:22" ht="12.75" customHeight="1">
      <c r="A63" s="129" t="s">
        <v>35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1"/>
      <c r="N63" s="212"/>
      <c r="O63" s="212"/>
      <c r="P63" s="212"/>
      <c r="Q63" s="212"/>
      <c r="R63" s="212"/>
      <c r="S63" s="212"/>
      <c r="T63" s="212"/>
      <c r="U63" s="212"/>
      <c r="V63" s="212"/>
    </row>
    <row r="64" spans="1:22" ht="12.75" customHeight="1">
      <c r="A64" s="129" t="s">
        <v>36</v>
      </c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1"/>
      <c r="N64" s="212"/>
      <c r="O64" s="212"/>
      <c r="P64" s="212"/>
      <c r="Q64" s="212"/>
      <c r="R64" s="212"/>
      <c r="S64" s="212"/>
      <c r="T64" s="212"/>
      <c r="U64" s="212"/>
      <c r="V64" s="212"/>
    </row>
    <row r="65" spans="1:22" ht="12.75" customHeight="1">
      <c r="A65" s="129" t="s">
        <v>37</v>
      </c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1"/>
      <c r="N65" s="212"/>
      <c r="O65" s="212"/>
      <c r="P65" s="212"/>
      <c r="Q65" s="212"/>
      <c r="R65" s="212"/>
      <c r="S65" s="212"/>
      <c r="T65" s="212"/>
      <c r="U65" s="212"/>
      <c r="V65" s="212"/>
    </row>
    <row r="66" spans="1:22" s="88" customFormat="1" ht="12.75" customHeight="1">
      <c r="A66" s="129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1"/>
      <c r="N66" s="212"/>
      <c r="O66" s="212"/>
      <c r="P66" s="212"/>
      <c r="Q66" s="212"/>
      <c r="R66" s="212"/>
      <c r="S66" s="212"/>
      <c r="T66" s="212"/>
      <c r="U66" s="212"/>
      <c r="V66" s="212"/>
    </row>
    <row r="67" spans="1:22" s="88" customFormat="1" ht="12.75" customHeight="1">
      <c r="A67" s="129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1"/>
      <c r="N67" s="212"/>
      <c r="O67" s="212"/>
      <c r="P67" s="212"/>
      <c r="Q67" s="212"/>
      <c r="R67" s="212"/>
      <c r="S67" s="212"/>
      <c r="T67" s="212"/>
      <c r="U67" s="212"/>
      <c r="V67" s="212"/>
    </row>
    <row r="68" spans="1:22" s="88" customFormat="1" ht="12.75" customHeight="1">
      <c r="A68" s="129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1"/>
      <c r="N68" s="212"/>
      <c r="O68" s="212"/>
      <c r="P68" s="212"/>
      <c r="Q68" s="212"/>
      <c r="R68" s="212"/>
      <c r="S68" s="212"/>
      <c r="T68" s="212"/>
      <c r="U68" s="212"/>
      <c r="V68" s="212"/>
    </row>
    <row r="69" spans="1:22" s="88" customFormat="1" ht="12.75" customHeight="1">
      <c r="A69" s="129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1"/>
      <c r="N69" s="212"/>
      <c r="O69" s="212"/>
      <c r="P69" s="212"/>
      <c r="Q69" s="212"/>
      <c r="R69" s="212"/>
      <c r="S69" s="212"/>
      <c r="T69" s="212"/>
      <c r="U69" s="212"/>
      <c r="V69" s="212"/>
    </row>
    <row r="70" spans="1:22" s="88" customFormat="1" ht="12.75" customHeight="1">
      <c r="A70" s="129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1"/>
      <c r="N70" s="212"/>
      <c r="O70" s="212"/>
      <c r="P70" s="212"/>
      <c r="Q70" s="212"/>
      <c r="R70" s="212"/>
      <c r="S70" s="212"/>
      <c r="T70" s="212"/>
      <c r="U70" s="212"/>
      <c r="V70" s="212"/>
    </row>
    <row r="71" spans="1:22" s="88" customFormat="1" ht="12.75" customHeight="1">
      <c r="A71" s="129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1"/>
      <c r="N71" s="212"/>
      <c r="O71" s="212"/>
      <c r="P71" s="212"/>
      <c r="Q71" s="212"/>
      <c r="R71" s="212"/>
      <c r="S71" s="212"/>
      <c r="T71" s="212"/>
      <c r="U71" s="212"/>
      <c r="V71" s="212"/>
    </row>
    <row r="72" spans="1:22" s="88" customFormat="1" ht="12.75" customHeight="1">
      <c r="A72" s="129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1"/>
      <c r="N72" s="212"/>
      <c r="O72" s="212"/>
      <c r="P72" s="212"/>
      <c r="Q72" s="212"/>
      <c r="R72" s="212"/>
      <c r="S72" s="212"/>
      <c r="T72" s="212"/>
      <c r="U72" s="212"/>
      <c r="V72" s="212"/>
    </row>
    <row r="73" spans="1:22" s="88" customFormat="1" ht="12.75" customHeight="1">
      <c r="A73" s="129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1"/>
      <c r="N73" s="212"/>
      <c r="O73" s="212"/>
      <c r="P73" s="212"/>
      <c r="Q73" s="212"/>
      <c r="R73" s="212"/>
      <c r="S73" s="212"/>
      <c r="T73" s="212"/>
      <c r="U73" s="212"/>
      <c r="V73" s="212"/>
    </row>
    <row r="74" spans="1:22" s="88" customFormat="1" ht="12.75" customHeight="1">
      <c r="A74" s="129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1"/>
      <c r="N74" s="212"/>
      <c r="O74" s="212"/>
      <c r="P74" s="212"/>
      <c r="Q74" s="212"/>
      <c r="R74" s="212"/>
      <c r="S74" s="212"/>
      <c r="T74" s="212"/>
      <c r="U74" s="212"/>
      <c r="V74" s="212"/>
    </row>
    <row r="75" spans="1:22" s="88" customFormat="1" ht="12.75" customHeight="1">
      <c r="A75" s="129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1"/>
      <c r="N75" s="212"/>
      <c r="O75" s="212"/>
      <c r="P75" s="212"/>
      <c r="Q75" s="212"/>
      <c r="R75" s="212"/>
      <c r="S75" s="212"/>
      <c r="T75" s="212"/>
      <c r="U75" s="212"/>
      <c r="V75" s="212"/>
    </row>
    <row r="76" spans="1:22" s="88" customFormat="1" ht="17.25" customHeight="1">
      <c r="A76" s="225" t="s">
        <v>38</v>
      </c>
      <c r="B76" s="225"/>
      <c r="C76" s="226"/>
      <c r="D76" s="225" t="s">
        <v>39</v>
      </c>
      <c r="E76" s="163" t="str">
        <f>PEDIDO!A30</f>
        <v>MODIFICADO POR: JAIDER ROJAS - ALMACENISTA (26-02-2017)SENA ITAGUI ANTIOQUIA</v>
      </c>
      <c r="F76" s="163"/>
      <c r="G76" s="163"/>
      <c r="H76" s="163"/>
      <c r="I76" s="163"/>
      <c r="J76" s="163"/>
      <c r="K76" s="163"/>
      <c r="L76" s="163"/>
      <c r="M76" s="163"/>
      <c r="N76" s="212"/>
      <c r="O76" s="212"/>
      <c r="P76" s="212"/>
      <c r="Q76" s="212"/>
      <c r="R76" s="212"/>
      <c r="S76" s="212"/>
      <c r="T76" s="212"/>
      <c r="U76" s="212"/>
      <c r="V76" s="212"/>
    </row>
    <row r="77" spans="1:22" s="88" customFormat="1">
      <c r="A77" s="121" t="s">
        <v>40</v>
      </c>
      <c r="B77" s="122"/>
      <c r="C77" s="98"/>
      <c r="D77" s="123"/>
      <c r="E77" s="98"/>
      <c r="F77" s="98"/>
      <c r="G77" s="98"/>
      <c r="H77" s="98"/>
      <c r="I77" s="98"/>
      <c r="J77" s="98"/>
      <c r="K77" s="98"/>
      <c r="L77" s="98"/>
      <c r="M77" s="98"/>
      <c r="N77" s="212"/>
      <c r="O77" s="212"/>
      <c r="P77" s="212"/>
      <c r="Q77" s="212"/>
      <c r="R77" s="212"/>
      <c r="S77" s="212"/>
      <c r="T77" s="212"/>
      <c r="U77" s="212"/>
      <c r="V77" s="212"/>
    </row>
    <row r="78" spans="1:22" s="88" customFormat="1">
      <c r="A78" s="121" t="s">
        <v>41</v>
      </c>
      <c r="B78" s="122"/>
      <c r="C78" s="98"/>
      <c r="D78" s="123">
        <v>10</v>
      </c>
      <c r="E78" s="98"/>
      <c r="F78" s="98"/>
      <c r="G78" s="98"/>
      <c r="H78" s="98"/>
      <c r="I78" s="98"/>
      <c r="J78" s="98"/>
      <c r="K78" s="98"/>
      <c r="L78" s="98"/>
      <c r="M78" s="98"/>
      <c r="N78" s="212"/>
      <c r="O78" s="212"/>
      <c r="P78" s="212"/>
      <c r="Q78" s="212"/>
      <c r="R78" s="212"/>
      <c r="S78" s="212"/>
      <c r="T78" s="212"/>
      <c r="U78" s="212"/>
      <c r="V78" s="212"/>
    </row>
    <row r="79" spans="1:22" s="88" customFormat="1">
      <c r="A79" s="121" t="s">
        <v>42</v>
      </c>
      <c r="B79" s="122"/>
      <c r="C79" s="98"/>
      <c r="D79" s="123"/>
      <c r="E79" s="98"/>
      <c r="F79" s="98"/>
      <c r="G79" s="98"/>
      <c r="H79" s="98"/>
      <c r="I79" s="98"/>
      <c r="J79" s="98"/>
      <c r="K79" s="98"/>
      <c r="L79" s="98"/>
      <c r="M79" s="98"/>
      <c r="N79" s="212"/>
      <c r="O79" s="212"/>
      <c r="P79" s="212"/>
      <c r="Q79" s="212"/>
      <c r="R79" s="212"/>
      <c r="S79" s="212"/>
      <c r="T79" s="212"/>
      <c r="U79" s="212"/>
      <c r="V79" s="212"/>
    </row>
    <row r="80" spans="1:22" s="88" customFormat="1">
      <c r="A80" s="121" t="s">
        <v>43</v>
      </c>
      <c r="B80" s="122"/>
      <c r="C80" s="98"/>
      <c r="D80" s="123"/>
      <c r="E80" s="98"/>
      <c r="F80" s="98"/>
      <c r="G80" s="98"/>
      <c r="H80" s="98"/>
      <c r="I80" s="98"/>
      <c r="J80" s="98"/>
      <c r="K80" s="98"/>
      <c r="L80" s="98"/>
      <c r="M80" s="98"/>
      <c r="N80" s="212"/>
      <c r="O80" s="212"/>
      <c r="P80" s="212"/>
      <c r="Q80" s="212"/>
      <c r="R80" s="212"/>
      <c r="S80" s="212"/>
      <c r="T80" s="212"/>
      <c r="U80" s="212"/>
      <c r="V80" s="212"/>
    </row>
    <row r="81" spans="1:13" s="88" customFormat="1">
      <c r="A81" s="121" t="s">
        <v>44</v>
      </c>
      <c r="B81" s="122"/>
      <c r="C81" s="98"/>
      <c r="D81" s="123"/>
      <c r="E81" s="98"/>
      <c r="F81" s="98"/>
      <c r="G81" s="98"/>
      <c r="H81" s="98"/>
      <c r="I81" s="98"/>
      <c r="J81" s="98"/>
      <c r="K81" s="98"/>
      <c r="L81" s="98"/>
      <c r="M81" s="98"/>
    </row>
    <row r="82" spans="1:13" s="88" customFormat="1">
      <c r="A82" s="121" t="s">
        <v>45</v>
      </c>
      <c r="B82" s="122"/>
      <c r="C82" s="98"/>
      <c r="D82" s="123"/>
      <c r="E82" s="98"/>
      <c r="F82" s="98"/>
      <c r="G82" s="98"/>
      <c r="H82" s="98"/>
      <c r="I82" s="98"/>
      <c r="J82" s="98"/>
      <c r="K82" s="98"/>
      <c r="L82" s="98"/>
      <c r="M82" s="98"/>
    </row>
    <row r="83" spans="1:13" s="88" customFormat="1">
      <c r="A83" s="121" t="s">
        <v>46</v>
      </c>
      <c r="B83" s="122"/>
      <c r="C83" s="98"/>
      <c r="D83" s="123"/>
      <c r="E83" s="98"/>
      <c r="F83" s="98"/>
      <c r="G83" s="98"/>
      <c r="H83" s="98"/>
      <c r="I83" s="98"/>
      <c r="J83" s="98"/>
      <c r="K83" s="98"/>
      <c r="L83" s="98"/>
      <c r="M83" s="98"/>
    </row>
    <row r="84" spans="1:13" s="88" customFormat="1">
      <c r="A84" s="121" t="s">
        <v>47</v>
      </c>
      <c r="B84" s="122"/>
      <c r="C84" s="98"/>
      <c r="D84" s="123"/>
      <c r="E84" s="98"/>
      <c r="F84" s="98"/>
      <c r="G84" s="98"/>
      <c r="H84" s="98"/>
      <c r="I84" s="98"/>
      <c r="J84" s="98"/>
      <c r="K84" s="98"/>
      <c r="L84" s="98"/>
      <c r="M84" s="98"/>
    </row>
    <row r="85" spans="1:13" s="88" customFormat="1">
      <c r="A85" s="121" t="s">
        <v>48</v>
      </c>
      <c r="B85" s="122"/>
      <c r="C85" s="98"/>
      <c r="D85" s="123"/>
      <c r="E85" s="98"/>
      <c r="F85" s="98"/>
      <c r="G85" s="98"/>
      <c r="H85" s="98"/>
      <c r="I85" s="98"/>
      <c r="J85" s="98"/>
      <c r="K85" s="98"/>
      <c r="L85" s="98"/>
      <c r="M85" s="98"/>
    </row>
    <row r="86" spans="1:13" s="88" customFormat="1">
      <c r="A86" s="121" t="s">
        <v>49</v>
      </c>
      <c r="B86" s="122"/>
      <c r="C86" s="98"/>
      <c r="D86" s="123">
        <v>4</v>
      </c>
      <c r="E86" s="98"/>
      <c r="F86" s="98"/>
      <c r="G86" s="98"/>
      <c r="H86" s="98"/>
      <c r="I86" s="98"/>
      <c r="J86" s="98"/>
      <c r="K86" s="98"/>
      <c r="L86" s="98"/>
      <c r="M86" s="98"/>
    </row>
    <row r="87" spans="1:13" s="88" customFormat="1">
      <c r="A87" s="121" t="s">
        <v>50</v>
      </c>
      <c r="B87" s="122"/>
      <c r="C87" s="98"/>
      <c r="D87" s="123"/>
      <c r="E87" s="98"/>
      <c r="F87" s="98"/>
      <c r="G87" s="98"/>
      <c r="H87" s="98"/>
      <c r="I87" s="98"/>
      <c r="J87" s="98"/>
      <c r="K87" s="98"/>
      <c r="L87" s="98"/>
      <c r="M87" s="98"/>
    </row>
    <row r="88" spans="1:13" s="88" customFormat="1">
      <c r="A88" s="121" t="s">
        <v>51</v>
      </c>
      <c r="B88" s="124"/>
      <c r="C88" s="98"/>
      <c r="D88" s="123"/>
      <c r="E88" s="98"/>
      <c r="F88" s="98"/>
      <c r="G88" s="98"/>
      <c r="H88" s="98"/>
      <c r="I88" s="98"/>
      <c r="J88" s="98"/>
      <c r="K88" s="98"/>
      <c r="L88" s="98"/>
      <c r="M88" s="98"/>
    </row>
    <row r="89" spans="1:13" s="88" customFormat="1">
      <c r="A89" s="125" t="s">
        <v>52</v>
      </c>
      <c r="B89" s="122"/>
      <c r="C89" s="98"/>
      <c r="D89" s="123"/>
      <c r="E89" s="98"/>
      <c r="F89" s="98"/>
      <c r="G89" s="98"/>
      <c r="H89" s="98"/>
      <c r="I89" s="98"/>
      <c r="J89" s="98"/>
      <c r="K89" s="98"/>
      <c r="L89" s="98"/>
      <c r="M89" s="98"/>
    </row>
    <row r="90" spans="1:13" s="88" customFormat="1">
      <c r="A90" s="125" t="s">
        <v>53</v>
      </c>
      <c r="B90" s="122"/>
      <c r="C90" s="98"/>
      <c r="D90" s="123"/>
      <c r="E90" s="98"/>
      <c r="F90" s="98"/>
      <c r="G90" s="98"/>
      <c r="H90" s="98"/>
      <c r="I90" s="98"/>
      <c r="J90" s="98"/>
      <c r="K90" s="98"/>
      <c r="L90" s="98"/>
      <c r="M90" s="98"/>
    </row>
    <row r="91" spans="1:13" s="88" customFormat="1">
      <c r="A91" s="121" t="s">
        <v>54</v>
      </c>
      <c r="B91" s="124"/>
      <c r="C91" s="98"/>
      <c r="D91" s="123"/>
      <c r="E91" s="98"/>
      <c r="F91" s="98"/>
      <c r="G91" s="98"/>
      <c r="H91" s="98"/>
      <c r="I91" s="98"/>
      <c r="J91" s="98"/>
      <c r="K91" s="98"/>
      <c r="L91" s="98"/>
      <c r="M91" s="98"/>
    </row>
    <row r="92" spans="1:13" s="88" customFormat="1">
      <c r="A92" s="125" t="s">
        <v>55</v>
      </c>
      <c r="B92" s="124"/>
      <c r="C92" s="98"/>
      <c r="D92" s="123"/>
      <c r="E92" s="98"/>
      <c r="F92" s="98"/>
      <c r="G92" s="98"/>
      <c r="H92" s="98"/>
      <c r="I92" s="98"/>
      <c r="J92" s="98"/>
      <c r="K92" s="98"/>
      <c r="L92" s="98"/>
      <c r="M92" s="98"/>
    </row>
    <row r="93" spans="1:13" s="88" customFormat="1">
      <c r="A93" s="121" t="s">
        <v>56</v>
      </c>
      <c r="B93" s="122"/>
      <c r="C93" s="98"/>
      <c r="D93" s="123"/>
      <c r="E93" s="98"/>
      <c r="F93" s="98"/>
      <c r="G93" s="98"/>
      <c r="H93" s="98"/>
      <c r="I93" s="98"/>
      <c r="J93" s="98"/>
      <c r="K93" s="98"/>
      <c r="L93" s="98"/>
      <c r="M93" s="98"/>
    </row>
    <row r="94" spans="1:13" s="88" customFormat="1">
      <c r="A94" s="121" t="s">
        <v>57</v>
      </c>
      <c r="B94" s="124"/>
      <c r="C94" s="98"/>
      <c r="D94" s="123">
        <v>6</v>
      </c>
      <c r="E94" s="98"/>
      <c r="F94" s="98"/>
      <c r="G94" s="98"/>
      <c r="H94" s="98"/>
      <c r="I94" s="98"/>
      <c r="J94" s="98"/>
      <c r="K94" s="98"/>
      <c r="L94" s="98"/>
      <c r="M94" s="98"/>
    </row>
    <row r="95" spans="1:13" s="88" customFormat="1">
      <c r="A95" s="121" t="s">
        <v>58</v>
      </c>
      <c r="B95" s="124"/>
      <c r="C95" s="98"/>
      <c r="D95" s="123"/>
      <c r="E95" s="98"/>
      <c r="F95" s="98"/>
      <c r="G95" s="98"/>
      <c r="H95" s="98"/>
      <c r="I95" s="98"/>
      <c r="J95" s="98"/>
      <c r="K95" s="98"/>
      <c r="L95" s="98"/>
      <c r="M95" s="98"/>
    </row>
    <row r="96" spans="1:13" s="88" customFormat="1">
      <c r="A96" s="121" t="s">
        <v>59</v>
      </c>
      <c r="B96" s="124"/>
      <c r="C96" s="98"/>
      <c r="D96" s="123"/>
      <c r="E96" s="98"/>
      <c r="F96" s="98"/>
      <c r="G96" s="98"/>
      <c r="H96" s="98"/>
      <c r="I96" s="98"/>
      <c r="J96" s="98"/>
      <c r="K96" s="98"/>
      <c r="L96" s="98"/>
      <c r="M96" s="98"/>
    </row>
    <row r="97" spans="1:18" s="88" customFormat="1">
      <c r="A97" s="121" t="s">
        <v>60</v>
      </c>
      <c r="B97" s="124"/>
      <c r="C97" s="126"/>
      <c r="D97" s="123"/>
      <c r="E97" s="98"/>
      <c r="F97" s="98"/>
      <c r="G97" s="98"/>
      <c r="H97" s="98"/>
      <c r="I97" s="98"/>
      <c r="J97" s="98"/>
      <c r="K97" s="98"/>
      <c r="L97" s="98"/>
      <c r="M97" s="98"/>
      <c r="N97" s="212"/>
      <c r="O97" s="212"/>
      <c r="P97" s="212"/>
      <c r="Q97" s="212"/>
      <c r="R97" s="212"/>
    </row>
    <row r="98" spans="1:18" s="88" customFormat="1">
      <c r="A98" s="121" t="s">
        <v>61</v>
      </c>
      <c r="B98" s="124"/>
      <c r="C98" s="126"/>
      <c r="D98" s="123"/>
      <c r="E98" s="98"/>
      <c r="F98" s="98"/>
      <c r="G98" s="98"/>
      <c r="H98" s="98"/>
      <c r="I98" s="98"/>
      <c r="J98" s="98"/>
      <c r="K98" s="98"/>
      <c r="L98" s="98"/>
      <c r="M98" s="98"/>
      <c r="N98" s="212"/>
      <c r="O98" s="212"/>
      <c r="P98" s="212"/>
      <c r="Q98" s="212"/>
      <c r="R98" s="212"/>
    </row>
    <row r="99" spans="1:18" s="88" customFormat="1">
      <c r="A99" s="121" t="s">
        <v>62</v>
      </c>
      <c r="B99" s="124"/>
      <c r="C99" s="126"/>
      <c r="D99" s="123"/>
      <c r="E99" s="98"/>
      <c r="F99" s="98"/>
      <c r="G99" s="98"/>
      <c r="H99" s="98"/>
      <c r="I99" s="98"/>
      <c r="J99" s="98"/>
      <c r="K99" s="98"/>
      <c r="L99" s="98"/>
      <c r="M99" s="98"/>
      <c r="N99" s="212"/>
      <c r="O99" s="212"/>
      <c r="P99" s="212"/>
      <c r="Q99" s="212"/>
      <c r="R99" s="212"/>
    </row>
    <row r="100" spans="1:18" s="88" customFormat="1">
      <c r="A100" s="121" t="s">
        <v>63</v>
      </c>
      <c r="B100" s="124"/>
      <c r="C100" s="126"/>
      <c r="D100" s="123"/>
      <c r="E100" s="98"/>
      <c r="F100" s="98"/>
      <c r="G100" s="98"/>
      <c r="H100" s="98"/>
      <c r="I100" s="98"/>
      <c r="J100" s="98"/>
      <c r="K100" s="98"/>
      <c r="L100" s="98"/>
      <c r="M100" s="98"/>
      <c r="N100" s="212"/>
      <c r="O100" s="212"/>
      <c r="P100" s="212"/>
      <c r="Q100" s="212"/>
      <c r="R100" s="212"/>
    </row>
    <row r="101" spans="1:18" s="88" customFormat="1">
      <c r="A101" s="121" t="s">
        <v>64</v>
      </c>
      <c r="B101" s="124"/>
      <c r="C101" s="98"/>
      <c r="D101" s="123"/>
      <c r="E101" s="98"/>
      <c r="F101" s="98"/>
      <c r="G101" s="98"/>
      <c r="H101" s="98"/>
      <c r="I101" s="98"/>
      <c r="J101" s="98"/>
      <c r="K101" s="98"/>
      <c r="L101" s="98"/>
      <c r="M101" s="98"/>
      <c r="N101" s="212"/>
      <c r="O101" s="212"/>
      <c r="P101" s="212"/>
      <c r="Q101" s="212"/>
      <c r="R101" s="212"/>
    </row>
    <row r="102" spans="1:18" s="88" customFormat="1">
      <c r="A102" s="121" t="s">
        <v>65</v>
      </c>
      <c r="B102" s="124"/>
      <c r="C102" s="98"/>
      <c r="D102" s="123"/>
      <c r="E102" s="98"/>
      <c r="F102" s="98"/>
      <c r="G102" s="98"/>
      <c r="H102" s="98"/>
      <c r="I102" s="98"/>
      <c r="J102" s="98"/>
      <c r="K102" s="98"/>
      <c r="L102" s="98"/>
      <c r="M102" s="98"/>
      <c r="N102" s="212"/>
      <c r="O102" s="212"/>
      <c r="P102" s="212"/>
      <c r="Q102" s="212"/>
      <c r="R102" s="212"/>
    </row>
    <row r="103" spans="1:18">
      <c r="A103" s="121" t="s">
        <v>66</v>
      </c>
      <c r="B103" s="124"/>
      <c r="C103" s="126"/>
      <c r="D103" s="123"/>
      <c r="E103" s="98"/>
      <c r="F103" s="98"/>
      <c r="G103" s="98"/>
      <c r="H103" s="98"/>
      <c r="I103" s="98"/>
      <c r="J103" s="98"/>
      <c r="K103" s="98"/>
      <c r="L103" s="98"/>
      <c r="M103" s="98"/>
      <c r="N103" s="212"/>
      <c r="O103" s="212"/>
      <c r="P103" s="212"/>
      <c r="Q103" s="212"/>
      <c r="R103" s="212"/>
    </row>
    <row r="104" spans="1:18">
      <c r="A104" s="121" t="s">
        <v>67</v>
      </c>
      <c r="B104" s="124"/>
      <c r="C104" s="126"/>
      <c r="D104" s="123"/>
      <c r="E104" s="98"/>
      <c r="F104" s="98"/>
      <c r="G104" s="98"/>
      <c r="H104" s="98"/>
      <c r="I104" s="98"/>
      <c r="J104" s="98"/>
      <c r="K104" s="98"/>
      <c r="L104" s="98"/>
      <c r="M104" s="98"/>
      <c r="N104" s="212"/>
      <c r="O104" s="212"/>
      <c r="P104" s="212"/>
      <c r="Q104" s="212"/>
      <c r="R104" s="212"/>
    </row>
    <row r="105" spans="1:18">
      <c r="A105" s="121" t="s">
        <v>68</v>
      </c>
      <c r="B105" s="124"/>
      <c r="C105" s="126"/>
      <c r="D105" s="123"/>
      <c r="E105" s="98"/>
      <c r="F105" s="98"/>
      <c r="G105" s="98"/>
      <c r="H105" s="98"/>
      <c r="I105" s="98"/>
      <c r="J105" s="98"/>
      <c r="K105" s="98"/>
      <c r="L105" s="98"/>
      <c r="M105" s="98"/>
      <c r="N105" s="212"/>
      <c r="O105" s="212"/>
      <c r="P105" s="212"/>
      <c r="Q105" s="212"/>
      <c r="R105" s="212"/>
    </row>
    <row r="106" spans="1:18">
      <c r="A106" s="125" t="s">
        <v>69</v>
      </c>
      <c r="B106" s="124"/>
      <c r="C106" s="126"/>
      <c r="D106" s="123"/>
      <c r="E106" s="98"/>
      <c r="F106" s="98"/>
      <c r="G106" s="98"/>
      <c r="H106" s="98"/>
      <c r="I106" s="98"/>
      <c r="J106" s="98"/>
      <c r="K106" s="98"/>
      <c r="L106" s="98"/>
      <c r="M106" s="98"/>
      <c r="N106" s="212"/>
      <c r="O106" s="212"/>
      <c r="P106" s="212"/>
      <c r="Q106" s="212"/>
      <c r="R106" s="212"/>
    </row>
    <row r="107" spans="1:18">
      <c r="A107" s="121" t="s">
        <v>70</v>
      </c>
      <c r="B107" s="124"/>
      <c r="C107" s="126"/>
      <c r="D107" s="123"/>
      <c r="E107" s="98"/>
      <c r="F107" s="98"/>
      <c r="G107" s="98"/>
      <c r="H107" s="98"/>
      <c r="I107" s="98"/>
      <c r="J107" s="98"/>
      <c r="K107" s="98"/>
      <c r="L107" s="98"/>
      <c r="M107" s="98"/>
      <c r="N107" s="212"/>
      <c r="O107" s="212"/>
      <c r="P107" s="212"/>
      <c r="Q107" s="212"/>
      <c r="R107" s="212"/>
    </row>
    <row r="108" spans="1:18">
      <c r="A108" s="121" t="s">
        <v>71</v>
      </c>
      <c r="B108" s="124"/>
      <c r="C108" s="126"/>
      <c r="D108" s="123"/>
      <c r="E108" s="98"/>
      <c r="F108" s="98"/>
      <c r="G108" s="98"/>
      <c r="H108" s="98"/>
      <c r="I108" s="98"/>
      <c r="J108" s="98"/>
      <c r="K108" s="98"/>
      <c r="L108" s="98"/>
      <c r="M108" s="98"/>
      <c r="N108" s="212"/>
      <c r="O108" s="212"/>
      <c r="P108" s="212"/>
      <c r="Q108" s="212"/>
      <c r="R108" s="212"/>
    </row>
    <row r="109" spans="1:18">
      <c r="A109" s="125" t="s">
        <v>72</v>
      </c>
      <c r="B109" s="124"/>
      <c r="C109" s="126"/>
      <c r="D109" s="123"/>
      <c r="E109" s="98"/>
      <c r="F109" s="98"/>
      <c r="G109" s="98"/>
      <c r="H109" s="98"/>
      <c r="I109" s="98"/>
      <c r="J109" s="98"/>
      <c r="K109" s="98"/>
      <c r="L109" s="98"/>
      <c r="M109" s="98"/>
      <c r="N109" s="212"/>
      <c r="O109" s="212"/>
      <c r="P109" s="212"/>
      <c r="Q109" s="212"/>
      <c r="R109" s="212"/>
    </row>
    <row r="110" spans="1:18">
      <c r="A110" s="125" t="s">
        <v>73</v>
      </c>
      <c r="B110" s="227"/>
      <c r="C110" s="126"/>
      <c r="D110" s="123"/>
      <c r="E110" s="98"/>
      <c r="F110" s="98"/>
      <c r="G110" s="98"/>
      <c r="H110" s="98"/>
      <c r="I110" s="98"/>
      <c r="J110" s="98"/>
      <c r="K110" s="98"/>
      <c r="L110" s="98"/>
      <c r="M110" s="98"/>
      <c r="N110" s="212"/>
      <c r="O110" s="212"/>
      <c r="P110" s="212"/>
      <c r="Q110" s="212"/>
      <c r="R110" s="212"/>
    </row>
    <row r="111" spans="1:18">
      <c r="A111" s="121" t="s">
        <v>74</v>
      </c>
      <c r="B111" s="212"/>
      <c r="C111" s="228"/>
      <c r="D111" s="123"/>
      <c r="E111" s="98"/>
      <c r="F111" s="98"/>
      <c r="G111" s="98"/>
      <c r="H111" s="98"/>
      <c r="I111" s="98"/>
      <c r="J111" s="98"/>
      <c r="K111" s="98"/>
      <c r="L111" s="98"/>
      <c r="M111" s="98"/>
      <c r="N111" s="212"/>
      <c r="O111" s="212"/>
      <c r="P111" s="212"/>
      <c r="Q111" s="212"/>
      <c r="R111" s="212"/>
    </row>
    <row r="112" spans="1:18">
      <c r="A112" s="125" t="s">
        <v>75</v>
      </c>
      <c r="B112" s="212"/>
      <c r="C112" s="228"/>
      <c r="D112" s="123"/>
      <c r="E112" s="98"/>
      <c r="F112" s="98"/>
      <c r="G112" s="98"/>
      <c r="H112" s="98"/>
      <c r="I112" s="98"/>
      <c r="J112" s="98"/>
      <c r="K112" s="98"/>
      <c r="L112" s="98"/>
      <c r="M112" s="98"/>
      <c r="N112" s="212"/>
      <c r="O112" s="212"/>
      <c r="P112" s="212"/>
      <c r="Q112" s="212"/>
      <c r="R112" s="212"/>
    </row>
    <row r="113" spans="1:20">
      <c r="A113" s="125" t="s">
        <v>76</v>
      </c>
      <c r="B113" s="212"/>
      <c r="C113" s="228"/>
      <c r="D113" s="123"/>
      <c r="E113" s="98"/>
      <c r="F113" s="98"/>
      <c r="G113" s="98"/>
      <c r="H113" s="98"/>
      <c r="I113" s="98"/>
      <c r="J113" s="98"/>
      <c r="K113" s="98"/>
      <c r="L113" s="98"/>
      <c r="M113" s="98"/>
      <c r="N113" s="212"/>
      <c r="O113" s="212"/>
      <c r="P113" s="212"/>
      <c r="Q113" s="212"/>
      <c r="R113" s="212"/>
      <c r="S113" s="210"/>
      <c r="T113" s="210"/>
    </row>
    <row r="114" spans="1:20">
      <c r="A114" s="125" t="s">
        <v>77</v>
      </c>
      <c r="B114" s="212"/>
      <c r="C114" s="228"/>
      <c r="D114" s="123"/>
      <c r="E114" s="98"/>
      <c r="F114" s="98"/>
      <c r="G114" s="98"/>
      <c r="H114" s="98"/>
      <c r="I114" s="98"/>
      <c r="J114" s="98"/>
      <c r="K114" s="98"/>
      <c r="L114" s="98"/>
      <c r="M114" s="98"/>
      <c r="N114" s="212"/>
      <c r="O114" s="212"/>
      <c r="P114" s="212"/>
      <c r="Q114" s="212"/>
      <c r="R114" s="212"/>
      <c r="S114" s="210"/>
      <c r="T114" s="210"/>
    </row>
    <row r="115" spans="1:20">
      <c r="A115" s="125" t="s">
        <v>78</v>
      </c>
      <c r="B115" s="212"/>
      <c r="C115" s="228"/>
      <c r="D115" s="123"/>
      <c r="E115" s="98"/>
      <c r="F115" s="98"/>
      <c r="G115" s="98"/>
      <c r="H115" s="98"/>
      <c r="I115" s="98"/>
      <c r="J115" s="98"/>
      <c r="K115" s="98"/>
      <c r="L115" s="98"/>
      <c r="M115" s="98"/>
      <c r="N115" s="212"/>
      <c r="O115" s="212"/>
      <c r="P115" s="212"/>
      <c r="Q115" s="212"/>
      <c r="R115" s="212"/>
      <c r="S115" s="210"/>
      <c r="T115" s="210"/>
    </row>
    <row r="116" spans="1:20">
      <c r="A116" s="125" t="s">
        <v>79</v>
      </c>
      <c r="B116" s="212"/>
      <c r="C116" s="228"/>
      <c r="D116" s="123"/>
      <c r="E116" s="98"/>
      <c r="F116" s="98"/>
      <c r="G116" s="98"/>
      <c r="H116" s="98"/>
      <c r="I116" s="98"/>
      <c r="J116" s="98"/>
      <c r="K116" s="98"/>
      <c r="L116" s="98"/>
      <c r="M116" s="98"/>
      <c r="N116" s="212"/>
      <c r="O116" s="212"/>
      <c r="P116" s="212"/>
      <c r="Q116" s="212"/>
      <c r="R116" s="212"/>
      <c r="S116" s="210"/>
      <c r="T116" s="210"/>
    </row>
    <row r="117" spans="1:20">
      <c r="A117" s="125" t="s">
        <v>80</v>
      </c>
      <c r="B117" s="212"/>
      <c r="C117" s="228"/>
      <c r="D117" s="123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</row>
    <row r="118" spans="1:20">
      <c r="A118" s="125" t="s">
        <v>81</v>
      </c>
      <c r="B118" s="212"/>
      <c r="C118" s="228"/>
      <c r="D118" s="123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</row>
    <row r="119" spans="1:20">
      <c r="A119" s="127" t="s">
        <v>82</v>
      </c>
      <c r="B119" s="212"/>
      <c r="C119" s="228"/>
      <c r="D119" s="123"/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</row>
    <row r="120" spans="1:20">
      <c r="A120" s="125" t="s">
        <v>83</v>
      </c>
      <c r="B120" s="212"/>
      <c r="C120" s="228"/>
      <c r="D120" s="123"/>
      <c r="E120" s="212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</row>
    <row r="121" spans="1:20">
      <c r="A121" s="121" t="s">
        <v>84</v>
      </c>
      <c r="B121" s="212"/>
      <c r="C121" s="228"/>
      <c r="D121" s="123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</row>
    <row r="122" spans="1:20">
      <c r="A122" s="125" t="s">
        <v>85</v>
      </c>
      <c r="B122" s="212"/>
      <c r="C122" s="228"/>
      <c r="D122" s="123"/>
      <c r="E122" s="21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</row>
    <row r="123" spans="1:20">
      <c r="A123" s="125" t="s">
        <v>86</v>
      </c>
      <c r="B123" s="212"/>
      <c r="C123" s="228"/>
      <c r="D123" s="123"/>
      <c r="E123" s="212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</row>
    <row r="124" spans="1:20">
      <c r="A124" s="125" t="s">
        <v>87</v>
      </c>
      <c r="B124" s="212"/>
      <c r="C124" s="228"/>
      <c r="D124" s="123"/>
      <c r="E124" s="212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</row>
    <row r="125" spans="1:20">
      <c r="A125" s="212"/>
      <c r="B125" s="212"/>
      <c r="C125" s="228"/>
      <c r="D125" s="229"/>
      <c r="E125" s="212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</row>
    <row r="126" spans="1:20">
      <c r="A126" s="212"/>
      <c r="B126" s="212"/>
      <c r="C126" s="228"/>
      <c r="D126" s="229"/>
      <c r="E126" s="212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</row>
    <row r="127" spans="1:20">
      <c r="A127" s="212"/>
      <c r="B127" s="212"/>
      <c r="C127" s="228"/>
      <c r="D127" s="230"/>
      <c r="E127" s="212"/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/>
    </row>
    <row r="128" spans="1:20">
      <c r="A128" s="212"/>
      <c r="B128" s="212"/>
      <c r="C128" s="228"/>
      <c r="D128" s="229"/>
      <c r="E128" s="212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</row>
    <row r="129" spans="1:20">
      <c r="A129" s="212"/>
      <c r="B129" s="212"/>
      <c r="C129" s="228"/>
      <c r="D129" s="229"/>
      <c r="E129" s="212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</row>
    <row r="130" spans="1:20">
      <c r="A130" s="212"/>
      <c r="B130" s="212"/>
      <c r="C130" s="228"/>
      <c r="D130" s="230"/>
      <c r="E130" s="212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</row>
    <row r="131" spans="1:20">
      <c r="A131" s="212"/>
      <c r="B131" s="212"/>
      <c r="C131" s="228"/>
      <c r="D131" s="229"/>
      <c r="E131" s="212"/>
      <c r="F131" s="212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  <c r="S131" s="212"/>
      <c r="T131" s="212"/>
    </row>
    <row r="132" spans="1:20">
      <c r="A132" s="212"/>
      <c r="B132" s="212"/>
      <c r="C132" s="228"/>
      <c r="D132" s="229"/>
      <c r="E132" s="212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</row>
    <row r="133" spans="1:20">
      <c r="A133" s="212"/>
      <c r="B133" s="212"/>
      <c r="C133" s="228"/>
      <c r="D133" s="230"/>
      <c r="E133" s="212"/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</row>
    <row r="134" spans="1:20">
      <c r="A134" s="212"/>
      <c r="B134" s="212"/>
      <c r="C134" s="228"/>
      <c r="D134" s="229"/>
      <c r="E134" s="212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212"/>
    </row>
    <row r="135" spans="1:20">
      <c r="A135" s="212"/>
      <c r="B135" s="212"/>
      <c r="C135" s="228"/>
      <c r="D135" s="229"/>
      <c r="E135" s="212"/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</row>
    <row r="136" spans="1:20">
      <c r="A136" s="212"/>
      <c r="B136" s="212"/>
      <c r="C136" s="228"/>
      <c r="D136" s="230"/>
      <c r="E136" s="212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</row>
    <row r="137" spans="1:20">
      <c r="A137" s="212"/>
      <c r="B137" s="212"/>
      <c r="C137" s="228"/>
      <c r="D137" s="229"/>
      <c r="E137" s="212"/>
      <c r="F137" s="212"/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  <c r="S137" s="212"/>
      <c r="T137" s="212"/>
    </row>
    <row r="138" spans="1:20">
      <c r="A138" s="212"/>
      <c r="B138" s="212"/>
      <c r="C138" s="228"/>
      <c r="D138" s="229"/>
      <c r="E138" s="212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212"/>
    </row>
    <row r="139" spans="1:20">
      <c r="A139" s="212"/>
      <c r="B139" s="212"/>
      <c r="C139" s="228"/>
      <c r="D139" s="230"/>
      <c r="E139" s="212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</row>
    <row r="140" spans="1:20">
      <c r="A140" s="212"/>
      <c r="B140" s="212"/>
      <c r="C140" s="228"/>
      <c r="D140" s="229"/>
      <c r="E140" s="212"/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212"/>
    </row>
    <row r="141" spans="1:20">
      <c r="A141" s="212"/>
      <c r="B141" s="212"/>
      <c r="C141" s="228"/>
      <c r="D141" s="229"/>
      <c r="E141" s="212"/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  <c r="T141" s="212"/>
    </row>
    <row r="142" spans="1:20">
      <c r="A142" s="212"/>
      <c r="B142" s="212"/>
      <c r="C142" s="228"/>
      <c r="D142" s="230"/>
      <c r="E142" s="212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</row>
    <row r="143" spans="1:20">
      <c r="A143" s="212"/>
      <c r="B143" s="212"/>
      <c r="C143" s="228"/>
      <c r="D143" s="229"/>
      <c r="E143" s="212"/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  <c r="S143" s="212"/>
      <c r="T143" s="212"/>
    </row>
    <row r="144" spans="1:20">
      <c r="A144" s="212"/>
      <c r="B144" s="212"/>
      <c r="C144" s="228"/>
      <c r="D144" s="229"/>
      <c r="E144" s="212"/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  <c r="T144" s="212"/>
    </row>
    <row r="145" spans="1:20">
      <c r="A145" s="212"/>
      <c r="B145" s="212"/>
      <c r="C145" s="228"/>
      <c r="D145" s="230"/>
      <c r="E145" s="212"/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  <c r="T145" s="212"/>
    </row>
    <row r="146" spans="1:20">
      <c r="A146" s="212"/>
      <c r="B146" s="212"/>
      <c r="C146" s="228"/>
      <c r="D146" s="229"/>
      <c r="E146" s="212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212"/>
    </row>
    <row r="147" spans="1:20">
      <c r="A147" s="212"/>
      <c r="B147" s="212"/>
      <c r="C147" s="228"/>
      <c r="D147" s="229"/>
      <c r="E147" s="212"/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  <c r="T147" s="212"/>
    </row>
    <row r="148" spans="1:20">
      <c r="A148" s="212"/>
      <c r="B148" s="212"/>
      <c r="C148" s="228"/>
      <c r="D148" s="230"/>
      <c r="E148" s="212"/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  <c r="S148" s="212"/>
      <c r="T148" s="212"/>
    </row>
    <row r="149" spans="1:20">
      <c r="A149" s="212"/>
      <c r="B149" s="212"/>
      <c r="C149" s="228"/>
      <c r="D149" s="229"/>
      <c r="E149" s="212"/>
      <c r="F149" s="212"/>
      <c r="G149" s="212"/>
      <c r="H149" s="212"/>
      <c r="I149" s="212"/>
      <c r="J149" s="212"/>
      <c r="K149" s="212"/>
      <c r="L149" s="212"/>
      <c r="M149" s="212"/>
      <c r="N149" s="212"/>
      <c r="O149" s="212"/>
      <c r="P149" s="212"/>
      <c r="Q149" s="212"/>
      <c r="R149" s="212"/>
      <c r="S149" s="212"/>
      <c r="T149" s="212"/>
    </row>
    <row r="150" spans="1:20">
      <c r="A150" s="212"/>
      <c r="B150" s="212"/>
      <c r="C150" s="228"/>
      <c r="D150" s="229"/>
      <c r="E150" s="212"/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  <c r="S150" s="212"/>
      <c r="T150" s="212"/>
    </row>
    <row r="151" spans="1:20">
      <c r="A151" s="212"/>
      <c r="B151" s="212"/>
      <c r="C151" s="228"/>
      <c r="D151" s="230"/>
      <c r="E151" s="212"/>
      <c r="F151" s="212"/>
      <c r="G151" s="212"/>
      <c r="H151" s="212"/>
      <c r="I151" s="212"/>
      <c r="J151" s="212"/>
      <c r="K151" s="212"/>
      <c r="L151" s="212"/>
      <c r="M151" s="212"/>
      <c r="N151" s="212"/>
      <c r="O151" s="212"/>
      <c r="P151" s="212"/>
      <c r="Q151" s="212"/>
      <c r="R151" s="212"/>
      <c r="S151" s="212"/>
      <c r="T151" s="212"/>
    </row>
    <row r="152" spans="1:20">
      <c r="A152" s="212"/>
      <c r="B152" s="212"/>
      <c r="C152" s="228"/>
      <c r="D152" s="229"/>
      <c r="E152" s="212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  <c r="S152" s="212"/>
      <c r="T152" s="212"/>
    </row>
    <row r="153" spans="1:20">
      <c r="A153" s="212"/>
      <c r="B153" s="212"/>
      <c r="C153" s="228"/>
      <c r="D153" s="229"/>
      <c r="E153" s="212"/>
      <c r="F153" s="212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/>
      <c r="R153" s="212"/>
      <c r="S153" s="212"/>
      <c r="T153" s="212"/>
    </row>
    <row r="154" spans="1:20">
      <c r="A154" s="212"/>
      <c r="B154" s="212"/>
      <c r="C154" s="228"/>
      <c r="D154" s="230"/>
      <c r="E154" s="212"/>
      <c r="F154" s="212"/>
      <c r="G154" s="212"/>
      <c r="H154" s="212"/>
      <c r="I154" s="212"/>
      <c r="J154" s="212"/>
      <c r="K154" s="212"/>
      <c r="L154" s="212"/>
      <c r="M154" s="212"/>
      <c r="N154" s="212"/>
      <c r="O154" s="212"/>
      <c r="P154" s="212"/>
      <c r="Q154" s="212"/>
      <c r="R154" s="212"/>
      <c r="S154" s="212"/>
      <c r="T154" s="212"/>
    </row>
    <row r="155" spans="1:20">
      <c r="A155" s="212"/>
      <c r="B155" s="212"/>
      <c r="C155" s="228"/>
      <c r="D155" s="229"/>
      <c r="E155" s="212"/>
      <c r="F155" s="212"/>
      <c r="G155" s="212"/>
      <c r="H155" s="212"/>
      <c r="I155" s="212"/>
      <c r="J155" s="212"/>
      <c r="K155" s="212"/>
      <c r="L155" s="212"/>
      <c r="M155" s="212"/>
      <c r="N155" s="212"/>
      <c r="O155" s="212"/>
      <c r="P155" s="212"/>
      <c r="Q155" s="212"/>
      <c r="R155" s="212"/>
      <c r="S155" s="212"/>
      <c r="T155" s="212"/>
    </row>
    <row r="156" spans="1:20">
      <c r="A156" s="212"/>
      <c r="B156" s="212"/>
      <c r="C156" s="228"/>
      <c r="D156" s="229"/>
      <c r="E156" s="212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</row>
    <row r="157" spans="1:20">
      <c r="A157" s="212"/>
      <c r="B157" s="212"/>
      <c r="C157" s="228"/>
      <c r="D157" s="230"/>
      <c r="E157" s="212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212"/>
    </row>
    <row r="158" spans="1:20">
      <c r="A158" s="212"/>
      <c r="B158" s="212"/>
      <c r="C158" s="228"/>
      <c r="D158" s="229"/>
      <c r="E158" s="212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212"/>
    </row>
    <row r="159" spans="1:20">
      <c r="A159" s="212"/>
      <c r="B159" s="212"/>
      <c r="C159" s="228"/>
      <c r="D159" s="229"/>
      <c r="E159" s="212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  <c r="S159" s="212"/>
      <c r="T159" s="212"/>
    </row>
    <row r="160" spans="1:20">
      <c r="A160" s="212"/>
      <c r="B160" s="212"/>
      <c r="C160" s="228"/>
      <c r="D160" s="230"/>
      <c r="E160" s="212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212"/>
    </row>
    <row r="161" spans="1:20">
      <c r="A161" s="212"/>
      <c r="B161" s="212"/>
      <c r="C161" s="228"/>
      <c r="D161" s="229"/>
      <c r="E161" s="212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12"/>
      <c r="S161" s="212"/>
      <c r="T161" s="212"/>
    </row>
    <row r="162" spans="1:20">
      <c r="A162" s="212"/>
      <c r="B162" s="212"/>
      <c r="C162" s="228"/>
      <c r="D162" s="229"/>
      <c r="E162" s="212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</row>
    <row r="163" spans="1:20">
      <c r="A163" s="212"/>
      <c r="B163" s="212"/>
      <c r="C163" s="228"/>
      <c r="D163" s="230"/>
      <c r="E163" s="212"/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212"/>
      <c r="Q163" s="212"/>
      <c r="R163" s="212"/>
      <c r="S163" s="212"/>
      <c r="T163" s="212"/>
    </row>
    <row r="164" spans="1:20">
      <c r="A164" s="212"/>
      <c r="B164" s="212"/>
      <c r="C164" s="228"/>
      <c r="D164" s="229"/>
      <c r="E164" s="212"/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  <c r="T164" s="212"/>
    </row>
    <row r="165" spans="1:20">
      <c r="A165" s="212"/>
      <c r="B165" s="212"/>
      <c r="C165" s="228"/>
      <c r="D165" s="229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  <c r="T165" s="212"/>
    </row>
    <row r="166" spans="1:20">
      <c r="A166" s="212"/>
      <c r="B166" s="212"/>
      <c r="C166" s="228"/>
      <c r="D166" s="230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</row>
    <row r="167" spans="1:20">
      <c r="A167" s="212"/>
      <c r="B167" s="212"/>
      <c r="C167" s="228"/>
      <c r="D167" s="229"/>
      <c r="E167" s="212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  <c r="T167" s="212"/>
    </row>
    <row r="168" spans="1:20">
      <c r="A168" s="212"/>
      <c r="B168" s="212"/>
      <c r="C168" s="228"/>
      <c r="D168" s="229"/>
      <c r="E168" s="212"/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212"/>
    </row>
    <row r="169" spans="1:20">
      <c r="A169" s="212"/>
      <c r="B169" s="212"/>
      <c r="C169" s="228"/>
      <c r="D169" s="230"/>
      <c r="E169" s="212"/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  <c r="S169" s="212"/>
      <c r="T169" s="212"/>
    </row>
    <row r="170" spans="1:20">
      <c r="A170" s="212"/>
      <c r="B170" s="212"/>
      <c r="C170" s="228"/>
      <c r="D170" s="229"/>
      <c r="E170" s="212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  <c r="T170" s="212"/>
    </row>
    <row r="171" spans="1:20">
      <c r="A171" s="212"/>
      <c r="B171" s="212"/>
      <c r="C171" s="228"/>
      <c r="D171" s="229"/>
      <c r="E171" s="212"/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  <c r="T171" s="212"/>
    </row>
    <row r="172" spans="1:20">
      <c r="A172" s="212"/>
      <c r="B172" s="212"/>
      <c r="C172" s="228"/>
      <c r="D172" s="230"/>
      <c r="E172" s="212"/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212"/>
      <c r="Q172" s="212"/>
      <c r="R172" s="212"/>
      <c r="S172" s="212"/>
      <c r="T172" s="212"/>
    </row>
    <row r="173" spans="1:20">
      <c r="A173" s="212"/>
      <c r="B173" s="212"/>
      <c r="C173" s="228"/>
      <c r="D173" s="229"/>
      <c r="E173" s="212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  <c r="S173" s="212"/>
      <c r="T173" s="212"/>
    </row>
    <row r="174" spans="1:20">
      <c r="A174" s="212"/>
      <c r="B174" s="212"/>
      <c r="C174" s="228"/>
      <c r="D174" s="229"/>
      <c r="E174" s="212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212"/>
    </row>
    <row r="175" spans="1:20">
      <c r="A175" s="212"/>
      <c r="B175" s="212"/>
      <c r="C175" s="228"/>
      <c r="D175" s="230"/>
      <c r="E175" s="212"/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212"/>
      <c r="Q175" s="212"/>
      <c r="R175" s="212"/>
      <c r="S175" s="212"/>
      <c r="T175" s="212"/>
    </row>
    <row r="176" spans="1:20">
      <c r="A176" s="212"/>
      <c r="B176" s="212"/>
      <c r="C176" s="228"/>
      <c r="D176" s="229"/>
      <c r="E176" s="212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</row>
    <row r="177" spans="1:20">
      <c r="A177" s="212"/>
      <c r="B177" s="212"/>
      <c r="C177" s="228"/>
      <c r="D177" s="229"/>
      <c r="E177" s="212"/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  <c r="S177" s="212"/>
      <c r="T177" s="212"/>
    </row>
    <row r="178" spans="1:20">
      <c r="A178" s="212"/>
      <c r="B178" s="212"/>
      <c r="C178" s="228"/>
      <c r="D178" s="230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</row>
    <row r="179" spans="1:20">
      <c r="A179" s="212"/>
      <c r="B179" s="212"/>
      <c r="C179" s="228"/>
      <c r="D179" s="229"/>
      <c r="E179" s="212"/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212"/>
      <c r="Q179" s="212"/>
      <c r="R179" s="212"/>
      <c r="S179" s="212"/>
      <c r="T179" s="212"/>
    </row>
    <row r="180" spans="1:20">
      <c r="A180" s="212"/>
      <c r="B180" s="212"/>
      <c r="C180" s="228"/>
      <c r="D180" s="229"/>
      <c r="E180" s="212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212"/>
    </row>
    <row r="181" spans="1:20">
      <c r="A181" s="212"/>
      <c r="B181" s="212"/>
      <c r="C181" s="228"/>
      <c r="D181" s="230"/>
      <c r="E181" s="212"/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212"/>
      <c r="Q181" s="212"/>
      <c r="R181" s="212"/>
      <c r="S181" s="212"/>
      <c r="T181" s="212"/>
    </row>
    <row r="182" spans="1:20">
      <c r="A182" s="212"/>
      <c r="B182" s="212"/>
      <c r="C182" s="228"/>
      <c r="D182" s="229"/>
      <c r="E182" s="212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212"/>
    </row>
    <row r="183" spans="1:20">
      <c r="A183" s="212"/>
      <c r="B183" s="212"/>
      <c r="C183" s="228"/>
      <c r="D183" s="229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212"/>
    </row>
    <row r="184" spans="1:20">
      <c r="A184" s="212"/>
      <c r="B184" s="212"/>
      <c r="C184" s="228"/>
      <c r="D184" s="230"/>
      <c r="E184" s="212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</row>
    <row r="185" spans="1:20">
      <c r="A185" s="212"/>
      <c r="B185" s="212"/>
      <c r="C185" s="228"/>
      <c r="D185" s="229"/>
      <c r="E185" s="212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</row>
    <row r="186" spans="1:20">
      <c r="A186" s="212"/>
      <c r="B186" s="212"/>
      <c r="C186" s="228"/>
      <c r="D186" s="229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</row>
    <row r="187" spans="1:20">
      <c r="A187" s="212"/>
      <c r="B187" s="212"/>
      <c r="C187" s="228"/>
      <c r="D187" s="230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</row>
    <row r="188" spans="1:20">
      <c r="A188" s="212"/>
      <c r="B188" s="212"/>
      <c r="C188" s="228"/>
      <c r="D188" s="229"/>
      <c r="E188" s="212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</row>
    <row r="189" spans="1:20">
      <c r="A189" s="212"/>
      <c r="B189" s="212"/>
      <c r="C189" s="228"/>
      <c r="D189" s="229"/>
      <c r="E189" s="212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</row>
    <row r="190" spans="1:20">
      <c r="A190" s="212"/>
      <c r="B190" s="212"/>
      <c r="C190" s="228"/>
      <c r="D190" s="230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</row>
    <row r="191" spans="1:20">
      <c r="A191" s="212"/>
      <c r="B191" s="212"/>
      <c r="C191" s="228"/>
      <c r="D191" s="229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</row>
    <row r="192" spans="1:20">
      <c r="A192" s="212"/>
      <c r="B192" s="212"/>
      <c r="C192" s="228"/>
      <c r="D192" s="229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</row>
    <row r="193" spans="1:20">
      <c r="A193" s="212"/>
      <c r="B193" s="212"/>
      <c r="C193" s="228"/>
      <c r="D193" s="230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212"/>
    </row>
    <row r="194" spans="1:20">
      <c r="A194" s="212"/>
      <c r="B194" s="212"/>
      <c r="C194" s="228"/>
      <c r="D194" s="229"/>
      <c r="E194" s="212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212"/>
    </row>
    <row r="195" spans="1:20">
      <c r="A195" s="212"/>
      <c r="B195" s="212"/>
      <c r="C195" s="228"/>
      <c r="D195" s="229"/>
      <c r="E195" s="212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  <c r="S195" s="212"/>
      <c r="T195" s="212"/>
    </row>
    <row r="196" spans="1:20">
      <c r="A196" s="212"/>
      <c r="B196" s="212"/>
      <c r="C196" s="228"/>
      <c r="D196" s="230"/>
      <c r="E196" s="212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212"/>
    </row>
    <row r="197" spans="1:20">
      <c r="A197" s="212"/>
      <c r="B197" s="212"/>
      <c r="C197" s="228"/>
      <c r="D197" s="229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12"/>
      <c r="T197" s="212"/>
    </row>
    <row r="198" spans="1:20">
      <c r="A198" s="212"/>
      <c r="B198" s="212"/>
      <c r="C198" s="228"/>
      <c r="D198" s="229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12"/>
      <c r="T198" s="212"/>
    </row>
    <row r="199" spans="1:20">
      <c r="A199" s="212"/>
      <c r="B199" s="212"/>
      <c r="C199" s="228"/>
      <c r="D199" s="230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12"/>
      <c r="T199" s="212"/>
    </row>
    <row r="200" spans="1:20">
      <c r="A200" s="212"/>
      <c r="B200" s="212"/>
      <c r="C200" s="228"/>
      <c r="D200" s="229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</row>
    <row r="201" spans="1:20">
      <c r="A201" s="212"/>
      <c r="B201" s="212"/>
      <c r="C201" s="228"/>
      <c r="D201" s="229"/>
      <c r="E201" s="212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</row>
    <row r="202" spans="1:20">
      <c r="A202" s="212"/>
      <c r="B202" s="212"/>
      <c r="C202" s="228"/>
      <c r="D202" s="230"/>
      <c r="E202" s="212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</row>
    <row r="203" spans="1:20">
      <c r="A203" s="212"/>
      <c r="B203" s="212"/>
      <c r="C203" s="228"/>
      <c r="D203" s="229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</row>
    <row r="204" spans="1:20">
      <c r="A204" s="212"/>
      <c r="B204" s="212"/>
      <c r="C204" s="228"/>
      <c r="D204" s="229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</row>
    <row r="205" spans="1:20">
      <c r="A205" s="212"/>
      <c r="B205" s="212"/>
      <c r="C205" s="228"/>
      <c r="D205" s="230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</row>
    <row r="206" spans="1:20">
      <c r="A206" s="212"/>
      <c r="B206" s="212"/>
      <c r="C206" s="228"/>
      <c r="D206" s="229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12"/>
      <c r="T206" s="212"/>
    </row>
    <row r="207" spans="1:20">
      <c r="A207" s="212"/>
      <c r="B207" s="212"/>
      <c r="C207" s="228"/>
      <c r="D207" s="229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  <c r="S207" s="212"/>
      <c r="T207" s="212"/>
    </row>
    <row r="208" spans="1:20">
      <c r="A208" s="212"/>
      <c r="B208" s="212"/>
      <c r="C208" s="228"/>
      <c r="D208" s="230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</row>
    <row r="209" spans="1:20">
      <c r="A209" s="212"/>
      <c r="B209" s="212"/>
      <c r="C209" s="228"/>
      <c r="D209" s="229"/>
      <c r="E209" s="212"/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  <c r="S209" s="212"/>
      <c r="T209" s="212"/>
    </row>
    <row r="210" spans="1:20">
      <c r="A210" s="212"/>
      <c r="B210" s="212"/>
      <c r="C210" s="228"/>
      <c r="D210" s="229"/>
      <c r="E210" s="212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212"/>
    </row>
    <row r="211" spans="1:20">
      <c r="A211" s="212"/>
      <c r="B211" s="212"/>
      <c r="C211" s="228"/>
      <c r="D211" s="230"/>
      <c r="E211" s="212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212"/>
    </row>
    <row r="212" spans="1:20">
      <c r="A212" s="212"/>
      <c r="B212" s="212"/>
      <c r="C212" s="228"/>
      <c r="D212" s="229"/>
      <c r="E212" s="212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</row>
    <row r="213" spans="1:20">
      <c r="A213" s="212"/>
      <c r="B213" s="212"/>
      <c r="C213" s="228"/>
      <c r="D213" s="229"/>
      <c r="E213" s="212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2"/>
      <c r="S213" s="212"/>
      <c r="T213" s="212"/>
    </row>
    <row r="214" spans="1:20">
      <c r="A214" s="212"/>
      <c r="B214" s="212"/>
      <c r="C214" s="228"/>
      <c r="D214" s="230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212"/>
    </row>
    <row r="215" spans="1:20">
      <c r="A215" s="212"/>
      <c r="B215" s="212"/>
      <c r="C215" s="228"/>
      <c r="D215" s="229"/>
      <c r="E215" s="212"/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2"/>
      <c r="S215" s="212"/>
      <c r="T215" s="212"/>
    </row>
    <row r="216" spans="1:20">
      <c r="A216" s="212"/>
      <c r="B216" s="212"/>
      <c r="C216" s="228"/>
      <c r="D216" s="229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2"/>
      <c r="S216" s="212"/>
      <c r="T216" s="212"/>
    </row>
    <row r="217" spans="1:20">
      <c r="A217" s="212"/>
      <c r="B217" s="212"/>
      <c r="C217" s="228"/>
      <c r="D217" s="230"/>
      <c r="E217" s="212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  <c r="S217" s="212"/>
      <c r="T217" s="212"/>
    </row>
    <row r="218" spans="1:20">
      <c r="A218" s="212"/>
      <c r="B218" s="212"/>
      <c r="C218" s="228"/>
      <c r="D218" s="229"/>
      <c r="E218" s="212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  <c r="S218" s="212"/>
      <c r="T218" s="212"/>
    </row>
    <row r="219" spans="1:20">
      <c r="A219" s="212"/>
      <c r="B219" s="212"/>
      <c r="C219" s="228"/>
      <c r="D219" s="229"/>
      <c r="E219" s="21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  <c r="S219" s="212"/>
      <c r="T219" s="212"/>
    </row>
    <row r="220" spans="1:20">
      <c r="A220" s="212"/>
      <c r="B220" s="212"/>
      <c r="C220" s="228"/>
      <c r="D220" s="230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212"/>
    </row>
    <row r="221" spans="1:20">
      <c r="A221" s="212"/>
      <c r="B221" s="212"/>
      <c r="C221" s="228"/>
      <c r="D221" s="229"/>
      <c r="E221" s="212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212"/>
      <c r="Q221" s="212"/>
      <c r="R221" s="212"/>
      <c r="S221" s="212"/>
      <c r="T221" s="212"/>
    </row>
    <row r="222" spans="1:20">
      <c r="A222" s="212"/>
      <c r="B222" s="212"/>
      <c r="C222" s="228"/>
      <c r="D222" s="229"/>
      <c r="E222" s="212"/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/>
      <c r="R222" s="212"/>
      <c r="S222" s="212"/>
      <c r="T222" s="212"/>
    </row>
    <row r="223" spans="1:20">
      <c r="A223" s="212"/>
      <c r="B223" s="212"/>
      <c r="C223" s="228"/>
      <c r="D223" s="230"/>
      <c r="E223" s="212"/>
      <c r="F223" s="212"/>
      <c r="G223" s="212"/>
      <c r="H223" s="212"/>
      <c r="I223" s="212"/>
      <c r="J223" s="212"/>
      <c r="K223" s="212"/>
      <c r="L223" s="212"/>
      <c r="M223" s="212"/>
      <c r="N223" s="212"/>
      <c r="O223" s="212"/>
      <c r="P223" s="212"/>
      <c r="Q223" s="212"/>
      <c r="R223" s="212"/>
      <c r="S223" s="212"/>
      <c r="T223" s="212"/>
    </row>
    <row r="224" spans="1:20">
      <c r="A224" s="212"/>
      <c r="B224" s="212"/>
      <c r="C224" s="228"/>
      <c r="D224" s="229"/>
      <c r="E224" s="212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/>
      <c r="R224" s="212"/>
      <c r="S224" s="212"/>
      <c r="T224" s="212"/>
    </row>
    <row r="225" spans="1:20">
      <c r="A225" s="212"/>
      <c r="B225" s="212"/>
      <c r="C225" s="228"/>
      <c r="D225" s="229"/>
      <c r="E225" s="212"/>
      <c r="F225" s="212"/>
      <c r="G225" s="212"/>
      <c r="H225" s="212"/>
      <c r="I225" s="212"/>
      <c r="J225" s="212"/>
      <c r="K225" s="212"/>
      <c r="L225" s="212"/>
      <c r="M225" s="212"/>
      <c r="N225" s="212"/>
      <c r="O225" s="212"/>
      <c r="P225" s="212"/>
      <c r="Q225" s="212"/>
      <c r="R225" s="212"/>
      <c r="S225" s="212"/>
      <c r="T225" s="212"/>
    </row>
    <row r="226" spans="1:20">
      <c r="A226" s="212"/>
      <c r="B226" s="212"/>
      <c r="C226" s="228"/>
      <c r="D226" s="230"/>
      <c r="E226" s="212"/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2"/>
      <c r="S226" s="212"/>
      <c r="T226" s="212"/>
    </row>
    <row r="227" spans="1:20">
      <c r="A227" s="212"/>
      <c r="B227" s="212"/>
      <c r="C227" s="228"/>
      <c r="D227" s="229"/>
      <c r="E227" s="212"/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212"/>
      <c r="Q227" s="212"/>
      <c r="R227" s="212"/>
      <c r="S227" s="212"/>
      <c r="T227" s="212"/>
    </row>
    <row r="228" spans="1:20">
      <c r="A228" s="212"/>
      <c r="B228" s="212"/>
      <c r="C228" s="228"/>
      <c r="D228" s="229"/>
      <c r="E228" s="212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/>
      <c r="R228" s="212"/>
      <c r="S228" s="212"/>
      <c r="T228" s="212"/>
    </row>
    <row r="229" spans="1:20">
      <c r="A229" s="212"/>
      <c r="B229" s="212"/>
      <c r="C229" s="228"/>
      <c r="D229" s="230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</row>
    <row r="230" spans="1:20">
      <c r="A230" s="212"/>
      <c r="B230" s="212"/>
      <c r="C230" s="228"/>
      <c r="D230" s="229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2"/>
      <c r="S230" s="212"/>
      <c r="T230" s="212"/>
    </row>
    <row r="231" spans="1:20">
      <c r="A231" s="212"/>
      <c r="B231" s="212"/>
      <c r="C231" s="228"/>
      <c r="D231" s="229"/>
      <c r="E231" s="21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  <c r="P231" s="212"/>
      <c r="Q231" s="212"/>
      <c r="R231" s="212"/>
      <c r="S231" s="212"/>
      <c r="T231" s="212"/>
    </row>
    <row r="232" spans="1:20">
      <c r="A232" s="212"/>
      <c r="B232" s="212"/>
      <c r="C232" s="228"/>
      <c r="D232" s="230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/>
      <c r="R232" s="212"/>
      <c r="S232" s="212"/>
      <c r="T232" s="212"/>
    </row>
    <row r="233" spans="1:20">
      <c r="A233" s="212"/>
      <c r="B233" s="212"/>
      <c r="C233" s="228"/>
      <c r="D233" s="229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212"/>
      <c r="Q233" s="212"/>
      <c r="R233" s="212"/>
      <c r="S233" s="212"/>
      <c r="T233" s="212"/>
    </row>
    <row r="234" spans="1:20">
      <c r="A234" s="212"/>
      <c r="B234" s="212"/>
      <c r="C234" s="228"/>
      <c r="D234" s="229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/>
      <c r="R234" s="212"/>
      <c r="S234" s="212"/>
      <c r="T234" s="212"/>
    </row>
    <row r="235" spans="1:20">
      <c r="A235" s="212"/>
      <c r="B235" s="212"/>
      <c r="C235" s="228"/>
      <c r="D235" s="230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  <c r="P235" s="212"/>
      <c r="Q235" s="212"/>
      <c r="R235" s="212"/>
      <c r="S235" s="212"/>
      <c r="T235" s="212"/>
    </row>
    <row r="236" spans="1:20">
      <c r="A236" s="210"/>
      <c r="B236" s="212"/>
      <c r="C236" s="228"/>
      <c r="D236" s="229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  <c r="P236" s="212"/>
      <c r="Q236" s="212"/>
      <c r="R236" s="212"/>
      <c r="S236" s="212"/>
      <c r="T236" s="212"/>
    </row>
    <row r="237" spans="1:20">
      <c r="A237" s="210"/>
      <c r="B237" s="212"/>
      <c r="C237" s="228"/>
      <c r="D237" s="229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  <c r="P237" s="212"/>
      <c r="Q237" s="212"/>
      <c r="R237" s="212"/>
      <c r="S237" s="212"/>
      <c r="T237" s="212"/>
    </row>
    <row r="238" spans="1:20">
      <c r="A238" s="210"/>
      <c r="B238" s="212"/>
      <c r="C238" s="228"/>
      <c r="D238" s="230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212"/>
      <c r="Q238" s="212"/>
      <c r="R238" s="212"/>
      <c r="S238" s="212"/>
      <c r="T238" s="212"/>
    </row>
    <row r="239" spans="1:20">
      <c r="A239" s="210"/>
      <c r="B239" s="212"/>
      <c r="C239" s="228"/>
      <c r="D239" s="229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212"/>
      <c r="Q239" s="212"/>
      <c r="R239" s="212"/>
      <c r="S239" s="212"/>
      <c r="T239" s="212"/>
    </row>
    <row r="240" spans="1:20">
      <c r="A240" s="210"/>
      <c r="B240" s="212"/>
      <c r="C240" s="228"/>
      <c r="D240" s="229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212"/>
      <c r="Q240" s="212"/>
      <c r="R240" s="212"/>
      <c r="S240" s="212"/>
      <c r="T240" s="212"/>
    </row>
    <row r="241" spans="5:20">
      <c r="E241" s="212"/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212"/>
      <c r="Q241" s="212"/>
      <c r="R241" s="212"/>
      <c r="S241" s="212"/>
      <c r="T241" s="212"/>
    </row>
    <row r="242" spans="5:20">
      <c r="E242" s="212"/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212"/>
      <c r="Q242" s="212"/>
      <c r="R242" s="212"/>
      <c r="S242" s="212"/>
      <c r="T242" s="212"/>
    </row>
    <row r="243" spans="5:20">
      <c r="E243" s="212"/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212"/>
      <c r="Q243" s="212"/>
      <c r="R243" s="212"/>
      <c r="S243" s="212"/>
      <c r="T243" s="212"/>
    </row>
    <row r="244" spans="5:20">
      <c r="E244" s="212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2"/>
      <c r="S244" s="212"/>
      <c r="T244" s="212"/>
    </row>
    <row r="245" spans="5:20">
      <c r="E245" s="212"/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12"/>
      <c r="Q245" s="212"/>
      <c r="R245" s="212"/>
      <c r="S245" s="212"/>
      <c r="T245" s="212"/>
    </row>
    <row r="246" spans="5:20">
      <c r="E246" s="212"/>
      <c r="F246" s="212"/>
      <c r="G246" s="212"/>
      <c r="H246" s="212"/>
      <c r="I246" s="212"/>
      <c r="J246" s="212"/>
      <c r="K246" s="212"/>
      <c r="L246" s="212"/>
      <c r="M246" s="212"/>
      <c r="N246" s="212"/>
      <c r="O246" s="212"/>
      <c r="P246" s="212"/>
      <c r="Q246" s="212"/>
      <c r="R246" s="212"/>
      <c r="S246" s="212"/>
      <c r="T246" s="212"/>
    </row>
    <row r="247" spans="5:20">
      <c r="E247" s="212"/>
      <c r="F247" s="212"/>
      <c r="G247" s="212"/>
      <c r="H247" s="212"/>
      <c r="I247" s="212"/>
      <c r="J247" s="212"/>
      <c r="K247" s="212"/>
      <c r="L247" s="212"/>
      <c r="M247" s="212"/>
      <c r="N247" s="212"/>
      <c r="O247" s="212"/>
      <c r="P247" s="212"/>
      <c r="Q247" s="212"/>
      <c r="R247" s="212"/>
      <c r="S247" s="212"/>
      <c r="T247" s="212"/>
    </row>
    <row r="248" spans="5:20">
      <c r="E248" s="210"/>
      <c r="F248" s="210"/>
      <c r="G248" s="210"/>
      <c r="H248" s="210"/>
      <c r="I248" s="210"/>
      <c r="J248" s="210"/>
      <c r="K248" s="210"/>
      <c r="L248" s="210"/>
      <c r="M248" s="210"/>
      <c r="N248" s="212"/>
      <c r="O248" s="212"/>
      <c r="P248" s="212"/>
      <c r="Q248" s="210"/>
      <c r="R248" s="210"/>
      <c r="S248" s="210"/>
      <c r="T248" s="210"/>
    </row>
    <row r="257" s="86" customFormat="1"/>
    <row r="258" s="86" customFormat="1"/>
    <row r="259" s="86" customFormat="1"/>
    <row r="260" s="86" customFormat="1"/>
    <row r="261" s="86" customFormat="1"/>
    <row r="262" s="86" customFormat="1"/>
    <row r="263" s="86" customFormat="1"/>
    <row r="264" s="86" customFormat="1"/>
    <row r="265" s="86" customFormat="1"/>
    <row r="266" s="86" customFormat="1"/>
    <row r="267" s="86" customFormat="1"/>
    <row r="268" s="86" customFormat="1"/>
    <row r="269" s="86" customFormat="1"/>
    <row r="270" s="86" customFormat="1"/>
    <row r="271" s="86" customFormat="1"/>
    <row r="272" s="86" customFormat="1"/>
    <row r="273" s="86" customFormat="1"/>
    <row r="274" s="86" customFormat="1"/>
    <row r="275" s="86" customFormat="1"/>
    <row r="276" s="86" customFormat="1"/>
    <row r="277" s="86" customFormat="1"/>
    <row r="278" s="86" customFormat="1"/>
    <row r="279" s="86" customFormat="1"/>
    <row r="280" s="86" customFormat="1"/>
    <row r="281" s="86" customFormat="1"/>
    <row r="282" s="86" customFormat="1"/>
    <row r="283" s="86" customFormat="1"/>
    <row r="284" s="86" customFormat="1"/>
    <row r="285" s="86" customFormat="1"/>
    <row r="286" s="86" customFormat="1"/>
    <row r="287" s="86" customFormat="1"/>
    <row r="288" s="86" customFormat="1"/>
    <row r="289" s="86" customFormat="1"/>
    <row r="290" s="86" customFormat="1"/>
    <row r="291" s="86" customFormat="1"/>
    <row r="292" s="86" customFormat="1"/>
    <row r="293" s="86" customFormat="1"/>
    <row r="294" s="86" customFormat="1"/>
    <row r="295" s="86" customFormat="1"/>
    <row r="296" s="86" customFormat="1"/>
    <row r="297" s="86" customFormat="1"/>
    <row r="298" s="86" customFormat="1"/>
    <row r="299" s="86" customFormat="1"/>
    <row r="300" s="86" customFormat="1"/>
    <row r="301" s="86" customFormat="1"/>
    <row r="302" s="86" customFormat="1"/>
    <row r="303" s="86" customFormat="1"/>
    <row r="304" s="86" customFormat="1"/>
    <row r="305" s="86" customFormat="1"/>
    <row r="306" s="86" customFormat="1"/>
    <row r="307" s="86" customFormat="1"/>
    <row r="308" s="86" customFormat="1"/>
    <row r="309" s="86" customFormat="1"/>
    <row r="310" s="86" customFormat="1"/>
    <row r="311" s="86" customFormat="1"/>
    <row r="312" s="86" customFormat="1"/>
    <row r="313" s="86" customFormat="1"/>
    <row r="314" s="86" customFormat="1"/>
    <row r="315" s="86" customFormat="1"/>
    <row r="316" s="86" customFormat="1"/>
    <row r="317" s="86" customFormat="1"/>
    <row r="318" s="86" customFormat="1"/>
    <row r="319" s="86" customFormat="1"/>
    <row r="320" s="86" customFormat="1"/>
    <row r="321" s="86" customFormat="1"/>
    <row r="322" s="86" customFormat="1"/>
    <row r="323" s="86" customFormat="1"/>
    <row r="324" s="86" customFormat="1"/>
    <row r="325" s="86" customFormat="1"/>
    <row r="326" s="86" customFormat="1"/>
    <row r="327" s="86" customFormat="1"/>
    <row r="328" s="86" customFormat="1"/>
    <row r="329" s="86" customFormat="1"/>
    <row r="330" s="86" customFormat="1"/>
    <row r="331" s="86" customFormat="1"/>
    <row r="332" s="86" customFormat="1"/>
    <row r="333" s="86" customFormat="1"/>
    <row r="334" s="86" customFormat="1"/>
    <row r="335" s="86" customFormat="1"/>
    <row r="336" s="86" customFormat="1"/>
    <row r="337" s="86" customFormat="1"/>
    <row r="338" s="86" customFormat="1"/>
    <row r="339" s="86" customFormat="1"/>
    <row r="340" s="86" customFormat="1"/>
    <row r="341" s="86" customFormat="1"/>
    <row r="342" s="86" customFormat="1"/>
    <row r="343" s="86" customFormat="1"/>
    <row r="344" s="86" customFormat="1"/>
    <row r="345" s="86" customFormat="1"/>
    <row r="346" s="86" customFormat="1"/>
    <row r="347" s="86" customFormat="1"/>
    <row r="348" s="86" customFormat="1"/>
    <row r="349" s="86" customFormat="1"/>
    <row r="350" s="86" customFormat="1"/>
    <row r="351" s="86" customFormat="1"/>
    <row r="352" s="86" customFormat="1"/>
    <row r="353" s="86" customFormat="1"/>
    <row r="354" s="86" customFormat="1"/>
    <row r="355" s="86" customFormat="1"/>
    <row r="356" s="86" customFormat="1"/>
    <row r="357" s="86" customFormat="1"/>
    <row r="358" s="86" customFormat="1"/>
    <row r="359" s="86" customFormat="1"/>
    <row r="360" s="86" customFormat="1"/>
    <row r="361" s="86" customFormat="1"/>
    <row r="362" s="86" customFormat="1"/>
    <row r="363" s="86" customFormat="1"/>
    <row r="364" s="86" customFormat="1"/>
    <row r="365" s="86" customFormat="1"/>
    <row r="366" s="86" customFormat="1"/>
    <row r="367" s="86" customFormat="1"/>
    <row r="368" s="86" customFormat="1"/>
    <row r="369" s="86" customFormat="1"/>
    <row r="370" s="86" customFormat="1"/>
    <row r="371" s="86" customFormat="1"/>
    <row r="372" s="86" customFormat="1"/>
    <row r="373" s="86" customFormat="1"/>
    <row r="374" s="86" customFormat="1"/>
    <row r="375" s="86" customFormat="1"/>
    <row r="376" s="86" customFormat="1"/>
    <row r="377" s="86" customFormat="1"/>
    <row r="378" s="86" customFormat="1"/>
    <row r="379" s="86" customFormat="1"/>
    <row r="380" s="86" customFormat="1"/>
    <row r="381" s="86" customFormat="1"/>
    <row r="382" s="86" customFormat="1"/>
    <row r="383" s="86" customFormat="1"/>
    <row r="384" s="86" customFormat="1"/>
    <row r="385" s="86" customFormat="1"/>
    <row r="386" s="86" customFormat="1"/>
    <row r="387" s="86" customFormat="1"/>
    <row r="388" s="86" customFormat="1"/>
    <row r="389" s="86" customFormat="1"/>
    <row r="390" s="86" customFormat="1"/>
    <row r="391" s="86" customFormat="1"/>
    <row r="392" s="86" customFormat="1"/>
    <row r="393" s="86" customFormat="1"/>
    <row r="394" s="86" customFormat="1"/>
    <row r="395" s="86" customFormat="1"/>
    <row r="396" s="86" customFormat="1"/>
    <row r="397" s="86" customFormat="1"/>
    <row r="398" s="86" customFormat="1"/>
    <row r="399" s="86" customFormat="1"/>
    <row r="400" s="86" customFormat="1"/>
    <row r="401" s="86" customFormat="1"/>
    <row r="402" s="86" customFormat="1"/>
    <row r="403" s="86" customFormat="1"/>
    <row r="404" s="86" customFormat="1"/>
    <row r="405" s="86" customFormat="1"/>
    <row r="406" s="86" customFormat="1"/>
    <row r="407" s="86" customFormat="1"/>
    <row r="408" s="86" customFormat="1"/>
    <row r="409" s="86" customFormat="1"/>
    <row r="410" s="86" customFormat="1"/>
    <row r="411" s="86" customFormat="1"/>
    <row r="412" s="86" customFormat="1"/>
    <row r="413" s="86" customFormat="1"/>
    <row r="414" s="86" customFormat="1"/>
    <row r="415" s="86" customFormat="1"/>
    <row r="416" s="86" customFormat="1"/>
    <row r="417" s="86" customFormat="1"/>
    <row r="418" s="86" customFormat="1"/>
    <row r="419" s="86" customFormat="1"/>
    <row r="420" s="86" customFormat="1"/>
    <row r="421" s="86" customFormat="1"/>
    <row r="422" s="86" customFormat="1"/>
    <row r="423" s="86" customFormat="1"/>
    <row r="424" s="86" customFormat="1"/>
    <row r="425" s="86" customFormat="1"/>
    <row r="426" s="86" customFormat="1"/>
    <row r="427" s="86" customFormat="1"/>
    <row r="428" s="86" customFormat="1"/>
    <row r="429" s="86" customFormat="1"/>
    <row r="430" s="86" customFormat="1"/>
    <row r="431" s="86" customFormat="1"/>
    <row r="432" s="86" customFormat="1"/>
    <row r="433" s="86" customFormat="1"/>
    <row r="434" s="86" customFormat="1"/>
    <row r="435" s="86" customFormat="1"/>
    <row r="436" s="86" customFormat="1"/>
    <row r="437" s="86" customFormat="1"/>
    <row r="438" s="86" customFormat="1"/>
    <row r="439" s="86" customFormat="1"/>
    <row r="440" s="86" customFormat="1"/>
    <row r="441" s="86" customFormat="1"/>
    <row r="442" s="86" customFormat="1"/>
    <row r="443" s="86" customFormat="1"/>
    <row r="444" s="86" customFormat="1"/>
    <row r="445" s="86" customFormat="1"/>
    <row r="446" s="86" customFormat="1"/>
    <row r="447" s="86" customFormat="1"/>
    <row r="448" s="86" customFormat="1"/>
    <row r="449" s="86" customFormat="1"/>
    <row r="450" s="86" customFormat="1"/>
    <row r="451" s="86" customFormat="1"/>
    <row r="452" s="86" customFormat="1"/>
    <row r="453" s="86" customFormat="1"/>
    <row r="454" s="86" customFormat="1"/>
    <row r="455" s="86" customFormat="1"/>
    <row r="456" s="86" customFormat="1"/>
    <row r="457" s="86" customFormat="1"/>
    <row r="458" s="86" customFormat="1"/>
    <row r="459" s="86" customFormat="1"/>
    <row r="460" s="86" customFormat="1"/>
    <row r="461" s="86" customFormat="1"/>
    <row r="462" s="86" customFormat="1"/>
    <row r="463" s="86" customFormat="1"/>
    <row r="464" s="86" customFormat="1"/>
    <row r="465" s="86" customFormat="1"/>
    <row r="466" s="86" customFormat="1"/>
    <row r="467" s="86" customFormat="1"/>
    <row r="468" s="86" customFormat="1"/>
    <row r="469" s="86" customFormat="1"/>
    <row r="470" s="86" customFormat="1"/>
    <row r="471" s="86" customFormat="1"/>
    <row r="472" s="86" customFormat="1"/>
    <row r="473" s="86" customFormat="1"/>
    <row r="474" s="86" customFormat="1"/>
    <row r="475" s="86" customFormat="1"/>
    <row r="476" s="86" customFormat="1"/>
    <row r="477" s="86" customFormat="1"/>
    <row r="478" s="86" customFormat="1"/>
    <row r="479" s="86" customFormat="1"/>
    <row r="480" s="86" customFormat="1"/>
    <row r="481" s="86" customFormat="1"/>
    <row r="482" s="86" customFormat="1"/>
    <row r="483" s="86" customFormat="1"/>
    <row r="484" s="86" customFormat="1"/>
    <row r="485" s="86" customFormat="1"/>
    <row r="486" s="86" customFormat="1"/>
    <row r="487" s="86" customFormat="1"/>
    <row r="488" s="86" customFormat="1"/>
    <row r="489" s="86" customFormat="1"/>
    <row r="490" s="86" customFormat="1"/>
    <row r="491" s="86" customFormat="1"/>
    <row r="492" s="86" customFormat="1"/>
    <row r="493" s="86" customFormat="1"/>
    <row r="494" s="86" customFormat="1"/>
    <row r="495" s="86" customFormat="1"/>
    <row r="496" s="86" customFormat="1"/>
    <row r="497" s="86" customFormat="1"/>
    <row r="498" s="86" customFormat="1"/>
    <row r="499" s="86" customFormat="1"/>
    <row r="500" s="86" customFormat="1"/>
    <row r="501" s="86" customFormat="1"/>
    <row r="502" s="86" customFormat="1"/>
    <row r="503" s="86" customFormat="1"/>
    <row r="504" s="86" customFormat="1"/>
    <row r="505" s="86" customFormat="1"/>
    <row r="506" s="86" customFormat="1"/>
    <row r="507" s="86" customFormat="1"/>
    <row r="508" s="86" customFormat="1"/>
    <row r="509" s="86" customFormat="1"/>
    <row r="510" s="86" customFormat="1"/>
    <row r="511" s="86" customFormat="1"/>
    <row r="512" s="86" customFormat="1"/>
    <row r="513" s="86" customFormat="1"/>
    <row r="514" s="86" customFormat="1"/>
    <row r="515" s="86" customFormat="1"/>
    <row r="516" s="86" customFormat="1"/>
    <row r="517" s="86" customFormat="1"/>
    <row r="518" s="86" customFormat="1"/>
    <row r="519" s="86" customFormat="1"/>
    <row r="520" s="86" customFormat="1"/>
    <row r="521" s="86" customFormat="1"/>
    <row r="522" s="86" customFormat="1"/>
    <row r="523" s="86" customFormat="1"/>
    <row r="524" s="86" customFormat="1"/>
    <row r="525" s="86" customFormat="1"/>
    <row r="526" s="86" customFormat="1"/>
    <row r="527" s="86" customFormat="1"/>
    <row r="528" s="86" customFormat="1"/>
    <row r="529" s="86" customFormat="1"/>
    <row r="530" s="86" customFormat="1"/>
    <row r="531" s="86" customFormat="1"/>
    <row r="532" s="86" customFormat="1"/>
    <row r="533" s="86" customFormat="1"/>
    <row r="534" s="86" customFormat="1"/>
    <row r="535" s="86" customFormat="1"/>
    <row r="536" s="86" customFormat="1"/>
    <row r="537" s="86" customFormat="1"/>
    <row r="538" s="86" customFormat="1"/>
    <row r="539" s="86" customFormat="1"/>
    <row r="540" s="86" customFormat="1"/>
    <row r="541" s="86" customFormat="1"/>
    <row r="542" s="86" customFormat="1"/>
    <row r="543" s="86" customFormat="1"/>
    <row r="544" s="86" customFormat="1"/>
    <row r="545" s="86" customFormat="1"/>
    <row r="546" s="86" customFormat="1"/>
    <row r="547" s="86" customFormat="1"/>
    <row r="548" s="86" customFormat="1"/>
    <row r="549" s="86" customFormat="1"/>
    <row r="550" s="86" customFormat="1"/>
    <row r="551" s="86" customFormat="1"/>
    <row r="552" s="86" customFormat="1"/>
    <row r="553" s="86" customFormat="1"/>
    <row r="554" s="86" customFormat="1"/>
    <row r="555" s="86" customFormat="1"/>
    <row r="556" s="86" customFormat="1"/>
    <row r="557" s="86" customFormat="1"/>
    <row r="558" s="86" customFormat="1"/>
    <row r="559" s="86" customFormat="1"/>
    <row r="560" s="86" customFormat="1"/>
    <row r="561" s="86" customFormat="1"/>
    <row r="562" s="86" customFormat="1"/>
    <row r="563" s="86" customFormat="1"/>
    <row r="564" s="86" customFormat="1"/>
    <row r="565" s="86" customFormat="1"/>
    <row r="566" s="86" customFormat="1"/>
    <row r="567" s="86" customFormat="1"/>
    <row r="568" s="86" customFormat="1"/>
    <row r="569" s="86" customFormat="1"/>
    <row r="570" s="86" customFormat="1"/>
    <row r="571" s="86" customFormat="1"/>
    <row r="572" s="86" customFormat="1"/>
    <row r="573" s="86" customFormat="1"/>
    <row r="574" s="86" customFormat="1"/>
    <row r="575" s="86" customFormat="1"/>
    <row r="576" s="86" customFormat="1"/>
    <row r="577" s="86" customFormat="1"/>
    <row r="578" s="86" customFormat="1"/>
    <row r="579" s="86" customFormat="1"/>
    <row r="580" s="86" customFormat="1"/>
    <row r="581" s="86" customFormat="1"/>
    <row r="582" s="86" customFormat="1"/>
    <row r="583" s="86" customFormat="1"/>
    <row r="584" s="86" customFormat="1"/>
    <row r="585" s="86" customFormat="1"/>
    <row r="586" s="86" customFormat="1"/>
    <row r="587" s="86" customFormat="1"/>
    <row r="588" s="86" customFormat="1"/>
    <row r="589" s="86" customFormat="1"/>
    <row r="590" s="86" customFormat="1"/>
    <row r="591" s="86" customFormat="1"/>
    <row r="592" s="86" customFormat="1"/>
    <row r="593" s="86" customFormat="1"/>
    <row r="594" s="86" customFormat="1"/>
    <row r="595" s="86" customFormat="1"/>
    <row r="596" s="86" customFormat="1"/>
    <row r="597" s="86" customFormat="1"/>
    <row r="598" s="86" customFormat="1"/>
    <row r="599" s="86" customFormat="1"/>
    <row r="600" s="86" customFormat="1"/>
    <row r="601" s="86" customFormat="1"/>
    <row r="602" s="86" customFormat="1"/>
    <row r="603" s="86" customFormat="1"/>
    <row r="604" s="86" customFormat="1"/>
    <row r="605" s="86" customFormat="1"/>
    <row r="606" s="86" customFormat="1"/>
    <row r="607" s="86" customFormat="1"/>
    <row r="608" s="86" customFormat="1"/>
    <row r="609" s="86" customFormat="1"/>
    <row r="610" s="86" customFormat="1"/>
    <row r="611" s="86" customFormat="1"/>
    <row r="612" s="86" customFormat="1"/>
    <row r="613" s="86" customFormat="1"/>
    <row r="614" s="86" customFormat="1"/>
    <row r="615" s="86" customFormat="1"/>
    <row r="616" s="86" customFormat="1"/>
    <row r="617" s="86" customFormat="1"/>
    <row r="618" s="86" customFormat="1"/>
    <row r="619" s="86" customFormat="1"/>
    <row r="620" s="86" customFormat="1"/>
    <row r="621" s="86" customFormat="1"/>
    <row r="622" s="86" customFormat="1"/>
    <row r="623" s="86" customFormat="1"/>
    <row r="624" s="86" customFormat="1"/>
    <row r="625" s="86" customFormat="1"/>
    <row r="626" s="86" customFormat="1"/>
    <row r="627" s="86" customFormat="1"/>
    <row r="628" s="86" customFormat="1"/>
    <row r="629" s="86" customFormat="1"/>
    <row r="630" s="86" customFormat="1"/>
    <row r="631" s="86" customFormat="1"/>
    <row r="632" s="86" customFormat="1"/>
    <row r="633" s="86" customFormat="1"/>
    <row r="634" s="86" customFormat="1"/>
    <row r="635" s="86" customFormat="1"/>
    <row r="636" s="86" customFormat="1"/>
    <row r="637" s="86" customFormat="1"/>
    <row r="638" s="86" customFormat="1"/>
    <row r="639" s="86" customFormat="1"/>
    <row r="640" s="86" customFormat="1"/>
    <row r="641" s="86" customFormat="1"/>
    <row r="642" s="86" customFormat="1"/>
    <row r="643" s="86" customFormat="1"/>
    <row r="644" s="86" customFormat="1"/>
    <row r="645" s="86" customFormat="1"/>
    <row r="646" s="86" customFormat="1"/>
    <row r="647" s="86" customFormat="1"/>
    <row r="648" s="86" customFormat="1"/>
    <row r="649" s="86" customFormat="1"/>
    <row r="650" s="86" customFormat="1"/>
    <row r="651" s="86" customFormat="1"/>
    <row r="652" s="86" customFormat="1"/>
    <row r="653" s="86" customFormat="1"/>
    <row r="654" s="86" customFormat="1"/>
    <row r="655" s="86" customFormat="1"/>
    <row r="656" s="86" customFormat="1"/>
    <row r="657" s="86" customFormat="1"/>
    <row r="658" s="86" customFormat="1"/>
    <row r="659" s="86" customFormat="1"/>
    <row r="660" s="86" customFormat="1"/>
    <row r="661" s="86" customFormat="1"/>
    <row r="662" s="86" customFormat="1"/>
    <row r="663" s="86" customFormat="1"/>
    <row r="664" s="86" customFormat="1"/>
    <row r="665" s="86" customFormat="1"/>
    <row r="666" s="86" customFormat="1"/>
    <row r="667" s="86" customFormat="1"/>
    <row r="668" s="86" customFormat="1"/>
    <row r="669" s="86" customFormat="1"/>
    <row r="670" s="86" customFormat="1"/>
    <row r="671" s="86" customFormat="1"/>
    <row r="672" s="86" customFormat="1"/>
    <row r="673" s="86" customFormat="1"/>
    <row r="674" s="86" customFormat="1"/>
    <row r="675" s="86" customFormat="1"/>
    <row r="676" s="86" customFormat="1"/>
    <row r="677" s="86" customFormat="1"/>
    <row r="678" s="86" customFormat="1"/>
    <row r="679" s="86" customFormat="1"/>
    <row r="680" s="86" customFormat="1"/>
    <row r="681" s="86" customFormat="1"/>
    <row r="682" s="86" customFormat="1"/>
    <row r="683" s="86" customFormat="1"/>
    <row r="684" s="86" customFormat="1"/>
    <row r="685" s="86" customFormat="1"/>
    <row r="686" s="86" customFormat="1"/>
    <row r="687" s="86" customFormat="1"/>
    <row r="688" s="86" customFormat="1"/>
    <row r="689" s="86" customFormat="1"/>
    <row r="690" s="86" customFormat="1"/>
    <row r="691" s="86" customFormat="1"/>
    <row r="692" s="86" customFormat="1"/>
    <row r="693" s="86" customFormat="1"/>
    <row r="694" s="86" customFormat="1"/>
    <row r="695" s="86" customFormat="1"/>
    <row r="696" s="86" customFormat="1"/>
    <row r="697" s="86" customFormat="1"/>
    <row r="698" s="86" customFormat="1"/>
    <row r="699" s="86" customFormat="1"/>
    <row r="700" s="86" customFormat="1"/>
    <row r="701" s="86" customFormat="1"/>
    <row r="702" s="86" customFormat="1"/>
    <row r="703" s="86" customFormat="1"/>
    <row r="704" s="86" customFormat="1"/>
    <row r="705" s="86" customFormat="1"/>
    <row r="706" s="86" customFormat="1"/>
    <row r="707" s="86" customFormat="1"/>
    <row r="708" s="86" customFormat="1"/>
    <row r="709" s="86" customFormat="1"/>
    <row r="710" s="86" customFormat="1"/>
    <row r="711" s="86" customFormat="1"/>
    <row r="712" s="86" customFormat="1"/>
    <row r="713" s="86" customFormat="1"/>
    <row r="714" s="86" customFormat="1"/>
    <row r="715" s="86" customFormat="1"/>
    <row r="716" s="86" customFormat="1"/>
    <row r="717" s="86" customFormat="1"/>
    <row r="718" s="86" customFormat="1"/>
    <row r="719" s="86" customFormat="1"/>
    <row r="720" s="86" customFormat="1"/>
    <row r="721" s="86" customFormat="1"/>
    <row r="722" s="86" customFormat="1"/>
    <row r="723" s="86" customFormat="1"/>
    <row r="724" s="86" customFormat="1"/>
    <row r="725" s="86" customFormat="1"/>
    <row r="726" s="86" customFormat="1"/>
    <row r="727" s="86" customFormat="1"/>
    <row r="728" s="86" customFormat="1"/>
    <row r="729" s="86" customFormat="1"/>
    <row r="730" s="86" customFormat="1"/>
    <row r="731" s="86" customFormat="1"/>
    <row r="732" s="86" customFormat="1"/>
    <row r="733" s="86" customFormat="1"/>
    <row r="734" s="86" customFormat="1"/>
    <row r="735" s="86" customFormat="1"/>
    <row r="736" s="86" customFormat="1"/>
    <row r="737" s="86" customFormat="1"/>
    <row r="738" s="86" customFormat="1"/>
    <row r="739" s="86" customFormat="1"/>
    <row r="740" s="86" customFormat="1"/>
    <row r="741" s="86" customFormat="1"/>
    <row r="742" s="86" customFormat="1"/>
    <row r="743" s="86" customFormat="1"/>
    <row r="744" s="86" customFormat="1"/>
    <row r="745" s="86" customFormat="1"/>
    <row r="746" s="86" customFormat="1"/>
    <row r="747" s="86" customFormat="1"/>
    <row r="748" s="86" customFormat="1"/>
    <row r="749" s="86" customFormat="1"/>
    <row r="750" s="86" customFormat="1"/>
    <row r="751" s="86" customFormat="1"/>
    <row r="752" s="86" customFormat="1"/>
    <row r="753" s="86" customFormat="1"/>
    <row r="754" s="86" customFormat="1"/>
    <row r="755" s="86" customFormat="1"/>
    <row r="756" s="86" customFormat="1"/>
    <row r="757" s="86" customFormat="1"/>
    <row r="758" s="86" customFormat="1"/>
    <row r="759" s="86" customFormat="1"/>
    <row r="760" s="86" customFormat="1"/>
    <row r="761" s="86" customFormat="1"/>
    <row r="762" s="86" customFormat="1"/>
    <row r="763" s="86" customFormat="1"/>
    <row r="764" s="86" customFormat="1"/>
    <row r="765" s="86" customFormat="1"/>
    <row r="766" s="86" customFormat="1"/>
    <row r="767" s="86" customFormat="1"/>
    <row r="768" s="86" customFormat="1"/>
    <row r="769" s="86" customFormat="1"/>
    <row r="770" s="86" customFormat="1"/>
    <row r="771" s="86" customFormat="1"/>
    <row r="772" s="86" customFormat="1"/>
    <row r="773" s="86" customFormat="1"/>
    <row r="774" s="86" customFormat="1"/>
    <row r="775" s="86" customFormat="1"/>
    <row r="776" s="86" customFormat="1"/>
    <row r="777" s="86" customFormat="1"/>
    <row r="778" s="86" customFormat="1"/>
    <row r="779" s="86" customFormat="1"/>
    <row r="780" s="86" customFormat="1"/>
    <row r="781" s="86" customFormat="1"/>
    <row r="782" s="86" customFormat="1"/>
    <row r="783" s="86" customFormat="1"/>
    <row r="784" s="86" customFormat="1"/>
    <row r="785" s="86" customFormat="1"/>
    <row r="786" s="86" customFormat="1"/>
    <row r="787" s="86" customFormat="1"/>
    <row r="788" s="86" customFormat="1"/>
    <row r="789" s="86" customFormat="1"/>
    <row r="790" s="86" customFormat="1"/>
    <row r="791" s="86" customFormat="1"/>
    <row r="792" s="86" customFormat="1"/>
    <row r="793" s="86" customFormat="1"/>
    <row r="794" s="86" customFormat="1"/>
    <row r="795" s="86" customFormat="1"/>
    <row r="796" s="86" customFormat="1"/>
    <row r="797" s="86" customFormat="1"/>
    <row r="798" s="86" customFormat="1"/>
    <row r="799" s="86" customFormat="1"/>
    <row r="800" s="86" customFormat="1"/>
    <row r="801" s="86" customFormat="1"/>
    <row r="802" s="86" customFormat="1"/>
    <row r="803" s="86" customFormat="1"/>
    <row r="804" s="86" customFormat="1"/>
    <row r="805" s="86" customFormat="1"/>
    <row r="806" s="86" customFormat="1"/>
    <row r="807" s="86" customFormat="1"/>
    <row r="808" s="86" customFormat="1"/>
    <row r="809" s="86" customFormat="1"/>
    <row r="810" s="86" customFormat="1"/>
    <row r="811" s="86" customFormat="1"/>
    <row r="812" s="86" customFormat="1"/>
    <row r="813" s="86" customFormat="1"/>
    <row r="814" s="86" customFormat="1"/>
    <row r="815" s="86" customFormat="1"/>
    <row r="816" s="86" customFormat="1"/>
    <row r="817" s="86" customFormat="1"/>
    <row r="818" s="86" customFormat="1"/>
    <row r="819" s="86" customFormat="1"/>
    <row r="820" s="86" customFormat="1"/>
    <row r="821" s="86" customFormat="1"/>
    <row r="822" s="86" customFormat="1"/>
    <row r="823" s="86" customFormat="1"/>
    <row r="824" s="86" customFormat="1"/>
    <row r="825" s="86" customFormat="1"/>
    <row r="826" s="86" customFormat="1"/>
    <row r="827" s="86" customFormat="1"/>
    <row r="828" s="86" customFormat="1"/>
    <row r="829" s="86" customFormat="1"/>
    <row r="830" s="86" customFormat="1"/>
    <row r="831" s="86" customFormat="1"/>
    <row r="832" s="86" customFormat="1"/>
    <row r="833" s="86" customFormat="1"/>
    <row r="834" s="86" customFormat="1"/>
    <row r="835" s="86" customFormat="1"/>
    <row r="836" s="86" customFormat="1"/>
    <row r="837" s="86" customFormat="1"/>
    <row r="838" s="86" customFormat="1"/>
    <row r="839" s="86" customFormat="1"/>
    <row r="840" s="86" customFormat="1"/>
    <row r="841" s="86" customFormat="1"/>
    <row r="842" s="86" customFormat="1"/>
    <row r="843" s="86" customFormat="1"/>
    <row r="844" s="86" customFormat="1"/>
    <row r="845" s="86" customFormat="1"/>
    <row r="846" s="86" customFormat="1"/>
    <row r="847" s="86" customFormat="1"/>
    <row r="848" s="86" customFormat="1"/>
    <row r="849" s="86" customFormat="1"/>
    <row r="850" s="86" customFormat="1"/>
    <row r="851" s="86" customFormat="1"/>
    <row r="852" s="86" customFormat="1"/>
    <row r="853" s="86" customFormat="1"/>
    <row r="854" s="86" customFormat="1"/>
    <row r="855" s="86" customFormat="1"/>
    <row r="856" s="86" customFormat="1"/>
    <row r="857" s="86" customFormat="1"/>
    <row r="858" s="86" customFormat="1"/>
    <row r="859" s="86" customFormat="1"/>
    <row r="860" s="86" customFormat="1"/>
    <row r="861" s="86" customFormat="1"/>
    <row r="862" s="86" customFormat="1"/>
    <row r="863" s="86" customFormat="1"/>
    <row r="864" s="86" customFormat="1"/>
    <row r="865" s="86" customFormat="1"/>
    <row r="866" s="86" customFormat="1"/>
    <row r="867" s="86" customFormat="1"/>
    <row r="868" s="86" customFormat="1"/>
    <row r="869" s="86" customFormat="1"/>
    <row r="870" s="86" customFormat="1"/>
    <row r="871" s="86" customFormat="1"/>
    <row r="872" s="86" customFormat="1"/>
    <row r="873" s="86" customFormat="1"/>
    <row r="874" s="86" customFormat="1"/>
    <row r="875" s="86" customFormat="1"/>
    <row r="876" s="86" customFormat="1"/>
    <row r="877" s="86" customFormat="1"/>
    <row r="878" s="86" customFormat="1"/>
    <row r="879" s="86" customFormat="1"/>
    <row r="880" s="86" customFormat="1"/>
    <row r="881" s="86" customFormat="1"/>
    <row r="882" s="86" customFormat="1"/>
    <row r="883" s="86" customFormat="1"/>
    <row r="884" s="86" customFormat="1"/>
    <row r="885" s="86" customFormat="1"/>
    <row r="886" s="86" customFormat="1"/>
    <row r="887" s="86" customFormat="1"/>
    <row r="888" s="86" customFormat="1"/>
    <row r="889" s="86" customFormat="1"/>
    <row r="890" s="86" customFormat="1"/>
    <row r="891" s="86" customFormat="1"/>
    <row r="892" s="86" customFormat="1"/>
    <row r="893" s="86" customFormat="1"/>
    <row r="894" s="86" customFormat="1"/>
    <row r="895" s="86" customFormat="1"/>
    <row r="896" s="86" customFormat="1"/>
    <row r="897" s="86" customFormat="1"/>
    <row r="898" s="86" customFormat="1"/>
    <row r="899" s="86" customFormat="1"/>
    <row r="900" s="86" customFormat="1"/>
    <row r="901" s="86" customFormat="1"/>
    <row r="902" s="86" customFormat="1"/>
    <row r="903" s="86" customFormat="1"/>
    <row r="904" s="86" customFormat="1"/>
    <row r="905" s="86" customFormat="1"/>
    <row r="906" s="86" customFormat="1"/>
    <row r="907" s="86" customFormat="1"/>
    <row r="908" s="86" customFormat="1"/>
    <row r="909" s="86" customFormat="1"/>
    <row r="910" s="86" customFormat="1"/>
    <row r="911" s="86" customFormat="1"/>
    <row r="912" s="86" customFormat="1"/>
    <row r="913" s="86" customFormat="1"/>
    <row r="914" s="86" customFormat="1"/>
    <row r="915" s="86" customFormat="1"/>
    <row r="916" s="86" customFormat="1"/>
    <row r="917" s="86" customFormat="1"/>
    <row r="918" s="86" customFormat="1"/>
    <row r="919" s="86" customFormat="1"/>
    <row r="920" s="86" customFormat="1"/>
    <row r="921" s="86" customFormat="1"/>
    <row r="922" s="86" customFormat="1"/>
    <row r="923" s="86" customFormat="1"/>
    <row r="924" s="86" customFormat="1"/>
    <row r="925" s="86" customFormat="1"/>
    <row r="926" s="86" customFormat="1"/>
    <row r="927" s="86" customFormat="1"/>
    <row r="928" s="86" customFormat="1"/>
    <row r="929" s="86" customFormat="1"/>
    <row r="930" s="86" customFormat="1"/>
    <row r="931" s="86" customFormat="1"/>
    <row r="932" s="86" customFormat="1"/>
    <row r="933" s="86" customFormat="1"/>
    <row r="934" s="86" customFormat="1"/>
    <row r="935" s="86" customFormat="1"/>
    <row r="936" s="86" customFormat="1"/>
    <row r="937" s="86" customFormat="1"/>
    <row r="938" s="86" customFormat="1"/>
    <row r="939" s="86" customFormat="1"/>
    <row r="940" s="86" customFormat="1"/>
    <row r="941" s="86" customFormat="1"/>
    <row r="942" s="86" customFormat="1"/>
    <row r="943" s="86" customFormat="1"/>
    <row r="944" s="86" customFormat="1"/>
    <row r="945" s="86" customFormat="1"/>
    <row r="946" s="86" customFormat="1"/>
    <row r="947" s="86" customFormat="1"/>
    <row r="948" s="86" customFormat="1"/>
    <row r="949" s="86" customFormat="1"/>
    <row r="950" s="86" customFormat="1"/>
    <row r="951" s="86" customFormat="1"/>
    <row r="952" s="86" customFormat="1"/>
    <row r="953" s="86" customFormat="1"/>
    <row r="954" s="86" customFormat="1"/>
    <row r="955" s="86" customFormat="1"/>
    <row r="956" s="86" customFormat="1"/>
    <row r="957" s="86" customFormat="1"/>
    <row r="958" s="86" customFormat="1"/>
    <row r="959" s="86" customFormat="1"/>
    <row r="960" s="86" customFormat="1"/>
    <row r="961" s="86" customFormat="1"/>
    <row r="962" s="86" customFormat="1"/>
    <row r="963" s="86" customFormat="1"/>
    <row r="964" s="86" customFormat="1"/>
    <row r="965" s="86" customFormat="1"/>
    <row r="966" s="86" customFormat="1"/>
    <row r="967" s="86" customFormat="1"/>
    <row r="968" s="86" customFormat="1"/>
    <row r="969" s="86" customFormat="1"/>
    <row r="970" s="86" customFormat="1"/>
    <row r="971" s="86" customFormat="1"/>
    <row r="972" s="86" customFormat="1"/>
    <row r="973" s="86" customFormat="1"/>
    <row r="974" s="86" customFormat="1"/>
    <row r="975" s="86" customFormat="1"/>
    <row r="976" s="86" customFormat="1"/>
    <row r="977" s="86" customFormat="1"/>
    <row r="978" s="86" customFormat="1"/>
    <row r="979" s="86" customFormat="1"/>
    <row r="980" s="86" customFormat="1"/>
    <row r="981" s="86" customFormat="1"/>
    <row r="982" s="86" customFormat="1"/>
    <row r="983" s="86" customFormat="1"/>
    <row r="984" s="86" customFormat="1"/>
    <row r="985" s="86" customFormat="1"/>
    <row r="986" s="86" customFormat="1"/>
    <row r="987" s="86" customFormat="1"/>
    <row r="988" s="86" customFormat="1"/>
    <row r="989" s="86" customFormat="1"/>
    <row r="990" s="86" customFormat="1"/>
    <row r="991" s="86" customFormat="1"/>
    <row r="992" s="86" customFormat="1"/>
    <row r="993" s="86" customFormat="1"/>
    <row r="994" s="86" customFormat="1"/>
    <row r="995" s="86" customFormat="1"/>
    <row r="996" s="86" customFormat="1"/>
    <row r="997" s="86" customFormat="1"/>
    <row r="998" s="86" customFormat="1"/>
    <row r="999" s="86" customFormat="1"/>
    <row r="1000" s="86" customFormat="1"/>
    <row r="1001" s="86" customFormat="1"/>
    <row r="1002" s="86" customFormat="1"/>
    <row r="1003" s="86" customFormat="1"/>
    <row r="1004" s="86" customFormat="1"/>
    <row r="1005" s="86" customFormat="1"/>
    <row r="1006" s="86" customFormat="1"/>
    <row r="1007" s="86" customFormat="1"/>
    <row r="1008" s="86" customFormat="1"/>
    <row r="1009" s="86" customFormat="1"/>
    <row r="1010" s="86" customFormat="1"/>
    <row r="1011" s="86" customFormat="1"/>
    <row r="1012" s="86" customFormat="1"/>
    <row r="1013" s="86" customFormat="1"/>
    <row r="1014" s="86" customFormat="1"/>
    <row r="1015" s="86" customFormat="1"/>
    <row r="1016" s="86" customFormat="1"/>
    <row r="1017" s="86" customFormat="1"/>
    <row r="1018" s="86" customFormat="1"/>
    <row r="1019" s="86" customFormat="1"/>
    <row r="1020" s="86" customFormat="1"/>
    <row r="1021" s="86" customFormat="1"/>
    <row r="1022" s="86" customFormat="1"/>
    <row r="1023" s="86" customFormat="1"/>
    <row r="1024" s="86" customFormat="1"/>
    <row r="1025" s="86" customFormat="1"/>
    <row r="1026" s="86" customFormat="1"/>
    <row r="1027" s="86" customFormat="1"/>
    <row r="1028" s="86" customFormat="1"/>
    <row r="1029" s="86" customFormat="1"/>
    <row r="1030" s="86" customFormat="1"/>
    <row r="1031" s="86" customFormat="1"/>
    <row r="1032" s="86" customFormat="1"/>
    <row r="1033" s="86" customFormat="1"/>
    <row r="1034" s="86" customFormat="1"/>
    <row r="1035" s="86" customFormat="1"/>
    <row r="1036" s="86" customFormat="1"/>
    <row r="1037" s="86" customFormat="1"/>
    <row r="1038" s="86" customFormat="1"/>
    <row r="1039" s="86" customFormat="1"/>
    <row r="1040" s="86" customFormat="1"/>
    <row r="1041" s="86" customFormat="1"/>
    <row r="1042" s="86" customFormat="1"/>
    <row r="1043" s="86" customFormat="1"/>
    <row r="1044" s="86" customFormat="1"/>
    <row r="1045" s="86" customFormat="1"/>
    <row r="1046" s="86" customFormat="1"/>
    <row r="1047" s="86" customFormat="1"/>
    <row r="1048" s="86" customFormat="1"/>
    <row r="1049" s="86" customFormat="1"/>
    <row r="1050" s="86" customFormat="1"/>
    <row r="1051" s="86" customFormat="1"/>
    <row r="1052" s="86" customFormat="1"/>
    <row r="1053" s="86" customFormat="1"/>
    <row r="1054" s="86" customFormat="1"/>
    <row r="1055" s="86" customFormat="1"/>
    <row r="1056" s="86" customFormat="1"/>
    <row r="1057" s="86" customFormat="1"/>
    <row r="1058" s="86" customFormat="1"/>
    <row r="1059" s="86" customFormat="1"/>
    <row r="1060" s="86" customFormat="1"/>
    <row r="1061" s="86" customFormat="1"/>
    <row r="1062" s="86" customFormat="1"/>
    <row r="1063" s="86" customFormat="1"/>
    <row r="1064" s="86" customFormat="1"/>
    <row r="1065" s="86" customFormat="1"/>
    <row r="1066" s="86" customFormat="1"/>
    <row r="1067" s="86" customFormat="1"/>
    <row r="1068" s="86" customFormat="1"/>
    <row r="1069" s="86" customFormat="1"/>
    <row r="1070" s="86" customFormat="1"/>
    <row r="1071" s="86" customFormat="1"/>
    <row r="1072" s="86" customFormat="1"/>
    <row r="1073" s="86" customFormat="1"/>
    <row r="1074" s="86" customFormat="1"/>
    <row r="1075" s="86" customFormat="1"/>
    <row r="1076" s="86" customFormat="1"/>
    <row r="1077" s="86" customFormat="1"/>
    <row r="1078" s="86" customFormat="1"/>
    <row r="1079" s="86" customFormat="1"/>
    <row r="1080" s="86" customFormat="1"/>
    <row r="1081" s="86" customFormat="1"/>
    <row r="1082" s="86" customFormat="1"/>
    <row r="1083" s="86" customFormat="1"/>
    <row r="1084" s="86" customFormat="1"/>
    <row r="1085" s="86" customFormat="1"/>
    <row r="1086" s="86" customFormat="1"/>
    <row r="1087" s="86" customFormat="1"/>
    <row r="1088" s="86" customFormat="1"/>
    <row r="1089" s="86" customFormat="1"/>
    <row r="1090" s="86" customFormat="1"/>
    <row r="1091" s="86" customFormat="1"/>
    <row r="1092" s="86" customFormat="1"/>
    <row r="1093" s="86" customFormat="1"/>
    <row r="1094" s="86" customFormat="1"/>
    <row r="1095" s="86" customFormat="1"/>
    <row r="1096" s="86" customFormat="1"/>
    <row r="1097" s="86" customFormat="1"/>
    <row r="1098" s="86" customFormat="1"/>
    <row r="1099" s="86" customFormat="1"/>
    <row r="1100" s="86" customFormat="1"/>
    <row r="1101" s="86" customFormat="1"/>
    <row r="1102" s="86" customFormat="1"/>
    <row r="1103" s="86" customFormat="1"/>
    <row r="1104" s="86" customFormat="1"/>
    <row r="1105" s="86" customFormat="1"/>
    <row r="1106" s="86" customFormat="1"/>
    <row r="1107" s="86" customFormat="1"/>
    <row r="1108" s="86" customFormat="1"/>
    <row r="1109" s="86" customFormat="1"/>
    <row r="1110" s="86" customFormat="1"/>
    <row r="1111" s="86" customFormat="1"/>
    <row r="1112" s="86" customFormat="1"/>
    <row r="1113" s="86" customFormat="1"/>
    <row r="1114" s="86" customFormat="1"/>
    <row r="1115" s="86" customFormat="1"/>
    <row r="1116" s="86" customFormat="1"/>
    <row r="1117" s="86" customFormat="1"/>
    <row r="1118" s="86" customFormat="1"/>
    <row r="1119" s="86" customFormat="1"/>
    <row r="1120" s="86" customFormat="1"/>
    <row r="1121" s="86" customFormat="1"/>
    <row r="1122" s="86" customFormat="1"/>
    <row r="1123" s="86" customFormat="1"/>
    <row r="1124" s="86" customFormat="1"/>
    <row r="1125" s="86" customFormat="1"/>
    <row r="1126" s="86" customFormat="1"/>
    <row r="1127" s="86" customFormat="1"/>
    <row r="1128" s="86" customFormat="1"/>
    <row r="1129" s="86" customFormat="1"/>
    <row r="1130" s="86" customFormat="1"/>
    <row r="1131" s="86" customFormat="1"/>
    <row r="1132" s="86" customFormat="1"/>
    <row r="1133" s="86" customFormat="1"/>
    <row r="1134" s="86" customFormat="1"/>
    <row r="1135" s="86" customFormat="1"/>
    <row r="1136" s="86" customFormat="1"/>
    <row r="1137" s="86" customFormat="1"/>
    <row r="1138" s="86" customFormat="1"/>
    <row r="1139" s="86" customFormat="1"/>
    <row r="1140" s="86" customFormat="1"/>
    <row r="1141" s="86" customFormat="1"/>
    <row r="1142" s="86" customFormat="1"/>
    <row r="1143" s="86" customFormat="1"/>
    <row r="1144" s="86" customFormat="1"/>
    <row r="1145" s="86" customFormat="1"/>
    <row r="1146" s="86" customFormat="1"/>
    <row r="1147" s="86" customFormat="1"/>
    <row r="1148" s="86" customFormat="1"/>
    <row r="1149" s="86" customFormat="1"/>
    <row r="1150" s="86" customFormat="1"/>
    <row r="1151" s="86" customFormat="1"/>
    <row r="1152" s="86" customFormat="1"/>
    <row r="1153" s="86" customFormat="1"/>
    <row r="1154" s="86" customFormat="1"/>
    <row r="1155" s="86" customFormat="1"/>
    <row r="1156" s="86" customFormat="1"/>
    <row r="1157" s="86" customFormat="1"/>
    <row r="1158" s="86" customFormat="1"/>
    <row r="1159" s="86" customFormat="1"/>
    <row r="1160" s="86" customFormat="1"/>
    <row r="1161" s="86" customFormat="1"/>
    <row r="1162" s="86" customFormat="1"/>
    <row r="1163" s="86" customFormat="1"/>
    <row r="1164" s="86" customFormat="1"/>
    <row r="1165" s="86" customFormat="1"/>
    <row r="1166" s="86" customFormat="1"/>
    <row r="1167" s="86" customFormat="1"/>
    <row r="1168" s="86" customFormat="1"/>
    <row r="1169" s="86" customFormat="1"/>
    <row r="1170" s="86" customFormat="1"/>
    <row r="1171" s="86" customFormat="1"/>
    <row r="1172" s="86" customFormat="1"/>
    <row r="1173" s="86" customFormat="1"/>
    <row r="1174" s="86" customFormat="1"/>
    <row r="1175" s="86" customFormat="1"/>
    <row r="1176" s="86" customFormat="1"/>
    <row r="1177" s="86" customFormat="1"/>
    <row r="1178" s="86" customFormat="1"/>
    <row r="1179" s="86" customFormat="1"/>
    <row r="1180" s="86" customFormat="1"/>
    <row r="1181" s="86" customFormat="1"/>
    <row r="1182" s="86" customFormat="1"/>
    <row r="1183" s="86" customFormat="1"/>
    <row r="1184" s="86" customFormat="1"/>
    <row r="1185" s="86" customFormat="1"/>
    <row r="1186" s="86" customFormat="1"/>
    <row r="1187" s="86" customFormat="1"/>
    <row r="1188" s="86" customFormat="1"/>
    <row r="1189" s="86" customFormat="1"/>
    <row r="1190" s="86" customFormat="1"/>
    <row r="1191" s="86" customFormat="1"/>
    <row r="1192" s="86" customFormat="1"/>
    <row r="1193" s="86" customFormat="1"/>
    <row r="1194" s="86" customFormat="1"/>
    <row r="1195" s="86" customFormat="1"/>
    <row r="1196" s="86" customFormat="1"/>
    <row r="1197" s="86" customFormat="1"/>
    <row r="1198" s="86" customFormat="1"/>
    <row r="1199" s="86" customFormat="1"/>
    <row r="1200" s="86" customFormat="1"/>
    <row r="1201" s="86" customFormat="1"/>
    <row r="1202" s="86" customFormat="1"/>
    <row r="1203" s="86" customFormat="1"/>
    <row r="1204" s="86" customFormat="1"/>
    <row r="1205" s="86" customFormat="1"/>
    <row r="1206" s="86" customFormat="1"/>
    <row r="1207" s="86" customFormat="1"/>
    <row r="1208" s="86" customFormat="1"/>
    <row r="1209" s="86" customFormat="1"/>
    <row r="1210" s="86" customFormat="1"/>
    <row r="1211" s="86" customFormat="1"/>
    <row r="1212" s="86" customFormat="1"/>
    <row r="1213" s="86" customFormat="1"/>
    <row r="1214" s="86" customFormat="1"/>
    <row r="1215" s="86" customFormat="1"/>
    <row r="1216" s="86" customFormat="1"/>
    <row r="1217" s="86" customFormat="1"/>
    <row r="1218" s="86" customFormat="1"/>
    <row r="1219" s="86" customFormat="1"/>
    <row r="1220" s="86" customFormat="1"/>
    <row r="1221" s="86" customFormat="1"/>
    <row r="1222" s="86" customFormat="1"/>
    <row r="1223" s="86" customFormat="1"/>
    <row r="1224" s="86" customFormat="1"/>
    <row r="1225" s="86" customFormat="1"/>
    <row r="1226" s="86" customFormat="1"/>
    <row r="1227" s="86" customFormat="1"/>
    <row r="1228" s="86" customFormat="1"/>
    <row r="1229" s="86" customFormat="1"/>
    <row r="1230" s="86" customFormat="1"/>
    <row r="1231" s="86" customFormat="1"/>
    <row r="1232" s="86" customFormat="1"/>
    <row r="1233" s="86" customFormat="1"/>
    <row r="1234" s="86" customFormat="1"/>
    <row r="1235" s="86" customFormat="1"/>
    <row r="1236" s="86" customFormat="1"/>
    <row r="1237" s="86" customFormat="1"/>
    <row r="1238" s="86" customFormat="1"/>
    <row r="1239" s="86" customFormat="1"/>
    <row r="1240" s="86" customFormat="1"/>
    <row r="1241" s="86" customFormat="1"/>
    <row r="1242" s="86" customFormat="1"/>
    <row r="1243" s="86" customFormat="1"/>
    <row r="1244" s="86" customFormat="1"/>
    <row r="1245" s="86" customFormat="1"/>
    <row r="1246" s="86" customFormat="1"/>
    <row r="1247" s="86" customFormat="1"/>
    <row r="1248" s="86" customFormat="1"/>
    <row r="1249" s="86" customFormat="1"/>
    <row r="1250" s="86" customFormat="1"/>
    <row r="1251" s="86" customFormat="1"/>
    <row r="1252" s="86" customFormat="1"/>
    <row r="1253" s="86" customFormat="1"/>
    <row r="1254" s="86" customFormat="1"/>
    <row r="1255" s="86" customFormat="1"/>
    <row r="1256" s="86" customFormat="1"/>
    <row r="1257" s="86" customFormat="1"/>
    <row r="1258" s="86" customFormat="1"/>
    <row r="1259" s="86" customFormat="1"/>
    <row r="1260" s="86" customFormat="1"/>
    <row r="1261" s="86" customFormat="1"/>
    <row r="1262" s="86" customFormat="1"/>
    <row r="1263" s="86" customFormat="1"/>
    <row r="1264" s="86" customFormat="1"/>
    <row r="1265" s="86" customFormat="1"/>
    <row r="1266" s="86" customFormat="1"/>
    <row r="1267" s="86" customFormat="1"/>
    <row r="1268" s="86" customFormat="1"/>
    <row r="1269" s="86" customFormat="1"/>
    <row r="1270" s="86" customFormat="1"/>
    <row r="1271" s="86" customFormat="1"/>
    <row r="1272" s="86" customFormat="1"/>
    <row r="1273" s="86" customFormat="1"/>
    <row r="1274" s="86" customFormat="1"/>
    <row r="1275" s="86" customFormat="1"/>
    <row r="1276" s="86" customFormat="1"/>
    <row r="1277" s="86" customFormat="1"/>
    <row r="1278" s="86" customFormat="1"/>
    <row r="1279" s="86" customFormat="1"/>
    <row r="1280" s="86" customFormat="1"/>
    <row r="1281" s="86" customFormat="1"/>
    <row r="1282" s="86" customFormat="1"/>
    <row r="1283" s="86" customFormat="1"/>
    <row r="1284" s="86" customFormat="1"/>
    <row r="1285" s="86" customFormat="1"/>
    <row r="1286" s="86" customFormat="1"/>
    <row r="1287" s="86" customFormat="1"/>
    <row r="1288" s="86" customFormat="1"/>
    <row r="1289" s="86" customFormat="1"/>
    <row r="1290" s="86" customFormat="1"/>
    <row r="1291" s="86" customFormat="1"/>
    <row r="1292" s="86" customFormat="1"/>
    <row r="1293" s="86" customFormat="1"/>
    <row r="1294" s="86" customFormat="1"/>
    <row r="1295" s="86" customFormat="1"/>
    <row r="1296" s="86" customFormat="1"/>
    <row r="1297" s="86" customFormat="1"/>
    <row r="1298" s="86" customFormat="1"/>
    <row r="1299" s="86" customFormat="1"/>
    <row r="1300" s="86" customFormat="1"/>
    <row r="1301" s="86" customFormat="1"/>
    <row r="1302" s="86" customFormat="1"/>
    <row r="1303" s="86" customFormat="1"/>
    <row r="1304" s="86" customFormat="1"/>
    <row r="1305" s="86" customFormat="1"/>
    <row r="1306" s="86" customFormat="1"/>
    <row r="1307" s="86" customFormat="1"/>
    <row r="1308" s="86" customFormat="1"/>
    <row r="1309" s="86" customFormat="1"/>
    <row r="1310" s="86" customFormat="1"/>
    <row r="1311" s="86" customFormat="1"/>
    <row r="1312" s="86" customFormat="1"/>
    <row r="1313" s="86" customFormat="1"/>
    <row r="1314" s="86" customFormat="1"/>
    <row r="1315" s="86" customFormat="1"/>
    <row r="1316" s="86" customFormat="1"/>
    <row r="1317" s="86" customFormat="1"/>
    <row r="1318" s="86" customFormat="1"/>
    <row r="1319" s="86" customFormat="1"/>
    <row r="1320" s="86" customFormat="1"/>
    <row r="1321" s="86" customFormat="1"/>
    <row r="1322" s="86" customFormat="1"/>
    <row r="1323" s="86" customFormat="1"/>
    <row r="1324" s="86" customFormat="1"/>
    <row r="1325" s="86" customFormat="1"/>
    <row r="1326" s="86" customFormat="1"/>
    <row r="1327" s="86" customFormat="1"/>
    <row r="1328" s="86" customFormat="1"/>
    <row r="1329" s="86" customFormat="1"/>
    <row r="1330" s="86" customFormat="1"/>
    <row r="1331" s="86" customFormat="1"/>
    <row r="1332" s="86" customFormat="1"/>
    <row r="1333" s="86" customFormat="1"/>
    <row r="1334" s="86" customFormat="1"/>
    <row r="1335" s="86" customFormat="1"/>
    <row r="1336" s="86" customFormat="1"/>
    <row r="1337" s="86" customFormat="1"/>
    <row r="1338" s="86" customFormat="1"/>
    <row r="1339" s="86" customFormat="1"/>
    <row r="1340" s="86" customFormat="1"/>
    <row r="1341" s="86" customFormat="1"/>
    <row r="1342" s="86" customFormat="1"/>
    <row r="1343" s="86" customFormat="1"/>
    <row r="1344" s="86" customFormat="1"/>
    <row r="1345" s="86" customFormat="1"/>
    <row r="1346" s="86" customFormat="1"/>
    <row r="1347" s="86" customFormat="1"/>
    <row r="1348" s="86" customFormat="1"/>
    <row r="1349" s="86" customFormat="1"/>
    <row r="1350" s="86" customFormat="1"/>
    <row r="1351" s="86" customFormat="1"/>
    <row r="1352" s="86" customFormat="1"/>
    <row r="1353" s="86" customFormat="1"/>
    <row r="1354" s="86" customFormat="1"/>
    <row r="1355" s="86" customFormat="1"/>
    <row r="1356" s="86" customFormat="1"/>
    <row r="1357" s="86" customFormat="1"/>
    <row r="1358" s="86" customFormat="1"/>
    <row r="1359" s="86" customFormat="1"/>
    <row r="1360" s="86" customFormat="1"/>
    <row r="1361" s="86" customFormat="1"/>
    <row r="1362" s="86" customFormat="1"/>
    <row r="1363" s="86" customFormat="1"/>
    <row r="1364" s="86" customFormat="1"/>
    <row r="1365" s="86" customFormat="1"/>
    <row r="1366" s="86" customFormat="1"/>
    <row r="1367" s="86" customFormat="1"/>
    <row r="1368" s="86" customFormat="1"/>
    <row r="1369" s="86" customFormat="1"/>
    <row r="1370" s="86" customFormat="1"/>
    <row r="1371" s="86" customFormat="1"/>
    <row r="1372" s="86" customFormat="1"/>
    <row r="1373" s="86" customFormat="1"/>
    <row r="1374" s="86" customFormat="1"/>
    <row r="1375" s="86" customFormat="1"/>
    <row r="1376" s="86" customFormat="1"/>
    <row r="1377" s="86" customFormat="1"/>
    <row r="1378" s="86" customFormat="1"/>
    <row r="1379" s="86" customFormat="1"/>
    <row r="1380" s="86" customFormat="1"/>
    <row r="1381" s="86" customFormat="1"/>
    <row r="1382" s="86" customFormat="1"/>
    <row r="1383" s="86" customFormat="1"/>
    <row r="1384" s="86" customFormat="1"/>
    <row r="1385" s="86" customFormat="1"/>
    <row r="1386" s="86" customFormat="1"/>
    <row r="1387" s="86" customFormat="1"/>
    <row r="1388" s="86" customFormat="1"/>
    <row r="1389" s="86" customFormat="1"/>
    <row r="1390" s="86" customFormat="1"/>
    <row r="1391" s="86" customFormat="1"/>
    <row r="1392" s="86" customFormat="1"/>
    <row r="1393" s="86" customFormat="1"/>
    <row r="1394" s="86" customFormat="1"/>
    <row r="1395" s="86" customFormat="1"/>
    <row r="1396" s="86" customFormat="1"/>
    <row r="1397" s="86" customFormat="1"/>
    <row r="1398" s="86" customFormat="1"/>
    <row r="1399" s="86" customFormat="1"/>
    <row r="1400" s="86" customFormat="1"/>
    <row r="1401" s="86" customFormat="1"/>
    <row r="1402" s="86" customFormat="1"/>
    <row r="1403" s="86" customFormat="1"/>
    <row r="1404" s="86" customFormat="1"/>
    <row r="1405" s="86" customFormat="1"/>
    <row r="1406" s="86" customFormat="1"/>
    <row r="1407" s="86" customFormat="1"/>
    <row r="1408" s="86" customFormat="1"/>
    <row r="1409" s="86" customFormat="1"/>
    <row r="1410" s="86" customFormat="1"/>
    <row r="1411" s="86" customFormat="1"/>
    <row r="1412" s="86" customFormat="1"/>
    <row r="1413" s="86" customFormat="1"/>
    <row r="1414" s="86" customFormat="1"/>
    <row r="1415" s="86" customFormat="1"/>
    <row r="1416" s="86" customFormat="1"/>
    <row r="1417" s="86" customFormat="1"/>
    <row r="1418" s="86" customFormat="1"/>
    <row r="1419" s="86" customFormat="1"/>
    <row r="1420" s="86" customFormat="1"/>
    <row r="1421" s="86" customFormat="1"/>
    <row r="1422" s="86" customFormat="1"/>
    <row r="1423" s="86" customFormat="1"/>
    <row r="1424" s="86" customFormat="1"/>
    <row r="1425" s="86" customFormat="1"/>
    <row r="1426" s="86" customFormat="1"/>
    <row r="1427" s="86" customFormat="1"/>
    <row r="1428" s="86" customFormat="1"/>
    <row r="1429" s="86" customFormat="1"/>
    <row r="1430" s="86" customFormat="1"/>
    <row r="1431" s="86" customFormat="1"/>
    <row r="1432" s="86" customFormat="1"/>
    <row r="1433" s="86" customFormat="1"/>
    <row r="1434" s="86" customFormat="1"/>
    <row r="1435" s="86" customFormat="1"/>
    <row r="1436" s="86" customFormat="1"/>
    <row r="1437" s="86" customFormat="1"/>
    <row r="1438" s="86" customFormat="1"/>
    <row r="1439" s="86" customFormat="1"/>
    <row r="1440" s="86" customFormat="1"/>
    <row r="1441" s="86" customFormat="1"/>
    <row r="1442" s="86" customFormat="1"/>
    <row r="1443" s="86" customFormat="1"/>
    <row r="1444" s="86" customFormat="1"/>
    <row r="1445" s="86" customFormat="1"/>
    <row r="1446" s="86" customFormat="1"/>
    <row r="1447" s="86" customFormat="1"/>
    <row r="1448" s="86" customFormat="1"/>
    <row r="1449" s="86" customFormat="1"/>
    <row r="1450" s="86" customFormat="1"/>
    <row r="1451" s="86" customFormat="1"/>
    <row r="1452" s="86" customFormat="1"/>
    <row r="1453" s="86" customFormat="1"/>
    <row r="1454" s="86" customFormat="1"/>
    <row r="1455" s="86" customFormat="1"/>
    <row r="1456" s="86" customFormat="1"/>
    <row r="1457" s="86" customFormat="1"/>
    <row r="1458" s="86" customFormat="1"/>
    <row r="1459" s="86" customFormat="1"/>
    <row r="1460" s="86" customFormat="1"/>
    <row r="1461" s="86" customFormat="1"/>
    <row r="1462" s="86" customFormat="1"/>
    <row r="1463" s="86" customFormat="1"/>
    <row r="1464" s="86" customFormat="1"/>
    <row r="1465" s="86" customFormat="1"/>
    <row r="1466" s="86" customFormat="1"/>
    <row r="1467" s="86" customFormat="1"/>
    <row r="1468" s="86" customFormat="1"/>
    <row r="1469" s="86" customFormat="1"/>
    <row r="1470" s="86" customFormat="1"/>
    <row r="1471" s="86" customFormat="1"/>
    <row r="1472" s="86" customFormat="1"/>
    <row r="1473" s="86" customFormat="1"/>
    <row r="1474" s="86" customFormat="1"/>
    <row r="1475" s="86" customFormat="1"/>
    <row r="1476" s="86" customFormat="1"/>
    <row r="1477" s="86" customFormat="1"/>
    <row r="1478" s="86" customFormat="1"/>
    <row r="1479" s="86" customFormat="1"/>
    <row r="1480" s="86" customFormat="1"/>
    <row r="1481" s="86" customFormat="1"/>
    <row r="1482" s="86" customFormat="1"/>
    <row r="1483" s="86" customFormat="1"/>
    <row r="1484" s="86" customFormat="1"/>
    <row r="1485" s="86" customFormat="1"/>
    <row r="1486" s="86" customFormat="1"/>
    <row r="1487" s="86" customFormat="1"/>
    <row r="1488" s="86" customFormat="1"/>
    <row r="1489" s="86" customFormat="1"/>
    <row r="1490" s="86" customFormat="1"/>
    <row r="1491" s="86" customFormat="1"/>
    <row r="1492" s="86" customFormat="1"/>
    <row r="1493" s="86" customFormat="1"/>
    <row r="1494" s="86" customFormat="1"/>
    <row r="1495" s="86" customFormat="1"/>
    <row r="1496" s="86" customFormat="1"/>
    <row r="1497" s="86" customFormat="1"/>
    <row r="1498" s="86" customFormat="1"/>
    <row r="1499" s="86" customFormat="1"/>
    <row r="1500" s="86" customFormat="1"/>
    <row r="1501" s="86" customFormat="1"/>
    <row r="1502" s="86" customFormat="1"/>
    <row r="1503" s="86" customFormat="1"/>
    <row r="1504" s="86" customFormat="1"/>
    <row r="1505" s="86" customFormat="1"/>
    <row r="1506" s="86" customFormat="1"/>
    <row r="1507" s="86" customFormat="1"/>
    <row r="1508" s="86" customFormat="1"/>
    <row r="1509" s="86" customFormat="1"/>
    <row r="1510" s="86" customFormat="1"/>
    <row r="1511" s="86" customFormat="1"/>
    <row r="1512" s="86" customFormat="1"/>
    <row r="1513" s="86" customFormat="1"/>
    <row r="1514" s="86" customFormat="1"/>
    <row r="1515" s="86" customFormat="1"/>
    <row r="1516" s="86" customFormat="1"/>
    <row r="1517" s="86" customFormat="1"/>
    <row r="1518" s="86" customFormat="1"/>
    <row r="1519" s="86" customFormat="1"/>
    <row r="1520" s="86" customFormat="1"/>
    <row r="1521" s="86" customFormat="1"/>
    <row r="1522" s="86" customFormat="1"/>
    <row r="1523" s="86" customFormat="1"/>
    <row r="1524" s="86" customFormat="1"/>
    <row r="1525" s="86" customFormat="1"/>
    <row r="1526" s="86" customFormat="1"/>
    <row r="1527" s="86" customFormat="1"/>
    <row r="1528" s="86" customFormat="1"/>
    <row r="1529" s="86" customFormat="1"/>
    <row r="1530" s="86" customFormat="1"/>
    <row r="1531" s="86" customFormat="1"/>
    <row r="1532" s="86" customFormat="1"/>
    <row r="1533" s="86" customFormat="1"/>
    <row r="1534" s="86" customFormat="1"/>
    <row r="1535" s="86" customFormat="1"/>
    <row r="1536" s="86" customFormat="1"/>
    <row r="1537" s="86" customFormat="1"/>
    <row r="1538" s="86" customFormat="1"/>
    <row r="1539" s="86" customFormat="1"/>
    <row r="1540" s="86" customFormat="1"/>
    <row r="1541" s="86" customFormat="1"/>
    <row r="1542" s="86" customFormat="1"/>
    <row r="1543" s="86" customFormat="1"/>
    <row r="1544" s="86" customFormat="1"/>
    <row r="1545" s="86" customFormat="1"/>
    <row r="1546" s="86" customFormat="1"/>
    <row r="1547" s="86" customFormat="1"/>
    <row r="1548" s="86" customFormat="1"/>
    <row r="1549" s="86" customFormat="1"/>
    <row r="1550" s="86" customFormat="1"/>
    <row r="1551" s="86" customFormat="1"/>
    <row r="1552" s="86" customFormat="1"/>
    <row r="1553" s="86" customFormat="1"/>
    <row r="1554" s="86" customFormat="1"/>
    <row r="1555" s="86" customFormat="1"/>
    <row r="1556" s="86" customFormat="1"/>
    <row r="1557" s="86" customFormat="1"/>
    <row r="1558" s="86" customFormat="1"/>
    <row r="1559" s="86" customFormat="1"/>
    <row r="1560" s="86" customFormat="1"/>
    <row r="1561" s="86" customFormat="1"/>
    <row r="1562" s="86" customFormat="1"/>
    <row r="1563" s="86" customFormat="1"/>
    <row r="1564" s="86" customFormat="1"/>
    <row r="1565" s="86" customFormat="1"/>
    <row r="1566" s="86" customFormat="1"/>
    <row r="1567" s="86" customFormat="1"/>
    <row r="1568" s="86" customFormat="1"/>
    <row r="1569" s="86" customFormat="1"/>
    <row r="1570" s="86" customFormat="1"/>
    <row r="1571" s="86" customFormat="1"/>
    <row r="1572" s="86" customFormat="1"/>
    <row r="1573" s="86" customFormat="1"/>
    <row r="1574" s="86" customFormat="1"/>
    <row r="1575" s="86" customFormat="1"/>
    <row r="1576" s="86" customFormat="1"/>
    <row r="1577" s="86" customFormat="1"/>
    <row r="1578" s="86" customFormat="1"/>
    <row r="1579" s="86" customFormat="1"/>
    <row r="1580" s="86" customFormat="1"/>
    <row r="1581" s="86" customFormat="1"/>
    <row r="1582" s="86" customFormat="1"/>
    <row r="1583" s="86" customFormat="1"/>
    <row r="1584" s="86" customFormat="1"/>
    <row r="1585" s="86" customFormat="1"/>
    <row r="1586" s="86" customFormat="1"/>
    <row r="1587" s="86" customFormat="1"/>
    <row r="1588" s="86" customFormat="1"/>
    <row r="1589" s="86" customFormat="1"/>
    <row r="1590" s="86" customFormat="1"/>
    <row r="1591" s="86" customFormat="1"/>
    <row r="1592" s="86" customFormat="1"/>
    <row r="1593" s="86" customFormat="1"/>
    <row r="1594" s="86" customFormat="1"/>
    <row r="1595" s="86" customFormat="1"/>
    <row r="1596" s="86" customFormat="1"/>
    <row r="1597" s="86" customFormat="1"/>
    <row r="1598" s="86" customFormat="1"/>
    <row r="1599" s="86" customFormat="1"/>
    <row r="1600" s="86" customFormat="1"/>
    <row r="1601" s="86" customFormat="1"/>
    <row r="1602" s="86" customFormat="1"/>
    <row r="1603" s="86" customFormat="1"/>
    <row r="1604" s="86" customFormat="1"/>
    <row r="1605" s="86" customFormat="1"/>
    <row r="1606" s="86" customFormat="1"/>
    <row r="1607" s="86" customFormat="1"/>
    <row r="1608" s="86" customFormat="1"/>
    <row r="1609" s="86" customFormat="1"/>
    <row r="1610" s="86" customFormat="1"/>
    <row r="1611" s="86" customFormat="1"/>
    <row r="1612" s="86" customFormat="1"/>
    <row r="1613" s="86" customFormat="1"/>
    <row r="1614" s="86" customFormat="1"/>
    <row r="1615" s="86" customFormat="1"/>
    <row r="1616" s="86" customFormat="1"/>
    <row r="1617" s="86" customFormat="1"/>
    <row r="1618" s="86" customFormat="1"/>
    <row r="1619" s="86" customFormat="1"/>
    <row r="1620" s="86" customFormat="1"/>
    <row r="1621" s="86" customFormat="1"/>
    <row r="1622" s="86" customFormat="1"/>
    <row r="1623" s="86" customFormat="1"/>
    <row r="1624" s="86" customFormat="1"/>
    <row r="1625" s="86" customFormat="1"/>
    <row r="1626" s="86" customFormat="1"/>
    <row r="1627" s="86" customFormat="1"/>
    <row r="1628" s="86" customFormat="1"/>
    <row r="1629" s="86" customFormat="1"/>
    <row r="1630" s="86" customFormat="1"/>
    <row r="1631" s="86" customFormat="1"/>
    <row r="1632" s="86" customFormat="1"/>
    <row r="1633" s="86" customFormat="1"/>
    <row r="1634" s="86" customFormat="1"/>
    <row r="1635" s="86" customFormat="1"/>
    <row r="1636" s="86" customFormat="1"/>
    <row r="1637" s="86" customFormat="1"/>
    <row r="1638" s="86" customFormat="1"/>
    <row r="1639" s="86" customFormat="1"/>
    <row r="1640" s="86" customFormat="1"/>
    <row r="1641" s="86" customFormat="1"/>
    <row r="1642" s="86" customFormat="1"/>
    <row r="1643" s="86" customFormat="1"/>
    <row r="1644" s="86" customFormat="1"/>
    <row r="1645" s="86" customFormat="1"/>
    <row r="1646" s="86" customFormat="1"/>
    <row r="1647" s="86" customFormat="1"/>
    <row r="1648" s="86" customFormat="1"/>
    <row r="1649" s="86" customFormat="1"/>
    <row r="1650" s="86" customFormat="1"/>
    <row r="1651" s="86" customFormat="1"/>
    <row r="1652" s="86" customFormat="1"/>
    <row r="1653" s="86" customFormat="1"/>
    <row r="1654" s="86" customFormat="1"/>
    <row r="1655" s="86" customFormat="1"/>
    <row r="1656" s="86" customFormat="1"/>
    <row r="1657" s="86" customFormat="1"/>
    <row r="1658" s="86" customFormat="1"/>
    <row r="1659" s="86" customFormat="1"/>
    <row r="1660" s="86" customFormat="1"/>
    <row r="1661" s="86" customFormat="1"/>
    <row r="1662" s="86" customFormat="1"/>
    <row r="1663" s="86" customFormat="1"/>
    <row r="1664" s="86" customFormat="1"/>
    <row r="1665" s="86" customFormat="1"/>
    <row r="1666" s="86" customFormat="1"/>
    <row r="1667" s="86" customFormat="1"/>
    <row r="1668" s="86" customFormat="1"/>
    <row r="1669" s="86" customFormat="1"/>
    <row r="1670" s="86" customFormat="1"/>
    <row r="1671" s="86" customFormat="1"/>
    <row r="1672" s="86" customFormat="1"/>
    <row r="1673" s="86" customFormat="1"/>
    <row r="1674" s="86" customFormat="1"/>
    <row r="1675" s="86" customFormat="1"/>
    <row r="1676" s="86" customFormat="1"/>
    <row r="1677" s="86" customFormat="1"/>
    <row r="1678" s="86" customFormat="1"/>
    <row r="1679" s="86" customFormat="1"/>
    <row r="1680" s="86" customFormat="1"/>
    <row r="1681" s="86" customFormat="1"/>
    <row r="1682" s="86" customFormat="1"/>
    <row r="1683" s="86" customFormat="1"/>
    <row r="1684" s="86" customFormat="1"/>
    <row r="1685" s="86" customFormat="1"/>
    <row r="1686" s="86" customFormat="1"/>
    <row r="1687" s="86" customFormat="1"/>
    <row r="1688" s="86" customFormat="1"/>
    <row r="1689" s="86" customFormat="1"/>
    <row r="1690" s="86" customFormat="1"/>
    <row r="1691" s="86" customFormat="1"/>
    <row r="1692" s="86" customFormat="1"/>
    <row r="1693" s="86" customFormat="1"/>
    <row r="1694" s="86" customFormat="1"/>
    <row r="1695" s="86" customFormat="1"/>
    <row r="1696" s="86" customFormat="1"/>
    <row r="1697" s="86" customFormat="1"/>
    <row r="1698" s="86" customFormat="1"/>
    <row r="1699" s="86" customFormat="1"/>
    <row r="1700" s="86" customFormat="1"/>
    <row r="1701" s="86" customFormat="1"/>
    <row r="1702" s="86" customFormat="1"/>
    <row r="1703" s="86" customFormat="1"/>
    <row r="1704" s="86" customFormat="1"/>
    <row r="1705" s="86" customFormat="1"/>
    <row r="1706" s="86" customFormat="1"/>
    <row r="1707" s="86" customFormat="1"/>
    <row r="1708" s="86" customFormat="1"/>
    <row r="1709" s="86" customFormat="1"/>
    <row r="1710" s="86" customFormat="1"/>
    <row r="1711" s="86" customFormat="1"/>
    <row r="1712" s="86" customFormat="1"/>
    <row r="1713" s="86" customFormat="1"/>
    <row r="1714" s="86" customFormat="1"/>
    <row r="1715" s="86" customFormat="1"/>
    <row r="1716" s="86" customFormat="1"/>
    <row r="1717" s="86" customFormat="1"/>
    <row r="1718" s="86" customFormat="1"/>
    <row r="1719" s="86" customFormat="1"/>
    <row r="1720" s="86" customFormat="1"/>
    <row r="1721" s="86" customFormat="1"/>
    <row r="1722" s="86" customFormat="1"/>
    <row r="1723" s="86" customFormat="1"/>
    <row r="1724" s="86" customFormat="1"/>
    <row r="1725" s="86" customFormat="1"/>
    <row r="1726" s="86" customFormat="1"/>
    <row r="1727" s="86" customFormat="1"/>
    <row r="1728" s="86" customFormat="1"/>
    <row r="1729" s="86" customFormat="1"/>
    <row r="1730" s="86" customFormat="1"/>
    <row r="1731" s="86" customFormat="1"/>
    <row r="1732" s="86" customFormat="1"/>
    <row r="1733" s="86" customFormat="1"/>
    <row r="1734" s="86" customFormat="1"/>
    <row r="1735" s="86" customFormat="1"/>
    <row r="1736" s="86" customFormat="1"/>
    <row r="1737" s="86" customFormat="1"/>
    <row r="1738" s="86" customFormat="1"/>
    <row r="1739" s="86" customFormat="1"/>
    <row r="1740" s="86" customFormat="1"/>
    <row r="1741" s="86" customFormat="1"/>
    <row r="1742" s="86" customFormat="1"/>
    <row r="1743" s="86" customFormat="1"/>
    <row r="1744" s="86" customFormat="1"/>
    <row r="1745" s="86" customFormat="1"/>
    <row r="1746" s="86" customFormat="1"/>
    <row r="1747" s="86" customFormat="1"/>
    <row r="1748" s="86" customFormat="1"/>
    <row r="1749" s="86" customFormat="1"/>
    <row r="1750" s="86" customFormat="1"/>
    <row r="1751" s="86" customFormat="1"/>
    <row r="1752" s="86" customFormat="1"/>
    <row r="1753" s="86" customFormat="1"/>
    <row r="1754" s="86" customFormat="1"/>
    <row r="1755" s="86" customFormat="1"/>
    <row r="1756" s="86" customFormat="1"/>
    <row r="1757" s="86" customFormat="1"/>
    <row r="1758" s="86" customFormat="1"/>
    <row r="1759" s="86" customFormat="1"/>
    <row r="1760" s="86" customFormat="1"/>
    <row r="1761" s="86" customFormat="1"/>
    <row r="1762" s="86" customFormat="1"/>
    <row r="1763" s="86" customFormat="1"/>
    <row r="1764" s="86" customFormat="1"/>
    <row r="1765" s="86" customFormat="1"/>
    <row r="1766" s="86" customFormat="1"/>
    <row r="1767" s="86" customFormat="1"/>
    <row r="1768" s="86" customFormat="1"/>
    <row r="1769" s="86" customFormat="1"/>
    <row r="1770" s="86" customFormat="1"/>
    <row r="1771" s="86" customFormat="1"/>
    <row r="1772" s="86" customFormat="1"/>
    <row r="1773" s="86" customFormat="1"/>
    <row r="1774" s="86" customFormat="1"/>
    <row r="1775" s="86" customFormat="1"/>
    <row r="1776" s="86" customFormat="1"/>
    <row r="1777" s="86" customFormat="1"/>
    <row r="1778" s="86" customFormat="1"/>
    <row r="1779" s="86" customFormat="1"/>
    <row r="1780" s="86" customFormat="1"/>
    <row r="1781" s="86" customFormat="1"/>
    <row r="1782" s="86" customFormat="1"/>
    <row r="1783" s="86" customFormat="1"/>
    <row r="1784" s="86" customFormat="1"/>
    <row r="1785" s="86" customFormat="1"/>
    <row r="1786" s="86" customFormat="1"/>
    <row r="1787" s="86" customFormat="1"/>
    <row r="1788" s="86" customFormat="1"/>
    <row r="1789" s="86" customFormat="1"/>
    <row r="1790" s="86" customFormat="1"/>
    <row r="1791" s="86" customFormat="1"/>
    <row r="1792" s="86" customFormat="1"/>
    <row r="1793" s="86" customFormat="1"/>
    <row r="1794" s="86" customFormat="1"/>
    <row r="1795" s="86" customFormat="1"/>
    <row r="1796" s="86" customFormat="1"/>
    <row r="1797" s="86" customFormat="1"/>
    <row r="1798" s="86" customFormat="1"/>
    <row r="1799" s="86" customFormat="1"/>
    <row r="1800" s="86" customFormat="1"/>
    <row r="1801" s="86" customFormat="1"/>
    <row r="1802" s="86" customFormat="1"/>
    <row r="1803" s="86" customFormat="1"/>
    <row r="1804" s="86" customFormat="1"/>
    <row r="1805" s="86" customFormat="1"/>
    <row r="1806" s="86" customFormat="1"/>
    <row r="1807" s="86" customFormat="1"/>
    <row r="1808" s="86" customFormat="1"/>
    <row r="1809" s="86" customFormat="1"/>
    <row r="1810" s="86" customFormat="1"/>
    <row r="1811" s="86" customFormat="1"/>
    <row r="1812" s="86" customFormat="1"/>
    <row r="1813" s="86" customFormat="1"/>
    <row r="1814" s="86" customFormat="1"/>
    <row r="1815" s="86" customFormat="1"/>
    <row r="1816" s="86" customFormat="1"/>
    <row r="1817" s="86" customFormat="1"/>
    <row r="1818" s="86" customFormat="1"/>
    <row r="1819" s="86" customFormat="1"/>
    <row r="1820" s="86" customFormat="1"/>
    <row r="1821" s="86" customFormat="1"/>
    <row r="1822" s="86" customFormat="1"/>
    <row r="1823" s="86" customFormat="1"/>
    <row r="1824" s="86" customFormat="1"/>
    <row r="1825" s="86" customFormat="1"/>
    <row r="1826" s="86" customFormat="1"/>
    <row r="1827" s="86" customFormat="1"/>
    <row r="1828" s="86" customFormat="1"/>
    <row r="1829" s="86" customFormat="1"/>
    <row r="1830" s="86" customFormat="1"/>
    <row r="1831" s="86" customFormat="1"/>
    <row r="1832" s="86" customFormat="1"/>
    <row r="1833" s="86" customFormat="1"/>
    <row r="1834" s="86" customFormat="1"/>
    <row r="1835" s="86" customFormat="1"/>
    <row r="1836" s="86" customFormat="1"/>
    <row r="1837" s="86" customFormat="1"/>
    <row r="1838" s="86" customFormat="1"/>
    <row r="1839" s="86" customFormat="1"/>
    <row r="1840" s="86" customFormat="1"/>
    <row r="1841" s="86" customFormat="1"/>
    <row r="1842" s="86" customFormat="1"/>
    <row r="1843" s="86" customFormat="1"/>
    <row r="1844" s="86" customFormat="1"/>
    <row r="1845" s="86" customFormat="1"/>
    <row r="1846" s="86" customFormat="1"/>
    <row r="1847" s="86" customFormat="1"/>
    <row r="1848" s="86" customFormat="1"/>
    <row r="1849" s="86" customFormat="1"/>
    <row r="1850" s="86" customFormat="1"/>
    <row r="1851" s="86" customFormat="1"/>
    <row r="1852" s="86" customFormat="1"/>
    <row r="1853" s="86" customFormat="1"/>
    <row r="1854" s="86" customFormat="1"/>
    <row r="1855" s="86" customFormat="1"/>
    <row r="1856" s="86" customFormat="1"/>
    <row r="1857" s="86" customFormat="1"/>
    <row r="1858" s="86" customFormat="1"/>
    <row r="1859" s="86" customFormat="1"/>
    <row r="1860" s="86" customFormat="1"/>
    <row r="1861" s="86" customFormat="1"/>
    <row r="1862" s="86" customFormat="1"/>
    <row r="1863" s="86" customFormat="1"/>
    <row r="1864" s="86" customFormat="1"/>
    <row r="1865" s="86" customFormat="1"/>
    <row r="1866" s="86" customFormat="1"/>
    <row r="1867" s="86" customFormat="1"/>
    <row r="1868" s="86" customFormat="1"/>
    <row r="1869" s="86" customFormat="1"/>
    <row r="1870" s="86" customFormat="1"/>
    <row r="1871" s="86" customFormat="1"/>
    <row r="1872" s="86" customFormat="1"/>
    <row r="1873" s="86" customFormat="1"/>
    <row r="1874" s="86" customFormat="1"/>
    <row r="1875" s="86" customFormat="1"/>
    <row r="1876" s="86" customFormat="1"/>
    <row r="1877" s="86" customFormat="1"/>
    <row r="1878" s="86" customFormat="1"/>
    <row r="1879" s="86" customFormat="1"/>
    <row r="1880" s="86" customFormat="1"/>
    <row r="1881" s="86" customFormat="1"/>
    <row r="1882" s="86" customFormat="1"/>
    <row r="1883" s="86" customFormat="1"/>
    <row r="1884" s="86" customFormat="1"/>
    <row r="1885" s="86" customFormat="1"/>
    <row r="1886" s="86" customFormat="1"/>
    <row r="1887" s="86" customFormat="1"/>
    <row r="1888" s="86" customFormat="1"/>
    <row r="1889" s="86" customFormat="1"/>
    <row r="1890" s="86" customFormat="1"/>
    <row r="1891" s="86" customFormat="1"/>
    <row r="1892" s="86" customFormat="1"/>
    <row r="1893" s="86" customFormat="1"/>
    <row r="1894" s="86" customFormat="1"/>
    <row r="1895" s="86" customFormat="1"/>
    <row r="1896" s="86" customFormat="1"/>
    <row r="1897" s="86" customFormat="1"/>
    <row r="1898" s="86" customFormat="1"/>
    <row r="1899" s="86" customFormat="1"/>
    <row r="1900" s="86" customFormat="1"/>
    <row r="1901" s="86" customFormat="1"/>
    <row r="1902" s="86" customFormat="1"/>
    <row r="1903" s="86" customFormat="1"/>
    <row r="1904" s="86" customFormat="1"/>
    <row r="1905" s="86" customFormat="1"/>
    <row r="1906" s="86" customFormat="1"/>
    <row r="1907" s="86" customFormat="1"/>
    <row r="1908" s="86" customFormat="1"/>
    <row r="1909" s="86" customFormat="1"/>
    <row r="1910" s="86" customFormat="1"/>
    <row r="1911" s="86" customFormat="1"/>
    <row r="1912" s="86" customFormat="1"/>
    <row r="1913" s="86" customFormat="1"/>
    <row r="1914" s="86" customFormat="1"/>
    <row r="1915" s="86" customFormat="1"/>
    <row r="1916" s="86" customFormat="1"/>
    <row r="1917" s="86" customFormat="1"/>
    <row r="1918" s="86" customFormat="1"/>
    <row r="1919" s="86" customFormat="1"/>
    <row r="1920" s="86" customFormat="1"/>
    <row r="1921" s="86" customFormat="1"/>
    <row r="1922" s="86" customFormat="1"/>
    <row r="1923" s="86" customFormat="1"/>
    <row r="1924" s="86" customFormat="1"/>
    <row r="1925" s="86" customFormat="1"/>
    <row r="1926" s="86" customFormat="1"/>
    <row r="1927" s="86" customFormat="1"/>
    <row r="1928" s="86" customFormat="1"/>
    <row r="1929" s="86" customFormat="1"/>
    <row r="1930" s="86" customFormat="1"/>
    <row r="1931" s="86" customFormat="1"/>
    <row r="1932" s="86" customFormat="1"/>
    <row r="1933" s="86" customFormat="1"/>
    <row r="1934" s="86" customFormat="1"/>
    <row r="1935" s="86" customFormat="1"/>
    <row r="1936" s="86" customFormat="1"/>
    <row r="1937" s="86" customFormat="1"/>
    <row r="1938" s="86" customFormat="1"/>
    <row r="1939" s="86" customFormat="1"/>
    <row r="1940" s="86" customFormat="1"/>
    <row r="1941" s="86" customFormat="1"/>
    <row r="1942" s="86" customFormat="1"/>
    <row r="1943" s="86" customFormat="1"/>
    <row r="1944" s="86" customFormat="1"/>
    <row r="1945" s="86" customFormat="1"/>
    <row r="1946" s="86" customFormat="1"/>
    <row r="1947" s="86" customFormat="1"/>
    <row r="1948" s="86" customFormat="1"/>
    <row r="1949" s="86" customFormat="1"/>
    <row r="1950" s="86" customFormat="1"/>
    <row r="1951" s="86" customFormat="1"/>
    <row r="1952" s="86" customFormat="1"/>
    <row r="1953" s="86" customFormat="1"/>
    <row r="1954" s="86" customFormat="1"/>
    <row r="1955" s="86" customFormat="1"/>
    <row r="1956" s="86" customFormat="1"/>
    <row r="1957" s="86" customFormat="1"/>
    <row r="1958" s="86" customFormat="1"/>
    <row r="1959" s="86" customFormat="1"/>
    <row r="1960" s="86" customFormat="1"/>
    <row r="1961" s="86" customFormat="1"/>
    <row r="1962" s="86" customFormat="1"/>
    <row r="1963" s="86" customFormat="1"/>
    <row r="1964" s="86" customFormat="1"/>
    <row r="1965" s="86" customFormat="1"/>
    <row r="1966" s="86" customFormat="1"/>
    <row r="1967" s="86" customFormat="1"/>
    <row r="1968" s="86" customFormat="1"/>
    <row r="1969" s="86" customFormat="1"/>
    <row r="1970" s="86" customFormat="1"/>
    <row r="1971" s="86" customFormat="1"/>
    <row r="1972" s="86" customFormat="1"/>
    <row r="1973" s="86" customFormat="1"/>
    <row r="1974" s="86" customFormat="1"/>
    <row r="1975" s="86" customFormat="1"/>
    <row r="1976" s="86" customFormat="1"/>
    <row r="1977" s="86" customFormat="1"/>
    <row r="1978" s="86" customFormat="1"/>
    <row r="1979" s="86" customFormat="1"/>
    <row r="1980" s="86" customFormat="1"/>
    <row r="1981" s="86" customFormat="1"/>
    <row r="1982" s="86" customFormat="1"/>
    <row r="1983" s="86" customFormat="1"/>
    <row r="1984" s="86" customFormat="1"/>
    <row r="1985" s="86" customFormat="1"/>
    <row r="1986" s="86" customFormat="1"/>
    <row r="1987" s="86" customFormat="1"/>
    <row r="1988" s="86" customFormat="1"/>
    <row r="1989" s="86" customFormat="1"/>
    <row r="1990" s="86" customFormat="1"/>
    <row r="1991" s="86" customFormat="1"/>
    <row r="1992" s="86" customFormat="1"/>
    <row r="1993" s="86" customFormat="1"/>
    <row r="1994" s="86" customFormat="1"/>
    <row r="1995" s="86" customFormat="1"/>
    <row r="1996" s="86" customFormat="1"/>
    <row r="1997" s="86" customFormat="1"/>
    <row r="1998" s="86" customFormat="1"/>
    <row r="1999" s="86" customFormat="1"/>
    <row r="2000" s="86" customFormat="1"/>
    <row r="2001" s="86" customFormat="1"/>
    <row r="2002" s="86" customFormat="1"/>
    <row r="2003" s="86" customFormat="1"/>
    <row r="2004" s="86" customFormat="1"/>
    <row r="2005" s="86" customFormat="1"/>
    <row r="2006" s="86" customFormat="1"/>
    <row r="2007" s="86" customFormat="1"/>
    <row r="2008" s="86" customFormat="1"/>
    <row r="2009" s="86" customFormat="1"/>
    <row r="2010" s="86" customFormat="1"/>
    <row r="2011" s="86" customFormat="1"/>
    <row r="2012" s="86" customFormat="1"/>
    <row r="2013" s="86" customFormat="1"/>
    <row r="2014" s="86" customFormat="1"/>
    <row r="2015" s="86" customFormat="1"/>
    <row r="2016" s="86" customFormat="1"/>
    <row r="2017" s="86" customFormat="1"/>
    <row r="2018" s="86" customFormat="1"/>
    <row r="2019" s="86" customFormat="1"/>
    <row r="2020" s="86" customFormat="1"/>
    <row r="2021" s="86" customFormat="1"/>
    <row r="2022" s="86" customFormat="1"/>
    <row r="2023" s="86" customFormat="1"/>
    <row r="2024" s="86" customFormat="1"/>
    <row r="2025" s="86" customFormat="1"/>
    <row r="2026" s="86" customFormat="1"/>
    <row r="2027" s="86" customFormat="1"/>
    <row r="2028" s="86" customFormat="1"/>
    <row r="2029" s="86" customFormat="1"/>
    <row r="2030" s="86" customFormat="1"/>
    <row r="2031" s="86" customFormat="1"/>
    <row r="2032" s="86" customFormat="1"/>
    <row r="2033" s="86" customFormat="1"/>
    <row r="2034" s="86" customFormat="1"/>
    <row r="2035" s="86" customFormat="1"/>
    <row r="2036" s="86" customFormat="1"/>
    <row r="2037" s="86" customFormat="1"/>
    <row r="2038" s="86" customFormat="1"/>
    <row r="2039" s="86" customFormat="1"/>
    <row r="2040" s="86" customFormat="1"/>
    <row r="2041" s="86" customFormat="1"/>
    <row r="2042" s="86" customFormat="1"/>
    <row r="2043" s="86" customFormat="1"/>
    <row r="2044" s="86" customFormat="1"/>
    <row r="2045" s="86" customFormat="1"/>
    <row r="2046" s="86" customFormat="1"/>
    <row r="2047" s="86" customFormat="1"/>
    <row r="2048" s="86" customFormat="1"/>
    <row r="2049" s="86" customFormat="1"/>
    <row r="2050" s="86" customFormat="1"/>
    <row r="2051" s="86" customFormat="1"/>
    <row r="2052" s="86" customFormat="1"/>
    <row r="2053" s="86" customFormat="1"/>
    <row r="2054" s="86" customFormat="1"/>
    <row r="2055" s="86" customFormat="1"/>
    <row r="2056" s="86" customFormat="1"/>
    <row r="2057" s="86" customFormat="1"/>
    <row r="2058" s="86" customFormat="1"/>
    <row r="2059" s="86" customFormat="1"/>
    <row r="2060" s="86" customFormat="1"/>
    <row r="2061" s="86" customFormat="1"/>
    <row r="2062" s="86" customFormat="1"/>
    <row r="2063" s="86" customFormat="1"/>
    <row r="2064" s="86" customFormat="1"/>
    <row r="2065" s="86" customFormat="1"/>
    <row r="2066" s="86" customFormat="1"/>
    <row r="2067" s="86" customFormat="1"/>
    <row r="2068" s="86" customFormat="1"/>
    <row r="2069" s="86" customFormat="1"/>
    <row r="2070" s="86" customFormat="1"/>
    <row r="2071" s="86" customFormat="1"/>
    <row r="2072" s="86" customFormat="1"/>
    <row r="2073" s="86" customFormat="1"/>
    <row r="2074" s="86" customFormat="1"/>
    <row r="2075" s="86" customFormat="1"/>
    <row r="2076" s="86" customFormat="1"/>
    <row r="2077" s="86" customFormat="1"/>
    <row r="2078" s="86" customFormat="1"/>
    <row r="2079" s="86" customFormat="1"/>
    <row r="2080" s="86" customFormat="1"/>
    <row r="2081" s="86" customFormat="1"/>
    <row r="2082" s="86" customFormat="1"/>
    <row r="2083" s="86" customFormat="1"/>
    <row r="2084" s="86" customFormat="1"/>
    <row r="2085" s="86" customFormat="1"/>
    <row r="2086" s="86" customFormat="1"/>
    <row r="2087" s="86" customFormat="1"/>
    <row r="2088" s="86" customFormat="1"/>
    <row r="2089" s="86" customFormat="1"/>
    <row r="2090" s="86" customFormat="1"/>
    <row r="2091" s="86" customFormat="1"/>
    <row r="2092" s="86" customFormat="1"/>
    <row r="2093" s="86" customFormat="1"/>
    <row r="2094" s="86" customFormat="1"/>
    <row r="2095" s="86" customFormat="1"/>
    <row r="2096" s="86" customFormat="1"/>
    <row r="2097" s="86" customFormat="1"/>
    <row r="2098" s="86" customFormat="1"/>
    <row r="2099" s="86" customFormat="1"/>
    <row r="2100" s="86" customFormat="1"/>
    <row r="2101" s="86" customFormat="1"/>
    <row r="2102" s="86" customFormat="1"/>
    <row r="2103" s="86" customFormat="1"/>
    <row r="2104" s="86" customFormat="1"/>
    <row r="2105" s="86" customFormat="1"/>
    <row r="2106" s="86" customFormat="1"/>
    <row r="2107" s="86" customFormat="1"/>
    <row r="2108" s="86" customFormat="1"/>
    <row r="2109" s="86" customFormat="1"/>
    <row r="2110" s="86" customFormat="1"/>
    <row r="2111" s="86" customFormat="1"/>
    <row r="2112" s="86" customFormat="1"/>
    <row r="2113" s="86" customFormat="1"/>
    <row r="2114" s="86" customFormat="1"/>
    <row r="2115" s="86" customFormat="1"/>
    <row r="2116" s="86" customFormat="1"/>
    <row r="2117" s="86" customFormat="1"/>
    <row r="2118" s="86" customFormat="1"/>
    <row r="2119" s="86" customFormat="1"/>
    <row r="2120" s="86" customFormat="1"/>
    <row r="2121" s="86" customFormat="1"/>
    <row r="2122" s="86" customFormat="1"/>
    <row r="2123" s="86" customFormat="1"/>
    <row r="2124" s="86" customFormat="1"/>
    <row r="2125" s="86" customFormat="1"/>
    <row r="2126" s="86" customFormat="1"/>
    <row r="2127" s="86" customFormat="1"/>
    <row r="2128" s="86" customFormat="1"/>
    <row r="2129" s="86" customFormat="1"/>
    <row r="2130" s="86" customFormat="1"/>
    <row r="2131" s="86" customFormat="1"/>
    <row r="2132" s="86" customFormat="1"/>
    <row r="2133" s="86" customFormat="1"/>
    <row r="2134" s="86" customFormat="1"/>
    <row r="2135" s="86" customFormat="1"/>
    <row r="2136" s="86" customFormat="1"/>
    <row r="2137" s="86" customFormat="1"/>
    <row r="2138" s="86" customFormat="1"/>
    <row r="2139" s="86" customFormat="1"/>
    <row r="2140" s="86" customFormat="1"/>
    <row r="2141" s="86" customFormat="1"/>
    <row r="2142" s="86" customFormat="1"/>
    <row r="2143" s="86" customFormat="1"/>
    <row r="2144" s="86" customFormat="1"/>
    <row r="2145" s="86" customFormat="1"/>
    <row r="2146" s="86" customFormat="1"/>
    <row r="2147" s="86" customFormat="1"/>
    <row r="2148" s="86" customFormat="1"/>
    <row r="2149" s="86" customFormat="1"/>
    <row r="2150" s="86" customFormat="1"/>
    <row r="2151" s="86" customFormat="1"/>
    <row r="2152" s="86" customFormat="1"/>
    <row r="2153" s="86" customFormat="1"/>
    <row r="2154" s="86" customFormat="1"/>
    <row r="2155" s="86" customFormat="1"/>
    <row r="2156" s="86" customFormat="1"/>
    <row r="2157" s="86" customFormat="1"/>
    <row r="2158" s="86" customFormat="1"/>
    <row r="2159" s="86" customFormat="1"/>
    <row r="2160" s="86" customFormat="1"/>
    <row r="2161" s="86" customFormat="1"/>
    <row r="2162" s="86" customFormat="1"/>
    <row r="2163" s="86" customFormat="1"/>
    <row r="2164" s="86" customFormat="1"/>
    <row r="2165" s="86" customFormat="1"/>
    <row r="2166" s="86" customFormat="1"/>
    <row r="2167" s="86" customFormat="1"/>
    <row r="2168" s="86" customFormat="1"/>
    <row r="2169" s="86" customFormat="1"/>
    <row r="2170" s="86" customFormat="1"/>
    <row r="2171" s="86" customFormat="1"/>
    <row r="2172" s="86" customFormat="1"/>
    <row r="2173" s="86" customFormat="1"/>
    <row r="2174" s="86" customFormat="1"/>
    <row r="2175" s="86" customFormat="1"/>
    <row r="2176" s="86" customFormat="1"/>
    <row r="2177" s="86" customFormat="1"/>
    <row r="2178" s="86" customFormat="1"/>
    <row r="2179" s="86" customFormat="1"/>
    <row r="2180" s="86" customFormat="1"/>
    <row r="2181" s="86" customFormat="1"/>
    <row r="2182" s="86" customFormat="1"/>
    <row r="2183" s="86" customFormat="1"/>
    <row r="2184" s="86" customFormat="1"/>
    <row r="2185" s="86" customFormat="1"/>
    <row r="2186" s="86" customFormat="1"/>
    <row r="2187" s="86" customFormat="1"/>
    <row r="2188" s="86" customFormat="1"/>
    <row r="2189" s="86" customFormat="1"/>
    <row r="2190" s="86" customFormat="1"/>
    <row r="2191" s="86" customFormat="1"/>
    <row r="2192" s="86" customFormat="1"/>
    <row r="2193" s="86" customFormat="1"/>
    <row r="2194" s="86" customFormat="1"/>
    <row r="2195" s="86" customFormat="1"/>
    <row r="2196" s="86" customFormat="1"/>
    <row r="2197" s="86" customFormat="1"/>
    <row r="2198" s="86" customFormat="1"/>
    <row r="2199" s="86" customFormat="1"/>
    <row r="2200" s="86" customFormat="1"/>
    <row r="2201" s="86" customFormat="1"/>
    <row r="2202" s="86" customFormat="1"/>
    <row r="2203" s="86" customFormat="1"/>
    <row r="2204" s="86" customFormat="1"/>
    <row r="2205" s="86" customFormat="1"/>
    <row r="2206" s="86" customFormat="1"/>
    <row r="2207" s="86" customFormat="1"/>
    <row r="2208" s="86" customFormat="1"/>
    <row r="2209" s="86" customFormat="1"/>
    <row r="2210" s="86" customFormat="1"/>
    <row r="2211" s="86" customFormat="1"/>
    <row r="2212" s="86" customFormat="1"/>
    <row r="2213" s="86" customFormat="1"/>
    <row r="2214" s="86" customFormat="1"/>
    <row r="2215" s="86" customFormat="1"/>
    <row r="2216" s="86" customFormat="1"/>
    <row r="2217" s="86" customFormat="1"/>
    <row r="2218" s="86" customFormat="1"/>
    <row r="2219" s="86" customFormat="1"/>
    <row r="2220" s="86" customFormat="1"/>
    <row r="2221" s="86" customFormat="1"/>
    <row r="2222" s="86" customFormat="1"/>
    <row r="2223" s="86" customFormat="1"/>
    <row r="2224" s="86" customFormat="1"/>
    <row r="2225" s="86" customFormat="1"/>
    <row r="2226" s="86" customFormat="1"/>
    <row r="2227" s="86" customFormat="1"/>
    <row r="2228" s="86" customFormat="1"/>
    <row r="2229" s="86" customFormat="1"/>
    <row r="2230" s="86" customFormat="1"/>
    <row r="2231" s="86" customFormat="1"/>
    <row r="2232" s="86" customFormat="1"/>
    <row r="2233" s="86" customFormat="1"/>
    <row r="2234" s="86" customFormat="1"/>
    <row r="2235" s="86" customFormat="1"/>
    <row r="2236" s="86" customFormat="1"/>
    <row r="2237" s="86" customFormat="1"/>
    <row r="2238" s="86" customFormat="1"/>
    <row r="2239" s="86" customFormat="1"/>
    <row r="2240" s="86" customFormat="1"/>
    <row r="2241" s="86" customFormat="1"/>
    <row r="2242" s="86" customFormat="1"/>
    <row r="2243" s="86" customFormat="1"/>
    <row r="2244" s="86" customFormat="1"/>
    <row r="2245" s="86" customFormat="1"/>
    <row r="2246" s="86" customFormat="1"/>
    <row r="2247" s="86" customFormat="1"/>
    <row r="2248" s="86" customFormat="1"/>
    <row r="2249" s="86" customFormat="1"/>
    <row r="2250" s="86" customFormat="1"/>
    <row r="2251" s="86" customFormat="1"/>
    <row r="2252" s="86" customFormat="1"/>
    <row r="2253" s="86" customFormat="1"/>
    <row r="2254" s="86" customFormat="1"/>
    <row r="2255" s="86" customFormat="1"/>
    <row r="2256" s="86" customFormat="1"/>
    <row r="2257" s="86" customFormat="1"/>
    <row r="2258" s="86" customFormat="1"/>
    <row r="2259" s="86" customFormat="1"/>
    <row r="2260" s="86" customFormat="1"/>
    <row r="2261" s="86" customFormat="1"/>
    <row r="2262" s="86" customFormat="1"/>
    <row r="2263" s="86" customFormat="1"/>
    <row r="2264" s="86" customFormat="1"/>
    <row r="2265" s="86" customFormat="1"/>
    <row r="2266" s="86" customFormat="1"/>
    <row r="2267" s="86" customFormat="1"/>
    <row r="2268" s="86" customFormat="1"/>
    <row r="2269" s="86" customFormat="1"/>
    <row r="2270" s="86" customFormat="1"/>
    <row r="2271" s="86" customFormat="1"/>
    <row r="2272" s="86" customFormat="1"/>
    <row r="2273" s="86" customFormat="1"/>
    <row r="2274" s="86" customFormat="1"/>
    <row r="2275" s="86" customFormat="1"/>
    <row r="2276" s="86" customFormat="1"/>
    <row r="2277" s="86" customFormat="1"/>
    <row r="2278" s="86" customFormat="1"/>
    <row r="2279" s="86" customFormat="1"/>
    <row r="2280" s="86" customFormat="1"/>
    <row r="2281" s="86" customFormat="1"/>
    <row r="2282" s="86" customFormat="1"/>
    <row r="2283" s="86" customFormat="1"/>
    <row r="2284" s="86" customFormat="1"/>
    <row r="2285" s="86" customFormat="1"/>
    <row r="2286" s="86" customFormat="1"/>
    <row r="2287" s="86" customFormat="1"/>
    <row r="2288" s="86" customFormat="1"/>
    <row r="2289" s="86" customFormat="1"/>
    <row r="2290" s="86" customFormat="1"/>
    <row r="2291" s="86" customFormat="1"/>
    <row r="2292" s="86" customFormat="1"/>
    <row r="2293" s="86" customFormat="1"/>
    <row r="2294" s="86" customFormat="1"/>
    <row r="2295" s="86" customFormat="1"/>
    <row r="2296" s="86" customFormat="1"/>
    <row r="2297" s="86" customFormat="1"/>
    <row r="2298" s="86" customFormat="1"/>
    <row r="2299" s="86" customFormat="1"/>
    <row r="2300" s="86" customFormat="1"/>
    <row r="2301" s="86" customFormat="1"/>
    <row r="2302" s="86" customFormat="1"/>
    <row r="2303" s="86" customFormat="1"/>
    <row r="2304" s="86" customFormat="1"/>
    <row r="2305" s="86" customFormat="1"/>
    <row r="2306" s="86" customFormat="1"/>
    <row r="2307" s="86" customFormat="1"/>
    <row r="2308" s="86" customFormat="1"/>
    <row r="2309" s="86" customFormat="1"/>
    <row r="2310" s="86" customFormat="1"/>
    <row r="2311" s="86" customFormat="1"/>
    <row r="2312" s="86" customFormat="1"/>
    <row r="2313" s="86" customFormat="1"/>
    <row r="2314" s="86" customFormat="1"/>
    <row r="2315" s="86" customFormat="1"/>
    <row r="2316" s="86" customFormat="1"/>
    <row r="2317" s="86" customFormat="1"/>
    <row r="2318" s="86" customFormat="1"/>
    <row r="2319" s="86" customFormat="1"/>
    <row r="2320" s="86" customFormat="1"/>
    <row r="2321" s="86" customFormat="1"/>
    <row r="2322" s="86" customFormat="1"/>
    <row r="2323" s="86" customFormat="1"/>
    <row r="2324" s="86" customFormat="1"/>
    <row r="2325" s="86" customFormat="1"/>
    <row r="2326" s="86" customFormat="1"/>
    <row r="2327" s="86" customFormat="1"/>
    <row r="2328" s="86" customFormat="1"/>
    <row r="2329" s="86" customFormat="1"/>
    <row r="2330" s="86" customFormat="1"/>
    <row r="2331" s="86" customFormat="1"/>
    <row r="2332" s="86" customFormat="1"/>
    <row r="2333" s="86" customFormat="1"/>
    <row r="2334" s="86" customFormat="1"/>
    <row r="2335" s="86" customFormat="1"/>
    <row r="2336" s="86" customFormat="1"/>
    <row r="2337" s="86" customFormat="1"/>
    <row r="2338" s="86" customFormat="1"/>
    <row r="2339" s="86" customFormat="1"/>
    <row r="2340" s="86" customFormat="1"/>
    <row r="2341" s="86" customFormat="1"/>
    <row r="2342" s="86" customFormat="1"/>
    <row r="2343" s="86" customFormat="1"/>
    <row r="2344" s="86" customFormat="1"/>
    <row r="2345" s="86" customFormat="1"/>
    <row r="2346" s="86" customFormat="1"/>
    <row r="2347" s="86" customFormat="1"/>
    <row r="2348" s="86" customFormat="1"/>
    <row r="2349" s="86" customFormat="1"/>
    <row r="2350" s="86" customFormat="1"/>
    <row r="2351" s="86" customFormat="1"/>
    <row r="2352" s="86" customFormat="1"/>
    <row r="2353" s="86" customFormat="1"/>
    <row r="2354" s="86" customFormat="1"/>
    <row r="2355" s="86" customFormat="1"/>
    <row r="2356" s="86" customFormat="1"/>
    <row r="2357" s="86" customFormat="1"/>
    <row r="2358" s="86" customFormat="1"/>
    <row r="2359" s="86" customFormat="1"/>
    <row r="2360" s="86" customFormat="1"/>
    <row r="2361" s="86" customFormat="1"/>
    <row r="2362" s="86" customFormat="1"/>
    <row r="2363" s="86" customFormat="1"/>
    <row r="2364" s="86" customFormat="1"/>
    <row r="2365" s="86" customFormat="1"/>
    <row r="2366" s="86" customFormat="1"/>
    <row r="2367" s="86" customFormat="1"/>
    <row r="2368" s="86" customFormat="1"/>
    <row r="2369" s="86" customFormat="1"/>
    <row r="2370" s="86" customFormat="1"/>
    <row r="2371" s="86" customFormat="1"/>
    <row r="2372" s="86" customFormat="1"/>
    <row r="2373" s="86" customFormat="1"/>
    <row r="2374" s="86" customFormat="1"/>
    <row r="2375" s="86" customFormat="1"/>
    <row r="2376" s="86" customFormat="1"/>
    <row r="2377" s="86" customFormat="1"/>
    <row r="2378" s="86" customFormat="1"/>
    <row r="2379" s="86" customFormat="1"/>
    <row r="2380" s="86" customFormat="1"/>
    <row r="2381" s="86" customFormat="1"/>
    <row r="2382" s="86" customFormat="1"/>
    <row r="2383" s="86" customFormat="1"/>
    <row r="2384" s="86" customFormat="1"/>
    <row r="2385" s="86" customFormat="1"/>
    <row r="2386" s="86" customFormat="1"/>
    <row r="2387" s="86" customFormat="1"/>
    <row r="2388" s="86" customFormat="1"/>
    <row r="2389" s="86" customFormat="1"/>
    <row r="2390" s="86" customFormat="1"/>
    <row r="2391" s="86" customFormat="1"/>
    <row r="2392" s="86" customFormat="1"/>
    <row r="2393" s="86" customFormat="1"/>
    <row r="2394" s="86" customFormat="1"/>
    <row r="2395" s="86" customFormat="1"/>
    <row r="2396" s="86" customFormat="1"/>
    <row r="2397" s="86" customFormat="1"/>
    <row r="2398" s="86" customFormat="1"/>
    <row r="2399" s="86" customFormat="1"/>
    <row r="2400" s="86" customFormat="1"/>
    <row r="2401" s="86" customFormat="1"/>
    <row r="2402" s="86" customFormat="1"/>
    <row r="2403" s="86" customFormat="1"/>
    <row r="2404" s="86" customFormat="1"/>
    <row r="2405" s="86" customFormat="1"/>
    <row r="2406" s="86" customFormat="1"/>
    <row r="2407" s="86" customFormat="1"/>
    <row r="2408" s="86" customFormat="1"/>
    <row r="2409" s="86" customFormat="1"/>
    <row r="2410" s="86" customFormat="1"/>
    <row r="2411" s="86" customFormat="1"/>
    <row r="2412" s="86" customFormat="1"/>
    <row r="2413" s="86" customFormat="1"/>
    <row r="2414" s="86" customFormat="1"/>
    <row r="2415" s="86" customFormat="1"/>
    <row r="2416" s="86" customFormat="1"/>
    <row r="2417" s="86" customFormat="1"/>
    <row r="2418" s="86" customFormat="1"/>
    <row r="2419" s="86" customFormat="1"/>
    <row r="2420" s="86" customFormat="1"/>
    <row r="2421" s="86" customFormat="1"/>
    <row r="2422" s="86" customFormat="1"/>
    <row r="2423" s="86" customFormat="1"/>
    <row r="2424" s="86" customFormat="1"/>
    <row r="2425" s="86" customFormat="1"/>
    <row r="2426" s="86" customFormat="1"/>
    <row r="2427" s="86" customFormat="1"/>
    <row r="2428" s="86" customFormat="1"/>
    <row r="2429" s="86" customFormat="1"/>
    <row r="2430" s="86" customFormat="1"/>
    <row r="2431" s="86" customFormat="1"/>
    <row r="2432" s="86" customFormat="1"/>
    <row r="2433" s="86" customFormat="1"/>
    <row r="2434" s="86" customFormat="1"/>
    <row r="2435" s="86" customFormat="1"/>
    <row r="2436" s="86" customFormat="1"/>
    <row r="2437" s="86" customFormat="1"/>
    <row r="2438" s="86" customFormat="1"/>
    <row r="2439" s="86" customFormat="1"/>
    <row r="2440" s="86" customFormat="1"/>
    <row r="2441" s="86" customFormat="1"/>
    <row r="2442" s="86" customFormat="1"/>
    <row r="2443" s="86" customFormat="1"/>
    <row r="2444" s="86" customFormat="1"/>
    <row r="2445" s="86" customFormat="1"/>
    <row r="2446" s="86" customFormat="1"/>
    <row r="2447" s="86" customFormat="1"/>
    <row r="2448" s="86" customFormat="1"/>
    <row r="2449" s="86" customFormat="1"/>
    <row r="2450" s="86" customFormat="1"/>
    <row r="2451" s="86" customFormat="1"/>
    <row r="2452" s="86" customFormat="1"/>
    <row r="2453" s="86" customFormat="1"/>
    <row r="2454" s="86" customFormat="1"/>
    <row r="2455" s="86" customFormat="1"/>
    <row r="2456" s="86" customFormat="1"/>
    <row r="2457" s="86" customFormat="1"/>
    <row r="2458" s="86" customFormat="1"/>
    <row r="2459" s="86" customFormat="1"/>
    <row r="2460" s="86" customFormat="1"/>
    <row r="2461" s="86" customFormat="1"/>
    <row r="2462" s="86" customFormat="1"/>
    <row r="2463" s="86" customFormat="1"/>
    <row r="2464" s="86" customFormat="1"/>
    <row r="2465" s="86" customFormat="1"/>
    <row r="2466" s="86" customFormat="1"/>
    <row r="2467" s="86" customFormat="1"/>
    <row r="2468" s="86" customFormat="1"/>
    <row r="2469" s="86" customFormat="1"/>
    <row r="2470" s="86" customFormat="1"/>
    <row r="2471" s="86" customFormat="1"/>
    <row r="2472" s="86" customFormat="1"/>
    <row r="2473" s="86" customFormat="1"/>
    <row r="2474" s="86" customFormat="1"/>
    <row r="2475" s="86" customFormat="1"/>
    <row r="2476" s="86" customFormat="1"/>
    <row r="2477" s="86" customFormat="1"/>
    <row r="2478" s="86" customFormat="1"/>
    <row r="2479" s="86" customFormat="1"/>
    <row r="2480" s="86" customFormat="1"/>
    <row r="2481" s="86" customFormat="1"/>
    <row r="2482" s="86" customFormat="1"/>
    <row r="2483" s="86" customFormat="1"/>
    <row r="2484" s="86" customFormat="1"/>
    <row r="2485" s="86" customFormat="1"/>
    <row r="2486" s="86" customFormat="1"/>
    <row r="2487" s="86" customFormat="1"/>
    <row r="2488" s="86" customFormat="1"/>
    <row r="2489" s="86" customFormat="1"/>
    <row r="2490" s="86" customFormat="1"/>
    <row r="2491" s="86" customFormat="1"/>
    <row r="2492" s="86" customFormat="1"/>
    <row r="2493" s="86" customFormat="1"/>
    <row r="2494" s="86" customFormat="1"/>
    <row r="2495" s="86" customFormat="1"/>
    <row r="2496" s="86" customFormat="1"/>
    <row r="2497" s="86" customFormat="1"/>
    <row r="2498" s="86" customFormat="1"/>
    <row r="2499" s="86" customFormat="1"/>
    <row r="2500" s="86" customFormat="1"/>
    <row r="2501" s="86" customFormat="1"/>
    <row r="2502" s="86" customFormat="1"/>
    <row r="2503" s="86" customFormat="1"/>
    <row r="2504" s="86" customFormat="1"/>
    <row r="2505" s="86" customFormat="1"/>
    <row r="2506" s="86" customFormat="1"/>
    <row r="2507" s="86" customFormat="1"/>
    <row r="2508" s="86" customFormat="1"/>
    <row r="2509" s="86" customFormat="1"/>
    <row r="2510" s="86" customFormat="1"/>
    <row r="2511" s="86" customFormat="1"/>
    <row r="2512" s="86" customFormat="1"/>
    <row r="2513" s="86" customFormat="1"/>
    <row r="2514" s="86" customFormat="1"/>
    <row r="2515" s="86" customFormat="1"/>
    <row r="2516" s="86" customFormat="1"/>
    <row r="2517" s="86" customFormat="1"/>
    <row r="2518" s="86" customFormat="1"/>
    <row r="2519" s="86" customFormat="1"/>
    <row r="2520" s="86" customFormat="1"/>
    <row r="2521" s="86" customFormat="1"/>
    <row r="2522" s="86" customFormat="1"/>
    <row r="2523" s="86" customFormat="1"/>
    <row r="2524" s="86" customFormat="1"/>
    <row r="2525" s="86" customFormat="1"/>
    <row r="2526" s="86" customFormat="1"/>
    <row r="2527" s="86" customFormat="1"/>
    <row r="2528" s="86" customFormat="1"/>
    <row r="2529" s="86" customFormat="1"/>
    <row r="2530" s="86" customFormat="1"/>
    <row r="2531" s="86" customFormat="1"/>
    <row r="2532" s="86" customFormat="1"/>
    <row r="2533" s="86" customFormat="1"/>
    <row r="2534" s="86" customFormat="1"/>
    <row r="2535" s="86" customFormat="1"/>
    <row r="2536" s="86" customFormat="1"/>
    <row r="2537" s="86" customFormat="1"/>
    <row r="2538" s="86" customFormat="1"/>
    <row r="2539" s="86" customFormat="1"/>
    <row r="2540" s="86" customFormat="1"/>
    <row r="2541" s="86" customFormat="1"/>
    <row r="2542" s="86" customFormat="1"/>
    <row r="2543" s="86" customFormat="1"/>
    <row r="2544" s="86" customFormat="1"/>
    <row r="2545" s="86" customFormat="1"/>
    <row r="2546" s="86" customFormat="1"/>
    <row r="2547" s="86" customFormat="1"/>
    <row r="2548" s="86" customFormat="1"/>
    <row r="2549" s="86" customFormat="1"/>
    <row r="2550" s="86" customFormat="1"/>
    <row r="2551" s="86" customFormat="1"/>
    <row r="2552" s="86" customFormat="1"/>
    <row r="2553" s="86" customFormat="1"/>
    <row r="2554" s="86" customFormat="1"/>
    <row r="2555" s="86" customFormat="1"/>
    <row r="2556" s="86" customFormat="1"/>
    <row r="2557" s="86" customFormat="1"/>
    <row r="2558" s="86" customFormat="1"/>
    <row r="2559" s="86" customFormat="1"/>
    <row r="2560" s="86" customFormat="1"/>
    <row r="2561" s="86" customFormat="1"/>
    <row r="2562" s="86" customFormat="1"/>
    <row r="2563" s="86" customFormat="1"/>
    <row r="2564" s="86" customFormat="1"/>
    <row r="2565" s="86" customFormat="1"/>
    <row r="2566" s="86" customFormat="1"/>
    <row r="2567" s="86" customFormat="1"/>
    <row r="2568" s="86" customFormat="1"/>
    <row r="2569" s="86" customFormat="1"/>
    <row r="2570" s="86" customFormat="1"/>
    <row r="2571" s="86" customFormat="1"/>
    <row r="2572" s="86" customFormat="1"/>
    <row r="2573" s="86" customFormat="1"/>
    <row r="2574" s="86" customFormat="1"/>
    <row r="2575" s="86" customFormat="1"/>
    <row r="2576" s="86" customFormat="1"/>
    <row r="2577" s="86" customFormat="1"/>
    <row r="2578" s="86" customFormat="1"/>
    <row r="2579" s="86" customFormat="1"/>
    <row r="2580" s="86" customFormat="1"/>
    <row r="2581" s="86" customFormat="1"/>
    <row r="2582" s="86" customFormat="1"/>
    <row r="2583" s="86" customFormat="1"/>
    <row r="2584" s="86" customFormat="1"/>
    <row r="2585" s="86" customFormat="1"/>
    <row r="2586" s="86" customFormat="1"/>
    <row r="2587" s="86" customFormat="1"/>
    <row r="2588" s="86" customFormat="1"/>
    <row r="2589" s="86" customFormat="1"/>
    <row r="2590" s="86" customFormat="1"/>
    <row r="2591" s="86" customFormat="1"/>
    <row r="2592" s="86" customFormat="1"/>
    <row r="2593" s="86" customFormat="1"/>
    <row r="2594" s="86" customFormat="1"/>
    <row r="2595" s="86" customFormat="1"/>
    <row r="2596" s="86" customFormat="1"/>
    <row r="2597" s="86" customFormat="1"/>
    <row r="2598" s="86" customFormat="1"/>
    <row r="2599" s="86" customFormat="1"/>
    <row r="2600" s="86" customFormat="1"/>
    <row r="2601" s="86" customFormat="1"/>
    <row r="2602" s="86" customFormat="1"/>
    <row r="2603" s="86" customFormat="1"/>
    <row r="2604" s="86" customFormat="1"/>
    <row r="2605" s="86" customFormat="1"/>
    <row r="2606" s="86" customFormat="1"/>
    <row r="2607" s="86" customFormat="1"/>
    <row r="2608" s="86" customFormat="1"/>
    <row r="2609" s="86" customFormat="1"/>
    <row r="2610" s="86" customFormat="1"/>
    <row r="2611" s="86" customFormat="1"/>
    <row r="2612" s="86" customFormat="1"/>
    <row r="2613" s="86" customFormat="1"/>
    <row r="2614" s="86" customFormat="1"/>
    <row r="2615" s="86" customFormat="1"/>
    <row r="2616" s="86" customFormat="1"/>
    <row r="2617" s="86" customFormat="1"/>
    <row r="2618" s="86" customFormat="1"/>
    <row r="2619" s="86" customFormat="1"/>
    <row r="2620" s="86" customFormat="1"/>
    <row r="2621" s="86" customFormat="1"/>
    <row r="2622" s="86" customFormat="1"/>
    <row r="2623" s="86" customFormat="1"/>
    <row r="2624" s="86" customFormat="1"/>
    <row r="2625" s="86" customFormat="1"/>
    <row r="2626" s="86" customFormat="1"/>
    <row r="2627" s="86" customFormat="1"/>
    <row r="2628" s="86" customFormat="1"/>
    <row r="2629" s="86" customFormat="1"/>
    <row r="2630" s="86" customFormat="1"/>
    <row r="2631" s="86" customFormat="1"/>
    <row r="2632" s="86" customFormat="1"/>
    <row r="2633" s="86" customFormat="1"/>
    <row r="2634" s="86" customFormat="1"/>
    <row r="2635" s="86" customFormat="1"/>
    <row r="2636" s="86" customFormat="1"/>
    <row r="2637" s="86" customFormat="1"/>
    <row r="2638" s="86" customFormat="1"/>
    <row r="2639" s="86" customFormat="1"/>
    <row r="2640" s="86" customFormat="1"/>
    <row r="2641" s="86" customFormat="1"/>
    <row r="2642" s="86" customFormat="1"/>
    <row r="2643" s="86" customFormat="1"/>
    <row r="2644" s="86" customFormat="1"/>
    <row r="2645" s="86" customFormat="1"/>
    <row r="2646" s="86" customFormat="1"/>
    <row r="2647" s="86" customFormat="1"/>
    <row r="2648" s="86" customFormat="1"/>
    <row r="2649" s="86" customFormat="1"/>
    <row r="2650" s="86" customFormat="1"/>
    <row r="2651" s="86" customFormat="1"/>
    <row r="2652" s="86" customFormat="1"/>
    <row r="2653" s="86" customFormat="1"/>
    <row r="2654" s="86" customFormat="1"/>
    <row r="2655" s="86" customFormat="1"/>
    <row r="2656" s="86" customFormat="1"/>
    <row r="2657" s="86" customFormat="1"/>
    <row r="2658" s="86" customFormat="1"/>
    <row r="2659" s="86" customFormat="1"/>
    <row r="2660" s="86" customFormat="1"/>
    <row r="2661" s="86" customFormat="1"/>
    <row r="2662" s="86" customFormat="1"/>
    <row r="2663" s="86" customFormat="1"/>
    <row r="2664" s="86" customFormat="1"/>
    <row r="2665" s="86" customFormat="1"/>
    <row r="2666" s="86" customFormat="1"/>
    <row r="2667" s="86" customFormat="1"/>
    <row r="2668" s="86" customFormat="1"/>
    <row r="2669" s="86" customFormat="1"/>
    <row r="2670" s="86" customFormat="1"/>
    <row r="2671" s="86" customFormat="1"/>
    <row r="2672" s="86" customFormat="1"/>
    <row r="2673" s="86" customFormat="1"/>
    <row r="2674" s="86" customFormat="1"/>
    <row r="2675" s="86" customFormat="1"/>
    <row r="2676" s="86" customFormat="1"/>
    <row r="2677" s="86" customFormat="1"/>
    <row r="2678" s="86" customFormat="1"/>
    <row r="2679" s="86" customFormat="1"/>
    <row r="2680" s="86" customFormat="1"/>
    <row r="2681" s="86" customFormat="1"/>
    <row r="2682" s="86" customFormat="1"/>
    <row r="2683" s="86" customFormat="1"/>
    <row r="2684" s="86" customFormat="1"/>
    <row r="2685" s="86" customFormat="1"/>
    <row r="2686" s="86" customFormat="1"/>
    <row r="2687" s="86" customFormat="1"/>
    <row r="2688" s="86" customFormat="1"/>
    <row r="2689" s="86" customFormat="1"/>
    <row r="2690" s="86" customFormat="1"/>
    <row r="2691" s="86" customFormat="1"/>
    <row r="2692" s="86" customFormat="1"/>
    <row r="2693" s="86" customFormat="1"/>
    <row r="2694" s="86" customFormat="1"/>
    <row r="2695" s="86" customFormat="1"/>
    <row r="2696" s="86" customFormat="1"/>
    <row r="2697" s="86" customFormat="1"/>
    <row r="2698" s="86" customFormat="1"/>
    <row r="2699" s="86" customFormat="1"/>
    <row r="2700" s="86" customFormat="1"/>
    <row r="2701" s="86" customFormat="1"/>
    <row r="2702" s="86" customFormat="1"/>
    <row r="2703" s="86" customFormat="1"/>
    <row r="2704" s="86" customFormat="1"/>
    <row r="2705" s="86" customFormat="1"/>
    <row r="2706" s="86" customFormat="1"/>
    <row r="2707" s="86" customFormat="1"/>
    <row r="2708" s="86" customFormat="1"/>
    <row r="2709" s="86" customFormat="1"/>
    <row r="2710" s="86" customFormat="1"/>
    <row r="2711" s="86" customFormat="1"/>
    <row r="2712" s="86" customFormat="1"/>
    <row r="2713" s="86" customFormat="1"/>
    <row r="2714" s="86" customFormat="1"/>
    <row r="2715" s="86" customFormat="1"/>
    <row r="2716" s="86" customFormat="1"/>
    <row r="2717" s="86" customFormat="1"/>
    <row r="2718" s="86" customFormat="1"/>
    <row r="2719" s="86" customFormat="1"/>
    <row r="2720" s="86" customFormat="1"/>
    <row r="2721" s="86" customFormat="1"/>
    <row r="2722" s="86" customFormat="1"/>
    <row r="2723" s="86" customFormat="1"/>
    <row r="2724" s="86" customFormat="1"/>
    <row r="2725" s="86" customFormat="1"/>
    <row r="2726" s="86" customFormat="1"/>
    <row r="2727" s="86" customFormat="1"/>
    <row r="2728" s="86" customFormat="1"/>
    <row r="2729" s="86" customFormat="1"/>
    <row r="2730" s="86" customFormat="1"/>
    <row r="2731" s="86" customFormat="1"/>
    <row r="2732" s="86" customFormat="1"/>
    <row r="2733" s="86" customFormat="1"/>
    <row r="2734" s="86" customFormat="1"/>
    <row r="2735" s="86" customFormat="1"/>
    <row r="2736" s="86" customFormat="1"/>
    <row r="2737" s="86" customFormat="1"/>
    <row r="2738" s="86" customFormat="1"/>
    <row r="2739" s="86" customFormat="1"/>
    <row r="2740" s="86" customFormat="1"/>
    <row r="2741" s="86" customFormat="1"/>
    <row r="2742" s="86" customFormat="1"/>
    <row r="2743" s="86" customFormat="1"/>
    <row r="2744" s="86" customFormat="1"/>
    <row r="2745" s="86" customFormat="1"/>
    <row r="2746" s="86" customFormat="1"/>
    <row r="2747" s="86" customFormat="1"/>
    <row r="2748" s="86" customFormat="1"/>
    <row r="2749" s="86" customFormat="1"/>
    <row r="2750" s="86" customFormat="1"/>
    <row r="2751" s="86" customFormat="1"/>
    <row r="2752" s="86" customFormat="1"/>
    <row r="2753" s="86" customFormat="1"/>
    <row r="2754" s="86" customFormat="1"/>
    <row r="2755" s="86" customFormat="1"/>
    <row r="2756" s="86" customFormat="1"/>
    <row r="2757" s="86" customFormat="1"/>
    <row r="2758" s="86" customFormat="1"/>
    <row r="2759" s="86" customFormat="1"/>
    <row r="2760" s="86" customFormat="1"/>
    <row r="2761" s="86" customFormat="1"/>
    <row r="2762" s="86" customFormat="1"/>
    <row r="2763" s="86" customFormat="1"/>
    <row r="2764" s="86" customFormat="1"/>
    <row r="2765" s="86" customFormat="1"/>
    <row r="2766" s="86" customFormat="1"/>
    <row r="2767" s="86" customFormat="1"/>
    <row r="2768" s="86" customFormat="1"/>
    <row r="2769" s="86" customFormat="1"/>
    <row r="2770" s="86" customFormat="1"/>
    <row r="2771" s="86" customFormat="1"/>
    <row r="2772" s="86" customFormat="1"/>
    <row r="2773" s="86" customFormat="1"/>
    <row r="2774" s="86" customFormat="1"/>
    <row r="2775" s="86" customFormat="1"/>
    <row r="2776" s="86" customFormat="1"/>
    <row r="2777" s="86" customFormat="1"/>
    <row r="2778" s="86" customFormat="1"/>
    <row r="2779" s="86" customFormat="1"/>
    <row r="2780" s="86" customFormat="1"/>
    <row r="2781" s="86" customFormat="1"/>
    <row r="2782" s="86" customFormat="1"/>
    <row r="2783" s="86" customFormat="1"/>
    <row r="2784" s="86" customFormat="1"/>
    <row r="2785" s="86" customFormat="1"/>
    <row r="2786" s="86" customFormat="1"/>
    <row r="2787" s="86" customFormat="1"/>
    <row r="2788" s="86" customFormat="1"/>
    <row r="2789" s="86" customFormat="1"/>
    <row r="2790" s="86" customFormat="1"/>
    <row r="2791" s="86" customFormat="1"/>
    <row r="2792" s="86" customFormat="1"/>
    <row r="2793" s="86" customFormat="1"/>
    <row r="2794" s="86" customFormat="1"/>
    <row r="2795" s="86" customFormat="1"/>
    <row r="2796" s="86" customFormat="1"/>
    <row r="2797" s="86" customFormat="1"/>
    <row r="2798" s="86" customFormat="1"/>
    <row r="2799" s="86" customFormat="1"/>
    <row r="2800" s="86" customFormat="1"/>
    <row r="2801" s="86" customFormat="1"/>
    <row r="2802" s="86" customFormat="1"/>
    <row r="2803" s="86" customFormat="1"/>
    <row r="2804" s="86" customFormat="1"/>
    <row r="2805" s="86" customFormat="1"/>
    <row r="2806" s="86" customFormat="1"/>
    <row r="2807" s="86" customFormat="1"/>
    <row r="2808" s="86" customFormat="1"/>
    <row r="2809" s="86" customFormat="1"/>
    <row r="2810" s="86" customFormat="1"/>
    <row r="2811" s="86" customFormat="1"/>
    <row r="2812" s="86" customFormat="1"/>
    <row r="2813" s="86" customFormat="1"/>
    <row r="2814" s="86" customFormat="1"/>
    <row r="2815" s="86" customFormat="1"/>
    <row r="2816" s="86" customFormat="1"/>
    <row r="2817" s="86" customFormat="1"/>
    <row r="2818" s="86" customFormat="1"/>
    <row r="2819" s="86" customFormat="1"/>
    <row r="2820" s="86" customFormat="1"/>
    <row r="2821" s="86" customFormat="1"/>
    <row r="2822" s="86" customFormat="1"/>
    <row r="2823" s="86" customFormat="1"/>
    <row r="2824" s="86" customFormat="1"/>
    <row r="2825" s="86" customFormat="1"/>
    <row r="2826" s="86" customFormat="1"/>
    <row r="2827" s="86" customFormat="1"/>
    <row r="2828" s="86" customFormat="1"/>
    <row r="2829" s="86" customFormat="1"/>
    <row r="2830" s="86" customFormat="1"/>
    <row r="2831" s="86" customFormat="1"/>
    <row r="2832" s="86" customFormat="1"/>
    <row r="2833" s="86" customFormat="1"/>
    <row r="2834" s="86" customFormat="1"/>
    <row r="2835" s="86" customFormat="1"/>
    <row r="2836" s="86" customFormat="1"/>
    <row r="2837" s="86" customFormat="1"/>
    <row r="2838" s="86" customFormat="1"/>
    <row r="2839" s="86" customFormat="1"/>
    <row r="2840" s="86" customFormat="1"/>
    <row r="2841" s="86" customFormat="1"/>
    <row r="2842" s="86" customFormat="1"/>
    <row r="2843" s="86" customFormat="1"/>
    <row r="2844" s="86" customFormat="1"/>
    <row r="2845" s="86" customFormat="1"/>
    <row r="2846" s="86" customFormat="1"/>
    <row r="2847" s="86" customFormat="1"/>
    <row r="2848" s="86" customFormat="1"/>
    <row r="2849" s="86" customFormat="1"/>
    <row r="2850" s="86" customFormat="1"/>
    <row r="2851" s="86" customFormat="1"/>
    <row r="2852" s="86" customFormat="1"/>
    <row r="2853" s="86" customFormat="1"/>
    <row r="2854" s="86" customFormat="1"/>
    <row r="2855" s="86" customFormat="1"/>
    <row r="2856" s="86" customFormat="1"/>
    <row r="2857" s="86" customFormat="1"/>
    <row r="2858" s="86" customFormat="1"/>
    <row r="2859" s="86" customFormat="1"/>
    <row r="2860" s="86" customFormat="1"/>
    <row r="2861" s="86" customFormat="1"/>
    <row r="2862" s="86" customFormat="1"/>
    <row r="2863" s="86" customFormat="1"/>
    <row r="2864" s="86" customFormat="1"/>
    <row r="2865" s="86" customFormat="1"/>
    <row r="2866" s="86" customFormat="1"/>
    <row r="2867" s="86" customFormat="1"/>
    <row r="2868" s="86" customFormat="1"/>
    <row r="2869" s="86" customFormat="1"/>
    <row r="2870" s="86" customFormat="1"/>
    <row r="2871" s="86" customFormat="1"/>
    <row r="2872" s="86" customFormat="1"/>
    <row r="2873" s="86" customFormat="1"/>
    <row r="2874" s="86" customFormat="1"/>
    <row r="2875" s="86" customFormat="1"/>
    <row r="2876" s="86" customFormat="1"/>
    <row r="2877" s="86" customFormat="1"/>
    <row r="2878" s="86" customFormat="1"/>
    <row r="2879" s="86" customFormat="1"/>
    <row r="2880" s="86" customFormat="1"/>
    <row r="2881" s="86" customFormat="1"/>
    <row r="2882" s="86" customFormat="1"/>
    <row r="2883" s="86" customFormat="1"/>
    <row r="2884" s="86" customFormat="1"/>
    <row r="2885" s="86" customFormat="1"/>
    <row r="2886" s="86" customFormat="1"/>
    <row r="2887" s="86" customFormat="1"/>
    <row r="2888" s="86" customFormat="1"/>
    <row r="2889" s="86" customFormat="1"/>
    <row r="2890" s="86" customFormat="1"/>
    <row r="2891" s="86" customFormat="1"/>
    <row r="2892" s="86" customFormat="1"/>
    <row r="2893" s="86" customFormat="1"/>
    <row r="2894" s="86" customFormat="1"/>
    <row r="2895" s="86" customFormat="1"/>
    <row r="2896" s="86" customFormat="1"/>
    <row r="2897" s="86" customFormat="1"/>
    <row r="2898" s="86" customFormat="1"/>
    <row r="2899" s="86" customFormat="1"/>
    <row r="2900" s="86" customFormat="1"/>
    <row r="2901" s="86" customFormat="1"/>
    <row r="2902" s="86" customFormat="1"/>
    <row r="2903" s="86" customFormat="1"/>
    <row r="2904" s="86" customFormat="1"/>
    <row r="2905" s="86" customFormat="1"/>
    <row r="2906" s="86" customFormat="1"/>
    <row r="2907" s="86" customFormat="1"/>
    <row r="2908" s="86" customFormat="1"/>
    <row r="2909" s="86" customFormat="1"/>
    <row r="2910" s="86" customFormat="1"/>
    <row r="2911" s="86" customFormat="1"/>
    <row r="2912" s="86" customFormat="1"/>
    <row r="2913" s="86" customFormat="1"/>
    <row r="2914" s="86" customFormat="1"/>
    <row r="2915" s="86" customFormat="1"/>
    <row r="2916" s="86" customFormat="1"/>
    <row r="2917" s="86" customFormat="1"/>
    <row r="2918" s="86" customFormat="1"/>
    <row r="2919" s="86" customFormat="1"/>
    <row r="2920" s="86" customFormat="1"/>
    <row r="2921" s="86" customFormat="1"/>
    <row r="2922" s="86" customFormat="1"/>
    <row r="2923" s="86" customFormat="1"/>
    <row r="2924" s="86" customFormat="1"/>
    <row r="2925" s="86" customFormat="1"/>
    <row r="2926" s="86" customFormat="1"/>
    <row r="2927" s="86" customFormat="1"/>
    <row r="2928" s="86" customFormat="1"/>
    <row r="2929" s="86" customFormat="1"/>
    <row r="2930" s="86" customFormat="1"/>
    <row r="2931" s="86" customFormat="1"/>
    <row r="2932" s="86" customFormat="1"/>
    <row r="2933" s="86" customFormat="1"/>
    <row r="2934" s="86" customFormat="1"/>
    <row r="2935" s="86" customFormat="1"/>
    <row r="2936" s="86" customFormat="1"/>
    <row r="2937" s="86" customFormat="1"/>
    <row r="2938" s="86" customFormat="1"/>
    <row r="2939" s="86" customFormat="1"/>
    <row r="2940" s="86" customFormat="1"/>
    <row r="2941" s="86" customFormat="1"/>
    <row r="2942" s="86" customFormat="1"/>
    <row r="2943" s="86" customFormat="1"/>
    <row r="2944" s="86" customFormat="1"/>
    <row r="2945" s="86" customFormat="1"/>
    <row r="2946" s="86" customFormat="1"/>
    <row r="2947" s="86" customFormat="1"/>
    <row r="2948" s="86" customFormat="1"/>
    <row r="2949" s="86" customFormat="1"/>
    <row r="2950" s="86" customFormat="1"/>
    <row r="2951" s="86" customFormat="1"/>
    <row r="2952" s="86" customFormat="1"/>
    <row r="2953" s="86" customFormat="1"/>
    <row r="2954" s="86" customFormat="1"/>
    <row r="2955" s="86" customFormat="1"/>
    <row r="2956" s="86" customFormat="1"/>
    <row r="2957" s="86" customFormat="1"/>
    <row r="2958" s="86" customFormat="1"/>
    <row r="2959" s="86" customFormat="1"/>
    <row r="2960" s="86" customFormat="1"/>
  </sheetData>
  <sheetProtection password="B4B1" sheet="1"/>
  <protectedRanges>
    <protectedRange sqref="D2 D3 D4 D5 E5 F5 F3 J5 A8:E32 A63:M75 D77:D124" name="DESBLOQUEADAS"/>
    <protectedRange password="B4B1" sqref="A1:A5 A7:F7 E4:F4 F2 J2:M4 J7 F8:F32 J25:M30 A62 D76:E76 A76:A124" name="bloqueadas"/>
  </protectedRanges>
  <customSheetViews>
    <customSheetView guid="{0F6C7FCE-20BD-4B57-B04C-CA521EC9CEDE}" scale="85" hiddenRows="1" hiddenColumns="1">
      <selection activeCell="D2" sqref="D2:E5"/>
      <pageMargins left="0" right="0" top="0" bottom="0" header="0" footer="0"/>
      <printOptions horizontalCentered="1"/>
      <pageSetup paperSize="5" orientation="landscape" r:id="rId1"/>
      <headerFooter alignWithMargins="0"/>
    </customSheetView>
  </customSheetViews>
  <mergeCells count="38">
    <mergeCell ref="E76:M76"/>
    <mergeCell ref="F2:H2"/>
    <mergeCell ref="F3:H3"/>
    <mergeCell ref="L25:M27"/>
    <mergeCell ref="J7:M24"/>
    <mergeCell ref="A67:M67"/>
    <mergeCell ref="D6:E6"/>
    <mergeCell ref="J2:M2"/>
    <mergeCell ref="A2:B2"/>
    <mergeCell ref="A74:M74"/>
    <mergeCell ref="A75:M75"/>
    <mergeCell ref="A68:M68"/>
    <mergeCell ref="A69:M69"/>
    <mergeCell ref="A70:M70"/>
    <mergeCell ref="A71:M71"/>
    <mergeCell ref="A72:M72"/>
    <mergeCell ref="A1:M1"/>
    <mergeCell ref="A66:M66"/>
    <mergeCell ref="G6:H6"/>
    <mergeCell ref="D3:E3"/>
    <mergeCell ref="A61:F61"/>
    <mergeCell ref="A63:M63"/>
    <mergeCell ref="A64:M64"/>
    <mergeCell ref="A65:M65"/>
    <mergeCell ref="D2:E2"/>
    <mergeCell ref="G4:H4"/>
    <mergeCell ref="A62:M62"/>
    <mergeCell ref="A6:B6"/>
    <mergeCell ref="G33:H33"/>
    <mergeCell ref="A73:M73"/>
    <mergeCell ref="I2:I3"/>
    <mergeCell ref="I4:I5"/>
    <mergeCell ref="J28:K30"/>
    <mergeCell ref="L28:M30"/>
    <mergeCell ref="J4:M4"/>
    <mergeCell ref="J5:M5"/>
    <mergeCell ref="J25:K27"/>
    <mergeCell ref="J3:M3"/>
  </mergeCells>
  <phoneticPr fontId="2" type="noConversion"/>
  <conditionalFormatting sqref="G8:H32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111:C240" xr:uid="{00000000-0002-0000-0000-000000000000}">
      <formula1>metro</formula1>
    </dataValidation>
    <dataValidation type="list" showInputMessage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2"/>
  <headerFooter alignWithMargins="0"/>
  <ignoredErrors>
    <ignoredError sqref="G34" unlockedFormula="1"/>
    <ignoredError sqref="F34" evalError="1" unlocked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9"/>
  <sheetViews>
    <sheetView workbookViewId="0">
      <selection activeCell="A4" sqref="A4:A5"/>
    </sheetView>
  </sheetViews>
  <sheetFormatPr defaultColWidth="11.42578125" defaultRowHeight="12.75"/>
  <sheetData>
    <row r="1" spans="1:5">
      <c r="A1" t="s">
        <v>88</v>
      </c>
      <c r="B1" s="3" t="s">
        <v>88</v>
      </c>
      <c r="D1" t="s">
        <v>89</v>
      </c>
      <c r="E1" t="s">
        <v>90</v>
      </c>
    </row>
    <row r="2" spans="1:5">
      <c r="A2" t="s">
        <v>90</v>
      </c>
      <c r="B2" s="4" t="s">
        <v>91</v>
      </c>
      <c r="D2" t="s">
        <v>92</v>
      </c>
      <c r="E2" s="231" t="s">
        <v>90</v>
      </c>
    </row>
    <row r="3" spans="1:5">
      <c r="A3" t="s">
        <v>93</v>
      </c>
      <c r="B3" s="5" t="s">
        <v>94</v>
      </c>
      <c r="D3" t="s">
        <v>95</v>
      </c>
      <c r="E3" s="1" t="s">
        <v>94</v>
      </c>
    </row>
    <row r="4" spans="1:5">
      <c r="A4" t="s">
        <v>96</v>
      </c>
      <c r="B4" s="4" t="s">
        <v>97</v>
      </c>
      <c r="D4" t="s">
        <v>98</v>
      </c>
      <c r="E4" s="2" t="s">
        <v>97</v>
      </c>
    </row>
    <row r="5" spans="1:5">
      <c r="A5" t="s">
        <v>99</v>
      </c>
      <c r="B5" s="4" t="s">
        <v>100</v>
      </c>
      <c r="E5" s="231" t="s">
        <v>101</v>
      </c>
    </row>
    <row r="6" spans="1:5">
      <c r="B6" s="4" t="s">
        <v>102</v>
      </c>
      <c r="E6" s="231" t="s">
        <v>103</v>
      </c>
    </row>
    <row r="7" spans="1:5">
      <c r="B7" s="4" t="s">
        <v>104</v>
      </c>
      <c r="E7" s="2" t="s">
        <v>105</v>
      </c>
    </row>
    <row r="8" spans="1:5">
      <c r="B8" s="4" t="s">
        <v>106</v>
      </c>
      <c r="E8" s="2" t="s">
        <v>107</v>
      </c>
    </row>
    <row r="9" spans="1:5">
      <c r="B9" s="4" t="s">
        <v>108</v>
      </c>
      <c r="E9" s="2" t="s">
        <v>109</v>
      </c>
    </row>
    <row r="10" spans="1:5">
      <c r="B10" s="4" t="s">
        <v>110</v>
      </c>
      <c r="E10" s="2" t="s">
        <v>111</v>
      </c>
    </row>
    <row r="11" spans="1:5">
      <c r="B11" s="4"/>
      <c r="E11" s="2"/>
    </row>
    <row r="12" spans="1:5">
      <c r="B12" s="4" t="s">
        <v>112</v>
      </c>
      <c r="E12" s="2"/>
    </row>
    <row r="13" spans="1:5">
      <c r="B13" t="s">
        <v>113</v>
      </c>
      <c r="E13" s="2"/>
    </row>
    <row r="14" spans="1:5">
      <c r="A14" t="s">
        <v>109</v>
      </c>
      <c r="B14" s="4" t="s">
        <v>109</v>
      </c>
      <c r="E14" s="2"/>
    </row>
    <row r="15" spans="1:5">
      <c r="B15" s="4" t="s">
        <v>114</v>
      </c>
      <c r="D15" t="s">
        <v>115</v>
      </c>
      <c r="E15" s="2"/>
    </row>
    <row r="16" spans="1:5">
      <c r="B16" s="4" t="s">
        <v>111</v>
      </c>
      <c r="E16" s="2"/>
    </row>
    <row r="17" spans="2:5">
      <c r="B17" s="4" t="s">
        <v>105</v>
      </c>
      <c r="E17" s="2"/>
    </row>
    <row r="18" spans="2:5">
      <c r="B18" s="4" t="s">
        <v>91</v>
      </c>
    </row>
    <row r="19" spans="2:5">
      <c r="B19" s="5" t="s">
        <v>116</v>
      </c>
    </row>
  </sheetData>
  <sheetProtection formatCells="0" formatColumns="0" formatRows="0" insertColumns="0" insertRows="0" insertHyperlinks="0" deleteColumns="0" deleteRows="0" sort="0" autoFilter="0" pivotTables="0"/>
  <dataConsolidate function="varp"/>
  <customSheetViews>
    <customSheetView guid="{0F6C7FCE-20BD-4B57-B04C-CA521EC9CEDE}" state="hidden">
      <selection activeCell="A4" sqref="A4:A5"/>
      <pageMargins left="0" right="0" top="0" bottom="0" header="0" footer="0"/>
      <pageSetup paperSize="9" orientation="portrait" horizontalDpi="200" verticalDpi="200" r:id="rId1"/>
    </customSheetView>
  </customSheetViews>
  <dataValidations count="2">
    <dataValidation type="list" allowBlank="1" showInputMessage="1" showErrorMessage="1" sqref="H2" xr:uid="{00000000-0002-0000-0100-000000000000}">
      <formula1>"METRO"</formula1>
    </dataValidation>
    <dataValidation type="list" allowBlank="1" showInputMessage="1" showErrorMessage="1" sqref="H3:H19" xr:uid="{00000000-0002-0000-0100-000001000000}">
      <formula1>$B$2:$B$18</formula1>
    </dataValidation>
  </dataValidations>
  <pageMargins left="0.7" right="0.7" top="0.75" bottom="0.75" header="0.3" footer="0.3"/>
  <pageSetup paperSize="9"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S172"/>
  <sheetViews>
    <sheetView tabSelected="1" zoomScale="86" zoomScaleNormal="86" workbookViewId="0">
      <selection activeCell="L9" sqref="L9"/>
    </sheetView>
  </sheetViews>
  <sheetFormatPr defaultColWidth="11.42578125" defaultRowHeight="12.75"/>
  <cols>
    <col min="1" max="1" width="34.42578125" customWidth="1"/>
    <col min="2" max="2" width="16.5703125" customWidth="1"/>
    <col min="3" max="3" width="13.140625" customWidth="1"/>
    <col min="4" max="4" width="16.7109375" customWidth="1"/>
    <col min="5" max="5" width="9.7109375" customWidth="1"/>
    <col min="6" max="6" width="11.5703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</cols>
  <sheetData>
    <row r="1" spans="1:24" ht="35.25" customHeight="1">
      <c r="A1" s="28" t="str">
        <f>consumos!A2</f>
        <v>DOCENTE ENCARGADO</v>
      </c>
      <c r="B1" s="28" t="str">
        <f>consumos!A3</f>
        <v>NOMBRE DEL PRODUCTO</v>
      </c>
      <c r="C1" s="35" t="str">
        <f>consumos!G4</f>
        <v>NUMERO DE FICHA</v>
      </c>
      <c r="D1" s="83" t="str">
        <f>consumos!F2</f>
        <v>CURSO/TECNICO</v>
      </c>
      <c r="E1" s="37"/>
      <c r="F1" s="37"/>
      <c r="G1" s="32"/>
      <c r="H1" s="183" t="s">
        <v>117</v>
      </c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5"/>
    </row>
    <row r="2" spans="1:24" ht="35.25" customHeight="1">
      <c r="A2" s="36" t="str">
        <f>consumos!D2</f>
        <v>Maribel Gil</v>
      </c>
      <c r="B2" s="36" t="str">
        <f>consumos!D3</f>
        <v>lonchera 001 textil</v>
      </c>
      <c r="C2" s="36" t="str">
        <f>consumos!F5</f>
        <v>celda de pcc</v>
      </c>
      <c r="D2" s="36" t="str">
        <f>consumos!F3</f>
        <v>marroqunería</v>
      </c>
      <c r="E2" s="38"/>
      <c r="F2" s="38">
        <f>consumos!E5</f>
        <v>43498846</v>
      </c>
      <c r="G2" s="32"/>
      <c r="H2" s="186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8"/>
    </row>
    <row r="3" spans="1:24" ht="43.5" customHeight="1">
      <c r="A3" s="29" t="s">
        <v>118</v>
      </c>
      <c r="B3" s="30" t="s">
        <v>119</v>
      </c>
      <c r="C3" s="29" t="s">
        <v>120</v>
      </c>
      <c r="D3" s="47" t="s">
        <v>121</v>
      </c>
      <c r="E3" s="47" t="s">
        <v>122</v>
      </c>
      <c r="F3" s="31" t="s">
        <v>15</v>
      </c>
      <c r="G3" s="32"/>
      <c r="H3" s="81" t="s">
        <v>123</v>
      </c>
      <c r="I3" s="82"/>
      <c r="J3" s="82" t="s">
        <v>124</v>
      </c>
      <c r="K3" s="83">
        <v>1</v>
      </c>
      <c r="L3" s="83">
        <v>2</v>
      </c>
      <c r="M3" s="83">
        <v>3</v>
      </c>
      <c r="N3" s="83">
        <v>4</v>
      </c>
      <c r="O3" s="83">
        <v>5</v>
      </c>
      <c r="P3" s="83">
        <v>6</v>
      </c>
      <c r="Q3" s="83">
        <v>7</v>
      </c>
      <c r="R3" s="83">
        <v>8</v>
      </c>
      <c r="S3" s="83">
        <v>9</v>
      </c>
      <c r="T3" s="83">
        <v>10</v>
      </c>
      <c r="U3" s="49" t="s">
        <v>38</v>
      </c>
      <c r="V3" s="49" t="s">
        <v>125</v>
      </c>
      <c r="W3" s="49" t="s">
        <v>124</v>
      </c>
      <c r="X3" s="49" t="s">
        <v>123</v>
      </c>
    </row>
    <row r="4" spans="1:24">
      <c r="A4" s="52" t="str">
        <f>consumos!A34</f>
        <v>Lona Sintetica Colores  (cm²)</v>
      </c>
      <c r="B4" s="53">
        <f>consumos!D8</f>
        <v>0</v>
      </c>
      <c r="C4" s="55">
        <f>consumos!E8</f>
        <v>3200</v>
      </c>
      <c r="D4" s="80">
        <f>consumos!E8*consumos!J5</f>
        <v>48000</v>
      </c>
      <c r="E4" s="80">
        <f>MEDIDAS!C21</f>
        <v>22.068965517241381</v>
      </c>
      <c r="F4" s="56">
        <f>consumos!H8</f>
        <v>31680</v>
      </c>
      <c r="G4" s="57"/>
      <c r="H4" s="54">
        <f t="shared" ref="H4:H28" si="0">IF(I4&gt;D4,(FALSE),I4)</f>
        <v>0</v>
      </c>
      <c r="I4" s="58">
        <f t="shared" ref="I4:I28" si="1">(K4+L4+M4+N4+O4+P4+Q4+R4+S4+T4)</f>
        <v>0</v>
      </c>
      <c r="J4" s="59">
        <f t="shared" ref="J4:J28" si="2">D4-(K4+L4+M4+N4+O4+P4+Q4+R4+S4+T4)</f>
        <v>48000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  <c r="R4" s="50">
        <v>0</v>
      </c>
      <c r="S4" s="50">
        <v>0</v>
      </c>
      <c r="T4" s="50">
        <v>0</v>
      </c>
      <c r="U4" s="48" t="str">
        <f>consumos!A77</f>
        <v>Aguja Corta Cabo Delgada  (unidad)</v>
      </c>
      <c r="V4" s="34">
        <f>IF(consumos!D77&lt;0,(1),consumos!D77)</f>
        <v>0</v>
      </c>
      <c r="W4" s="33">
        <f>V4-X4</f>
        <v>0</v>
      </c>
      <c r="X4" s="27">
        <v>0</v>
      </c>
    </row>
    <row r="5" spans="1:24">
      <c r="A5" s="52" t="str">
        <f>consumos!A35</f>
        <v>Seda 30-100 Colores  (cm²)</v>
      </c>
      <c r="B5" s="53">
        <f>consumos!D9</f>
        <v>0</v>
      </c>
      <c r="C5" s="55">
        <f>consumos!E9</f>
        <v>3500</v>
      </c>
      <c r="D5" s="80">
        <f>consumos!E9*consumos!J5</f>
        <v>52500</v>
      </c>
      <c r="E5" s="80">
        <f>MEDIDAS!C22</f>
        <v>24.137931034482758</v>
      </c>
      <c r="F5" s="56">
        <f>consumos!H9</f>
        <v>26250</v>
      </c>
      <c r="G5" s="57"/>
      <c r="H5" s="54">
        <f t="shared" si="0"/>
        <v>0</v>
      </c>
      <c r="I5" s="58">
        <f t="shared" si="1"/>
        <v>0</v>
      </c>
      <c r="J5" s="59">
        <f t="shared" si="2"/>
        <v>52500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48" t="str">
        <f>consumos!A78</f>
        <v>Aguja Corta Cabo Grueso  (unidad)</v>
      </c>
      <c r="V5" s="34">
        <f>IF(consumos!D78&lt;0,(1),consumos!D78)</f>
        <v>10</v>
      </c>
      <c r="W5" s="33">
        <f>V5-X5</f>
        <v>10</v>
      </c>
      <c r="X5" s="27">
        <v>0</v>
      </c>
    </row>
    <row r="6" spans="1:24">
      <c r="A6" s="52" t="str">
        <f>consumos!A36</f>
        <v>Yumbolon 3mm  (cm²)</v>
      </c>
      <c r="B6" s="53">
        <f>consumos!D10</f>
        <v>0</v>
      </c>
      <c r="C6" s="55">
        <f>consumos!E10</f>
        <v>1300</v>
      </c>
      <c r="D6" s="80">
        <f>consumos!E10*consumos!J5</f>
        <v>19500</v>
      </c>
      <c r="E6" s="80">
        <f>MEDIDAS!C23</f>
        <v>8.9655172413793096</v>
      </c>
      <c r="F6" s="56">
        <f>consumos!H10</f>
        <v>4875</v>
      </c>
      <c r="G6" s="57"/>
      <c r="H6" s="54">
        <f t="shared" si="0"/>
        <v>0</v>
      </c>
      <c r="I6" s="58">
        <f t="shared" si="1"/>
        <v>0</v>
      </c>
      <c r="J6" s="59">
        <f t="shared" si="2"/>
        <v>19500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  <c r="R6" s="50">
        <v>0</v>
      </c>
      <c r="S6" s="50">
        <v>0</v>
      </c>
      <c r="T6" s="50">
        <v>0</v>
      </c>
      <c r="U6" s="48" t="str">
        <f>consumos!A79</f>
        <v>Bolsa Plastica Cargadera ( unidad)</v>
      </c>
      <c r="V6" s="34">
        <f>IF(consumos!D79&lt;0,(1),consumos!D79)</f>
        <v>0</v>
      </c>
      <c r="W6" s="33">
        <f t="shared" ref="W6:W51" si="3">V6-X6</f>
        <v>0</v>
      </c>
      <c r="X6" s="27">
        <v>0</v>
      </c>
    </row>
    <row r="7" spans="1:24">
      <c r="A7" s="52" t="str">
        <f>consumos!A37</f>
        <v>Cremallera Nylon #6(cm)</v>
      </c>
      <c r="B7" s="53">
        <f>consumos!D11</f>
        <v>0</v>
      </c>
      <c r="C7" s="55">
        <f>consumos!E11</f>
        <v>78</v>
      </c>
      <c r="D7" s="80">
        <f>consumos!E11*consumos!J5</f>
        <v>1170</v>
      </c>
      <c r="E7" s="80">
        <f>MEDIDAS!C24</f>
        <v>0.53793103448275859</v>
      </c>
      <c r="F7" s="56">
        <f>consumos!H11</f>
        <v>7020</v>
      </c>
      <c r="G7" s="57"/>
      <c r="H7" s="54">
        <f t="shared" si="0"/>
        <v>0</v>
      </c>
      <c r="I7" s="58">
        <f t="shared" si="1"/>
        <v>0</v>
      </c>
      <c r="J7" s="59">
        <f t="shared" si="2"/>
        <v>1170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48" t="str">
        <f>consumos!A80</f>
        <v>Bolsa plastica de 12*14 ( unidad)</v>
      </c>
      <c r="V7" s="34">
        <f>IF(consumos!D80&lt;0,(1),consumos!D80)</f>
        <v>0</v>
      </c>
      <c r="W7" s="33">
        <f t="shared" si="3"/>
        <v>0</v>
      </c>
      <c r="X7" s="27">
        <v>0</v>
      </c>
    </row>
    <row r="8" spans="1:24">
      <c r="A8" s="52" t="str">
        <f>consumos!A38</f>
        <v xml:space="preserve">llaves #6 Nq de lujo </v>
      </c>
      <c r="B8" s="53">
        <f>consumos!D12</f>
        <v>0</v>
      </c>
      <c r="C8" s="55">
        <f>consumos!E12</f>
        <v>2</v>
      </c>
      <c r="D8" s="80">
        <f>consumos!E12*consumos!J5</f>
        <v>30</v>
      </c>
      <c r="E8" s="80">
        <f>MEDIDAS!C25</f>
        <v>1.3793103448275862E-2</v>
      </c>
      <c r="F8" s="56">
        <f>consumos!H12</f>
        <v>9000</v>
      </c>
      <c r="G8" s="57"/>
      <c r="H8" s="54">
        <f t="shared" si="0"/>
        <v>30</v>
      </c>
      <c r="I8" s="58">
        <f t="shared" si="1"/>
        <v>30</v>
      </c>
      <c r="J8" s="59">
        <f t="shared" si="2"/>
        <v>0</v>
      </c>
      <c r="K8" s="50">
        <v>0</v>
      </c>
      <c r="L8" s="50">
        <v>30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48" t="str">
        <f>consumos!A81</f>
        <v>Bolsa Plastica de 15*22 ( unidad)</v>
      </c>
      <c r="V8" s="34">
        <f>IF(consumos!D81&lt;0,(1),consumos!D81)</f>
        <v>0</v>
      </c>
      <c r="W8" s="33">
        <f t="shared" si="3"/>
        <v>0</v>
      </c>
      <c r="X8" s="27">
        <v>0</v>
      </c>
    </row>
    <row r="9" spans="1:24">
      <c r="A9" s="52" t="str">
        <f>consumos!A39</f>
        <v xml:space="preserve">trabilla 1"¼ pb </v>
      </c>
      <c r="B9" s="53" t="str">
        <f>consumos!D13</f>
        <v>jordao</v>
      </c>
      <c r="C9" s="55">
        <f>consumos!E13</f>
        <v>1</v>
      </c>
      <c r="D9" s="80">
        <f>consumos!E13*consumos!J5</f>
        <v>15</v>
      </c>
      <c r="E9" s="80">
        <f>MEDIDAS!C26</f>
        <v>6.8965517241379309E-3</v>
      </c>
      <c r="F9" s="56">
        <f>consumos!H13</f>
        <v>1500</v>
      </c>
      <c r="G9" s="57"/>
      <c r="H9" s="54">
        <f t="shared" si="0"/>
        <v>15</v>
      </c>
      <c r="I9" s="58">
        <f t="shared" si="1"/>
        <v>15</v>
      </c>
      <c r="J9" s="59">
        <f t="shared" si="2"/>
        <v>0</v>
      </c>
      <c r="K9" s="50">
        <v>0</v>
      </c>
      <c r="L9" s="50">
        <v>15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48" t="str">
        <f>consumos!A82</f>
        <v>Cambre de 100gr   (cm²)</v>
      </c>
      <c r="V9" s="34">
        <f>IF(consumos!D82&lt;0,(1),consumos!D82)</f>
        <v>0</v>
      </c>
      <c r="W9" s="33">
        <f t="shared" si="3"/>
        <v>0</v>
      </c>
      <c r="X9" s="27">
        <v>0</v>
      </c>
    </row>
    <row r="10" spans="1:24">
      <c r="A10" s="52" t="str">
        <f>consumos!A40</f>
        <v xml:space="preserve">cuadrante 1" ¼ niquel </v>
      </c>
      <c r="B10" s="53" t="str">
        <f>consumos!D14</f>
        <v>jordao</v>
      </c>
      <c r="C10" s="55">
        <f>consumos!E14</f>
        <v>1</v>
      </c>
      <c r="D10" s="80">
        <f>consumos!E14*consumos!J5</f>
        <v>15</v>
      </c>
      <c r="E10" s="80">
        <f>MEDIDAS!C27</f>
        <v>6.8965517241379309E-3</v>
      </c>
      <c r="F10" s="56">
        <f>consumos!H14</f>
        <v>1200</v>
      </c>
      <c r="G10" s="57"/>
      <c r="H10" s="54">
        <f t="shared" si="0"/>
        <v>15</v>
      </c>
      <c r="I10" s="58">
        <f t="shared" si="1"/>
        <v>15</v>
      </c>
      <c r="J10" s="59">
        <f t="shared" si="2"/>
        <v>0</v>
      </c>
      <c r="K10" s="50">
        <v>0</v>
      </c>
      <c r="L10" s="50">
        <v>15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48" t="str">
        <f>consumos!A83</f>
        <v>Carton Corrugado (pliego)</v>
      </c>
      <c r="V10" s="34">
        <f>IF(consumos!D83&lt;0,(1),consumos!D83)</f>
        <v>0</v>
      </c>
      <c r="W10" s="33">
        <f t="shared" si="3"/>
        <v>0</v>
      </c>
      <c r="X10" s="27">
        <v>0</v>
      </c>
    </row>
    <row r="11" spans="1:24">
      <c r="A11" s="52" t="str">
        <f>consumos!A41</f>
        <v>Reata sintetica 1 1/4"-33mm (cm)</v>
      </c>
      <c r="B11" s="53">
        <f>consumos!D15</f>
        <v>0</v>
      </c>
      <c r="C11" s="55">
        <f>consumos!E15</f>
        <v>222</v>
      </c>
      <c r="D11" s="80">
        <f>consumos!E15*consumos!J5</f>
        <v>3330</v>
      </c>
      <c r="E11" s="80">
        <f>MEDIDAS!C28</f>
        <v>1.5310344827586206</v>
      </c>
      <c r="F11" s="56">
        <f>consumos!H15</f>
        <v>133200</v>
      </c>
      <c r="G11" s="57"/>
      <c r="H11" s="54">
        <f t="shared" si="0"/>
        <v>0</v>
      </c>
      <c r="I11" s="58">
        <f t="shared" si="1"/>
        <v>0</v>
      </c>
      <c r="J11" s="59">
        <f t="shared" si="2"/>
        <v>3330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48" t="str">
        <f>consumos!A84</f>
        <v>Carton duplex  (pliego)</v>
      </c>
      <c r="V11" s="34">
        <f>IF(consumos!D84&lt;0,(1),consumos!D84)</f>
        <v>0</v>
      </c>
      <c r="W11" s="33">
        <f t="shared" si="3"/>
        <v>0</v>
      </c>
      <c r="X11" s="27">
        <v>0</v>
      </c>
    </row>
    <row r="12" spans="1:24">
      <c r="A12" s="52">
        <f>consumos!A42</f>
        <v>0</v>
      </c>
      <c r="B12" s="53">
        <f>consumos!D16</f>
        <v>0</v>
      </c>
      <c r="C12" s="55">
        <f>consumos!E16</f>
        <v>0</v>
      </c>
      <c r="D12" s="80">
        <f>consumos!E16*consumos!J5</f>
        <v>0</v>
      </c>
      <c r="E12" s="80">
        <f>MEDIDAS!C29</f>
        <v>0</v>
      </c>
      <c r="F12" s="56">
        <f>consumos!H16</f>
        <v>0</v>
      </c>
      <c r="G12" s="57"/>
      <c r="H12" s="54">
        <f t="shared" si="0"/>
        <v>0</v>
      </c>
      <c r="I12" s="58">
        <f t="shared" si="1"/>
        <v>0</v>
      </c>
      <c r="J12" s="59">
        <f t="shared" si="2"/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48" t="str">
        <f>consumos!A85</f>
        <v>Carton Paja (pliego)</v>
      </c>
      <c r="V12" s="34">
        <f>IF(consumos!D85&lt;0,(1),consumos!D85)</f>
        <v>0</v>
      </c>
      <c r="W12" s="33">
        <f t="shared" si="3"/>
        <v>0</v>
      </c>
      <c r="X12" s="27">
        <v>0</v>
      </c>
    </row>
    <row r="13" spans="1:24">
      <c r="A13" s="52">
        <f>consumos!A43</f>
        <v>0</v>
      </c>
      <c r="B13" s="53">
        <f>consumos!D17</f>
        <v>0</v>
      </c>
      <c r="C13" s="55">
        <f>consumos!E17</f>
        <v>0</v>
      </c>
      <c r="D13" s="80">
        <f>consumos!E17*consumos!J5</f>
        <v>0</v>
      </c>
      <c r="E13" s="80">
        <f>MEDIDAS!C30</f>
        <v>0</v>
      </c>
      <c r="F13" s="56">
        <f>consumos!H17</f>
        <v>0</v>
      </c>
      <c r="G13" s="57"/>
      <c r="H13" s="54">
        <f t="shared" si="0"/>
        <v>0</v>
      </c>
      <c r="I13" s="58">
        <f t="shared" si="1"/>
        <v>0</v>
      </c>
      <c r="J13" s="59">
        <f t="shared" si="2"/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48" t="str">
        <f>consumos!A86</f>
        <v>Cartulina  (pliego)</v>
      </c>
      <c r="V13" s="34">
        <f>IF(consumos!D86&lt;0,(1),consumos!D86)</f>
        <v>4</v>
      </c>
      <c r="W13" s="33">
        <f t="shared" si="3"/>
        <v>4</v>
      </c>
      <c r="X13" s="27">
        <v>0</v>
      </c>
    </row>
    <row r="14" spans="1:24">
      <c r="A14" s="52">
        <f>consumos!A44</f>
        <v>0</v>
      </c>
      <c r="B14" s="53">
        <f>consumos!D18</f>
        <v>0</v>
      </c>
      <c r="C14" s="55">
        <f>consumos!E18</f>
        <v>0</v>
      </c>
      <c r="D14" s="80">
        <f>consumos!E18*consumos!J5</f>
        <v>0</v>
      </c>
      <c r="E14" s="80">
        <f>MEDIDAS!C31</f>
        <v>0</v>
      </c>
      <c r="F14" s="56">
        <f>consumos!H18</f>
        <v>0</v>
      </c>
      <c r="G14" s="57"/>
      <c r="H14" s="54">
        <f t="shared" si="0"/>
        <v>0</v>
      </c>
      <c r="I14" s="58">
        <f t="shared" si="1"/>
        <v>0</v>
      </c>
      <c r="J14" s="59">
        <f t="shared" si="2"/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48" t="str">
        <f>consumos!A87</f>
        <v>Cinta de Enmascarar de 2"  (unidad)</v>
      </c>
      <c r="V14" s="34">
        <f>IF(consumos!D87&lt;0,(1),consumos!D87)</f>
        <v>0</v>
      </c>
      <c r="W14" s="33">
        <f t="shared" si="3"/>
        <v>0</v>
      </c>
      <c r="X14" s="27">
        <v>0</v>
      </c>
    </row>
    <row r="15" spans="1:24">
      <c r="A15" s="52">
        <f>consumos!A45</f>
        <v>0</v>
      </c>
      <c r="B15" s="53">
        <f>consumos!D19</f>
        <v>0</v>
      </c>
      <c r="C15" s="55">
        <f>consumos!E19</f>
        <v>0</v>
      </c>
      <c r="D15" s="80">
        <f>consumos!E19*consumos!J5</f>
        <v>0</v>
      </c>
      <c r="E15" s="80">
        <f>MEDIDAS!C32</f>
        <v>0</v>
      </c>
      <c r="F15" s="56">
        <f>consumos!H19</f>
        <v>0</v>
      </c>
      <c r="G15" s="57"/>
      <c r="H15" s="54">
        <f t="shared" si="0"/>
        <v>0</v>
      </c>
      <c r="I15" s="58">
        <f t="shared" si="1"/>
        <v>0</v>
      </c>
      <c r="J15" s="59">
        <f t="shared" si="2"/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48" t="str">
        <f>consumos!A88</f>
        <v>Cinta de trasparente (unidad)</v>
      </c>
      <c r="V15" s="34">
        <f>IF(consumos!D88&lt;0,(1),consumos!D88)</f>
        <v>0</v>
      </c>
      <c r="W15" s="33">
        <f t="shared" si="3"/>
        <v>0</v>
      </c>
      <c r="X15" s="27">
        <v>0</v>
      </c>
    </row>
    <row r="16" spans="1:24">
      <c r="A16" s="52">
        <f>consumos!A46</f>
        <v>0</v>
      </c>
      <c r="B16" s="53">
        <f>consumos!D20</f>
        <v>0</v>
      </c>
      <c r="C16" s="55">
        <f>consumos!E20</f>
        <v>0</v>
      </c>
      <c r="D16" s="80">
        <f>consumos!E20*consumos!J5</f>
        <v>0</v>
      </c>
      <c r="E16" s="80">
        <f>MEDIDAS!C33</f>
        <v>0</v>
      </c>
      <c r="F16" s="56">
        <f>consumos!H20</f>
        <v>0</v>
      </c>
      <c r="G16" s="57"/>
      <c r="H16" s="54">
        <f t="shared" si="0"/>
        <v>0</v>
      </c>
      <c r="I16" s="58">
        <f t="shared" si="1"/>
        <v>0</v>
      </c>
      <c r="J16" s="59">
        <f t="shared" si="2"/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48" t="str">
        <f>consumos!A89</f>
        <v>Ecohalogenante para suelas</v>
      </c>
      <c r="V16" s="34">
        <f>IF(consumos!D89&lt;0,(1),consumos!D89)</f>
        <v>0</v>
      </c>
      <c r="W16" s="33">
        <f t="shared" si="3"/>
        <v>0</v>
      </c>
      <c r="X16" s="27">
        <v>0</v>
      </c>
    </row>
    <row r="17" spans="1:45">
      <c r="A17" s="52">
        <f>consumos!A47</f>
        <v>0</v>
      </c>
      <c r="B17" s="53">
        <f>consumos!D21</f>
        <v>0</v>
      </c>
      <c r="C17" s="55">
        <f>consumos!E21</f>
        <v>0</v>
      </c>
      <c r="D17" s="80">
        <f>consumos!E21*consumos!J5</f>
        <v>0</v>
      </c>
      <c r="E17" s="80">
        <f>MEDIDAS!C34</f>
        <v>0</v>
      </c>
      <c r="F17" s="56">
        <f>consumos!H21</f>
        <v>0</v>
      </c>
      <c r="G17" s="57"/>
      <c r="H17" s="54">
        <f t="shared" si="0"/>
        <v>0</v>
      </c>
      <c r="I17" s="58">
        <f t="shared" si="1"/>
        <v>0</v>
      </c>
      <c r="J17" s="59">
        <f t="shared" si="2"/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48" t="str">
        <f>consumos!A90</f>
        <v>Ecolimpiador para suelas</v>
      </c>
      <c r="V17" s="34">
        <f>IF(consumos!D90&lt;0,(1),consumos!D90)</f>
        <v>0</v>
      </c>
      <c r="W17" s="33">
        <f t="shared" si="3"/>
        <v>0</v>
      </c>
      <c r="X17" s="27">
        <v>0</v>
      </c>
    </row>
    <row r="18" spans="1:45" ht="12.75" customHeight="1">
      <c r="A18" s="52">
        <f>consumos!A48</f>
        <v>0</v>
      </c>
      <c r="B18" s="53">
        <f>consumos!D22</f>
        <v>0</v>
      </c>
      <c r="C18" s="55">
        <f>consumos!E22</f>
        <v>0</v>
      </c>
      <c r="D18" s="80">
        <f>consumos!E22*consumos!J5</f>
        <v>0</v>
      </c>
      <c r="E18" s="80">
        <f>MEDIDAS!C35</f>
        <v>0</v>
      </c>
      <c r="F18" s="56">
        <f>consumos!H22</f>
        <v>0</v>
      </c>
      <c r="G18" s="57"/>
      <c r="H18" s="54">
        <f t="shared" si="0"/>
        <v>0</v>
      </c>
      <c r="I18" s="58">
        <f t="shared" si="1"/>
        <v>0</v>
      </c>
      <c r="J18" s="59">
        <f t="shared" si="2"/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48" t="str">
        <f>consumos!A91</f>
        <v>Halogenante LH rapido ( galòn 3600 cm 3)</v>
      </c>
      <c r="V18" s="34">
        <f>IF(consumos!D91&lt;0,(1),consumos!D91)</f>
        <v>0</v>
      </c>
      <c r="W18" s="33">
        <f t="shared" si="3"/>
        <v>0</v>
      </c>
      <c r="X18" s="27">
        <v>0</v>
      </c>
    </row>
    <row r="19" spans="1:45">
      <c r="A19" s="52">
        <f>consumos!A49</f>
        <v>0</v>
      </c>
      <c r="B19" s="53">
        <f>consumos!D23</f>
        <v>0</v>
      </c>
      <c r="C19" s="55">
        <f>consumos!E23</f>
        <v>0</v>
      </c>
      <c r="D19" s="80">
        <f>consumos!E23*consumos!J5</f>
        <v>0</v>
      </c>
      <c r="E19" s="80">
        <f>MEDIDAS!C36</f>
        <v>0</v>
      </c>
      <c r="F19" s="56">
        <f>consumos!H23</f>
        <v>0</v>
      </c>
      <c r="G19" s="57"/>
      <c r="H19" s="54">
        <f t="shared" si="0"/>
        <v>0</v>
      </c>
      <c r="I19" s="58">
        <f t="shared" si="1"/>
        <v>0</v>
      </c>
      <c r="J19" s="59">
        <f t="shared" si="2"/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48" t="str">
        <f>consumos!A92</f>
        <v>Halogenante rapido 0817</v>
      </c>
      <c r="V19" s="34">
        <f>IF(consumos!D92&lt;0,(1),consumos!D92)</f>
        <v>0</v>
      </c>
      <c r="W19" s="33">
        <f t="shared" si="3"/>
        <v>0</v>
      </c>
      <c r="X19" s="27">
        <v>0</v>
      </c>
    </row>
    <row r="20" spans="1:45" ht="12.75" customHeight="1">
      <c r="A20" s="52">
        <f>consumos!A50</f>
        <v>0</v>
      </c>
      <c r="B20" s="53">
        <f>consumos!D24</f>
        <v>0</v>
      </c>
      <c r="C20" s="55">
        <f>consumos!E24</f>
        <v>0</v>
      </c>
      <c r="D20" s="80">
        <f>consumos!E24*consumos!J5</f>
        <v>0</v>
      </c>
      <c r="E20" s="80">
        <f>MEDIDAS!C37</f>
        <v>0</v>
      </c>
      <c r="F20" s="56">
        <f>consumos!H24</f>
        <v>0</v>
      </c>
      <c r="G20" s="57"/>
      <c r="H20" s="54">
        <f t="shared" si="0"/>
        <v>0</v>
      </c>
      <c r="I20" s="58">
        <f t="shared" si="1"/>
        <v>0</v>
      </c>
      <c r="J20" s="59">
        <f t="shared" si="2"/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48" t="str">
        <f>consumos!A93</f>
        <v>Hilo Colores surtidos# 20 (cono 250 mt)</v>
      </c>
      <c r="V20" s="34">
        <f>IF(consumos!D93&lt;0,(1),consumos!D93)</f>
        <v>0</v>
      </c>
      <c r="W20" s="33">
        <f t="shared" si="3"/>
        <v>0</v>
      </c>
      <c r="X20" s="27">
        <v>0</v>
      </c>
    </row>
    <row r="21" spans="1:45" ht="12.75" customHeight="1">
      <c r="A21" s="52">
        <f>consumos!A51</f>
        <v>0</v>
      </c>
      <c r="B21" s="53">
        <f>consumos!D25</f>
        <v>0</v>
      </c>
      <c r="C21" s="55">
        <f>consumos!E25</f>
        <v>0</v>
      </c>
      <c r="D21" s="80">
        <f>consumos!E25*consumos!J5</f>
        <v>0</v>
      </c>
      <c r="E21" s="80">
        <f>MEDIDAS!C38</f>
        <v>0</v>
      </c>
      <c r="F21" s="56">
        <f>consumos!H25</f>
        <v>0</v>
      </c>
      <c r="G21" s="57"/>
      <c r="H21" s="54">
        <f t="shared" si="0"/>
        <v>0</v>
      </c>
      <c r="I21" s="58">
        <f t="shared" si="1"/>
        <v>0</v>
      </c>
      <c r="J21" s="59">
        <f t="shared" si="2"/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48" t="str">
        <f>consumos!A94</f>
        <v>Hilo Colores surtidos# 40 (cono 1000 mt)</v>
      </c>
      <c r="V21" s="34">
        <f>IF(consumos!D94&lt;0,(1),consumos!D94)</f>
        <v>6</v>
      </c>
      <c r="W21" s="33">
        <f t="shared" si="3"/>
        <v>6</v>
      </c>
      <c r="X21" s="27">
        <v>0</v>
      </c>
    </row>
    <row r="22" spans="1:45" ht="12.75" customHeight="1">
      <c r="A22" s="52">
        <f>consumos!A52</f>
        <v>0</v>
      </c>
      <c r="B22" s="53">
        <f>consumos!D26</f>
        <v>0</v>
      </c>
      <c r="C22" s="55">
        <f>consumos!E26</f>
        <v>0</v>
      </c>
      <c r="D22" s="80">
        <f>consumos!E26*consumos!J5</f>
        <v>0</v>
      </c>
      <c r="E22" s="80">
        <f>MEDIDAS!C39</f>
        <v>0</v>
      </c>
      <c r="F22" s="56">
        <f>consumos!H26</f>
        <v>0</v>
      </c>
      <c r="G22" s="57"/>
      <c r="H22" s="54">
        <f t="shared" si="0"/>
        <v>0</v>
      </c>
      <c r="I22" s="58">
        <f t="shared" si="1"/>
        <v>0</v>
      </c>
      <c r="J22" s="59">
        <f t="shared" si="2"/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48" t="str">
        <f>consumos!A95</f>
        <v>Hilo Colores surtidos# 60 (cono 1500 mt)</v>
      </c>
      <c r="V22" s="34">
        <f>IF(consumos!D95&lt;0,(1),consumos!D95)</f>
        <v>0</v>
      </c>
      <c r="W22" s="33">
        <f t="shared" si="3"/>
        <v>0</v>
      </c>
      <c r="X22" s="27">
        <v>0</v>
      </c>
    </row>
    <row r="23" spans="1:45" ht="12.75" customHeight="1">
      <c r="A23" s="52">
        <f>consumos!A53</f>
        <v>0</v>
      </c>
      <c r="B23" s="53">
        <f>consumos!D27</f>
        <v>0</v>
      </c>
      <c r="C23" s="55">
        <f>consumos!E27</f>
        <v>0</v>
      </c>
      <c r="D23" s="80">
        <f>consumos!E27*consumos!J5</f>
        <v>0</v>
      </c>
      <c r="E23" s="80">
        <f>MEDIDAS!C40</f>
        <v>0</v>
      </c>
      <c r="F23" s="56">
        <f>consumos!H27</f>
        <v>0</v>
      </c>
      <c r="G23" s="57"/>
      <c r="H23" s="54">
        <f t="shared" si="0"/>
        <v>0</v>
      </c>
      <c r="I23" s="58">
        <f t="shared" si="1"/>
        <v>0</v>
      </c>
      <c r="J23" s="59">
        <f t="shared" si="2"/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48" t="str">
        <f>consumos!A96</f>
        <v>Hilo Encerado cono 100 gr  (metro)</v>
      </c>
      <c r="V23" s="34">
        <f>IF(consumos!D96&lt;0,(1),consumos!D96)</f>
        <v>0</v>
      </c>
      <c r="W23" s="33">
        <f t="shared" si="3"/>
        <v>0</v>
      </c>
      <c r="X23" s="27">
        <v>0</v>
      </c>
    </row>
    <row r="24" spans="1:45" ht="12.75" customHeight="1">
      <c r="A24" s="52">
        <f>consumos!A54</f>
        <v>0</v>
      </c>
      <c r="B24" s="53">
        <f>consumos!D28</f>
        <v>0</v>
      </c>
      <c r="C24" s="55">
        <f>consumos!E28</f>
        <v>0</v>
      </c>
      <c r="D24" s="80">
        <f>consumos!E28*consumos!J5</f>
        <v>0</v>
      </c>
      <c r="E24" s="80">
        <f>MEDIDAS!C41</f>
        <v>0</v>
      </c>
      <c r="F24" s="56">
        <f>consumos!H28</f>
        <v>0</v>
      </c>
      <c r="G24" s="57"/>
      <c r="H24" s="54">
        <f t="shared" si="0"/>
        <v>0</v>
      </c>
      <c r="I24" s="58">
        <f t="shared" si="1"/>
        <v>0</v>
      </c>
      <c r="J24" s="59">
        <f t="shared" si="2"/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48" t="str">
        <f>consumos!A97</f>
        <v>Hilo Terlenka 2 cabos (cono 150mt)</v>
      </c>
      <c r="V24" s="34">
        <f>IF(consumos!D97&lt;0,(1),consumos!D97)</f>
        <v>0</v>
      </c>
      <c r="W24" s="33">
        <f t="shared" si="3"/>
        <v>0</v>
      </c>
      <c r="X24" s="27">
        <v>0</v>
      </c>
    </row>
    <row r="25" spans="1:45" ht="12.75" customHeight="1">
      <c r="A25" s="52">
        <f>consumos!A55</f>
        <v>0</v>
      </c>
      <c r="B25" s="53">
        <f>consumos!D29</f>
        <v>0</v>
      </c>
      <c r="C25" s="55">
        <f>consumos!E29</f>
        <v>0</v>
      </c>
      <c r="D25" s="80">
        <f>consumos!E29*consumos!J5</f>
        <v>0</v>
      </c>
      <c r="E25" s="80">
        <f>MEDIDAS!C42</f>
        <v>0</v>
      </c>
      <c r="F25" s="56">
        <f>consumos!H29</f>
        <v>0</v>
      </c>
      <c r="G25" s="57"/>
      <c r="H25" s="54">
        <f t="shared" si="0"/>
        <v>0</v>
      </c>
      <c r="I25" s="58">
        <f t="shared" si="1"/>
        <v>0</v>
      </c>
      <c r="J25" s="59">
        <f t="shared" si="2"/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48" t="str">
        <f>consumos!A98</f>
        <v>Interlon  (cm²)</v>
      </c>
      <c r="V25" s="34">
        <f>IF(consumos!D98&lt;0,(1),consumos!D98)</f>
        <v>0</v>
      </c>
      <c r="W25" s="33">
        <f t="shared" si="3"/>
        <v>0</v>
      </c>
      <c r="X25" s="27">
        <v>0</v>
      </c>
    </row>
    <row r="26" spans="1:45" ht="12.75" customHeight="1">
      <c r="A26" s="52">
        <f>consumos!A56</f>
        <v>0</v>
      </c>
      <c r="B26" s="53">
        <f>consumos!D30</f>
        <v>0</v>
      </c>
      <c r="C26" s="55">
        <f>consumos!E30</f>
        <v>0</v>
      </c>
      <c r="D26" s="80">
        <f>consumos!E30*consumos!J5</f>
        <v>0</v>
      </c>
      <c r="E26" s="80">
        <f>MEDIDAS!C43</f>
        <v>0</v>
      </c>
      <c r="F26" s="56">
        <f>consumos!H30</f>
        <v>0</v>
      </c>
      <c r="G26" s="57"/>
      <c r="H26" s="54">
        <f t="shared" si="0"/>
        <v>0</v>
      </c>
      <c r="I26" s="58">
        <f t="shared" si="1"/>
        <v>0</v>
      </c>
      <c r="J26" s="59">
        <f t="shared" si="2"/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48" t="str">
        <f>consumos!A99</f>
        <v>Lamina Zinc (unidad)</v>
      </c>
      <c r="V26" s="34">
        <f>IF(consumos!D99&lt;0,(1),consumos!D99)</f>
        <v>0</v>
      </c>
      <c r="W26" s="33">
        <f t="shared" si="3"/>
        <v>0</v>
      </c>
      <c r="X26" s="27">
        <v>0</v>
      </c>
    </row>
    <row r="27" spans="1:45">
      <c r="A27" s="52">
        <f>consumos!A57</f>
        <v>0</v>
      </c>
      <c r="B27" s="53">
        <f>consumos!D31</f>
        <v>0</v>
      </c>
      <c r="C27" s="55">
        <f>consumos!E31</f>
        <v>0</v>
      </c>
      <c r="D27" s="80">
        <f>consumos!E31*consumos!J5</f>
        <v>0</v>
      </c>
      <c r="E27" s="80">
        <f>MEDIDAS!C44</f>
        <v>0</v>
      </c>
      <c r="F27" s="56">
        <f>consumos!H31</f>
        <v>0</v>
      </c>
      <c r="G27" s="57"/>
      <c r="H27" s="54">
        <f t="shared" si="0"/>
        <v>0</v>
      </c>
      <c r="I27" s="58">
        <f t="shared" si="1"/>
        <v>0</v>
      </c>
      <c r="J27" s="59">
        <f t="shared" si="2"/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48" t="str">
        <f>consumos!A100</f>
        <v>Lija de Agua#120 (unidad)</v>
      </c>
      <c r="V27" s="34">
        <f>IF(consumos!D100&lt;0,(1),consumos!D100)</f>
        <v>0</v>
      </c>
      <c r="W27" s="33">
        <f t="shared" si="3"/>
        <v>0</v>
      </c>
      <c r="X27" s="27">
        <v>0</v>
      </c>
    </row>
    <row r="28" spans="1:45" ht="13.5" thickBot="1">
      <c r="A28" s="52">
        <f>consumos!A58</f>
        <v>0</v>
      </c>
      <c r="B28" s="53">
        <f>consumos!D32</f>
        <v>0</v>
      </c>
      <c r="C28" s="55">
        <f>consumos!E32</f>
        <v>0</v>
      </c>
      <c r="D28" s="80">
        <f>consumos!E32*consumos!J5</f>
        <v>0</v>
      </c>
      <c r="E28" s="80">
        <f>MEDIDAS!C45</f>
        <v>0</v>
      </c>
      <c r="F28" s="56">
        <f>consumos!H32</f>
        <v>0</v>
      </c>
      <c r="G28" s="57"/>
      <c r="H28" s="54">
        <f t="shared" si="0"/>
        <v>0</v>
      </c>
      <c r="I28" s="60">
        <f t="shared" si="1"/>
        <v>0</v>
      </c>
      <c r="J28" s="61">
        <f t="shared" si="2"/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48" t="str">
        <f>consumos!A101</f>
        <v>Lija de Agua#180 (unidad)</v>
      </c>
      <c r="V28" s="34">
        <f>IF(consumos!D101&lt;0,(1),consumos!D101)</f>
        <v>0</v>
      </c>
      <c r="W28" s="33">
        <f t="shared" si="3"/>
        <v>0</v>
      </c>
      <c r="X28" s="27">
        <v>0</v>
      </c>
    </row>
    <row r="29" spans="1:45" ht="17.25" customHeight="1" thickBot="1">
      <c r="A29" s="198" t="s">
        <v>126</v>
      </c>
      <c r="B29" s="199"/>
      <c r="C29" s="199"/>
      <c r="D29" s="200"/>
      <c r="E29" s="84"/>
      <c r="F29" s="23">
        <f>SUM(F4:F28)</f>
        <v>214725</v>
      </c>
      <c r="G29" s="7"/>
      <c r="H29" s="21"/>
      <c r="I29" s="8"/>
      <c r="J29" s="22"/>
      <c r="K29" s="192" t="str">
        <f>consumos!A62</f>
        <v>OBSERVACIONES</v>
      </c>
      <c r="L29" s="193"/>
      <c r="M29" s="193"/>
      <c r="N29" s="193"/>
      <c r="O29" s="193"/>
      <c r="P29" s="193"/>
      <c r="Q29" s="193"/>
      <c r="R29" s="193"/>
      <c r="S29" s="193"/>
      <c r="T29" s="194"/>
      <c r="U29" s="48" t="str">
        <f>consumos!A102</f>
        <v>Lija de Agua#240 (unidad)</v>
      </c>
      <c r="V29" s="34">
        <f>IF(consumos!D102&lt;0,(1),consumos!D102)</f>
        <v>0</v>
      </c>
      <c r="W29" s="33">
        <f t="shared" si="3"/>
        <v>0</v>
      </c>
      <c r="X29" s="27">
        <v>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3.5" thickBot="1">
      <c r="A30" s="201" t="s">
        <v>127</v>
      </c>
      <c r="B30" s="202"/>
      <c r="C30" s="202"/>
      <c r="D30" s="202"/>
      <c r="E30" s="85"/>
      <c r="F30" s="6"/>
      <c r="G30" s="6"/>
      <c r="H30" s="11"/>
      <c r="I30" s="9"/>
      <c r="J30" s="10"/>
      <c r="K30" s="195"/>
      <c r="L30" s="196"/>
      <c r="M30" s="196"/>
      <c r="N30" s="196"/>
      <c r="O30" s="196"/>
      <c r="P30" s="196"/>
      <c r="Q30" s="196"/>
      <c r="R30" s="196"/>
      <c r="S30" s="196"/>
      <c r="T30" s="197"/>
      <c r="U30" s="48" t="str">
        <f>consumos!A103</f>
        <v>Lija de Agua#400 (unidad)</v>
      </c>
      <c r="V30" s="34">
        <f>IF(consumos!D103&lt;0,(1),consumos!D103)</f>
        <v>0</v>
      </c>
      <c r="W30" s="33">
        <f t="shared" si="3"/>
        <v>0</v>
      </c>
      <c r="X30" s="27">
        <v>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>
      <c r="A31" s="6"/>
      <c r="B31" s="6"/>
      <c r="C31" s="6"/>
      <c r="D31" s="6"/>
      <c r="E31" s="6"/>
      <c r="F31" s="6"/>
      <c r="G31" s="6"/>
      <c r="H31" s="11"/>
      <c r="I31" s="9"/>
      <c r="J31" s="10"/>
      <c r="K31" s="189" t="str">
        <f>consumos!A63</f>
        <v>los colores para las loncheras depende del color de la reata y la reata que sea acorde con los herrajes</v>
      </c>
      <c r="L31" s="190"/>
      <c r="M31" s="190"/>
      <c r="N31" s="190"/>
      <c r="O31" s="190"/>
      <c r="P31" s="190"/>
      <c r="Q31" s="190"/>
      <c r="R31" s="190"/>
      <c r="S31" s="190"/>
      <c r="T31" s="191"/>
      <c r="U31" s="48" t="str">
        <f>consumos!A104</f>
        <v>Lija de Agua#600 (unidad)</v>
      </c>
      <c r="V31" s="34">
        <f>IF(consumos!D104&lt;0,(1),consumos!D104)</f>
        <v>0</v>
      </c>
      <c r="W31" s="33">
        <f t="shared" si="3"/>
        <v>0</v>
      </c>
      <c r="X31" s="27">
        <v>0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>
      <c r="A32" s="6"/>
      <c r="B32" s="6"/>
      <c r="C32" s="6"/>
      <c r="D32" s="6"/>
      <c r="E32" s="6"/>
      <c r="F32" s="6"/>
      <c r="G32" s="6"/>
      <c r="H32" s="11"/>
      <c r="I32" s="9"/>
      <c r="J32" s="10"/>
      <c r="K32" s="189" t="str">
        <f>consumos!A64</f>
        <v>hilos a tono con los colores de la lona</v>
      </c>
      <c r="L32" s="190"/>
      <c r="M32" s="190"/>
      <c r="N32" s="190"/>
      <c r="O32" s="190"/>
      <c r="P32" s="190"/>
      <c r="Q32" s="190"/>
      <c r="R32" s="190"/>
      <c r="S32" s="190"/>
      <c r="T32" s="191"/>
      <c r="U32" s="48" t="str">
        <f>consumos!A105</f>
        <v>Limpiador AT 20  ( galón 3600 cm 3)</v>
      </c>
      <c r="V32" s="34">
        <f>IF(consumos!D105&lt;0,(1),consumos!D105)</f>
        <v>0</v>
      </c>
      <c r="W32" s="33">
        <f t="shared" si="3"/>
        <v>0</v>
      </c>
      <c r="X32" s="27">
        <v>0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>
      <c r="A33" s="6"/>
      <c r="B33" s="6"/>
      <c r="C33" s="6"/>
      <c r="D33" s="6"/>
      <c r="E33" s="6"/>
      <c r="F33" s="6"/>
      <c r="G33" s="6"/>
      <c r="H33" s="11"/>
      <c r="I33" s="9"/>
      <c r="J33" s="10"/>
      <c r="K33" s="189" t="str">
        <f>consumos!A65</f>
        <v>aguja 110 R punta bola</v>
      </c>
      <c r="L33" s="190"/>
      <c r="M33" s="190"/>
      <c r="N33" s="190"/>
      <c r="O33" s="190"/>
      <c r="P33" s="190"/>
      <c r="Q33" s="190"/>
      <c r="R33" s="190"/>
      <c r="S33" s="190"/>
      <c r="T33" s="191"/>
      <c r="U33" s="48" t="str">
        <f>consumos!A106</f>
        <v>Limpiador para acabados</v>
      </c>
      <c r="V33" s="34">
        <f>IF(consumos!D106&lt;0,(1),consumos!D106)</f>
        <v>0</v>
      </c>
      <c r="W33" s="33">
        <f t="shared" si="3"/>
        <v>0</v>
      </c>
      <c r="X33" s="27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>
      <c r="A34" s="6"/>
      <c r="B34" s="6"/>
      <c r="C34" s="6"/>
      <c r="D34" s="6"/>
      <c r="E34" s="6"/>
      <c r="F34" s="6"/>
      <c r="G34" s="6"/>
      <c r="H34" s="11"/>
      <c r="I34" s="9"/>
      <c r="J34" s="10"/>
      <c r="K34" s="189">
        <f>consumos!A66</f>
        <v>0</v>
      </c>
      <c r="L34" s="190"/>
      <c r="M34" s="190"/>
      <c r="N34" s="190"/>
      <c r="O34" s="190"/>
      <c r="P34" s="190"/>
      <c r="Q34" s="190"/>
      <c r="R34" s="190"/>
      <c r="S34" s="190"/>
      <c r="T34" s="191"/>
      <c r="U34" s="48" t="str">
        <f>consumos!A107</f>
        <v>Limpiador VZ 40 ( galón 3600 cm 3)</v>
      </c>
      <c r="V34" s="34">
        <f>IF(consumos!D107&lt;0,(1),consumos!D107)</f>
        <v>0</v>
      </c>
      <c r="W34" s="33">
        <f t="shared" si="3"/>
        <v>0</v>
      </c>
      <c r="X34" s="27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>
      <c r="A35" s="6"/>
      <c r="B35" s="6"/>
      <c r="C35" s="6"/>
      <c r="D35" s="6"/>
      <c r="E35" s="6"/>
      <c r="F35" s="6"/>
      <c r="G35" s="6"/>
      <c r="H35" s="11"/>
      <c r="I35" s="9"/>
      <c r="J35" s="10"/>
      <c r="K35" s="189">
        <f>consumos!A67</f>
        <v>0</v>
      </c>
      <c r="L35" s="190"/>
      <c r="M35" s="190"/>
      <c r="N35" s="190"/>
      <c r="O35" s="190"/>
      <c r="P35" s="190"/>
      <c r="Q35" s="190"/>
      <c r="R35" s="190"/>
      <c r="S35" s="190"/>
      <c r="T35" s="191"/>
      <c r="U35" s="48" t="str">
        <f>consumos!A108</f>
        <v>Papel periodico  (pliego)</v>
      </c>
      <c r="V35" s="34">
        <f>IF(consumos!D108&lt;0,(1),consumos!D108)</f>
        <v>0</v>
      </c>
      <c r="W35" s="33">
        <f t="shared" si="3"/>
        <v>0</v>
      </c>
      <c r="X35" s="27">
        <v>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>
      <c r="A36" s="6"/>
      <c r="B36" s="6"/>
      <c r="C36" s="6"/>
      <c r="D36" s="6"/>
      <c r="E36" s="6"/>
      <c r="F36" s="6"/>
      <c r="G36" s="6"/>
      <c r="H36" s="6"/>
      <c r="I36" s="6"/>
      <c r="J36" s="6"/>
      <c r="K36" s="189">
        <f>consumos!A68</f>
        <v>0</v>
      </c>
      <c r="L36" s="190"/>
      <c r="M36" s="190"/>
      <c r="N36" s="190"/>
      <c r="O36" s="190"/>
      <c r="P36" s="190"/>
      <c r="Q36" s="190"/>
      <c r="R36" s="190"/>
      <c r="S36" s="190"/>
      <c r="T36" s="191"/>
      <c r="U36" s="48" t="str">
        <f>consumos!A109</f>
        <v>Pegante advance o pega amarilla</v>
      </c>
      <c r="V36" s="34">
        <f>IF(consumos!D109&lt;0,(1),consumos!D109)</f>
        <v>0</v>
      </c>
      <c r="W36" s="33">
        <f t="shared" si="3"/>
        <v>0</v>
      </c>
      <c r="X36" s="27">
        <v>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>
      <c r="A37" s="6"/>
      <c r="B37" s="6"/>
      <c r="C37" s="6"/>
      <c r="D37" s="6"/>
      <c r="E37" s="6"/>
      <c r="F37" s="6"/>
      <c r="G37" s="6"/>
      <c r="H37" s="6"/>
      <c r="I37" s="6"/>
      <c r="J37" s="6"/>
      <c r="K37" s="189">
        <f>consumos!A69</f>
        <v>0</v>
      </c>
      <c r="L37" s="190"/>
      <c r="M37" s="190"/>
      <c r="N37" s="190"/>
      <c r="O37" s="190"/>
      <c r="P37" s="190"/>
      <c r="Q37" s="190"/>
      <c r="R37" s="190"/>
      <c r="S37" s="190"/>
      <c r="T37" s="191"/>
      <c r="U37" s="48" t="str">
        <f>consumos!A110</f>
        <v>Pu  419 pegante poliuretano</v>
      </c>
      <c r="V37" s="34">
        <f>IF(consumos!D110&lt;0,(1),consumos!D110)</f>
        <v>0</v>
      </c>
      <c r="W37" s="33">
        <f t="shared" si="3"/>
        <v>0</v>
      </c>
      <c r="X37" s="27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>
      <c r="A38" s="6"/>
      <c r="B38" s="6"/>
      <c r="C38" s="6"/>
      <c r="D38" s="6"/>
      <c r="E38" s="6"/>
      <c r="F38" s="6"/>
      <c r="G38" s="6"/>
      <c r="H38" s="6"/>
      <c r="I38" s="6"/>
      <c r="J38" s="6"/>
      <c r="K38" s="189">
        <f>consumos!A70</f>
        <v>0</v>
      </c>
      <c r="L38" s="190"/>
      <c r="M38" s="190"/>
      <c r="N38" s="190"/>
      <c r="O38" s="190"/>
      <c r="P38" s="190"/>
      <c r="Q38" s="190"/>
      <c r="R38" s="190"/>
      <c r="S38" s="190"/>
      <c r="T38" s="191"/>
      <c r="U38" s="48" t="str">
        <f>consumos!A111</f>
        <v>Pintura Acrilica X150 gr (unidad)</v>
      </c>
      <c r="V38" s="34">
        <f>IF(consumos!D111&lt;0,(1),consumos!D111)</f>
        <v>0</v>
      </c>
      <c r="W38" s="33">
        <f t="shared" si="3"/>
        <v>0</v>
      </c>
      <c r="X38" s="27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>
      <c r="A39" s="6"/>
      <c r="B39" s="6"/>
      <c r="C39" s="6"/>
      <c r="D39" s="6"/>
      <c r="E39" s="6"/>
      <c r="F39" s="6"/>
      <c r="G39" s="6"/>
      <c r="H39" s="6"/>
      <c r="I39" s="6"/>
      <c r="J39" s="6"/>
      <c r="K39" s="189">
        <f>consumos!A71</f>
        <v>0</v>
      </c>
      <c r="L39" s="190"/>
      <c r="M39" s="190"/>
      <c r="N39" s="190"/>
      <c r="O39" s="190"/>
      <c r="P39" s="190"/>
      <c r="Q39" s="190"/>
      <c r="R39" s="190"/>
      <c r="S39" s="190"/>
      <c r="T39" s="191"/>
      <c r="U39" s="48" t="str">
        <f>consumos!A112</f>
        <v>Primer eva plus</v>
      </c>
      <c r="V39" s="34">
        <f>IF(consumos!D112&lt;0,(1),consumos!D112)</f>
        <v>0</v>
      </c>
      <c r="W39" s="33">
        <f t="shared" si="3"/>
        <v>0</v>
      </c>
      <c r="X39" s="27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>
      <c r="A40" s="6"/>
      <c r="B40" s="6"/>
      <c r="C40" s="6"/>
      <c r="D40" s="6"/>
      <c r="E40" s="6"/>
      <c r="F40" s="6"/>
      <c r="G40" s="6"/>
      <c r="H40" s="6"/>
      <c r="I40" s="6"/>
      <c r="J40" s="6"/>
      <c r="K40" s="189">
        <f>consumos!A72</f>
        <v>0</v>
      </c>
      <c r="L40" s="190"/>
      <c r="M40" s="190"/>
      <c r="N40" s="190"/>
      <c r="O40" s="190"/>
      <c r="P40" s="190"/>
      <c r="Q40" s="190"/>
      <c r="R40" s="190"/>
      <c r="S40" s="190"/>
      <c r="T40" s="191"/>
      <c r="U40" s="48" t="str">
        <f>consumos!A113</f>
        <v>Primer PU 419</v>
      </c>
      <c r="V40" s="34">
        <f>IF(consumos!D113&lt;0,(1),consumos!D113)</f>
        <v>0</v>
      </c>
      <c r="W40" s="33">
        <f t="shared" si="3"/>
        <v>0</v>
      </c>
      <c r="X40" s="27">
        <v>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>
      <c r="A41" s="6"/>
      <c r="B41" s="6"/>
      <c r="C41" s="6"/>
      <c r="D41" s="6"/>
      <c r="E41" s="6"/>
      <c r="F41" s="6"/>
      <c r="G41" s="6"/>
      <c r="H41" s="6"/>
      <c r="I41" s="6"/>
      <c r="J41" s="6"/>
      <c r="K41" s="189">
        <f>consumos!A73</f>
        <v>0</v>
      </c>
      <c r="L41" s="190"/>
      <c r="M41" s="190"/>
      <c r="N41" s="190"/>
      <c r="O41" s="190"/>
      <c r="P41" s="190"/>
      <c r="Q41" s="190"/>
      <c r="R41" s="190"/>
      <c r="S41" s="190"/>
      <c r="T41" s="191"/>
      <c r="U41" s="48" t="str">
        <f>consumos!A114</f>
        <v>Primer pu 85</v>
      </c>
      <c r="V41" s="34">
        <f>IF(consumos!D114&lt;0,(1),consumos!D114)</f>
        <v>0</v>
      </c>
      <c r="W41" s="33">
        <f t="shared" si="3"/>
        <v>0</v>
      </c>
      <c r="X41" s="27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>
      <c r="A42" s="6"/>
      <c r="B42" s="6"/>
      <c r="C42" s="6"/>
      <c r="D42" s="6"/>
      <c r="E42" s="6"/>
      <c r="F42" s="6"/>
      <c r="G42" s="6"/>
      <c r="H42" s="6"/>
      <c r="I42" s="6"/>
      <c r="J42" s="6"/>
      <c r="K42" s="189">
        <f>consumos!A74</f>
        <v>0</v>
      </c>
      <c r="L42" s="190"/>
      <c r="M42" s="190"/>
      <c r="N42" s="190"/>
      <c r="O42" s="190"/>
      <c r="P42" s="190"/>
      <c r="Q42" s="190"/>
      <c r="R42" s="190"/>
      <c r="S42" s="190"/>
      <c r="T42" s="191"/>
      <c r="U42" s="48" t="str">
        <f>consumos!A115</f>
        <v>PU 689 adhesivo</v>
      </c>
      <c r="V42" s="34">
        <f>IF(consumos!D115&lt;0,(1),consumos!D115)</f>
        <v>0</v>
      </c>
      <c r="W42" s="33">
        <f t="shared" si="3"/>
        <v>0</v>
      </c>
      <c r="X42" s="27">
        <v>0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>
      <c r="A43" s="6"/>
      <c r="B43" s="6"/>
      <c r="C43" s="6"/>
      <c r="D43" s="6"/>
      <c r="E43" s="6"/>
      <c r="F43" s="6"/>
      <c r="G43" s="6"/>
      <c r="H43" s="6"/>
      <c r="I43" s="6"/>
      <c r="J43" s="6"/>
      <c r="K43" s="189">
        <f>consumos!A75</f>
        <v>0</v>
      </c>
      <c r="L43" s="190"/>
      <c r="M43" s="190"/>
      <c r="N43" s="190"/>
      <c r="O43" s="190"/>
      <c r="P43" s="190"/>
      <c r="Q43" s="190"/>
      <c r="R43" s="190"/>
      <c r="S43" s="190"/>
      <c r="T43" s="191"/>
      <c r="U43" s="48" t="str">
        <f>consumos!A116</f>
        <v>Sacol Solucion de caucho natural 2440</v>
      </c>
      <c r="V43" s="34">
        <f>IF(consumos!D116&lt;0,(1),consumos!D116)</f>
        <v>0</v>
      </c>
      <c r="W43" s="33">
        <f t="shared" si="3"/>
        <v>0</v>
      </c>
      <c r="X43" s="27">
        <v>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48" t="str">
        <f>consumos!A117</f>
        <v>Thiner Halogenante LH Rapido</v>
      </c>
      <c r="V44" s="34">
        <f>IF(consumos!D117&lt;0,(1),consumos!D117)</f>
        <v>0</v>
      </c>
      <c r="W44" s="33">
        <f t="shared" si="3"/>
        <v>0</v>
      </c>
      <c r="X44" s="27">
        <v>0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48" t="str">
        <f>consumos!A118</f>
        <v>Thiner limpiador 0329</v>
      </c>
      <c r="V45" s="34">
        <f>IF(consumos!D118&lt;0,(1),consumos!D118)</f>
        <v>0</v>
      </c>
      <c r="W45" s="33">
        <f t="shared" si="3"/>
        <v>0</v>
      </c>
      <c r="X45" s="27">
        <v>0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48" t="str">
        <f>consumos!A119</f>
        <v>Thiner limpiador AT - 20</v>
      </c>
      <c r="V46" s="34">
        <f>IF(consumos!D119&lt;0,(1),consumos!D119)</f>
        <v>0</v>
      </c>
      <c r="W46" s="33">
        <f t="shared" si="3"/>
        <v>0</v>
      </c>
      <c r="X46" s="27">
        <v>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48" t="str">
        <f>consumos!A120</f>
        <v>Thiner  limpiador VZ - 40</v>
      </c>
      <c r="V47" s="34">
        <f>IF(consumos!D120&lt;0,(1),consumos!D120)</f>
        <v>0</v>
      </c>
      <c r="W47" s="33">
        <f t="shared" si="3"/>
        <v>0</v>
      </c>
      <c r="X47" s="27">
        <v>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48" t="str">
        <f>consumos!A121</f>
        <v>Tinta Colores para Cuero 120cc (unidad)</v>
      </c>
      <c r="V48" s="34">
        <f>IF(consumos!D121&lt;0,(1),consumos!D121)</f>
        <v>0</v>
      </c>
      <c r="W48" s="33">
        <f t="shared" si="3"/>
        <v>0</v>
      </c>
      <c r="X48" s="27">
        <v>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48" t="str">
        <f>consumos!A122</f>
        <v>Vulcanizante PU</v>
      </c>
      <c r="V49" s="34">
        <f>IF(consumos!D122&lt;0,(1),consumos!D122)</f>
        <v>0</v>
      </c>
      <c r="W49" s="33">
        <f t="shared" si="3"/>
        <v>0</v>
      </c>
      <c r="X49" s="27">
        <v>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48" t="str">
        <f>consumos!A123</f>
        <v>Vulcanizante PU AQUOSO 212</v>
      </c>
      <c r="V50" s="34">
        <f>IF(consumos!D123&lt;0,(1),consumos!D123)</f>
        <v>0</v>
      </c>
      <c r="W50" s="33">
        <f t="shared" si="3"/>
        <v>0</v>
      </c>
      <c r="X50" s="27">
        <v>0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48" t="str">
        <f>consumos!A124</f>
        <v>Vulcanizante PU SOLVENTE</v>
      </c>
      <c r="V51" s="34">
        <f>IF(consumos!D124&lt;0,(1),consumos!D124)</f>
        <v>0</v>
      </c>
      <c r="W51" s="33">
        <f t="shared" si="3"/>
        <v>0</v>
      </c>
      <c r="X51" s="27">
        <v>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</sheetData>
  <sheetProtection password="B4B1" sheet="1"/>
  <protectedRanges>
    <protectedRange sqref="X4:X51 K4:T28" name="desbloquados"/>
    <protectedRange password="B4B1" sqref="H1:X3 K29:T43 U4:W51 F4:J30 A1:E30" name="bloqueadas"/>
  </protectedRanges>
  <customSheetViews>
    <customSheetView guid="{0F6C7FCE-20BD-4B57-B04C-CA521EC9CEDE}" scale="86" hiddenColumns="1">
      <selection activeCell="F2" sqref="F2:H2"/>
      <pageMargins left="0" right="0" top="0" bottom="0" header="0" footer="0"/>
      <printOptions horizontalCentered="1"/>
      <pageSetup orientation="landscape" r:id="rId1"/>
    </customSheetView>
  </customSheetViews>
  <mergeCells count="17">
    <mergeCell ref="A29:D29"/>
    <mergeCell ref="A30:D30"/>
    <mergeCell ref="K41:T41"/>
    <mergeCell ref="K42:T42"/>
    <mergeCell ref="K43:T43"/>
    <mergeCell ref="K35:T35"/>
    <mergeCell ref="K36:T36"/>
    <mergeCell ref="K37:T37"/>
    <mergeCell ref="K38:T38"/>
    <mergeCell ref="K39:T39"/>
    <mergeCell ref="H1:X2"/>
    <mergeCell ref="K40:T40"/>
    <mergeCell ref="K29:T30"/>
    <mergeCell ref="K34:T34"/>
    <mergeCell ref="K33:T33"/>
    <mergeCell ref="K32:T32"/>
    <mergeCell ref="K31:T31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2"/>
  <ignoredErrors>
    <ignoredError sqref="B1" formula="1"/>
    <ignoredError sqref="F2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selection activeCell="B4" sqref="B4"/>
    </sheetView>
  </sheetViews>
  <sheetFormatPr defaultColWidth="11.42578125" defaultRowHeight="12.75"/>
  <sheetData>
    <row r="1" spans="1:9" ht="48">
      <c r="A1" s="62" t="s">
        <v>128</v>
      </c>
      <c r="B1" s="63" t="s">
        <v>129</v>
      </c>
      <c r="C1" s="64" t="s">
        <v>130</v>
      </c>
      <c r="D1" s="64" t="s">
        <v>131</v>
      </c>
      <c r="E1" s="64" t="s">
        <v>132</v>
      </c>
      <c r="F1" s="65" t="s">
        <v>133</v>
      </c>
      <c r="G1" s="66" t="s">
        <v>134</v>
      </c>
      <c r="H1" s="203" t="s">
        <v>135</v>
      </c>
      <c r="I1" s="204"/>
    </row>
    <row r="2" spans="1:9" ht="15">
      <c r="A2" s="67">
        <v>140</v>
      </c>
      <c r="B2" s="128">
        <v>170500</v>
      </c>
      <c r="C2" s="69">
        <f>B2/A2</f>
        <v>1217.8571428571429</v>
      </c>
      <c r="D2" s="69">
        <f>C2/10</f>
        <v>121.78571428571429</v>
      </c>
      <c r="E2" s="69">
        <f>C2/100</f>
        <v>12.178571428571429</v>
      </c>
      <c r="F2" s="68">
        <v>0</v>
      </c>
      <c r="G2" s="70">
        <f>F2*E2</f>
        <v>0</v>
      </c>
      <c r="H2" s="205"/>
      <c r="I2" s="204"/>
    </row>
    <row r="3" spans="1:9" ht="15">
      <c r="A3" s="67">
        <v>150</v>
      </c>
      <c r="B3" s="68">
        <v>167400</v>
      </c>
      <c r="C3" s="69">
        <f>B3/A3</f>
        <v>1116</v>
      </c>
      <c r="D3" s="69">
        <f>C3/100</f>
        <v>11.16</v>
      </c>
      <c r="E3" s="69">
        <f>C3/100</f>
        <v>11.16</v>
      </c>
      <c r="F3" s="68">
        <v>0</v>
      </c>
      <c r="G3" s="70">
        <f>F3*E3</f>
        <v>0</v>
      </c>
      <c r="H3" s="205"/>
      <c r="I3" s="204"/>
    </row>
    <row r="4" spans="1:9" ht="15">
      <c r="A4" s="67">
        <v>100</v>
      </c>
      <c r="B4" s="68">
        <v>0</v>
      </c>
      <c r="C4" s="69">
        <f>B4/A4</f>
        <v>0</v>
      </c>
      <c r="D4" s="69">
        <f>C4/100</f>
        <v>0</v>
      </c>
      <c r="E4" s="69">
        <f>C4/100</f>
        <v>0</v>
      </c>
      <c r="F4" s="68">
        <v>0</v>
      </c>
      <c r="G4" s="70">
        <f>F4*E4</f>
        <v>0</v>
      </c>
      <c r="H4" s="205"/>
      <c r="I4" s="204"/>
    </row>
    <row r="5" spans="1:9" ht="15">
      <c r="A5" s="67">
        <v>50</v>
      </c>
      <c r="B5" s="68">
        <v>0</v>
      </c>
      <c r="C5" s="69">
        <f>B5/A5</f>
        <v>0</v>
      </c>
      <c r="D5" s="69">
        <f>C5/100</f>
        <v>0</v>
      </c>
      <c r="E5" s="69">
        <f>C5/100</f>
        <v>0</v>
      </c>
      <c r="F5" s="68">
        <v>0</v>
      </c>
      <c r="G5" s="70">
        <f>F5*E5</f>
        <v>0</v>
      </c>
      <c r="H5" s="205"/>
      <c r="I5" s="204"/>
    </row>
    <row r="6" spans="1:9">
      <c r="A6" s="71"/>
      <c r="B6" s="72"/>
      <c r="C6" s="72"/>
      <c r="D6" s="72"/>
      <c r="E6" s="72"/>
      <c r="F6" s="71"/>
      <c r="G6" s="72"/>
    </row>
    <row r="7" spans="1:9" ht="48">
      <c r="A7" s="62" t="s">
        <v>136</v>
      </c>
      <c r="B7" s="63" t="s">
        <v>137</v>
      </c>
      <c r="C7" s="64" t="s">
        <v>131</v>
      </c>
      <c r="D7" s="64" t="s">
        <v>130</v>
      </c>
      <c r="E7" s="64" t="s">
        <v>132</v>
      </c>
      <c r="F7" s="73" t="s">
        <v>133</v>
      </c>
      <c r="G7" s="66" t="s">
        <v>134</v>
      </c>
    </row>
    <row r="8" spans="1:9" ht="15">
      <c r="A8" s="67">
        <v>14</v>
      </c>
      <c r="B8" s="68">
        <v>0</v>
      </c>
      <c r="C8" s="69">
        <f>B8/A8</f>
        <v>0</v>
      </c>
      <c r="D8" s="69">
        <f>C8*10</f>
        <v>0</v>
      </c>
      <c r="E8" s="69">
        <f>C8/10</f>
        <v>0</v>
      </c>
      <c r="F8" s="68">
        <v>0</v>
      </c>
      <c r="G8" s="70">
        <f>F8*E8</f>
        <v>0</v>
      </c>
    </row>
    <row r="9" spans="1:9" ht="15">
      <c r="A9" s="67">
        <v>15</v>
      </c>
      <c r="B9" s="68">
        <v>0</v>
      </c>
      <c r="C9" s="69">
        <f>B9/A9</f>
        <v>0</v>
      </c>
      <c r="D9" s="69">
        <f>C9*10</f>
        <v>0</v>
      </c>
      <c r="E9" s="69">
        <f>C9/10</f>
        <v>0</v>
      </c>
      <c r="F9" s="68">
        <v>0</v>
      </c>
      <c r="G9" s="70">
        <f>F9*E9</f>
        <v>0</v>
      </c>
    </row>
    <row r="10" spans="1:9" ht="15">
      <c r="A10" s="67">
        <v>10</v>
      </c>
      <c r="B10" s="68">
        <v>0</v>
      </c>
      <c r="C10" s="69">
        <f>B10/A10</f>
        <v>0</v>
      </c>
      <c r="D10" s="69">
        <f>C10*10</f>
        <v>0</v>
      </c>
      <c r="E10" s="69">
        <f>C10/10</f>
        <v>0</v>
      </c>
      <c r="F10" s="68">
        <v>0</v>
      </c>
      <c r="G10" s="70">
        <f>F10*E10</f>
        <v>0</v>
      </c>
    </row>
    <row r="11" spans="1:9" ht="15">
      <c r="A11" s="67">
        <v>5</v>
      </c>
      <c r="B11" s="68">
        <v>0</v>
      </c>
      <c r="C11" s="69">
        <f>B11/A11</f>
        <v>0</v>
      </c>
      <c r="D11" s="69">
        <f>C11*10</f>
        <v>0</v>
      </c>
      <c r="E11" s="69">
        <f>C11/10</f>
        <v>0</v>
      </c>
      <c r="F11" s="68">
        <v>0</v>
      </c>
      <c r="G11" s="70">
        <f>F11*E11</f>
        <v>0</v>
      </c>
    </row>
    <row r="12" spans="1:9">
      <c r="A12" s="71"/>
      <c r="B12" s="72"/>
      <c r="C12" s="72"/>
      <c r="D12" s="72"/>
      <c r="E12" s="72"/>
      <c r="F12" s="71"/>
      <c r="G12" s="72"/>
    </row>
    <row r="13" spans="1:9" ht="48">
      <c r="A13" s="62" t="s">
        <v>138</v>
      </c>
      <c r="B13" s="63" t="s">
        <v>139</v>
      </c>
      <c r="C13" s="64" t="s">
        <v>132</v>
      </c>
      <c r="D13" s="64" t="s">
        <v>130</v>
      </c>
      <c r="E13" s="64" t="s">
        <v>131</v>
      </c>
      <c r="F13" s="73" t="s">
        <v>133</v>
      </c>
      <c r="G13" s="66" t="s">
        <v>134</v>
      </c>
    </row>
    <row r="14" spans="1:9" ht="15">
      <c r="A14" s="67">
        <v>1.4</v>
      </c>
      <c r="B14" s="68">
        <v>0</v>
      </c>
      <c r="C14" s="69">
        <f>B14/A14</f>
        <v>0</v>
      </c>
      <c r="D14" s="69">
        <f>C14*100</f>
        <v>0</v>
      </c>
      <c r="E14" s="69">
        <f>C14*10</f>
        <v>0</v>
      </c>
      <c r="F14" s="68">
        <v>0</v>
      </c>
      <c r="G14" s="74">
        <f>F14*E14</f>
        <v>0</v>
      </c>
    </row>
    <row r="15" spans="1:9" ht="15">
      <c r="A15" s="67">
        <v>1.5</v>
      </c>
      <c r="B15" s="68">
        <v>0</v>
      </c>
      <c r="C15" s="69">
        <f>B15/A15</f>
        <v>0</v>
      </c>
      <c r="D15" s="69">
        <f>C15*100</f>
        <v>0</v>
      </c>
      <c r="E15" s="69">
        <f>C15*10</f>
        <v>0</v>
      </c>
      <c r="F15" s="68">
        <v>0</v>
      </c>
      <c r="G15" s="74">
        <f>F15*E15</f>
        <v>0</v>
      </c>
    </row>
    <row r="16" spans="1:9" ht="15">
      <c r="A16" s="67">
        <v>1</v>
      </c>
      <c r="B16" s="68">
        <v>0</v>
      </c>
      <c r="C16" s="69">
        <f>B16/A16</f>
        <v>0</v>
      </c>
      <c r="D16" s="69">
        <f>C16*100</f>
        <v>0</v>
      </c>
      <c r="E16" s="69">
        <f>C16*10</f>
        <v>0</v>
      </c>
      <c r="F16" s="68">
        <v>0</v>
      </c>
      <c r="G16" s="74">
        <f>F16*E16</f>
        <v>0</v>
      </c>
    </row>
    <row r="17" spans="1:7" ht="15">
      <c r="A17" s="67">
        <v>0.5</v>
      </c>
      <c r="B17" s="68">
        <v>0</v>
      </c>
      <c r="C17" s="69">
        <f>B17/A17</f>
        <v>0</v>
      </c>
      <c r="D17" s="69">
        <f>C17*100</f>
        <v>0</v>
      </c>
      <c r="E17" s="69">
        <f>C17*10</f>
        <v>0</v>
      </c>
      <c r="F17" s="68">
        <v>0</v>
      </c>
      <c r="G17" s="74">
        <f>F17*E17</f>
        <v>0</v>
      </c>
    </row>
    <row r="20" spans="1:7" ht="48" hidden="1">
      <c r="A20" s="62" t="s">
        <v>128</v>
      </c>
      <c r="B20" s="63" t="s">
        <v>129</v>
      </c>
      <c r="C20" s="64" t="s">
        <v>130</v>
      </c>
      <c r="D20" s="64" t="s">
        <v>131</v>
      </c>
      <c r="E20" s="64" t="s">
        <v>132</v>
      </c>
      <c r="F20" s="65" t="s">
        <v>133</v>
      </c>
      <c r="G20" s="66" t="s">
        <v>134</v>
      </c>
    </row>
    <row r="21" spans="1:7" ht="15" hidden="1">
      <c r="A21" s="67">
        <v>145</v>
      </c>
      <c r="B21" s="68">
        <f>PEDIDO!C4</f>
        <v>3200</v>
      </c>
      <c r="C21" s="69">
        <f>B21/A21</f>
        <v>22.068965517241381</v>
      </c>
      <c r="D21" s="69">
        <f>C21/10</f>
        <v>2.2068965517241379</v>
      </c>
      <c r="E21" s="69">
        <f>C21/100</f>
        <v>0.22068965517241382</v>
      </c>
      <c r="F21" s="68">
        <v>0</v>
      </c>
      <c r="G21" s="70">
        <f>F21*E21</f>
        <v>0</v>
      </c>
    </row>
    <row r="22" spans="1:7" ht="15" hidden="1">
      <c r="A22" s="67">
        <v>145</v>
      </c>
      <c r="B22" s="68">
        <f>PEDIDO!C5</f>
        <v>3500</v>
      </c>
      <c r="C22" s="69">
        <f t="shared" ref="C22:C44" si="0">B22/A22</f>
        <v>24.137931034482758</v>
      </c>
      <c r="D22" s="69">
        <f t="shared" ref="D22:D45" si="1">C22/10</f>
        <v>2.4137931034482758</v>
      </c>
      <c r="E22" s="69">
        <f t="shared" ref="E22:E44" si="2">C22/100</f>
        <v>0.24137931034482757</v>
      </c>
      <c r="F22" s="68">
        <v>0</v>
      </c>
      <c r="G22" s="70">
        <f t="shared" ref="G22:G44" si="3">F22*E22</f>
        <v>0</v>
      </c>
    </row>
    <row r="23" spans="1:7" ht="15" hidden="1">
      <c r="A23" s="67">
        <v>145</v>
      </c>
      <c r="B23" s="68">
        <f>PEDIDO!C6</f>
        <v>1300</v>
      </c>
      <c r="C23" s="69">
        <f t="shared" si="0"/>
        <v>8.9655172413793096</v>
      </c>
      <c r="D23" s="69">
        <f t="shared" si="1"/>
        <v>0.89655172413793094</v>
      </c>
      <c r="E23" s="69">
        <f t="shared" si="2"/>
        <v>8.9655172413793102E-2</v>
      </c>
      <c r="F23" s="68">
        <v>0</v>
      </c>
      <c r="G23" s="70">
        <f t="shared" si="3"/>
        <v>0</v>
      </c>
    </row>
    <row r="24" spans="1:7" ht="15" hidden="1">
      <c r="A24" s="67">
        <v>145</v>
      </c>
      <c r="B24" s="68">
        <f>PEDIDO!C7</f>
        <v>78</v>
      </c>
      <c r="C24" s="69">
        <f t="shared" si="0"/>
        <v>0.53793103448275859</v>
      </c>
      <c r="D24" s="69">
        <f t="shared" si="1"/>
        <v>5.3793103448275856E-2</v>
      </c>
      <c r="E24" s="69">
        <f t="shared" si="2"/>
        <v>5.3793103448275858E-3</v>
      </c>
      <c r="F24" s="68">
        <v>0</v>
      </c>
      <c r="G24" s="70">
        <f t="shared" si="3"/>
        <v>0</v>
      </c>
    </row>
    <row r="25" spans="1:7" ht="15" hidden="1">
      <c r="A25" s="67">
        <v>145</v>
      </c>
      <c r="B25" s="68">
        <f>PEDIDO!C8</f>
        <v>2</v>
      </c>
      <c r="C25" s="69">
        <f t="shared" si="0"/>
        <v>1.3793103448275862E-2</v>
      </c>
      <c r="D25" s="69">
        <f t="shared" si="1"/>
        <v>1.3793103448275861E-3</v>
      </c>
      <c r="E25" s="69">
        <f t="shared" si="2"/>
        <v>1.3793103448275863E-4</v>
      </c>
      <c r="F25" s="68">
        <v>0</v>
      </c>
      <c r="G25" s="70">
        <f t="shared" si="3"/>
        <v>0</v>
      </c>
    </row>
    <row r="26" spans="1:7" ht="15" hidden="1">
      <c r="A26" s="67">
        <v>145</v>
      </c>
      <c r="B26" s="68">
        <f>PEDIDO!C9</f>
        <v>1</v>
      </c>
      <c r="C26" s="69">
        <f t="shared" si="0"/>
        <v>6.8965517241379309E-3</v>
      </c>
      <c r="D26" s="69">
        <f t="shared" si="1"/>
        <v>6.8965517241379305E-4</v>
      </c>
      <c r="E26" s="69">
        <f t="shared" si="2"/>
        <v>6.8965517241379313E-5</v>
      </c>
      <c r="F26" s="68">
        <v>0</v>
      </c>
      <c r="G26" s="70">
        <f t="shared" si="3"/>
        <v>0</v>
      </c>
    </row>
    <row r="27" spans="1:7" ht="15" hidden="1">
      <c r="A27" s="67">
        <v>145</v>
      </c>
      <c r="B27" s="68">
        <f>PEDIDO!C10</f>
        <v>1</v>
      </c>
      <c r="C27" s="69">
        <f t="shared" si="0"/>
        <v>6.8965517241379309E-3</v>
      </c>
      <c r="D27" s="69">
        <f t="shared" si="1"/>
        <v>6.8965517241379305E-4</v>
      </c>
      <c r="E27" s="69">
        <f t="shared" si="2"/>
        <v>6.8965517241379313E-5</v>
      </c>
      <c r="F27" s="68">
        <v>0</v>
      </c>
      <c r="G27" s="70">
        <f t="shared" si="3"/>
        <v>0</v>
      </c>
    </row>
    <row r="28" spans="1:7" ht="15" hidden="1">
      <c r="A28" s="67">
        <v>145</v>
      </c>
      <c r="B28" s="68">
        <f>PEDIDO!C11</f>
        <v>222</v>
      </c>
      <c r="C28" s="69">
        <f t="shared" si="0"/>
        <v>1.5310344827586206</v>
      </c>
      <c r="D28" s="69">
        <f t="shared" si="1"/>
        <v>0.15310344827586206</v>
      </c>
      <c r="E28" s="69">
        <f t="shared" si="2"/>
        <v>1.5310344827586206E-2</v>
      </c>
      <c r="F28" s="68">
        <v>0</v>
      </c>
      <c r="G28" s="70">
        <f t="shared" si="3"/>
        <v>0</v>
      </c>
    </row>
    <row r="29" spans="1:7" ht="15" hidden="1">
      <c r="A29" s="67">
        <v>145</v>
      </c>
      <c r="B29" s="68">
        <f>PEDIDO!C12</f>
        <v>0</v>
      </c>
      <c r="C29" s="69">
        <f t="shared" si="0"/>
        <v>0</v>
      </c>
      <c r="D29" s="69">
        <f t="shared" si="1"/>
        <v>0</v>
      </c>
      <c r="E29" s="69">
        <f t="shared" si="2"/>
        <v>0</v>
      </c>
      <c r="F29" s="68">
        <v>0</v>
      </c>
      <c r="G29" s="70">
        <f t="shared" si="3"/>
        <v>0</v>
      </c>
    </row>
    <row r="30" spans="1:7" ht="15" hidden="1">
      <c r="A30" s="67">
        <v>145</v>
      </c>
      <c r="B30" s="68">
        <f>PEDIDO!C13</f>
        <v>0</v>
      </c>
      <c r="C30" s="69">
        <f t="shared" si="0"/>
        <v>0</v>
      </c>
      <c r="D30" s="69">
        <f t="shared" si="1"/>
        <v>0</v>
      </c>
      <c r="E30" s="69">
        <f t="shared" si="2"/>
        <v>0</v>
      </c>
      <c r="F30" s="68">
        <v>0</v>
      </c>
      <c r="G30" s="70">
        <f t="shared" si="3"/>
        <v>0</v>
      </c>
    </row>
    <row r="31" spans="1:7" ht="15" hidden="1">
      <c r="A31" s="67">
        <v>145</v>
      </c>
      <c r="B31" s="68">
        <f>PEDIDO!C14</f>
        <v>0</v>
      </c>
      <c r="C31" s="69">
        <f t="shared" si="0"/>
        <v>0</v>
      </c>
      <c r="D31" s="69">
        <f t="shared" si="1"/>
        <v>0</v>
      </c>
      <c r="E31" s="69">
        <f t="shared" si="2"/>
        <v>0</v>
      </c>
      <c r="F31" s="68">
        <v>0</v>
      </c>
      <c r="G31" s="70">
        <f t="shared" si="3"/>
        <v>0</v>
      </c>
    </row>
    <row r="32" spans="1:7" ht="15" hidden="1">
      <c r="A32" s="67">
        <v>145</v>
      </c>
      <c r="B32" s="68">
        <f>PEDIDO!C15</f>
        <v>0</v>
      </c>
      <c r="C32" s="69">
        <f t="shared" si="0"/>
        <v>0</v>
      </c>
      <c r="D32" s="69">
        <f t="shared" si="1"/>
        <v>0</v>
      </c>
      <c r="E32" s="69">
        <f t="shared" si="2"/>
        <v>0</v>
      </c>
      <c r="F32" s="68">
        <v>0</v>
      </c>
      <c r="G32" s="70">
        <f t="shared" si="3"/>
        <v>0</v>
      </c>
    </row>
    <row r="33" spans="1:7" ht="15" hidden="1">
      <c r="A33" s="67">
        <v>145</v>
      </c>
      <c r="B33" s="68">
        <f>PEDIDO!C16</f>
        <v>0</v>
      </c>
      <c r="C33" s="69">
        <f t="shared" si="0"/>
        <v>0</v>
      </c>
      <c r="D33" s="69">
        <f t="shared" si="1"/>
        <v>0</v>
      </c>
      <c r="E33" s="69">
        <f t="shared" si="2"/>
        <v>0</v>
      </c>
      <c r="F33" s="68">
        <v>0</v>
      </c>
      <c r="G33" s="70">
        <f t="shared" si="3"/>
        <v>0</v>
      </c>
    </row>
    <row r="34" spans="1:7" ht="15" hidden="1">
      <c r="A34" s="67">
        <v>145</v>
      </c>
      <c r="B34" s="68">
        <f>PEDIDO!C17</f>
        <v>0</v>
      </c>
      <c r="C34" s="69">
        <f t="shared" si="0"/>
        <v>0</v>
      </c>
      <c r="D34" s="69">
        <f t="shared" si="1"/>
        <v>0</v>
      </c>
      <c r="E34" s="69">
        <f t="shared" si="2"/>
        <v>0</v>
      </c>
      <c r="F34" s="68">
        <v>0</v>
      </c>
      <c r="G34" s="70">
        <f t="shared" si="3"/>
        <v>0</v>
      </c>
    </row>
    <row r="35" spans="1:7" ht="15" hidden="1">
      <c r="A35" s="67">
        <v>145</v>
      </c>
      <c r="B35" s="68">
        <f>PEDIDO!C18</f>
        <v>0</v>
      </c>
      <c r="C35" s="69">
        <f t="shared" si="0"/>
        <v>0</v>
      </c>
      <c r="D35" s="69">
        <f t="shared" si="1"/>
        <v>0</v>
      </c>
      <c r="E35" s="69">
        <f t="shared" si="2"/>
        <v>0</v>
      </c>
      <c r="F35" s="68">
        <v>0</v>
      </c>
      <c r="G35" s="70">
        <f t="shared" si="3"/>
        <v>0</v>
      </c>
    </row>
    <row r="36" spans="1:7" ht="15" hidden="1">
      <c r="A36" s="67">
        <v>145</v>
      </c>
      <c r="B36" s="68">
        <f>PEDIDO!C19</f>
        <v>0</v>
      </c>
      <c r="C36" s="69">
        <f t="shared" si="0"/>
        <v>0</v>
      </c>
      <c r="D36" s="69">
        <f t="shared" si="1"/>
        <v>0</v>
      </c>
      <c r="E36" s="69">
        <f t="shared" si="2"/>
        <v>0</v>
      </c>
      <c r="F36" s="68">
        <v>0</v>
      </c>
      <c r="G36" s="70">
        <f t="shared" si="3"/>
        <v>0</v>
      </c>
    </row>
    <row r="37" spans="1:7" ht="15" hidden="1">
      <c r="A37" s="67">
        <v>145</v>
      </c>
      <c r="B37" s="68">
        <f>PEDIDO!C20</f>
        <v>0</v>
      </c>
      <c r="C37" s="69">
        <f t="shared" si="0"/>
        <v>0</v>
      </c>
      <c r="D37" s="69">
        <f t="shared" si="1"/>
        <v>0</v>
      </c>
      <c r="E37" s="69">
        <f t="shared" si="2"/>
        <v>0</v>
      </c>
      <c r="F37" s="68">
        <v>0</v>
      </c>
      <c r="G37" s="70">
        <f t="shared" si="3"/>
        <v>0</v>
      </c>
    </row>
    <row r="38" spans="1:7" ht="15" hidden="1">
      <c r="A38" s="67">
        <v>145</v>
      </c>
      <c r="B38" s="68">
        <f>PEDIDO!C21</f>
        <v>0</v>
      </c>
      <c r="C38" s="69">
        <f t="shared" si="0"/>
        <v>0</v>
      </c>
      <c r="D38" s="69">
        <f t="shared" si="1"/>
        <v>0</v>
      </c>
      <c r="E38" s="69">
        <f t="shared" si="2"/>
        <v>0</v>
      </c>
      <c r="F38" s="68">
        <v>0</v>
      </c>
      <c r="G38" s="70">
        <f t="shared" si="3"/>
        <v>0</v>
      </c>
    </row>
    <row r="39" spans="1:7" ht="15" hidden="1">
      <c r="A39" s="67">
        <v>145</v>
      </c>
      <c r="B39" s="68">
        <f>PEDIDO!C22</f>
        <v>0</v>
      </c>
      <c r="C39" s="69">
        <f t="shared" si="0"/>
        <v>0</v>
      </c>
      <c r="D39" s="69">
        <f t="shared" si="1"/>
        <v>0</v>
      </c>
      <c r="E39" s="69">
        <f t="shared" si="2"/>
        <v>0</v>
      </c>
      <c r="F39" s="68">
        <v>0</v>
      </c>
      <c r="G39" s="70">
        <f t="shared" si="3"/>
        <v>0</v>
      </c>
    </row>
    <row r="40" spans="1:7" ht="15" hidden="1">
      <c r="A40" s="67">
        <v>145</v>
      </c>
      <c r="B40" s="68">
        <f>PEDIDO!C23</f>
        <v>0</v>
      </c>
      <c r="C40" s="69">
        <f t="shared" si="0"/>
        <v>0</v>
      </c>
      <c r="D40" s="69">
        <f t="shared" si="1"/>
        <v>0</v>
      </c>
      <c r="E40" s="69">
        <f t="shared" si="2"/>
        <v>0</v>
      </c>
      <c r="F40" s="68">
        <v>0</v>
      </c>
      <c r="G40" s="70">
        <f t="shared" si="3"/>
        <v>0</v>
      </c>
    </row>
    <row r="41" spans="1:7" ht="15" hidden="1">
      <c r="A41" s="67">
        <v>145</v>
      </c>
      <c r="B41" s="68">
        <f>PEDIDO!C24</f>
        <v>0</v>
      </c>
      <c r="C41" s="69">
        <f t="shared" si="0"/>
        <v>0</v>
      </c>
      <c r="D41" s="69">
        <f t="shared" si="1"/>
        <v>0</v>
      </c>
      <c r="E41" s="69">
        <f t="shared" si="2"/>
        <v>0</v>
      </c>
      <c r="F41" s="68">
        <v>0</v>
      </c>
      <c r="G41" s="70">
        <f t="shared" si="3"/>
        <v>0</v>
      </c>
    </row>
    <row r="42" spans="1:7" ht="15" hidden="1">
      <c r="A42" s="67">
        <v>145</v>
      </c>
      <c r="B42" s="68">
        <f>PEDIDO!C25</f>
        <v>0</v>
      </c>
      <c r="C42" s="69">
        <f t="shared" si="0"/>
        <v>0</v>
      </c>
      <c r="D42" s="69">
        <f t="shared" si="1"/>
        <v>0</v>
      </c>
      <c r="E42" s="69">
        <f t="shared" si="2"/>
        <v>0</v>
      </c>
      <c r="F42" s="68">
        <v>0</v>
      </c>
      <c r="G42" s="70">
        <f t="shared" si="3"/>
        <v>0</v>
      </c>
    </row>
    <row r="43" spans="1:7" ht="15" hidden="1">
      <c r="A43" s="67">
        <v>145</v>
      </c>
      <c r="B43" s="68">
        <f>PEDIDO!C26</f>
        <v>0</v>
      </c>
      <c r="C43" s="69">
        <f t="shared" si="0"/>
        <v>0</v>
      </c>
      <c r="D43" s="69">
        <f t="shared" si="1"/>
        <v>0</v>
      </c>
      <c r="E43" s="69">
        <f t="shared" si="2"/>
        <v>0</v>
      </c>
      <c r="F43" s="68">
        <v>0</v>
      </c>
      <c r="G43" s="70">
        <f t="shared" si="3"/>
        <v>0</v>
      </c>
    </row>
    <row r="44" spans="1:7" ht="15" hidden="1">
      <c r="A44" s="67">
        <v>145</v>
      </c>
      <c r="B44" s="68">
        <f>PEDIDO!C27</f>
        <v>0</v>
      </c>
      <c r="C44" s="69">
        <f t="shared" si="0"/>
        <v>0</v>
      </c>
      <c r="D44" s="69">
        <f t="shared" si="1"/>
        <v>0</v>
      </c>
      <c r="E44" s="69">
        <f t="shared" si="2"/>
        <v>0</v>
      </c>
      <c r="F44" s="68">
        <v>0</v>
      </c>
      <c r="G44" s="70">
        <f t="shared" si="3"/>
        <v>0</v>
      </c>
    </row>
    <row r="45" spans="1:7" ht="15" hidden="1">
      <c r="A45" s="67">
        <v>145</v>
      </c>
      <c r="B45" s="68">
        <f>PEDIDO!C28</f>
        <v>0</v>
      </c>
      <c r="C45" s="69">
        <f>B45/A45</f>
        <v>0</v>
      </c>
      <c r="D45" s="69">
        <f t="shared" si="1"/>
        <v>0</v>
      </c>
      <c r="E45" s="69">
        <f>C45/100</f>
        <v>0</v>
      </c>
      <c r="F45" s="68">
        <v>0</v>
      </c>
      <c r="G45" s="70">
        <f>F45*E45</f>
        <v>0</v>
      </c>
    </row>
  </sheetData>
  <sheetProtection password="B4B1" sheet="1" objects="1" scenarios="1"/>
  <protectedRanges>
    <protectedRange password="B4B1" sqref="A1:F1 A7:F7 A13:G13 A2:A5 A8:A11 A14:A17 C2:E5 G14:G17 G7:G11 G1:G5 C8:E11 C14:E17 A20:F20 C21:E45 G20:G45 A21:A45" name="BLOQUEADAS"/>
    <protectedRange sqref="F2:F5 F8:F11 F14:F17 B8:B11 B14:B17 F21:F45 B2:B5 B21:B45" name="DESBLOQUEADAS"/>
  </protectedRanges>
  <mergeCells count="1">
    <mergeCell ref="H1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147"/>
  <sheetViews>
    <sheetView showFormulas="1" topLeftCell="A109" zoomScale="85" zoomScaleNormal="85" workbookViewId="0">
      <selection activeCell="B110" sqref="B110"/>
    </sheetView>
  </sheetViews>
  <sheetFormatPr defaultColWidth="11.42578125" defaultRowHeight="12.75"/>
  <cols>
    <col min="1" max="1" width="26.28515625" style="45" customWidth="1"/>
    <col min="2" max="2" width="10.5703125" style="46" customWidth="1"/>
    <col min="3" max="3" width="7.7109375" style="44" customWidth="1"/>
    <col min="4" max="4" width="17.7109375" customWidth="1"/>
    <col min="7" max="7" width="0" hidden="1" customWidth="1"/>
    <col min="9" max="9" width="0" hidden="1" customWidth="1"/>
  </cols>
  <sheetData>
    <row r="1" spans="1:4">
      <c r="A1" s="41" t="s">
        <v>118</v>
      </c>
      <c r="B1" s="40" t="s">
        <v>140</v>
      </c>
      <c r="C1" s="75" t="s">
        <v>125</v>
      </c>
      <c r="D1" s="78" t="s">
        <v>141</v>
      </c>
    </row>
    <row r="2" spans="1:4">
      <c r="A2" s="42" t="s">
        <v>142</v>
      </c>
      <c r="B2" s="24">
        <v>133.4</v>
      </c>
      <c r="C2" s="76">
        <v>1</v>
      </c>
      <c r="D2" s="79"/>
    </row>
    <row r="3" spans="1:4">
      <c r="A3" s="42">
        <v>0</v>
      </c>
      <c r="B3" s="24">
        <v>0</v>
      </c>
      <c r="C3" s="76">
        <v>0</v>
      </c>
      <c r="D3" s="79"/>
    </row>
    <row r="4" spans="1:4">
      <c r="A4" s="42" t="s">
        <v>143</v>
      </c>
      <c r="B4" s="24">
        <v>50</v>
      </c>
      <c r="C4" s="76">
        <v>1</v>
      </c>
      <c r="D4" s="79"/>
    </row>
    <row r="5" spans="1:4">
      <c r="A5" s="42" t="s">
        <v>144</v>
      </c>
      <c r="B5" s="39">
        <v>1392</v>
      </c>
      <c r="C5" s="76">
        <v>1</v>
      </c>
      <c r="D5" s="79"/>
    </row>
    <row r="6" spans="1:4">
      <c r="A6" s="42" t="s">
        <v>145</v>
      </c>
      <c r="B6" s="39">
        <v>2204</v>
      </c>
      <c r="C6" s="76">
        <v>1</v>
      </c>
      <c r="D6" s="79"/>
    </row>
    <row r="7" spans="1:4">
      <c r="A7" s="42" t="s">
        <v>146</v>
      </c>
      <c r="B7" s="24">
        <v>800</v>
      </c>
      <c r="C7" s="76">
        <v>1</v>
      </c>
      <c r="D7" s="79"/>
    </row>
    <row r="8" spans="1:4">
      <c r="A8" s="42" t="s">
        <v>147</v>
      </c>
      <c r="B8" s="24">
        <v>800</v>
      </c>
      <c r="C8" s="76">
        <v>1</v>
      </c>
      <c r="D8" s="79"/>
    </row>
    <row r="9" spans="1:4">
      <c r="A9" s="42" t="s">
        <v>148</v>
      </c>
      <c r="B9" s="24">
        <v>800</v>
      </c>
      <c r="C9" s="76">
        <v>1</v>
      </c>
      <c r="D9" s="79"/>
    </row>
    <row r="10" spans="1:4">
      <c r="A10" s="42" t="s">
        <v>149</v>
      </c>
      <c r="B10" s="24">
        <v>800</v>
      </c>
      <c r="C10" s="76">
        <v>1</v>
      </c>
      <c r="D10" s="79"/>
    </row>
    <row r="11" spans="1:4">
      <c r="A11" s="42" t="s">
        <v>150</v>
      </c>
      <c r="B11" s="24">
        <v>800</v>
      </c>
      <c r="C11" s="76">
        <v>1</v>
      </c>
      <c r="D11" s="79"/>
    </row>
    <row r="12" spans="1:4" ht="12" customHeight="1">
      <c r="A12" s="42" t="s">
        <v>151</v>
      </c>
      <c r="B12" s="24">
        <v>58</v>
      </c>
      <c r="C12" s="76">
        <v>1</v>
      </c>
      <c r="D12" s="79"/>
    </row>
    <row r="13" spans="1:4">
      <c r="A13" s="42" t="s">
        <v>152</v>
      </c>
      <c r="B13" s="24">
        <v>63.8</v>
      </c>
      <c r="C13" s="76">
        <v>1</v>
      </c>
      <c r="D13" s="79"/>
    </row>
    <row r="14" spans="1:4">
      <c r="A14" s="42" t="s">
        <v>153</v>
      </c>
      <c r="B14" s="24">
        <v>63.8</v>
      </c>
      <c r="C14" s="76">
        <v>1</v>
      </c>
      <c r="D14" s="79"/>
    </row>
    <row r="15" spans="1:4">
      <c r="A15" s="42" t="s">
        <v>154</v>
      </c>
      <c r="B15" s="24">
        <v>130</v>
      </c>
      <c r="C15" s="76">
        <v>1</v>
      </c>
      <c r="D15" s="79"/>
    </row>
    <row r="16" spans="1:4">
      <c r="A16" s="42" t="s">
        <v>155</v>
      </c>
      <c r="B16" s="24">
        <v>130</v>
      </c>
      <c r="C16" s="76">
        <v>1</v>
      </c>
      <c r="D16" s="79"/>
    </row>
    <row r="17" spans="1:4">
      <c r="A17" s="42" t="s">
        <v>156</v>
      </c>
      <c r="B17" s="24">
        <v>250</v>
      </c>
      <c r="C17" s="76">
        <v>1</v>
      </c>
      <c r="D17" s="79"/>
    </row>
    <row r="18" spans="1:4">
      <c r="A18" s="42" t="s">
        <v>157</v>
      </c>
      <c r="B18" s="24">
        <v>350</v>
      </c>
      <c r="C18" s="76">
        <v>1</v>
      </c>
      <c r="D18" s="79"/>
    </row>
    <row r="19" spans="1:4">
      <c r="A19" s="42" t="s">
        <v>158</v>
      </c>
      <c r="B19" s="24">
        <v>800</v>
      </c>
      <c r="C19" s="76">
        <v>1</v>
      </c>
      <c r="D19" s="79"/>
    </row>
    <row r="20" spans="1:4">
      <c r="A20" s="42" t="s">
        <v>159</v>
      </c>
      <c r="B20" s="24">
        <v>110</v>
      </c>
      <c r="C20" s="76">
        <v>1</v>
      </c>
      <c r="D20" s="79"/>
    </row>
    <row r="21" spans="1:4">
      <c r="A21" s="42" t="s">
        <v>160</v>
      </c>
      <c r="B21" s="24">
        <v>1000</v>
      </c>
      <c r="C21" s="76">
        <v>1</v>
      </c>
      <c r="D21" s="79"/>
    </row>
    <row r="22" spans="1:4">
      <c r="A22" s="42" t="s">
        <v>161</v>
      </c>
      <c r="B22" s="24">
        <v>0.5</v>
      </c>
      <c r="C22" s="76">
        <v>1</v>
      </c>
      <c r="D22" s="79"/>
    </row>
    <row r="23" spans="1:4">
      <c r="A23" s="42" t="s">
        <v>162</v>
      </c>
      <c r="B23" s="24">
        <v>754</v>
      </c>
      <c r="C23" s="76">
        <v>1</v>
      </c>
      <c r="D23" s="79"/>
    </row>
    <row r="24" spans="1:4">
      <c r="A24" s="42" t="s">
        <v>163</v>
      </c>
      <c r="B24" s="24">
        <v>754</v>
      </c>
      <c r="C24" s="76">
        <v>1</v>
      </c>
      <c r="D24" s="79"/>
    </row>
    <row r="25" spans="1:4">
      <c r="A25" s="42" t="s">
        <v>164</v>
      </c>
      <c r="B25" s="24">
        <v>0.2</v>
      </c>
      <c r="C25" s="76">
        <v>1</v>
      </c>
      <c r="D25" s="79"/>
    </row>
    <row r="26" spans="1:4">
      <c r="A26" s="42" t="s">
        <v>165</v>
      </c>
      <c r="B26" s="24">
        <v>0.3</v>
      </c>
      <c r="C26" s="76">
        <v>1</v>
      </c>
      <c r="D26" s="79"/>
    </row>
    <row r="27" spans="1:4">
      <c r="A27" s="42" t="s">
        <v>166</v>
      </c>
      <c r="B27" s="24">
        <v>0.26</v>
      </c>
      <c r="C27" s="76">
        <v>1</v>
      </c>
      <c r="D27" s="79"/>
    </row>
    <row r="28" spans="1:4">
      <c r="A28" s="42" t="s">
        <v>167</v>
      </c>
      <c r="B28" s="24">
        <v>0.4</v>
      </c>
      <c r="C28" s="76">
        <v>1</v>
      </c>
      <c r="D28" s="79"/>
    </row>
    <row r="29" spans="1:4">
      <c r="A29" s="42" t="s">
        <v>168</v>
      </c>
      <c r="B29" s="24">
        <v>0.4</v>
      </c>
      <c r="C29" s="76">
        <v>1</v>
      </c>
      <c r="D29" s="79"/>
    </row>
    <row r="30" spans="1:4">
      <c r="A30" s="42" t="s">
        <v>169</v>
      </c>
      <c r="B30" s="24">
        <v>0.4</v>
      </c>
      <c r="C30" s="76">
        <v>1</v>
      </c>
      <c r="D30" s="79"/>
    </row>
    <row r="31" spans="1:4">
      <c r="A31" s="42" t="s">
        <v>170</v>
      </c>
      <c r="B31" s="24">
        <v>500</v>
      </c>
      <c r="C31" s="76">
        <v>1</v>
      </c>
      <c r="D31" s="79"/>
    </row>
    <row r="32" spans="1:4">
      <c r="A32" s="42" t="s">
        <v>171</v>
      </c>
      <c r="B32" s="24">
        <v>450</v>
      </c>
      <c r="C32" s="76">
        <v>1</v>
      </c>
      <c r="D32" s="79"/>
    </row>
    <row r="33" spans="1:4" ht="12.75" customHeight="1">
      <c r="A33" s="42" t="s">
        <v>172</v>
      </c>
      <c r="B33" s="24">
        <v>400</v>
      </c>
      <c r="C33" s="76">
        <v>1</v>
      </c>
      <c r="D33" s="79"/>
    </row>
    <row r="34" spans="1:4" ht="12.75" customHeight="1">
      <c r="A34" s="42" t="s">
        <v>173</v>
      </c>
      <c r="B34" s="24">
        <v>3.4</v>
      </c>
      <c r="C34" s="76">
        <v>1</v>
      </c>
      <c r="D34" s="79"/>
    </row>
    <row r="35" spans="1:4" ht="12.75" customHeight="1">
      <c r="A35" s="42" t="s">
        <v>174</v>
      </c>
      <c r="B35" s="24">
        <v>4.4000000000000004</v>
      </c>
      <c r="C35" s="76">
        <v>1</v>
      </c>
      <c r="D35" s="79"/>
    </row>
    <row r="36" spans="1:4" ht="12.75" customHeight="1">
      <c r="A36" s="42" t="s">
        <v>26</v>
      </c>
      <c r="B36" s="24">
        <v>6</v>
      </c>
      <c r="C36" s="76">
        <v>1</v>
      </c>
      <c r="D36" s="79"/>
    </row>
    <row r="37" spans="1:4" ht="12.75" customHeight="1">
      <c r="A37" s="42" t="s">
        <v>175</v>
      </c>
      <c r="B37" s="24">
        <v>0.38</v>
      </c>
      <c r="C37" s="76">
        <v>1</v>
      </c>
      <c r="D37" s="79"/>
    </row>
    <row r="38" spans="1:4" ht="15" customHeight="1">
      <c r="A38" s="42" t="s">
        <v>176</v>
      </c>
      <c r="B38" s="25">
        <v>50</v>
      </c>
      <c r="C38" s="76">
        <v>1</v>
      </c>
      <c r="D38" s="79"/>
    </row>
    <row r="39" spans="1:4" ht="15" customHeight="1">
      <c r="A39" s="42" t="s">
        <v>177</v>
      </c>
      <c r="B39" s="26">
        <v>50</v>
      </c>
      <c r="C39" s="76">
        <v>1</v>
      </c>
      <c r="D39" s="79"/>
    </row>
    <row r="40" spans="1:4" ht="12.75" customHeight="1">
      <c r="A40" s="42" t="s">
        <v>30</v>
      </c>
      <c r="B40" s="26">
        <v>80</v>
      </c>
      <c r="C40" s="76">
        <v>1</v>
      </c>
      <c r="D40" s="79"/>
    </row>
    <row r="41" spans="1:4" ht="12.75" customHeight="1">
      <c r="A41" s="42" t="s">
        <v>178</v>
      </c>
      <c r="B41" s="26">
        <v>90</v>
      </c>
      <c r="C41" s="76">
        <v>1</v>
      </c>
      <c r="D41" s="79"/>
    </row>
    <row r="42" spans="1:4" ht="12.75" customHeight="1">
      <c r="A42" s="42" t="s">
        <v>179</v>
      </c>
      <c r="B42" s="26">
        <v>100</v>
      </c>
      <c r="C42" s="76">
        <v>1</v>
      </c>
      <c r="D42" s="79"/>
    </row>
    <row r="43" spans="1:4" ht="15" customHeight="1">
      <c r="A43" s="42" t="s">
        <v>180</v>
      </c>
      <c r="B43" s="25">
        <v>50</v>
      </c>
      <c r="C43" s="76">
        <v>1</v>
      </c>
      <c r="D43" s="79"/>
    </row>
    <row r="44" spans="1:4" ht="15" customHeight="1">
      <c r="A44" s="42" t="s">
        <v>181</v>
      </c>
      <c r="B44" s="26">
        <v>50</v>
      </c>
      <c r="C44" s="76">
        <v>1</v>
      </c>
      <c r="D44" s="79"/>
    </row>
    <row r="45" spans="1:4" ht="12.75" customHeight="1">
      <c r="A45" s="42" t="s">
        <v>182</v>
      </c>
      <c r="B45" s="26">
        <v>80</v>
      </c>
      <c r="C45" s="76">
        <v>1</v>
      </c>
      <c r="D45" s="79"/>
    </row>
    <row r="46" spans="1:4" ht="12.75" customHeight="1">
      <c r="A46" s="42" t="s">
        <v>183</v>
      </c>
      <c r="B46" s="26">
        <v>90</v>
      </c>
      <c r="C46" s="76">
        <v>1</v>
      </c>
      <c r="D46" s="79"/>
    </row>
    <row r="47" spans="1:4" ht="12.75" customHeight="1">
      <c r="A47" s="42" t="s">
        <v>184</v>
      </c>
      <c r="B47" s="26">
        <v>100</v>
      </c>
      <c r="C47" s="76">
        <v>1</v>
      </c>
      <c r="D47" s="79"/>
    </row>
    <row r="48" spans="1:4" ht="12.75" customHeight="1">
      <c r="A48" s="42" t="s">
        <v>185</v>
      </c>
      <c r="B48" s="39">
        <v>250</v>
      </c>
      <c r="C48" s="43">
        <v>1</v>
      </c>
      <c r="D48" s="79"/>
    </row>
    <row r="49" spans="1:4" ht="12.75" customHeight="1">
      <c r="A49" s="42" t="s">
        <v>186</v>
      </c>
      <c r="B49" s="24">
        <v>349</v>
      </c>
      <c r="C49" s="76">
        <v>1</v>
      </c>
      <c r="D49" s="79"/>
    </row>
    <row r="50" spans="1:4" ht="12.75" customHeight="1">
      <c r="A50" s="42" t="s">
        <v>187</v>
      </c>
      <c r="B50" s="24">
        <v>246</v>
      </c>
      <c r="C50" s="76">
        <v>1</v>
      </c>
      <c r="D50" s="79"/>
    </row>
    <row r="51" spans="1:4" ht="12.75" customHeight="1">
      <c r="A51" s="42" t="s">
        <v>188</v>
      </c>
      <c r="B51" s="24">
        <v>436</v>
      </c>
      <c r="C51" s="76">
        <v>1</v>
      </c>
      <c r="D51" s="79"/>
    </row>
    <row r="52" spans="1:4" ht="12.75" customHeight="1">
      <c r="A52" s="42" t="s">
        <v>189</v>
      </c>
      <c r="B52" s="24">
        <v>491</v>
      </c>
      <c r="C52" s="76">
        <v>1</v>
      </c>
      <c r="D52" s="79"/>
    </row>
    <row r="53" spans="1:4" ht="12.75" customHeight="1">
      <c r="A53" s="42" t="s">
        <v>190</v>
      </c>
      <c r="B53" s="24">
        <v>488</v>
      </c>
      <c r="C53" s="76">
        <v>1</v>
      </c>
      <c r="D53" s="79"/>
    </row>
    <row r="54" spans="1:4" ht="12.75" customHeight="1">
      <c r="A54" s="42" t="s">
        <v>191</v>
      </c>
      <c r="B54" s="24">
        <v>589</v>
      </c>
      <c r="C54" s="76">
        <v>1</v>
      </c>
      <c r="D54" s="79"/>
    </row>
    <row r="55" spans="1:4" ht="12.75" customHeight="1">
      <c r="A55" s="42" t="s">
        <v>192</v>
      </c>
      <c r="B55" s="24">
        <v>685</v>
      </c>
      <c r="C55" s="76">
        <v>1</v>
      </c>
      <c r="D55" s="79"/>
    </row>
    <row r="56" spans="1:4" ht="12.75" customHeight="1">
      <c r="A56" s="42" t="s">
        <v>193</v>
      </c>
      <c r="B56" s="24">
        <v>430</v>
      </c>
      <c r="C56" s="76">
        <v>1</v>
      </c>
      <c r="D56" s="79"/>
    </row>
    <row r="57" spans="1:4" ht="12.75" customHeight="1">
      <c r="A57" s="42" t="s">
        <v>194</v>
      </c>
      <c r="B57" s="24">
        <v>476</v>
      </c>
      <c r="C57" s="76">
        <v>1</v>
      </c>
      <c r="D57" s="79"/>
    </row>
    <row r="58" spans="1:4" ht="12.75" customHeight="1">
      <c r="A58" s="42" t="s">
        <v>195</v>
      </c>
      <c r="B58" s="24">
        <v>306</v>
      </c>
      <c r="C58" s="76">
        <v>1</v>
      </c>
      <c r="D58" s="79"/>
    </row>
    <row r="59" spans="1:4" ht="12.75" customHeight="1">
      <c r="A59" s="42" t="s">
        <v>196</v>
      </c>
      <c r="B59" s="24">
        <v>200</v>
      </c>
      <c r="C59" s="76">
        <v>1</v>
      </c>
      <c r="D59" s="79"/>
    </row>
    <row r="60" spans="1:4" ht="12.75" customHeight="1">
      <c r="A60" s="42" t="s">
        <v>197</v>
      </c>
      <c r="B60" s="24">
        <v>17</v>
      </c>
      <c r="C60" s="76">
        <v>1</v>
      </c>
      <c r="D60" s="79"/>
    </row>
    <row r="61" spans="1:4" ht="12.75" customHeight="1">
      <c r="A61" s="42" t="s">
        <v>198</v>
      </c>
      <c r="B61" s="24">
        <v>80</v>
      </c>
      <c r="C61" s="76">
        <v>1</v>
      </c>
      <c r="D61" s="79"/>
    </row>
    <row r="62" spans="1:4">
      <c r="A62" s="42" t="s">
        <v>199</v>
      </c>
      <c r="B62" s="24">
        <v>4000</v>
      </c>
      <c r="C62" s="76">
        <v>1</v>
      </c>
      <c r="D62" s="79"/>
    </row>
    <row r="63" spans="1:4">
      <c r="A63" s="42" t="s">
        <v>200</v>
      </c>
      <c r="B63" s="24">
        <v>0.13</v>
      </c>
      <c r="C63" s="76">
        <v>1</v>
      </c>
      <c r="D63" s="79"/>
    </row>
    <row r="64" spans="1:4">
      <c r="A64" s="42" t="s">
        <v>201</v>
      </c>
      <c r="B64" s="24">
        <v>0.15</v>
      </c>
      <c r="C64" s="76">
        <v>1</v>
      </c>
      <c r="D64" s="79"/>
    </row>
    <row r="65" spans="1:4">
      <c r="A65" s="42" t="s">
        <v>202</v>
      </c>
      <c r="B65" s="24">
        <v>0.17</v>
      </c>
      <c r="C65" s="76">
        <v>1</v>
      </c>
      <c r="D65" s="79"/>
    </row>
    <row r="66" spans="1:4">
      <c r="A66" s="42" t="s">
        <v>203</v>
      </c>
      <c r="B66" s="24">
        <v>0.25</v>
      </c>
      <c r="C66" s="76">
        <v>1</v>
      </c>
      <c r="D66" s="79">
        <v>100</v>
      </c>
    </row>
    <row r="67" spans="1:4">
      <c r="A67" s="42" t="s">
        <v>204</v>
      </c>
      <c r="B67" s="24">
        <v>0.56999999999999995</v>
      </c>
      <c r="C67" s="76">
        <v>1</v>
      </c>
      <c r="D67" s="79">
        <v>140</v>
      </c>
    </row>
    <row r="68" spans="1:4">
      <c r="A68" s="42" t="s">
        <v>205</v>
      </c>
      <c r="B68" s="24">
        <v>284</v>
      </c>
      <c r="C68" s="76">
        <v>1</v>
      </c>
      <c r="D68" s="79"/>
    </row>
    <row r="69" spans="1:4">
      <c r="A69" s="42" t="s">
        <v>206</v>
      </c>
      <c r="B69" s="24">
        <v>491</v>
      </c>
      <c r="C69" s="76">
        <v>1</v>
      </c>
      <c r="D69" s="79"/>
    </row>
    <row r="70" spans="1:4">
      <c r="A70" s="42" t="s">
        <v>207</v>
      </c>
      <c r="B70" s="24">
        <v>0.1</v>
      </c>
      <c r="C70" s="76">
        <v>1</v>
      </c>
      <c r="D70" s="79">
        <v>140</v>
      </c>
    </row>
    <row r="71" spans="1:4">
      <c r="A71" s="42" t="s">
        <v>208</v>
      </c>
      <c r="B71" s="24">
        <v>0.36</v>
      </c>
      <c r="C71" s="76">
        <v>1</v>
      </c>
      <c r="D71" s="79">
        <v>140</v>
      </c>
    </row>
    <row r="72" spans="1:4">
      <c r="A72" s="42" t="s">
        <v>209</v>
      </c>
      <c r="B72" s="24">
        <v>928</v>
      </c>
      <c r="C72" s="76">
        <v>1</v>
      </c>
      <c r="D72" s="79"/>
    </row>
    <row r="73" spans="1:4">
      <c r="A73" s="42" t="s">
        <v>210</v>
      </c>
      <c r="B73" s="24">
        <v>1500</v>
      </c>
      <c r="C73" s="76">
        <v>1</v>
      </c>
      <c r="D73" s="79"/>
    </row>
    <row r="74" spans="1:4">
      <c r="A74" s="42" t="s">
        <v>211</v>
      </c>
      <c r="B74" s="24">
        <v>1000</v>
      </c>
      <c r="C74" s="76">
        <v>1</v>
      </c>
      <c r="D74" s="79"/>
    </row>
    <row r="75" spans="1:4">
      <c r="A75" s="42" t="s">
        <v>212</v>
      </c>
      <c r="B75" s="24">
        <v>1100</v>
      </c>
      <c r="C75" s="76">
        <v>1</v>
      </c>
      <c r="D75" s="79"/>
    </row>
    <row r="76" spans="1:4">
      <c r="A76" s="42" t="s">
        <v>213</v>
      </c>
      <c r="B76" s="24">
        <v>930</v>
      </c>
      <c r="C76" s="76">
        <v>1</v>
      </c>
      <c r="D76" s="79"/>
    </row>
    <row r="77" spans="1:4">
      <c r="A77" s="42" t="s">
        <v>214</v>
      </c>
      <c r="B77" s="24">
        <v>950</v>
      </c>
      <c r="C77" s="76">
        <v>1</v>
      </c>
      <c r="D77" s="79"/>
    </row>
    <row r="78" spans="1:4">
      <c r="A78" s="42" t="s">
        <v>215</v>
      </c>
      <c r="B78" s="24">
        <v>2000</v>
      </c>
      <c r="C78" s="76">
        <v>1</v>
      </c>
      <c r="D78" s="79"/>
    </row>
    <row r="79" spans="1:4">
      <c r="A79" s="42" t="s">
        <v>216</v>
      </c>
      <c r="B79" s="24">
        <v>500</v>
      </c>
      <c r="C79" s="76">
        <v>1</v>
      </c>
      <c r="D79" s="79"/>
    </row>
    <row r="80" spans="1:4" ht="15">
      <c r="A80" s="42" t="s">
        <v>217</v>
      </c>
      <c r="B80" s="24">
        <v>400</v>
      </c>
      <c r="C80" s="76">
        <v>1</v>
      </c>
      <c r="D80" s="79"/>
    </row>
    <row r="81" spans="1:4">
      <c r="A81" s="42" t="s">
        <v>218</v>
      </c>
      <c r="B81" s="24">
        <v>0.5</v>
      </c>
      <c r="C81" s="76">
        <v>1</v>
      </c>
      <c r="D81" s="79"/>
    </row>
    <row r="82" spans="1:4">
      <c r="A82" s="42" t="s">
        <v>219</v>
      </c>
      <c r="B82" s="24">
        <v>0.25</v>
      </c>
      <c r="C82" s="76">
        <v>1</v>
      </c>
      <c r="D82" s="79">
        <v>150</v>
      </c>
    </row>
    <row r="83" spans="1:4">
      <c r="A83" s="42" t="s">
        <v>220</v>
      </c>
      <c r="B83" s="24">
        <v>0.51</v>
      </c>
      <c r="C83" s="76">
        <v>1</v>
      </c>
      <c r="D83" s="79">
        <v>150</v>
      </c>
    </row>
    <row r="84" spans="1:4">
      <c r="A84" s="42" t="s">
        <v>27</v>
      </c>
      <c r="B84" s="24">
        <v>300</v>
      </c>
      <c r="C84" s="76">
        <v>1</v>
      </c>
      <c r="D84" s="79"/>
    </row>
    <row r="85" spans="1:4">
      <c r="A85" s="42" t="s">
        <v>221</v>
      </c>
      <c r="B85" s="24">
        <v>105</v>
      </c>
      <c r="C85" s="76">
        <v>1</v>
      </c>
      <c r="D85" s="79"/>
    </row>
    <row r="86" spans="1:4">
      <c r="A86" s="42" t="s">
        <v>222</v>
      </c>
      <c r="B86" s="24">
        <v>105</v>
      </c>
      <c r="C86" s="76">
        <v>1</v>
      </c>
      <c r="D86" s="79"/>
    </row>
    <row r="87" spans="1:4">
      <c r="A87" s="42" t="s">
        <v>223</v>
      </c>
      <c r="B87" s="24">
        <v>100</v>
      </c>
      <c r="C87" s="76">
        <v>1</v>
      </c>
      <c r="D87" s="79"/>
    </row>
    <row r="88" spans="1:4">
      <c r="A88" s="42" t="s">
        <v>224</v>
      </c>
      <c r="B88" s="24">
        <v>200</v>
      </c>
      <c r="C88" s="76">
        <v>1</v>
      </c>
      <c r="D88" s="79"/>
    </row>
    <row r="89" spans="1:4">
      <c r="A89" s="42" t="s">
        <v>225</v>
      </c>
      <c r="B89" s="24">
        <v>100</v>
      </c>
      <c r="C89" s="76">
        <v>1</v>
      </c>
      <c r="D89" s="79"/>
    </row>
    <row r="90" spans="1:4">
      <c r="A90" s="42" t="s">
        <v>23</v>
      </c>
      <c r="B90" s="24">
        <v>0.66</v>
      </c>
      <c r="C90" s="76">
        <v>1</v>
      </c>
      <c r="D90" s="79">
        <v>140</v>
      </c>
    </row>
    <row r="91" spans="1:4">
      <c r="A91" s="42" t="s">
        <v>226</v>
      </c>
      <c r="B91" s="24">
        <v>1.46</v>
      </c>
      <c r="C91" s="76">
        <v>1</v>
      </c>
      <c r="D91" s="79">
        <v>140</v>
      </c>
    </row>
    <row r="92" spans="1:4">
      <c r="A92" s="42" t="s">
        <v>227</v>
      </c>
      <c r="B92" s="24">
        <v>115</v>
      </c>
      <c r="C92" s="76">
        <v>1</v>
      </c>
      <c r="D92" s="79"/>
    </row>
    <row r="93" spans="1:4">
      <c r="A93" s="42" t="s">
        <v>228</v>
      </c>
      <c r="B93" s="24">
        <v>108</v>
      </c>
      <c r="C93" s="76">
        <v>1</v>
      </c>
      <c r="D93" s="79"/>
    </row>
    <row r="94" spans="1:4">
      <c r="A94" s="42" t="s">
        <v>229</v>
      </c>
      <c r="B94" s="24">
        <v>290</v>
      </c>
      <c r="C94" s="76">
        <v>1</v>
      </c>
      <c r="D94" s="79"/>
    </row>
    <row r="95" spans="1:4">
      <c r="A95" s="42" t="s">
        <v>230</v>
      </c>
      <c r="B95" s="24">
        <v>115</v>
      </c>
      <c r="C95" s="76">
        <v>1</v>
      </c>
      <c r="D95" s="79"/>
    </row>
    <row r="96" spans="1:4">
      <c r="A96" s="42" t="s">
        <v>231</v>
      </c>
      <c r="B96" s="24">
        <v>290</v>
      </c>
      <c r="C96" s="76">
        <v>1</v>
      </c>
      <c r="D96" s="79"/>
    </row>
    <row r="97" spans="1:4">
      <c r="A97" s="42" t="s">
        <v>232</v>
      </c>
      <c r="B97" s="24">
        <v>65</v>
      </c>
      <c r="C97" s="76">
        <v>1</v>
      </c>
      <c r="D97" s="79"/>
    </row>
    <row r="98" spans="1:4">
      <c r="A98" s="42" t="s">
        <v>233</v>
      </c>
      <c r="B98" s="24">
        <v>7</v>
      </c>
      <c r="C98" s="76">
        <v>1</v>
      </c>
      <c r="D98" s="79"/>
    </row>
    <row r="99" spans="1:4">
      <c r="A99" s="42" t="s">
        <v>234</v>
      </c>
      <c r="B99" s="24">
        <v>8</v>
      </c>
      <c r="C99" s="76">
        <v>1</v>
      </c>
      <c r="D99" s="79"/>
    </row>
    <row r="100" spans="1:4">
      <c r="A100" s="42" t="s">
        <v>235</v>
      </c>
      <c r="B100" s="24">
        <v>3.6</v>
      </c>
      <c r="C100" s="76">
        <v>1</v>
      </c>
      <c r="D100" s="79">
        <v>81</v>
      </c>
    </row>
    <row r="101" spans="1:4">
      <c r="A101" s="42" t="s">
        <v>236</v>
      </c>
      <c r="B101" s="24">
        <v>1.07</v>
      </c>
      <c r="C101" s="76">
        <v>1</v>
      </c>
      <c r="D101" s="79">
        <v>100</v>
      </c>
    </row>
    <row r="102" spans="1:4">
      <c r="A102" s="42" t="s">
        <v>237</v>
      </c>
      <c r="B102" s="24">
        <v>1.1399999999999999</v>
      </c>
      <c r="C102" s="76">
        <v>1</v>
      </c>
      <c r="D102" s="79">
        <v>100</v>
      </c>
    </row>
    <row r="103" spans="1:4">
      <c r="A103" s="42" t="s">
        <v>238</v>
      </c>
      <c r="B103" s="24">
        <v>0.64</v>
      </c>
      <c r="C103" s="76">
        <v>1</v>
      </c>
      <c r="D103" s="79">
        <v>100</v>
      </c>
    </row>
    <row r="104" spans="1:4">
      <c r="A104" s="42" t="s">
        <v>239</v>
      </c>
      <c r="B104" s="39">
        <v>7</v>
      </c>
      <c r="C104" s="76">
        <v>1</v>
      </c>
      <c r="D104" s="79"/>
    </row>
    <row r="105" spans="1:4">
      <c r="A105" s="42" t="s">
        <v>240</v>
      </c>
      <c r="B105" s="39">
        <v>8</v>
      </c>
      <c r="C105" s="76">
        <v>1</v>
      </c>
      <c r="D105" s="79"/>
    </row>
    <row r="106" spans="1:4">
      <c r="A106" s="42" t="s">
        <v>241</v>
      </c>
      <c r="B106" s="39">
        <v>3.5</v>
      </c>
      <c r="C106" s="76">
        <v>1</v>
      </c>
      <c r="D106" s="79"/>
    </row>
    <row r="107" spans="1:4">
      <c r="A107" s="42" t="s">
        <v>242</v>
      </c>
      <c r="B107" s="39">
        <v>3.6</v>
      </c>
      <c r="C107" s="76">
        <v>1</v>
      </c>
      <c r="D107" s="79"/>
    </row>
    <row r="108" spans="1:4">
      <c r="A108" s="42" t="s">
        <v>243</v>
      </c>
      <c r="B108" s="24">
        <v>300</v>
      </c>
      <c r="C108" s="76">
        <v>1</v>
      </c>
      <c r="D108" s="79"/>
    </row>
    <row r="109" spans="1:4">
      <c r="A109" s="42" t="s">
        <v>244</v>
      </c>
      <c r="B109" s="24">
        <v>0.42</v>
      </c>
      <c r="C109" s="76">
        <v>1</v>
      </c>
      <c r="D109" s="79">
        <v>140</v>
      </c>
    </row>
    <row r="110" spans="1:4">
      <c r="A110" s="42" t="s">
        <v>245</v>
      </c>
      <c r="B110" s="24">
        <v>3900</v>
      </c>
      <c r="C110" s="76">
        <v>1</v>
      </c>
      <c r="D110" s="79"/>
    </row>
    <row r="111" spans="1:4">
      <c r="A111" s="42" t="s">
        <v>246</v>
      </c>
      <c r="B111" s="24">
        <v>70</v>
      </c>
      <c r="C111" s="76">
        <v>1</v>
      </c>
      <c r="D111" s="79"/>
    </row>
    <row r="112" spans="1:4">
      <c r="A112" s="42" t="s">
        <v>31</v>
      </c>
      <c r="B112" s="24">
        <v>40</v>
      </c>
      <c r="C112" s="76">
        <v>1</v>
      </c>
      <c r="D112" s="79"/>
    </row>
    <row r="113" spans="1:4">
      <c r="A113" s="42" t="s">
        <v>247</v>
      </c>
      <c r="B113" s="24">
        <v>30</v>
      </c>
      <c r="C113" s="76">
        <v>1</v>
      </c>
      <c r="D113" s="79"/>
    </row>
    <row r="114" spans="1:4">
      <c r="A114" s="42" t="s">
        <v>248</v>
      </c>
      <c r="B114" s="24">
        <v>12</v>
      </c>
      <c r="C114" s="76">
        <v>1</v>
      </c>
      <c r="D114" s="79"/>
    </row>
    <row r="115" spans="1:4">
      <c r="A115" s="42" t="s">
        <v>249</v>
      </c>
      <c r="B115" s="24">
        <v>10</v>
      </c>
      <c r="C115" s="76">
        <v>1</v>
      </c>
      <c r="D115" s="79"/>
    </row>
    <row r="116" spans="1:4">
      <c r="A116" s="42" t="s">
        <v>250</v>
      </c>
      <c r="B116" s="24">
        <v>8</v>
      </c>
      <c r="C116" s="76">
        <v>1</v>
      </c>
      <c r="D116" s="79"/>
    </row>
    <row r="117" spans="1:4">
      <c r="A117" s="42" t="s">
        <v>251</v>
      </c>
      <c r="B117" s="24">
        <v>25</v>
      </c>
      <c r="C117" s="76">
        <v>1</v>
      </c>
      <c r="D117" s="79"/>
    </row>
    <row r="118" spans="1:4">
      <c r="A118" s="42" t="s">
        <v>252</v>
      </c>
      <c r="B118" s="24">
        <v>12</v>
      </c>
      <c r="C118" s="76">
        <v>1</v>
      </c>
      <c r="D118" s="79"/>
    </row>
    <row r="119" spans="1:4">
      <c r="A119" s="42" t="s">
        <v>253</v>
      </c>
      <c r="B119" s="24">
        <v>10</v>
      </c>
      <c r="C119" s="76">
        <v>1</v>
      </c>
      <c r="D119" s="79"/>
    </row>
    <row r="120" spans="1:4">
      <c r="A120" s="42" t="s">
        <v>254</v>
      </c>
      <c r="B120" s="24">
        <v>8</v>
      </c>
      <c r="C120" s="76">
        <v>1</v>
      </c>
      <c r="D120" s="79"/>
    </row>
    <row r="121" spans="1:4">
      <c r="A121" s="42" t="s">
        <v>255</v>
      </c>
      <c r="B121" s="24">
        <v>7</v>
      </c>
      <c r="C121" s="76">
        <v>1</v>
      </c>
      <c r="D121" s="79"/>
    </row>
    <row r="122" spans="1:4">
      <c r="A122" s="42" t="s">
        <v>256</v>
      </c>
      <c r="B122" s="24">
        <v>0.15</v>
      </c>
      <c r="C122" s="76">
        <v>1</v>
      </c>
      <c r="D122" s="79">
        <v>100</v>
      </c>
    </row>
    <row r="123" spans="1:4">
      <c r="A123" s="42" t="s">
        <v>24</v>
      </c>
      <c r="B123" s="24">
        <v>0.5</v>
      </c>
      <c r="C123" s="76">
        <v>1</v>
      </c>
      <c r="D123" s="79">
        <v>140</v>
      </c>
    </row>
    <row r="124" spans="1:4">
      <c r="A124" s="42" t="s">
        <v>257</v>
      </c>
      <c r="B124" s="24">
        <v>0.12</v>
      </c>
      <c r="C124" s="76">
        <v>1</v>
      </c>
      <c r="D124" s="79">
        <v>140</v>
      </c>
    </row>
    <row r="125" spans="1:4">
      <c r="A125" s="42" t="s">
        <v>258</v>
      </c>
      <c r="B125" s="24">
        <v>0.17</v>
      </c>
      <c r="C125" s="76">
        <v>1</v>
      </c>
      <c r="D125" s="79">
        <v>140</v>
      </c>
    </row>
    <row r="126" spans="1:4">
      <c r="A126" s="42" t="s">
        <v>259</v>
      </c>
      <c r="B126" s="24">
        <v>0.64</v>
      </c>
      <c r="C126" s="76">
        <v>1</v>
      </c>
      <c r="D126" s="79">
        <v>140</v>
      </c>
    </row>
    <row r="127" spans="1:4">
      <c r="A127" s="42" t="s">
        <v>260</v>
      </c>
      <c r="B127" s="24">
        <v>0.1</v>
      </c>
      <c r="C127" s="76">
        <v>1</v>
      </c>
      <c r="D127" s="79">
        <v>100</v>
      </c>
    </row>
    <row r="128" spans="1:4">
      <c r="A128" s="42" t="s">
        <v>261</v>
      </c>
      <c r="B128" s="24">
        <v>0.1</v>
      </c>
      <c r="C128" s="76">
        <v>1</v>
      </c>
      <c r="D128" s="79">
        <v>100</v>
      </c>
    </row>
    <row r="129" spans="1:4">
      <c r="A129" s="42" t="s">
        <v>262</v>
      </c>
      <c r="B129" s="24">
        <v>3500</v>
      </c>
      <c r="C129" s="76">
        <v>1</v>
      </c>
      <c r="D129" s="79"/>
    </row>
    <row r="130" spans="1:4">
      <c r="A130" s="42" t="s">
        <v>263</v>
      </c>
      <c r="B130" s="24">
        <v>4000</v>
      </c>
      <c r="C130" s="76">
        <v>1</v>
      </c>
      <c r="D130" s="79"/>
    </row>
    <row r="131" spans="1:4">
      <c r="A131" s="42" t="s">
        <v>264</v>
      </c>
      <c r="B131" s="24">
        <v>6500</v>
      </c>
      <c r="C131" s="76">
        <v>1</v>
      </c>
      <c r="D131" s="79"/>
    </row>
    <row r="132" spans="1:4">
      <c r="A132" s="42" t="s">
        <v>265</v>
      </c>
      <c r="B132" s="24">
        <v>4000</v>
      </c>
      <c r="C132" s="76">
        <v>1</v>
      </c>
      <c r="D132" s="79"/>
    </row>
    <row r="133" spans="1:4">
      <c r="A133" s="42" t="s">
        <v>266</v>
      </c>
      <c r="B133" s="24">
        <v>6000</v>
      </c>
      <c r="C133" s="76">
        <v>1</v>
      </c>
      <c r="D133" s="79"/>
    </row>
    <row r="134" spans="1:4">
      <c r="A134" s="42" t="s">
        <v>267</v>
      </c>
      <c r="B134" s="24">
        <v>1000</v>
      </c>
      <c r="C134" s="76">
        <v>1</v>
      </c>
      <c r="D134" s="79"/>
    </row>
    <row r="135" spans="1:4">
      <c r="A135" s="42" t="s">
        <v>268</v>
      </c>
      <c r="B135" s="24">
        <v>6500</v>
      </c>
      <c r="C135" s="76">
        <v>1</v>
      </c>
      <c r="D135" s="79"/>
    </row>
    <row r="136" spans="1:4">
      <c r="A136" s="42" t="s">
        <v>269</v>
      </c>
      <c r="B136" s="24">
        <v>2000</v>
      </c>
      <c r="C136" s="76">
        <v>1</v>
      </c>
      <c r="D136" s="79"/>
    </row>
    <row r="137" spans="1:4">
      <c r="A137" s="42" t="s">
        <v>270</v>
      </c>
      <c r="B137" s="24">
        <v>310</v>
      </c>
      <c r="C137" s="76">
        <v>1</v>
      </c>
      <c r="D137" s="79"/>
    </row>
    <row r="138" spans="1:4">
      <c r="A138" s="42" t="s">
        <v>271</v>
      </c>
      <c r="B138" s="24">
        <v>80</v>
      </c>
      <c r="C138" s="76">
        <v>1</v>
      </c>
      <c r="D138" s="79"/>
    </row>
    <row r="139" spans="1:4">
      <c r="A139" s="42" t="s">
        <v>272</v>
      </c>
      <c r="B139" s="24">
        <v>100</v>
      </c>
      <c r="C139" s="76">
        <v>1</v>
      </c>
      <c r="D139" s="79"/>
    </row>
    <row r="140" spans="1:4">
      <c r="A140" s="42" t="s">
        <v>273</v>
      </c>
      <c r="B140" s="24">
        <v>52</v>
      </c>
      <c r="C140" s="76">
        <v>1</v>
      </c>
      <c r="D140" s="79"/>
    </row>
    <row r="141" spans="1:4">
      <c r="A141" s="42" t="s">
        <v>28</v>
      </c>
      <c r="B141" s="24">
        <v>100</v>
      </c>
      <c r="C141" s="76">
        <v>1</v>
      </c>
      <c r="D141" s="79"/>
    </row>
    <row r="142" spans="1:4">
      <c r="A142" s="42" t="s">
        <v>274</v>
      </c>
      <c r="B142" s="24">
        <v>0.5</v>
      </c>
      <c r="C142" s="76">
        <v>1</v>
      </c>
      <c r="D142" s="79"/>
    </row>
    <row r="143" spans="1:4">
      <c r="A143" s="42" t="s">
        <v>25</v>
      </c>
      <c r="B143" s="25">
        <v>0.25</v>
      </c>
      <c r="C143" s="76">
        <v>1</v>
      </c>
      <c r="D143" s="79">
        <v>100</v>
      </c>
    </row>
    <row r="144" spans="1:4">
      <c r="A144" s="42" t="s">
        <v>275</v>
      </c>
      <c r="B144" s="25">
        <v>0.3</v>
      </c>
      <c r="C144" s="76">
        <v>1</v>
      </c>
      <c r="D144" s="79">
        <v>100</v>
      </c>
    </row>
    <row r="145" spans="1:4">
      <c r="A145" s="42" t="s">
        <v>276</v>
      </c>
      <c r="B145" s="24">
        <v>52</v>
      </c>
      <c r="C145" s="76">
        <v>1</v>
      </c>
      <c r="D145" s="79"/>
    </row>
    <row r="146" spans="1:4">
      <c r="A146" s="42">
        <v>0</v>
      </c>
      <c r="B146" s="25">
        <v>0</v>
      </c>
      <c r="C146" s="76">
        <v>0</v>
      </c>
      <c r="D146" s="79"/>
    </row>
    <row r="147" spans="1:4">
      <c r="A147" s="42">
        <v>0</v>
      </c>
      <c r="B147" s="42">
        <v>0</v>
      </c>
      <c r="C147" s="77">
        <v>0</v>
      </c>
      <c r="D147" s="79"/>
    </row>
  </sheetData>
  <sheetProtection password="8B71" sheet="1" objects="1" scenarios="1"/>
  <customSheetViews>
    <customSheetView guid="{0F6C7FCE-20BD-4B57-B04C-CA521EC9CEDE}" scale="70" showFormulas="1" filter="1" showAutoFilter="1">
      <selection activeCell="B175" sqref="B175"/>
      <pageMargins left="0" right="0" top="0" bottom="0" header="0" footer="0"/>
      <pageSetup paperSize="9" orientation="portrait" horizontalDpi="200" verticalDpi="200" r:id="rId1"/>
      <autoFilter ref="B1:D1" xr:uid="{91533815-D838-4D6A-B173-2D9834670D90}">
        <filterColumn colId="0">
          <filters>
            <filter val="a inventario"/>
          </filters>
        </filterColumn>
      </autoFilter>
    </customSheetView>
  </customSheetView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E36"/>
  <sheetViews>
    <sheetView topLeftCell="A7" workbookViewId="0">
      <selection activeCell="A34" sqref="A34:E36"/>
    </sheetView>
  </sheetViews>
  <sheetFormatPr defaultColWidth="11.42578125" defaultRowHeight="12.75"/>
  <cols>
    <col min="1" max="1" width="39.28515625" style="6" customWidth="1"/>
    <col min="2" max="4" width="11.42578125" style="6"/>
    <col min="5" max="5" width="24.140625" style="6" bestFit="1" customWidth="1"/>
    <col min="6" max="16384" width="11.42578125" style="6"/>
  </cols>
  <sheetData>
    <row r="1" spans="1:5">
      <c r="A1" s="206" t="s">
        <v>277</v>
      </c>
      <c r="B1" s="206"/>
      <c r="C1" s="206"/>
      <c r="D1" s="206"/>
      <c r="E1" s="206"/>
    </row>
    <row r="2" spans="1:5" ht="33.75" customHeight="1">
      <c r="A2" s="7"/>
      <c r="B2" s="13" t="s">
        <v>278</v>
      </c>
      <c r="C2" s="19" t="s">
        <v>279</v>
      </c>
      <c r="D2" s="13" t="s">
        <v>280</v>
      </c>
      <c r="E2" s="7" t="s">
        <v>281</v>
      </c>
    </row>
    <row r="3" spans="1:5">
      <c r="A3" s="12" t="s">
        <v>282</v>
      </c>
      <c r="B3" s="14" t="s">
        <v>90</v>
      </c>
      <c r="C3" s="7">
        <v>1900</v>
      </c>
      <c r="D3" s="7">
        <v>450</v>
      </c>
      <c r="E3" s="7">
        <f>C3*D3</f>
        <v>855000</v>
      </c>
    </row>
    <row r="4" spans="1:5">
      <c r="A4" s="12" t="s">
        <v>283</v>
      </c>
      <c r="B4" s="14" t="s">
        <v>90</v>
      </c>
      <c r="C4" s="7">
        <v>1380</v>
      </c>
      <c r="D4" s="7">
        <v>100</v>
      </c>
      <c r="E4" s="7">
        <f t="shared" ref="E4:E30" si="0">C4*D4</f>
        <v>138000</v>
      </c>
    </row>
    <row r="5" spans="1:5">
      <c r="A5" s="12" t="s">
        <v>284</v>
      </c>
      <c r="B5" s="15" t="s">
        <v>285</v>
      </c>
      <c r="C5" s="7">
        <v>9860</v>
      </c>
      <c r="D5" s="7">
        <v>20</v>
      </c>
      <c r="E5" s="7">
        <f t="shared" si="0"/>
        <v>197200</v>
      </c>
    </row>
    <row r="6" spans="1:5">
      <c r="A6" s="12" t="s">
        <v>286</v>
      </c>
      <c r="B6" s="15" t="s">
        <v>285</v>
      </c>
      <c r="C6" s="7">
        <v>10500</v>
      </c>
      <c r="D6" s="7">
        <v>20</v>
      </c>
      <c r="E6" s="7">
        <f t="shared" si="0"/>
        <v>210000</v>
      </c>
    </row>
    <row r="7" spans="1:5">
      <c r="A7" s="12" t="s">
        <v>287</v>
      </c>
      <c r="B7" s="15" t="s">
        <v>285</v>
      </c>
      <c r="C7" s="7">
        <v>5800</v>
      </c>
      <c r="D7" s="7">
        <v>20</v>
      </c>
      <c r="E7" s="7">
        <f t="shared" si="0"/>
        <v>116000</v>
      </c>
    </row>
    <row r="8" spans="1:5">
      <c r="A8" s="12" t="s">
        <v>288</v>
      </c>
      <c r="B8" s="15" t="s">
        <v>285</v>
      </c>
      <c r="C8" s="7">
        <v>27840</v>
      </c>
      <c r="D8" s="7">
        <v>10</v>
      </c>
      <c r="E8" s="7">
        <f t="shared" si="0"/>
        <v>278400</v>
      </c>
    </row>
    <row r="9" spans="1:5">
      <c r="A9" s="12" t="s">
        <v>289</v>
      </c>
      <c r="B9" s="15" t="s">
        <v>290</v>
      </c>
      <c r="C9" s="7">
        <v>406</v>
      </c>
      <c r="D9" s="7">
        <v>500</v>
      </c>
      <c r="E9" s="7">
        <f t="shared" si="0"/>
        <v>203000</v>
      </c>
    </row>
    <row r="10" spans="1:5">
      <c r="A10" s="12" t="s">
        <v>291</v>
      </c>
      <c r="B10" s="16" t="s">
        <v>292</v>
      </c>
      <c r="C10" s="7">
        <v>34.799999999999997</v>
      </c>
      <c r="D10" s="7">
        <v>500</v>
      </c>
      <c r="E10" s="7">
        <f t="shared" si="0"/>
        <v>17400</v>
      </c>
    </row>
    <row r="11" spans="1:5">
      <c r="A11" s="12" t="s">
        <v>293</v>
      </c>
      <c r="B11" s="15" t="s">
        <v>294</v>
      </c>
      <c r="C11" s="7">
        <v>1774.8</v>
      </c>
      <c r="D11" s="7">
        <v>150</v>
      </c>
      <c r="E11" s="7">
        <f t="shared" si="0"/>
        <v>266220</v>
      </c>
    </row>
    <row r="12" spans="1:5">
      <c r="A12" s="12" t="s">
        <v>295</v>
      </c>
      <c r="B12" s="15" t="s">
        <v>296</v>
      </c>
      <c r="C12" s="7">
        <v>17840.669999999998</v>
      </c>
      <c r="D12" s="7">
        <v>12</v>
      </c>
      <c r="E12" s="7">
        <f t="shared" si="0"/>
        <v>214088.03999999998</v>
      </c>
    </row>
    <row r="13" spans="1:5">
      <c r="A13" s="12" t="s">
        <v>297</v>
      </c>
      <c r="B13" s="15" t="s">
        <v>296</v>
      </c>
      <c r="C13" s="7">
        <v>22573.599999999999</v>
      </c>
      <c r="D13" s="7">
        <v>24</v>
      </c>
      <c r="E13" s="7">
        <f t="shared" si="0"/>
        <v>541766.39999999991</v>
      </c>
    </row>
    <row r="14" spans="1:5">
      <c r="A14" s="12" t="s">
        <v>298</v>
      </c>
      <c r="B14" s="15" t="s">
        <v>296</v>
      </c>
      <c r="C14" s="7">
        <v>11321.6</v>
      </c>
      <c r="D14" s="7">
        <v>24</v>
      </c>
      <c r="E14" s="7">
        <f t="shared" si="0"/>
        <v>271718.40000000002</v>
      </c>
    </row>
    <row r="15" spans="1:5">
      <c r="A15" s="12" t="s">
        <v>299</v>
      </c>
      <c r="B15" s="14" t="s">
        <v>90</v>
      </c>
      <c r="C15" s="7">
        <v>4988</v>
      </c>
      <c r="D15" s="7">
        <v>200</v>
      </c>
      <c r="E15" s="7">
        <f t="shared" si="0"/>
        <v>997600</v>
      </c>
    </row>
    <row r="16" spans="1:5">
      <c r="A16" s="12" t="s">
        <v>300</v>
      </c>
      <c r="B16" s="17" t="s">
        <v>101</v>
      </c>
      <c r="C16" s="7">
        <v>2900</v>
      </c>
      <c r="D16" s="7">
        <v>200</v>
      </c>
      <c r="E16" s="7">
        <f t="shared" si="0"/>
        <v>580000</v>
      </c>
    </row>
    <row r="17" spans="1:5">
      <c r="A17" s="12" t="s">
        <v>301</v>
      </c>
      <c r="B17" s="14" t="s">
        <v>90</v>
      </c>
      <c r="C17" s="7">
        <v>812</v>
      </c>
      <c r="D17" s="7">
        <v>600</v>
      </c>
      <c r="E17" s="7">
        <f t="shared" si="0"/>
        <v>487200</v>
      </c>
    </row>
    <row r="18" spans="1:5">
      <c r="A18" s="12" t="s">
        <v>302</v>
      </c>
      <c r="B18" s="14" t="s">
        <v>90</v>
      </c>
      <c r="C18" s="7">
        <v>9000</v>
      </c>
      <c r="D18" s="7">
        <v>200</v>
      </c>
      <c r="E18" s="7">
        <f t="shared" si="0"/>
        <v>1800000</v>
      </c>
    </row>
    <row r="19" spans="1:5">
      <c r="A19" s="12" t="s">
        <v>303</v>
      </c>
      <c r="B19" s="18" t="s">
        <v>304</v>
      </c>
      <c r="C19" s="7">
        <v>7000</v>
      </c>
      <c r="D19" s="7">
        <v>1</v>
      </c>
      <c r="E19" s="7">
        <f t="shared" si="0"/>
        <v>7000</v>
      </c>
    </row>
    <row r="20" spans="1:5">
      <c r="A20" s="12" t="s">
        <v>305</v>
      </c>
      <c r="B20" s="18" t="s">
        <v>304</v>
      </c>
      <c r="C20" s="7">
        <v>6700</v>
      </c>
      <c r="D20" s="7">
        <v>1</v>
      </c>
      <c r="E20" s="7">
        <f t="shared" si="0"/>
        <v>6700</v>
      </c>
    </row>
    <row r="21" spans="1:5">
      <c r="A21" s="12" t="s">
        <v>306</v>
      </c>
      <c r="B21" s="18" t="s">
        <v>304</v>
      </c>
      <c r="C21" s="7">
        <v>6400</v>
      </c>
      <c r="D21" s="7">
        <v>1</v>
      </c>
      <c r="E21" s="7">
        <f t="shared" si="0"/>
        <v>6400</v>
      </c>
    </row>
    <row r="22" spans="1:5">
      <c r="A22" s="12" t="s">
        <v>307</v>
      </c>
      <c r="B22" s="18" t="s">
        <v>304</v>
      </c>
      <c r="C22" s="7">
        <v>7000</v>
      </c>
      <c r="D22" s="7">
        <v>1</v>
      </c>
      <c r="E22" s="7">
        <f t="shared" si="0"/>
        <v>7000</v>
      </c>
    </row>
    <row r="23" spans="1:5">
      <c r="A23" s="12" t="s">
        <v>308</v>
      </c>
      <c r="B23" s="18" t="s">
        <v>304</v>
      </c>
      <c r="C23" s="7">
        <v>6700</v>
      </c>
      <c r="D23" s="7">
        <v>1</v>
      </c>
      <c r="E23" s="7">
        <f t="shared" si="0"/>
        <v>6700</v>
      </c>
    </row>
    <row r="24" spans="1:5">
      <c r="A24" s="12" t="s">
        <v>309</v>
      </c>
      <c r="B24" s="18" t="s">
        <v>304</v>
      </c>
      <c r="C24" s="7">
        <v>6400</v>
      </c>
      <c r="D24" s="7">
        <v>1</v>
      </c>
      <c r="E24" s="7">
        <f t="shared" si="0"/>
        <v>6400</v>
      </c>
    </row>
    <row r="25" spans="1:5">
      <c r="A25" s="12" t="s">
        <v>310</v>
      </c>
      <c r="B25" s="18" t="s">
        <v>304</v>
      </c>
      <c r="C25" s="7">
        <v>22000</v>
      </c>
      <c r="D25" s="7">
        <v>1</v>
      </c>
      <c r="E25" s="7">
        <f t="shared" si="0"/>
        <v>22000</v>
      </c>
    </row>
    <row r="26" spans="1:5">
      <c r="A26" s="12" t="s">
        <v>311</v>
      </c>
      <c r="B26" s="18" t="s">
        <v>304</v>
      </c>
      <c r="C26" s="7">
        <v>18000</v>
      </c>
      <c r="D26" s="7">
        <v>1</v>
      </c>
      <c r="E26" s="7">
        <f t="shared" si="0"/>
        <v>18000</v>
      </c>
    </row>
    <row r="27" spans="1:5">
      <c r="A27" s="12" t="s">
        <v>312</v>
      </c>
      <c r="B27" s="18" t="s">
        <v>304</v>
      </c>
      <c r="C27" s="7">
        <v>20000</v>
      </c>
      <c r="D27" s="7">
        <v>1</v>
      </c>
      <c r="E27" s="7">
        <f t="shared" si="0"/>
        <v>20000</v>
      </c>
    </row>
    <row r="28" spans="1:5">
      <c r="A28" s="12" t="s">
        <v>313</v>
      </c>
      <c r="B28" s="18" t="s">
        <v>304</v>
      </c>
      <c r="C28" s="7">
        <v>22000</v>
      </c>
      <c r="D28" s="7">
        <v>1</v>
      </c>
      <c r="E28" s="7">
        <f t="shared" si="0"/>
        <v>22000</v>
      </c>
    </row>
    <row r="29" spans="1:5">
      <c r="A29" s="12" t="s">
        <v>314</v>
      </c>
      <c r="B29" s="18" t="s">
        <v>304</v>
      </c>
      <c r="C29" s="7">
        <v>20000</v>
      </c>
      <c r="D29" s="7">
        <v>1</v>
      </c>
      <c r="E29" s="7">
        <f t="shared" si="0"/>
        <v>20000</v>
      </c>
    </row>
    <row r="30" spans="1:5">
      <c r="A30" s="12" t="s">
        <v>311</v>
      </c>
      <c r="B30" s="18" t="s">
        <v>304</v>
      </c>
      <c r="C30" s="7">
        <v>18000</v>
      </c>
      <c r="D30" s="7">
        <v>1</v>
      </c>
      <c r="E30" s="7">
        <f t="shared" si="0"/>
        <v>18000</v>
      </c>
    </row>
    <row r="31" spans="1:5" ht="32.25" customHeight="1">
      <c r="B31" s="232" t="s">
        <v>281</v>
      </c>
      <c r="C31" s="207"/>
      <c r="D31" s="208"/>
      <c r="E31" s="20">
        <f>SUM(E3:E30)</f>
        <v>7333792.8399999999</v>
      </c>
    </row>
    <row r="34" spans="1:5">
      <c r="A34" s="233" t="s">
        <v>315</v>
      </c>
      <c r="B34" s="209"/>
      <c r="C34" s="209"/>
      <c r="D34" s="209"/>
      <c r="E34" s="209"/>
    </row>
    <row r="35" spans="1:5">
      <c r="A35" s="209"/>
      <c r="B35" s="209"/>
      <c r="C35" s="209"/>
      <c r="D35" s="209"/>
      <c r="E35" s="209"/>
    </row>
    <row r="36" spans="1:5">
      <c r="A36" s="209"/>
      <c r="B36" s="209"/>
      <c r="C36" s="209"/>
      <c r="D36" s="209"/>
      <c r="E36" s="209"/>
    </row>
  </sheetData>
  <sheetProtection formatCells="0" formatColumns="0" formatRows="0" insertColumns="0" insertRows="0" insertHyperlinks="0" deleteColumns="0" deleteRows="0" sort="0" autoFilter="0" pivotTables="0"/>
  <customSheetViews>
    <customSheetView guid="{0F6C7FCE-20BD-4B57-B04C-CA521EC9CEDE}" state="hidden" topLeftCell="A7">
      <selection activeCell="A34" sqref="A34:E36"/>
      <pageMargins left="0" right="0" top="0" bottom="0" header="0" footer="0"/>
      <pageSetup paperSize="9" orientation="portrait" horizontalDpi="200" verticalDpi="200" r:id="rId1"/>
    </customSheetView>
  </customSheetViews>
  <mergeCells count="3">
    <mergeCell ref="A1:E1"/>
    <mergeCell ref="B31:D31"/>
    <mergeCell ref="A34:E36"/>
  </mergeCells>
  <dataValidations count="2">
    <dataValidation type="list" showInputMessage="1" showErrorMessage="1" sqref="A3:A6 A8:A18" xr:uid="{00000000-0002-0000-0500-000000000000}">
      <formula1>listo</formula1>
    </dataValidation>
    <dataValidation showInputMessage="1" showErrorMessage="1" sqref="A7" xr:uid="{00000000-0002-0000-0500-000001000000}"/>
  </dataValidation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SENA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Sebastian Grajales Pulgarin</cp:lastModifiedBy>
  <cp:revision/>
  <dcterms:created xsi:type="dcterms:W3CDTF">2008-09-30T23:12:13Z</dcterms:created>
  <dcterms:modified xsi:type="dcterms:W3CDTF">2023-09-04T16:47:24Z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2022-10-20T11:18:24Z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1ec06518-b6e1-4806-8054-48137e5bd327</vt:lpwstr>
  </property>
  <property fmtid="{D5CDD505-2E9C-101B-9397-08002B2CF9AE}" pid="8" name="MSIP_Label_1299739c-ad3d-4908-806e-4d91151a6e13_ContentBits">
    <vt:lpwstr>0</vt:lpwstr>
  </property>
</Properties>
</file>