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MARIBEL GIL/MARZO/lonchera textil/"/>
    </mc:Choice>
  </mc:AlternateContent>
  <xr:revisionPtr revIDLastSave="44" documentId="8_{3159024B-5F2D-4BA8-9544-7426A465E942}" xr6:coauthVersionLast="47" xr6:coauthVersionMax="47" xr10:uidLastSave="{49781B8D-60CD-47C0-B8C4-ED1DEFEB4BB7}"/>
  <bookViews>
    <workbookView xWindow="-120" yWindow="-120" windowWidth="29040" windowHeight="15840" xr2:uid="{985909F6-8863-4946-80B5-B3155D442A7E}"/>
  </bookViews>
  <sheets>
    <sheet name="CALCULO COSTOS" sheetId="3" r:id="rId1"/>
    <sheet name="INVENTARIO" sheetId="1" r:id="rId2"/>
    <sheet name="INSTRUCTORES" sheetId="2" r:id="rId3"/>
    <sheet name="inventarioprueba" sheetId="4" r:id="rId4"/>
  </sheets>
  <definedNames>
    <definedName name="_xlnm._FilterDatabase" localSheetId="1" hidden="1">INVENTARIO!$A$1:$J$1</definedName>
    <definedName name="_xlnm._FilterDatabase" localSheetId="3" hidden="1">inventarioprueba!$A$1:$H$1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3" l="1"/>
  <c r="B15" i="3"/>
  <c r="B2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F20" i="3" s="1"/>
  <c r="B20" i="3"/>
  <c r="C19" i="3"/>
  <c r="F19" i="3" s="1"/>
  <c r="B19" i="3"/>
  <c r="C18" i="3"/>
  <c r="F18" i="3" s="1"/>
  <c r="B18" i="3"/>
  <c r="C17" i="3"/>
  <c r="F17" i="3" s="1"/>
  <c r="B17" i="3"/>
  <c r="C16" i="3"/>
  <c r="F16" i="3" s="1"/>
  <c r="B16" i="3"/>
  <c r="C15" i="3"/>
  <c r="F15" i="3" s="1"/>
  <c r="C14" i="3"/>
  <c r="F14" i="3" s="1"/>
  <c r="B14" i="3"/>
  <c r="C13" i="3"/>
  <c r="F13" i="3" s="1"/>
  <c r="B13" i="3"/>
  <c r="C12" i="3"/>
  <c r="F12" i="3" s="1"/>
  <c r="B12" i="3"/>
  <c r="C11" i="3"/>
  <c r="F11" i="3" s="1"/>
  <c r="B11" i="3"/>
  <c r="B6" i="3" l="1"/>
</calcChain>
</file>

<file path=xl/sharedStrings.xml><?xml version="1.0" encoding="utf-8"?>
<sst xmlns="http://schemas.openxmlformats.org/spreadsheetml/2006/main" count="4234" uniqueCount="936">
  <si>
    <t xml:space="preserve">MARIBEL GIL </t>
  </si>
  <si>
    <t xml:space="preserve">CEDULA </t>
  </si>
  <si>
    <t xml:space="preserve">PRODUCTO </t>
  </si>
  <si>
    <t>Lonchera textil</t>
  </si>
  <si>
    <t>FICHA</t>
  </si>
  <si>
    <t>Celda de Producción</t>
  </si>
  <si>
    <t xml:space="preserve">VALOR DEL PRODUCTO </t>
  </si>
  <si>
    <t xml:space="preserve">PRECI DE VENTA </t>
  </si>
  <si>
    <t>MATERIALES E INSUMOS.</t>
  </si>
  <si>
    <t>UNIDAD DE MEDIDA</t>
  </si>
  <si>
    <t>VALOR UNIDAD DE CONSUMO</t>
  </si>
  <si>
    <t>CONSUMO POR PRODUCTO</t>
  </si>
  <si>
    <t>SUBTOTALES</t>
  </si>
  <si>
    <t>LONA POLIESTER</t>
  </si>
  <si>
    <t>SEDA PARA FORRO PET LINE  100% POLIESTER</t>
  </si>
  <si>
    <t>ESPUMA DE POLIETILENO
Jumbolón</t>
  </si>
  <si>
    <t>Cremallera poliéster #6</t>
  </si>
  <si>
    <t xml:space="preserve">Llave metálica deslizador   #6 para cremallera - níquel </t>
  </si>
  <si>
    <t>Mosquetón de 1 1/4 " plástico</t>
  </si>
  <si>
    <t xml:space="preserve">Media argolla 38 mm plástica </t>
  </si>
  <si>
    <t>REATA POLIESTER</t>
  </si>
  <si>
    <t xml:space="preserve">tensor o trabilla plastica38 mm  1 1/2" </t>
  </si>
  <si>
    <t>Ribete 24 mm (cinta falla con apresto)</t>
  </si>
  <si>
    <t>GRUPO</t>
  </si>
  <si>
    <t>Item</t>
  </si>
  <si>
    <t>Producto</t>
  </si>
  <si>
    <t>Descripción</t>
  </si>
  <si>
    <t>Unidad de medida</t>
  </si>
  <si>
    <t xml:space="preserve">Cantidad existente
</t>
  </si>
  <si>
    <t>Valor unit establecido Incluido IVA</t>
  </si>
  <si>
    <t xml:space="preserve">VALOR POR UNIDAD DE COMPRA </t>
  </si>
  <si>
    <t xml:space="preserve">movimientos </t>
  </si>
  <si>
    <t>total</t>
  </si>
  <si>
    <t>Cuero</t>
  </si>
  <si>
    <t>Cuero crosta</t>
  </si>
  <si>
    <t>Curtición mineral, acabado anilina, teñido superficial, plena flor, presentación vaqueta, toque liso, sin brillo, Calibre 10 - 12</t>
  </si>
  <si>
    <t>dm2</t>
  </si>
  <si>
    <t xml:space="preserve">Cuero Forro Badana
</t>
  </si>
  <si>
    <t xml:space="preserve">Curtición mineral, sin acabado anilina, teñido atravesado, poro abierto,  sin brillo, tacto aterciopelado, Calibre 8 - 10.  Colores: Miel, café, negro, beige.
</t>
  </si>
  <si>
    <t>Cuero Vegetal pintado</t>
  </si>
  <si>
    <t>Cuero vacuno curticion y recurticion vegetal
calibre: 12-14
Curtido: vegetal
Recurtido: Vegetal 
Acabado: cationico
Brillo: Mate
Tacto: sedoso
Uso: calzado y marroquinería
Colores:
Amarillo pastel: 1200
Rosa viejo: 1200 dm
Azul pastel: 1200 dm
Blanco: 1200 dm</t>
  </si>
  <si>
    <t>Cuero Arizona</t>
  </si>
  <si>
    <t>Cuero vacuno curticion mineral
calibre: 12-14
Curtido: mineral
Acabado: Pintado
Placa: Arizona
Brillo: Medio
Tacto: sedoso
Uso: calzado y marroquinería
Colores:
Negro: 2400 dm
Verde pino: 2400 dm
Caqui:2400 dm
Rojo: 2400 dm</t>
  </si>
  <si>
    <t>CUERO PLACA BUFALO</t>
  </si>
  <si>
    <t>Cuero vacuno curticion mineral
calibre: 12-14
Curtido: mineral
Acabado: Pintado
Placa:  Bufalo Metalizado oro
Brillo: Medio
Tacto: sedoso
Uso: calzado y marroquinería
Colores: Oro</t>
  </si>
  <si>
    <t xml:space="preserve">Cuero Napa con cera y acabado espejo </t>
  </si>
  <si>
    <t>Curtición mineral, plana flor, acabado semianilina, teñido atravesado, toque ceroso, superficie planchada, brillo alto, transparencia, aspecto natural, poro liso, resistencia al frote, resistencia al calor, calibre 12 - 14 para marroquinería, calibre 14 - 16 para
calzado.</t>
  </si>
  <si>
    <t xml:space="preserve">Cuero Tala #2
</t>
  </si>
  <si>
    <t>Cuero con curtición vegetal, plena flor, toque liso  #2
con estructura firme, compacta y rígida; permite un corte limpio y preciso</t>
  </si>
  <si>
    <t xml:space="preserve">Cuero Confección </t>
  </si>
  <si>
    <t>Curtición mineral, acabado pigmentado, plena flor, toque suave, resistencia al frote, resistencia al calor,
Calibre 0,6-0,8</t>
  </si>
  <si>
    <t xml:space="preserve">Cuero crust </t>
  </si>
  <si>
    <t>Curtición mineral, acabado anilina, teñido superficial, plana flor, presentación vaqueta, toque liso, sin
brillo, Calibre 10 - 12</t>
  </si>
  <si>
    <t xml:space="preserve">Cuero Forro Cerdo </t>
  </si>
  <si>
    <t>Curtición mineral, acabado anilina, teñido atravesado, poro abierto,  sin brillo, tacto aterciopelado, Calibre 8 -
10.</t>
  </si>
  <si>
    <t xml:space="preserve">Cuero Graso </t>
  </si>
  <si>
    <t>Curtición mixta, acabado anilina, teñido atravesado, plena flor, toque
graso, brillo medio, Calibre 16 - 18.</t>
  </si>
  <si>
    <t xml:space="preserve">Cuero Pergamino </t>
  </si>
  <si>
    <t>El Pergamino está fabricado con piel de cordero u otros animales, cuero que luego de ser curtido y recibir los procesos químicos necesarios, se  utiliza como sustituto del papel para escribir. Sobre esta piel se realiza un proceso que contempla la eliminación de la epidermis y de la hipodermis, por lo que queda expuesta sólo la dermis. La textura del pergamino es muy suave, compuesto por láminas de muy bajo espesor y de color blanco.
Presentación por hojas</t>
  </si>
  <si>
    <t xml:space="preserve">Cuero softy </t>
  </si>
  <si>
    <t>Cuero bobino, curtición mineral, plana flor, acabado semianilina, teñido atravesado, brillo medio, superficie lisa o grabada, buena resistencia al frote, resistencia al calor, cuero apto para la manufactura de calzado y marroquinería. Calibre 12 - 14, Colores: Blanco, azul, café, nude, negro, gris, miel, palo de rosa, violeta,
rojo</t>
  </si>
  <si>
    <t>CUERO FOLIA</t>
  </si>
  <si>
    <t xml:space="preserve">cuero pelo </t>
  </si>
  <si>
    <t xml:space="preserve">carnaza
</t>
  </si>
  <si>
    <t>XXXX</t>
  </si>
  <si>
    <t>lona</t>
  </si>
  <si>
    <t>Lona prelavada algodón</t>
  </si>
  <si>
    <t>Elaboradas en 100% algodón ( o con mezclas de poliéster). Debe permitir facil manupulación para la confección y uso de productos de bolsos, mochilas, calzado, tapiceria. 
Presentación por rollo de 50 metros de largo x 140 de ancho, peso  desde 366 gr.  a 573 gr/M
Colores: café, verde militar y negro.</t>
  </si>
  <si>
    <t>Cm2</t>
  </si>
  <si>
    <t>Lona Textil</t>
  </si>
  <si>
    <t>Elaboradas en poliester( o con mezclas de poliéster). Debe permitir facil manupulación para la confección y uso de productos de bolsos, mochilas, calzado, tapiceria. 
Presentación por rollo de 50 metros de largo x 140 de ancho, peso  desde 366 gr.  a 573 gr/M
Color gris oscuro.</t>
  </si>
  <si>
    <t>Lacost</t>
  </si>
  <si>
    <t>Materia prima        POLYESTER 100%
Insumos        Espuma de PU  4mm – Base cruda polyester 100%
Color        TODOS LOS COLORES
Calibre        4mm
Peso        340 gr/M
Ancho        1.50 M ± colores : blanco, gris, negro, amarillo, azul oscuro, naranja,rojo, verde.</t>
  </si>
  <si>
    <t>Arsenal</t>
  </si>
  <si>
    <t>Materia prima        POLYESTER 100% BONDEADO CON
Insumos        Espuma de PU 4mm – Base cruda polyester 100%
Color        DORADO, PLATA, ROJO  
Calibre        4mm
Peso        345 gr/M
Ancho        1.50 M ±colores : blanco, gris, negro, amarillo, azul oscuro, naranja,rojo, verde.</t>
  </si>
  <si>
    <t>LONA ECOLÓGICA MATERIAL RECICLADO (TELA PET)</t>
  </si>
  <si>
    <t>Tela Ecológica cuyo material de fabricación se encuentra compuesto de un porcentaje de botellas pet-postconsumo y un porcentaje de retal de confección 100% colombianos. Tela ecologica elaborada en el área metropolitana. Composicion 30% pet post-consumo y 70% algodon retal de empresas de confeccion, 7 al 10% de encogimiento al momento del estampado. peso 190gr/mt2 y ancho 1,60m. colores variados, acabado en crudo, tejido taffetan.</t>
  </si>
  <si>
    <t>Material Poliester 100%. Resistente a la tension y al rasgado con recubrimento en pvc, aislante a liquidos y otros factores ambientales (proteccion lafgard protector textil PRO 10). No destiñe o decolora.
Lonas con tejido Oxford.
Colores: estampados, marrón, negro, mostaza, rojo, naranja fluor, lila, verde pistacho, vinotinto, salmón, verde esmeralda, turqueza , morado, gris, beige,
estampados.</t>
  </si>
  <si>
    <t>cM2</t>
  </si>
  <si>
    <t>Elaboradas en fibras naturales y  diferentes tejidos que le brinden caracteristicas de resistencia a la abrasión, a la tracción, al peso, a la filtración y articulos de protección, se requiere que sean tipo duck que tiene las tramas más apretadas. Debe permitir facil manupulación para la confección y uso de productos de bolsos, mochilas, calzado, tapiceria. Debe ser aprestada y/o embarretada.
Presentación por rollo es de 50 metros de largo x 140 de ancho.
Colores: estampados, marrón, negro, mostaza, rojo, naranja fluor, lila, verde pistacho, vinotinto, salmón, verde esmeralda, turqueza , morado, gris, beige, estampados.</t>
  </si>
  <si>
    <t>Sintetico</t>
  </si>
  <si>
    <t>Sintético PVC</t>
  </si>
  <si>
    <t>Polímero sintético obtenido de dos materias primas naturales: cloruro de sodio o sal común (ClNa) (57%) y petróleo o gas natural (43%)
Tiene excelente resistencia mecánica al impacto o al aplastamiento
Tiene bajo peso (1.4 g/cm3) lo que facilita su porte y aplicación
Es fácil para convertir y usar en muy diferentes formas.
Es fuerte y durable.
A prueba de agua y resistente a la acción de productos químicos y a la corrosión.
Resistente al ataque de insectos, bacterias, hongos y roedores.
Muy buen aislante acústico, térmico y eléctrico. Además es auto extinguible y no propaga el fuego.
De consumo relativamente bajo de energía en su fabricación, transformación y uso, y de larga vida en servicio. Esto hace que proporcione una excelente relación costo-beneficio en términos económicos y medioambientales.
Es un material innovador, que posibilita a los diseñadores mejorar productos y crear nuevos.
De costo competitivo, permitiendo la producción de artículos de buena calidad a precios razonables Rollo de 1,40 mts x 50 metros.
Colores: colores a escojer por equipo tecnico sena.</t>
  </si>
  <si>
    <t>Sintético P.U para Calzado</t>
  </si>
  <si>
    <t>Materia prima                     Material para capellada de calzado en Poliuretano (PU) con soporte textil                                               Calibre                                1.6;  1.8;   2.0                                                                            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      Acabado                             Diferentes acabados tipo cuero, según disponibilidad                                                                            Requerimientos Fisicos      Alta resistencia a la tracción, a la perforación, al desgarre y a la ruptura                                  Requerimientos Confort     Impermeable, transpirable y con adecuada gestión de la humedad.  Rollo de 1,40 mts x 50 metros</t>
  </si>
  <si>
    <t>Sintético P.U para forro de Calzado</t>
  </si>
  <si>
    <t>Materia prima                     Material para forro de calzado en Poliuretano (PU) con soporte textil                                   Calibre                                0.8;   1.0;   1.2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Requerimientos Fisicos      Alta resistencia a la tracción, a la perforación, al desgarre y a la ruptura                                Requerimientos Confort     Impermeable, transpirable y con adecuada gestión de la humedad  Rollo de 1,40 mts x 50 metros</t>
  </si>
  <si>
    <t>FORRO</t>
  </si>
  <si>
    <t xml:space="preserve">Seda para forro </t>
  </si>
  <si>
    <t>SEDA IMPERMEABLE. Composiciíon: nylon100%.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negro, cafe, beige. rojo, azul turqueza.
SUPER NYLON</t>
  </si>
  <si>
    <t>SEDA BRIONI BASE LIVIANA X MT</t>
  </si>
  <si>
    <t>SEDA POLIESTER</t>
  </si>
  <si>
    <t>SEDA IMPERMEABLE. Composiciíon: Poliester 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estamapados y planos de acuerdo
a tendencias.</t>
  </si>
  <si>
    <t>Forro marroquinero de poliéster</t>
  </si>
  <si>
    <t>Tejido 100% poliéster de fibra continua, filamento texturizado
recubrimiento resina PU
peso de la tela: 70 +/-3% gr/m2
Ancho 150 mm
Color :Negro.
Moira</t>
  </si>
  <si>
    <t>Textil de refuerzo especial para marroquinería y calzado</t>
  </si>
  <si>
    <t>Tela de Nylon con resina y adhesivo acrilico gr./m2 45 ± 2
Protección con papel de silicona 130 g / m2.
Resistencia ala ruptura 32-35%
Usos: reforzar en la parte interna chapetas, correas, hebilleros  y piezas que deben estirar.
Color Negro
Drake acr</t>
  </si>
  <si>
    <t>Textil de soporte sueve para calzado y marroquinería calibre 0,3mm</t>
  </si>
  <si>
    <t>Materiales compuestos basados en polímeros termoplásticos obtenidos a través
del proceso de coextrusión (extrusión multicapa) de material no tejido en ambos lados.
Las características principales son: inalterabilidad y no deformabilidad debido a agentes atmosféricos
(humedad, calor y frío), no deformabilidad debido a acciones mecánicas repetidas (flexión), excelente
conformabilidad térmica (entre 70 y 110 ° C), características valiosas de suave al tacto.
Toda la serie TIKE también es fácil de preparar para esmerilar y lijar los bordes.
La presencia de un soporte de poliéster en ambos lados facilita el uso de adhesivos a base de látex natural
y sintético.
Metodo ICF N° 26
calibre 0,30 mm ± 0,05mm 
Tyke</t>
  </si>
  <si>
    <t>textil de soporte sueve para calzado y marroquinería calibre 0,5 mm</t>
  </si>
  <si>
    <t>Materiales compuestos basados en polímeros termoplásticos obtenidos a través del proceso de coextrusión (extrusión multicapa) de material no tejido en ambos lados. Las características principales son: inalterabilidad y no deformabilidad debido a agentes atmosféricos (humedad, calor y frío), no deformabilidad debido a acciones mecánicas repetidas (flexión), excelente conformabilidad térmica (entre 70 y 110 ° C), características valiosas de suave al tacto. Toda la serie TIKE también es fácil de preparar para esmerilar y lijar los bordes. La presencia de un soporte de poliéster en ambos lados facilita el uso de adhesivos a base de látex natural y sintético. Metodo ICF N° 26
calibre 0,50 mm ± 0,05mm
Tyke</t>
  </si>
  <si>
    <t xml:space="preserve">NO TEJIDO </t>
  </si>
  <si>
    <t>Politex-Kambrel 100 gr</t>
  </si>
  <si>
    <t>El Cambre base 100% (Polipropileno) es un térmoplastico cristalino obtenido por polimerización de polipropileno derivado del petróleo que se compone de microfibras unidas no tejidas, calibres 100 gr. Colores: Blanco y Negro.</t>
  </si>
  <si>
    <t xml:space="preserve">
Interlon</t>
  </si>
  <si>
    <t>Composición: Poliester. Entretela no tejida 850
Las fibras son distribuidas al azar y juntadas por acción química o térmica. Ya que no tienen una dirección de hilo o grano, no se desmechan y pueden ser cortadas en cualquier dirección o ángulo. Color blanco.</t>
  </si>
  <si>
    <t>OTROS INSUMOS</t>
  </si>
  <si>
    <t>Comfortex Calibre 1.5mm.</t>
  </si>
  <si>
    <t xml:space="preserve">Producto: Celulosa marca Confortex.  Lámina para refuerzo color rosado.
Calibre 1.5mm. Area 100*150 cm. </t>
  </si>
  <si>
    <t>Neopreno</t>
  </si>
  <si>
    <t xml:space="preserve">Material para la elaboración de capelladas de calzado, de la familia de los cauchos sinteticos, que se produce de la polimerización del cloropeno, de alta flexibilidad, elasticidad y resistencia.Colores Segun disponibilidad. Presentación tipo tela, recubierto por un lado por tejido de punto de poliester, de colores. Espesor 2mm. </t>
  </si>
  <si>
    <t>ESPUMA  DE BAJA DENSIDAD</t>
  </si>
  <si>
    <t>Poliuretano de densidad baja, color amarillo, es utilizada en la industria del calzado y la marroquineria, para dar cuerpo a los productos. Presentación: láminas de 1.90 x 1.50 m. Calibre: 3mm</t>
  </si>
  <si>
    <t>Espuma de polietileno expandido conformado por miles de micro- almohadillas llenas de aire, material que protege los productos durante la manipulación, transporte y almacenaje ya que es un producto que amortigua impactos. Producto utilizado también como aislante térmico. Impermeable y antiestático. Este material de embalaje simultáneamente proporciona protección de: golpes, rayones, humedad y manchas. Soporta Temperaturas entre +75º C y –50º
C. Liviano y flexibel, material de baja propagación de llama. Calibre 3mm, 5mm. Presentación: 100cm de ancho x 20 metros de largo.
Colores: negro, blanco</t>
  </si>
  <si>
    <t>VINILO TRANSPARENTE PLASTICO  (PVC) X MT</t>
  </si>
  <si>
    <t>MICROFIBRA LORY POLINYLON 120 ANTRA MT</t>
  </si>
  <si>
    <t>MICROFIBRA BASE 0,5 Y 0,7</t>
  </si>
  <si>
    <t>MICROFIBRA VELVET. Tipo de
Material/Lamina enrollable sintética compuesta por poliuretano y  poliamida, es utilizada para reforzar y/o estructurar diferentes tipos de materiales. Estos se caracterizan por ser realmente suaves, resistentes e indeformables. Con anchos de 46" a 60".           Calibre: : mm 0,5 (+/-
0,1) Peso : g/m 2 250 (+/-50)  Carga de rompimiento : L N/1cm &gt; Alargamiento : L
%/1cm  Resistencia a laceración:L N/3cm. Resistencia a la explosión kg/cm2.
Suavidad (mm) 6.0 +/- 1.0.
Calibre: mm 0,7 (+/-0,1). Peso : g/m2, 300 (+/-50) Resistencia a la tracción: L N/1cm&gt; 50 T &gt; 50 Alargamiento:L %/1cm &gt; 40 T &gt; 50 Resistencia al desgarro: L N/3cm &gt; 40 T
&gt; 40. Resistencia a la explosión g/cm2 &gt; 13. Suavidad (mm) 5.0 +/- 1.0.
Composicion:Poliester/poliamida.</t>
  </si>
  <si>
    <t xml:space="preserve">NEOLITE GRABADO
</t>
  </si>
  <si>
    <t xml:space="preserve">El neolite o caucho estireno butadieno, calibre 4 mm ,es un material resistente a la abrasion , antideslizante, dureza 84- 96 shore, calibre 3,8 mm;  hojas de 90 x 90cms. utilizado entre otros para la elaboracion de suelas para calzado para damas. Colores: negro,beige,cafe. 
</t>
  </si>
  <si>
    <t>Ribete 18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</si>
  <si>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 18 mm  # 3.
Colores: café, roja, verde militar, azul, negro y gris.</t>
  </si>
  <si>
    <t>Cm</t>
  </si>
  <si>
    <t>Poliester 100%. Tela de tejido plano cortada en forma oblicua lo que le permite ribetear en línea recta y/o curva, envivar, reforzar costuras, cubrir costuras, unir costuras entre otras. Cinta falla con apresto, acanalada.
Ancho:24 mm  # 5.
Colores: café, roja, verde militar, azul, negro y gris.</t>
  </si>
  <si>
    <t>Reata de Algodón 48 mm</t>
  </si>
  <si>
    <t>Pieza de fibra de algodón entre tejidas, con formas de tiras, para elaborar cinturones y correas para morrales.
Presentación: rollo por 50 metros, Ancho: 35 mm. Calibre: Hasta 3mm. Colores: de acuerdo a tendencias de moda.</t>
  </si>
  <si>
    <t>Pieza de fibra de algodón entre tejidas, con formas de tiras, para elaborar cinturones y correas para morrales.
Presentación: rollo por 50 metros, Ancho 39 a 48 mm. Calibre: Hasta 3mm. Colores: de acuerdo a tendencias de moda.</t>
  </si>
  <si>
    <t>Reata Nylon</t>
  </si>
  <si>
    <t>Tipo de Material: Reata con tratamiento ignifugo (retardante al fuego) resistente a la rotura 3000 Lbf.
Composicion: Nylon 100%, de alta resistencia a la tension y abrasión.
Anchos: (1") 25mm</t>
  </si>
  <si>
    <t>Tipo de Material: Reata con tratamiento ignifugo (retardante al fuego) resistente a la rotura 3000 Lbf.
Composicion: Poliester 100%, de alta resistencia a la tension y abrasión. Anchos: 20mm, (1") 25mm,  (1 1/4")
30mm, (1 1/2") 35mm,  (2") 50mm.</t>
  </si>
  <si>
    <t>SALPA ITALIANA</t>
  </si>
  <si>
    <t>Material aglomerado para dar soporte o
estructura.
Empléado en articulos marroquineros para dar estructura o soporte de los mismos.
Calibres: 0.3mm, 0.5mm, 0.8mm.</t>
  </si>
  <si>
    <t>CM2</t>
  </si>
  <si>
    <t xml:space="preserve">VELCRO </t>
  </si>
  <si>
    <t>MALLA FABRICS</t>
  </si>
  <si>
    <t>Textil en tejido de punto 100% poliester, tejido circular o tricot. Se bondea con espuma de poliuretano. Alta permeabilidad, protección del medio ambiente, libre de contaminación, antibacterianos, anti desgarro, antiestático. Presentación: rollo de 50 m x
1.15 m.
Colres: negro, blanco, beige, café, azul
oscuro.</t>
  </si>
  <si>
    <t>TELA POLIESTER  DE MALLA PIQUÉ, TERRY, MONZA, MALLA SANDWICH</t>
  </si>
  <si>
    <t>Tela PK 100% de punto de poliéster de malla de piqué de tela para los zapatos deportivos y casuales. Rollos de 140 x 50 mts;  tejido de punto, forro piqué de alta tenacidad bondeado con una manta de poliéster que lo hace respirable colores : blanco, gris, negro, amarillo, azul oscuro,
naranja,rojo, verde.</t>
  </si>
  <si>
    <t>cremallera</t>
  </si>
  <si>
    <t>Cremallera poliéster #3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</si>
  <si>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Colores: negro, beige, cafe, verde militar.</t>
  </si>
  <si>
    <t>Cremallera poliéster #4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</si>
  <si>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Color: Beige, negro, cafe, verde militar.</t>
  </si>
  <si>
    <t>Cremallera Everbrigth #5</t>
  </si>
  <si>
    <t>Cremallera de metal suave y altamente pulida de gama alta 
EverBright: cremallera de metal, pulida para un atractivo visual, resistente a la corrosión
Acabado: Oro
Colores: Negro, cafe, rojo</t>
  </si>
  <si>
    <t xml:space="preserve">Cremallera Everbrigth #5
</t>
  </si>
  <si>
    <t xml:space="preserve">"Cremallera de metal suave y altamente pulida de gama alta 
EverBright: cremallera de metal, pulida para un atractivo visual, resistente a la corrosión
Acabado: Oro
Colores: Beige."
</t>
  </si>
  <si>
    <t xml:space="preserve">"Cremallera de metal suave y altamente pulida de gama alta 
EverBright: cremallera de metal, pulida para un atractivo visual, resistente a la corrosión
Color Niquel"
</t>
  </si>
  <si>
    <t xml:space="preserve">HERRAJES </t>
  </si>
  <si>
    <t>ojalete latón níquel de 1/2"</t>
  </si>
  <si>
    <t>Material latón</t>
  </si>
  <si>
    <t>Unidad</t>
  </si>
  <si>
    <t>ojalete latón níquel de 3/4</t>
  </si>
  <si>
    <t>ojalete latón pavonado 3/4"</t>
  </si>
  <si>
    <t>ojalete LATÓN blanco 5/32"</t>
  </si>
  <si>
    <t>ojalete latón blanco 3/16"</t>
  </si>
  <si>
    <t>ojalete latón dorado 5/32"</t>
  </si>
  <si>
    <t>ojalete latón dorado3/16"</t>
  </si>
  <si>
    <t>ojalete latón pavonado sport 3/16</t>
  </si>
  <si>
    <t>ojalete plástico rosado 5/16"</t>
  </si>
  <si>
    <t>Material Plástico</t>
  </si>
  <si>
    <t>ojalete plástico blanco 5/16"</t>
  </si>
  <si>
    <t>ojalete plástico negro 5/16"</t>
  </si>
  <si>
    <t>ojalete aluminio negro 5/16"</t>
  </si>
  <si>
    <t>Material  aluminio</t>
  </si>
  <si>
    <t>ojalete Latón Níquel 1/4"</t>
  </si>
  <si>
    <t>ojalete plástico café 1/4</t>
  </si>
  <si>
    <t>ojalete Latón níquel 3/8</t>
  </si>
  <si>
    <t>ojalete Latón Níquel 3/16"</t>
  </si>
  <si>
    <t>ojalete LATÓN negro 1/4</t>
  </si>
  <si>
    <t>ojalete LATÓN negro 5/32</t>
  </si>
  <si>
    <t>ojalete LATÓN negro 3/16</t>
  </si>
  <si>
    <t>ojalete Latón pavonado 1/4"</t>
  </si>
  <si>
    <t>ojalete LATÓN níquel 5/32"</t>
  </si>
  <si>
    <t>ojalete latón dorado 1/4</t>
  </si>
  <si>
    <t xml:space="preserve">Ojalete latón de 5 mm  colores varios </t>
  </si>
  <si>
    <t xml:space="preserve">Material latón , varios acabados 5 mm </t>
  </si>
  <si>
    <t>broche imán pavonado 1"</t>
  </si>
  <si>
    <t>broche imán bronce con remache 1"</t>
  </si>
  <si>
    <t>broche imán niquelado mediano 1/2"</t>
  </si>
  <si>
    <t>broche imán niquelado grande con remache 3/4"</t>
  </si>
  <si>
    <t>broche imán dorado pequeño</t>
  </si>
  <si>
    <t>broche imán dorado CAZUELA</t>
  </si>
  <si>
    <t>broche imán niquelado pequeño 10 mm</t>
  </si>
  <si>
    <t>imán moneda 8mm</t>
  </si>
  <si>
    <t>Material neodimio</t>
  </si>
  <si>
    <t>imán moneda 10mm</t>
  </si>
  <si>
    <t>imán moneda 20mm</t>
  </si>
  <si>
    <t>mosquetón 3/4 niquelado lujo</t>
  </si>
  <si>
    <t>Material zamak</t>
  </si>
  <si>
    <t>mosquetón 1" niquelado lujo</t>
  </si>
  <si>
    <t>mosquetón 3/4 dorado lujo</t>
  </si>
  <si>
    <t>mosquetón 1" dorado lujo</t>
  </si>
  <si>
    <t>mosquetón pavonado 1"</t>
  </si>
  <si>
    <t>mosquetón pavonado 1/2#</t>
  </si>
  <si>
    <t>mosquetón dorado sencillo 1/2"</t>
  </si>
  <si>
    <t>mosquetón niquelado sencillo 1/2"</t>
  </si>
  <si>
    <t>mosquetón niquelado con seguro 1/2"</t>
  </si>
  <si>
    <t>mosquetón llavero niquelado 3/8</t>
  </si>
  <si>
    <t>mosquetón 5/8 niquelado z-4813</t>
  </si>
  <si>
    <t>mosquetón dorado 3/4 lujo</t>
  </si>
  <si>
    <t>mosquetón pavonado 3/8</t>
  </si>
  <si>
    <t>mosquetón negro 1 1/2</t>
  </si>
  <si>
    <t>mosquetón niquelado 5/8"</t>
  </si>
  <si>
    <t xml:space="preserve">Argolla Mosquetón </t>
  </si>
  <si>
    <t>Material  zamak,Acabado oro, 
Diametro externo: 38 mm
Diametro interno: 28 mm, calibre 5 mm</t>
  </si>
  <si>
    <t>Argolla mosquetón ovalada</t>
  </si>
  <si>
    <t>material zamak,Acabado niquel, 
Diametro externo: 38 mm
Diametro interno: 20 mm</t>
  </si>
  <si>
    <t>Argolla Mosquetón 1"</t>
  </si>
  <si>
    <t>Material  zamak,Acabado niquel
calibre 5 mm</t>
  </si>
  <si>
    <t>Argolla mosquetón 3/4</t>
  </si>
  <si>
    <t>Material  zamak,Acabado oro
calibre 5 mm</t>
  </si>
  <si>
    <t>Argolla mosquetón 5/8</t>
  </si>
  <si>
    <t>Material  zamak,Acabado niquel
calibre 4 mm</t>
  </si>
  <si>
    <t>Argolla Mosquetón 1 1/4 f "</t>
  </si>
  <si>
    <t xml:space="preserve">Material zamak ACABADO niquel </t>
  </si>
  <si>
    <t>mosquetón para bolso 1" x 2"</t>
  </si>
  <si>
    <t>Material  zamak,Acabado niquel
1" x 2"de largo</t>
  </si>
  <si>
    <t>mosquetón Z 4813  fijo tirante 5/8 x 1 3/4"</t>
  </si>
  <si>
    <t>material zamak,Acabado dorado
Diametro externo: 38 mm
Diametro interno: 20 mm</t>
  </si>
  <si>
    <t>argolla pavonada 1 1/2 alambre</t>
  </si>
  <si>
    <t>Material alambre, acabado pavonado, diametro 1 1/2 " calibre 3.5 mm</t>
  </si>
  <si>
    <t>argolla pavonada gruesa 1 1/2" alambre</t>
  </si>
  <si>
    <t>Material alambre,a cabado pavonado, diametro 1 1/2 " calibre 6 mm</t>
  </si>
  <si>
    <t>argolla pavonada delgada 1" alambre</t>
  </si>
  <si>
    <t>Material alambre, acabado pavonado, diametro 1" calibre 3.5 mm</t>
  </si>
  <si>
    <t>argolla pavonada gruesa 1 1/4" alambre</t>
  </si>
  <si>
    <t>Material alambre, acabado pavonado, diametro 1 1/4 " calibre 6 mm</t>
  </si>
  <si>
    <t>argolla pavonada delgada 1 1/4" alambre</t>
  </si>
  <si>
    <t>Material alambre, acabado pavonado, diametro 1 1/4 " calibre 3,5 mm</t>
  </si>
  <si>
    <t>argolla pavonada plana 3/4</t>
  </si>
  <si>
    <t xml:space="preserve">Material zamak, acabado pavonado, diametro 3/4" " </t>
  </si>
  <si>
    <t>arandela plana pavonada 1"zamac</t>
  </si>
  <si>
    <t xml:space="preserve">Material zamak, acabado pavonado, diametro 1 " </t>
  </si>
  <si>
    <t>argolla pavonada delgada 3/4" alambre</t>
  </si>
  <si>
    <t>Material alambre, acabado pavonado, diametro 3/4 " calibre 3 mm</t>
  </si>
  <si>
    <t>argolla níquel gruesa 1 1/2" alambre</t>
  </si>
  <si>
    <t>Material alambre, acabado niquel, diametro 1 1/2 " calibre 6 mm</t>
  </si>
  <si>
    <t>argolla níquel delgada 1 1/2" alambre</t>
  </si>
  <si>
    <t>Material alambre, acabado niquel, diametro 1 1/2 " calibre 3,5 mm</t>
  </si>
  <si>
    <t>argolla níquel delgada 1 1/4" alambre</t>
  </si>
  <si>
    <t>Material alambre, acabado niquel, diametro 1 1/4 " calibre 3,5 mm</t>
  </si>
  <si>
    <t>argolla níquel Gruesa 1 1/4" alambre</t>
  </si>
  <si>
    <t>Material alambre, acabado niquel, diametro 1 1/4 " calibre 6 mm</t>
  </si>
  <si>
    <t>argolla níquel delgada 1 " alambre</t>
  </si>
  <si>
    <t>Material alambre, acabado niquel, diametro 1 " calibre 3,5 mm</t>
  </si>
  <si>
    <t>argolla níquel delgada 3/4" alambre</t>
  </si>
  <si>
    <t>Material alambre, acabado niquel, diametro3/4 " calibre 3 mm</t>
  </si>
  <si>
    <t>argolla níquel gruesa avalada 3/4  x 1 1/4" alambre</t>
  </si>
  <si>
    <t>Material alambre, acabado niquel, diametro 3/4  x 1 1/4" calibre 6 mm</t>
  </si>
  <si>
    <t>argolla plana níquel 1"zamac</t>
  </si>
  <si>
    <t xml:space="preserve">Material zamak, acabado niquel, diametro 1 " </t>
  </si>
  <si>
    <t>argolla oro delgada 3/4" alambre</t>
  </si>
  <si>
    <t>Material alambre, acabado oro, diametro3/4 " calibre 3.5 mm</t>
  </si>
  <si>
    <t>Material alambre, acabado oro, diametro3/4 " calibre 3 mm</t>
  </si>
  <si>
    <t>argolla plana oro 3/4 "zamac</t>
  </si>
  <si>
    <t xml:space="preserve">Material zamak, acabado oro, diametro 3/4 " </t>
  </si>
  <si>
    <t>argolla oro Gruesa 1 1/4" alambre</t>
  </si>
  <si>
    <t>Material alambre, acabado oro, diametro 1 1/4 " calibre 5 mm</t>
  </si>
  <si>
    <t>argolla plana pavón 10 mm zamac</t>
  </si>
  <si>
    <t xml:space="preserve">Material zamak, acabado pavon, diametro 10 mm </t>
  </si>
  <si>
    <t>argolla plana níquel 10 mm zamac</t>
  </si>
  <si>
    <t>argolla plana oro 10 mm zamac</t>
  </si>
  <si>
    <t xml:space="preserve">Material zamak, acabado oro, diametro 10 mm </t>
  </si>
  <si>
    <t>Argolla llavero pavón 1"</t>
  </si>
  <si>
    <t xml:space="preserve">Material alambre, acabado pavonado, diametro 1 " </t>
  </si>
  <si>
    <t>Argolla llavero plano  pavón 1"</t>
  </si>
  <si>
    <t>Argolla llavero plano  pavón 3/4"</t>
  </si>
  <si>
    <t xml:space="preserve">Material alambre, acabado pavonado, diametro 3/4 " </t>
  </si>
  <si>
    <t>Argolla llavero plano  níquel 1"</t>
  </si>
  <si>
    <t xml:space="preserve">Material alambre, acabado niquel, diametro 1 " </t>
  </si>
  <si>
    <t>Argolla llavero plano  níquel 3/4"</t>
  </si>
  <si>
    <t xml:space="preserve">Material alambre, acabado niquel, diametro 3/4 " </t>
  </si>
  <si>
    <t>Argolla llavero plano con cadena   níquel 1"</t>
  </si>
  <si>
    <t>Argolla llavero pavón 10 mm</t>
  </si>
  <si>
    <t xml:space="preserve">Material alambre, acabado pavonado, diametro 10 mm </t>
  </si>
  <si>
    <t>Argolla llavero oro 10 mm</t>
  </si>
  <si>
    <t xml:space="preserve">Material alambre, acabado oro, diametro 10 mm </t>
  </si>
  <si>
    <t>argolla  níquel 5 mm zamac</t>
  </si>
  <si>
    <t xml:space="preserve">Material zamak, acabado niquel, diametro 5 mm </t>
  </si>
  <si>
    <t xml:space="preserve">llavero para bolso </t>
  </si>
  <si>
    <t>Material zamak, acabado niquel, diametro 1"</t>
  </si>
  <si>
    <t>argolla plana níquel 30 cm zamac</t>
  </si>
  <si>
    <t>Material zamak, acabado pavon, diametro 30 cm</t>
  </si>
  <si>
    <t>argolla plana níquel 35 cm zamac</t>
  </si>
  <si>
    <t>Material zamak, acabado pavon, diametro 35 cm</t>
  </si>
  <si>
    <t>argolla plana níquel 40 cm zamac</t>
  </si>
  <si>
    <t>Material zamak, acabado pavon, diametro 40 cm</t>
  </si>
  <si>
    <t>argolla plana níquel 50 cm zamac</t>
  </si>
  <si>
    <t>Material zamak, acabado pavon, diametro 50 cm</t>
  </si>
  <si>
    <t>101a</t>
  </si>
  <si>
    <t>argolla plana níquel 2"  zamac</t>
  </si>
  <si>
    <t>Material zamak, acabado niquel, diametro 2"</t>
  </si>
  <si>
    <t>101b</t>
  </si>
  <si>
    <t>argolla plana oro 2"  zamac</t>
  </si>
  <si>
    <t>Material zamak, acabado oro, diametro 2"</t>
  </si>
  <si>
    <t>media argolla pavonada 1 1/2" alambre delgada</t>
  </si>
  <si>
    <t xml:space="preserve">Material alambre, acabado pavonado, diametro 1 1/2" calibre 3,5 </t>
  </si>
  <si>
    <t>media argolla pavonada 1" alambre delgada</t>
  </si>
  <si>
    <t xml:space="preserve">Material alambre, acabado pavonado, diametro 1" calibre 3,5 </t>
  </si>
  <si>
    <t>media argolla pavonada 1" alambre grueso</t>
  </si>
  <si>
    <t>Material alambre, acabado pavonado, diametro 1" calibre 5 mm</t>
  </si>
  <si>
    <t>media argolla pavonada 10 mm alambre delgada</t>
  </si>
  <si>
    <t xml:space="preserve">Material alambre, acabado pavonado, diametro 10mm calibre 3,5 </t>
  </si>
  <si>
    <t>media argolla níquel 1 1/2 " alambre delgada</t>
  </si>
  <si>
    <t xml:space="preserve">Material alambre, acabado pavonado, diametro 1  1/2" calibre 3,5 </t>
  </si>
  <si>
    <t>media argolla pavonada 1 1/4" alambre delgada</t>
  </si>
  <si>
    <t>media argolla níquel 10 mm alambre delgada</t>
  </si>
  <si>
    <t xml:space="preserve">Material alambre, acabado niquel, diametro 10mm calibre 3,5 </t>
  </si>
  <si>
    <t>Media argolla plana níquel 1" zamac</t>
  </si>
  <si>
    <t>Media argolla níquel 1"de lujo zamac</t>
  </si>
  <si>
    <t>Material zamak, acabado niquel, diametro 1" Calibre 4.5 mm</t>
  </si>
  <si>
    <t>Media argolla níquel 3/4"de lujo zamac</t>
  </si>
  <si>
    <t>Material zamak, acabado niquel, diametro 3/4" Calibre 4 mm</t>
  </si>
  <si>
    <t>Media argolla níquel plana 5/8" de lujo zamac</t>
  </si>
  <si>
    <t>Material zamak, acabado niquel, diametro 5/8" Calibre 2,5 mm</t>
  </si>
  <si>
    <t>Media argolla dorada 3/4" * 3/4"de lujo Alambre</t>
  </si>
  <si>
    <t>Material alambre, acabado oro, diametro 3/4"x 3/4"calibre 4 mm</t>
  </si>
  <si>
    <t>Media argolla dorada 3/4" * 1/2" Alambre</t>
  </si>
  <si>
    <t>Material alambre, acabado oro, diametro 3/4"x 1/2"calibre 4 mm</t>
  </si>
  <si>
    <t>Media argolla dorada  gruesa de lujo 1" x 3/4"alambre</t>
  </si>
  <si>
    <t>Material alambre, acabado oro, diametro 1" x 3/4""calibre 5 mm</t>
  </si>
  <si>
    <t>Media argolla dorada 1" x 3/4"alambre</t>
  </si>
  <si>
    <t>Material alambre, acabado oro, diametro 1" x 3/4"calibre 3,5 mm</t>
  </si>
  <si>
    <t>Media argolla dorada  3/4" x 5/8" alambre</t>
  </si>
  <si>
    <t>Material alambre, acabado oro, diametro 3/4" x 5/8"calibre 5 mm</t>
  </si>
  <si>
    <t>Media argolla dorada 5/8" de lujo zamac</t>
  </si>
  <si>
    <t>Material zamak, acabado oro , diametro 5/8" Calibre 2,5 mm</t>
  </si>
  <si>
    <t>Media argolla dorada plana 1/2" de lujo zamac</t>
  </si>
  <si>
    <t>Material zamak, acabado oro , diametro 1/2" Calibre 2,5 mm</t>
  </si>
  <si>
    <t>Media argolla dorada plana 3/4" de lujo zamac</t>
  </si>
  <si>
    <t>Material zamak, acabado oro , diametro 1/2" Calibre 4mm</t>
  </si>
  <si>
    <t>DESLIZADORES (ZAPATOS PARA BOLSOS) oro con tornillo 18 mm zamak</t>
  </si>
  <si>
    <t>Material zamak. Acabado oro, con tornillo, 15 mm</t>
  </si>
  <si>
    <t>Material zamak. Acabado oro, con tornillo, 18 mm</t>
  </si>
  <si>
    <t>DESLIZADORES (ZAPATOS PARA BOLSOS)níquel con tornillo 18 mm zamak</t>
  </si>
  <si>
    <t>Material zamak. Acabado niquel, con tornillo, 18 mm</t>
  </si>
  <si>
    <t>DESLIZADORES (ZAPATOS PARA BOLSOS)pavón con tornillo 18 mm zamak</t>
  </si>
  <si>
    <t>Material zamak. Acabado pavon, con tornillo, 18 mm</t>
  </si>
  <si>
    <t>DESLIZADORES (ZAPATOS PARA BOLSOS)níquel con tornillo 12 mm zamak</t>
  </si>
  <si>
    <t>Material zamak. Acabado niquel, con tornillo, 12 mm</t>
  </si>
  <si>
    <t xml:space="preserve">DESLIZADORES (ZAPATOS PARA BOLSOS)cónico latón oro con tornillo 12 mm </t>
  </si>
  <si>
    <t>Material latón. Acabado orol, con tornillo, 12 mm</t>
  </si>
  <si>
    <t xml:space="preserve">DESLIZADORES (ZAPATOS PARA BOLSOS)hexágono zamak oro con tornillo 12 mm </t>
  </si>
  <si>
    <t>Material zamak. Acabado oro, con tornillo, 12 mm</t>
  </si>
  <si>
    <t xml:space="preserve">DESLIZADORES (ZAPATOS PARA BOLSOS)redondo  latón oro  30 mm </t>
  </si>
  <si>
    <t>Material latón. Acabado oro, 30 mm</t>
  </si>
  <si>
    <t xml:space="preserve">DESLIZADORES (ZAPATOS PARA BOLSOS)redondo  latón oro  25 mm </t>
  </si>
  <si>
    <t>Material latón. Acabado oro, 25 mm</t>
  </si>
  <si>
    <t>Clip Metálico para billetes níquel</t>
  </si>
  <si>
    <t xml:space="preserve">Material latón, acabado niquel </t>
  </si>
  <si>
    <t>Clip Metálico para billetes oro</t>
  </si>
  <si>
    <t>Material latón, acabado oro</t>
  </si>
  <si>
    <t>Terminal copa oro 10 mm</t>
  </si>
  <si>
    <t>Material zamak acabado oro, diametro 10 mm</t>
  </si>
  <si>
    <t>Terminal copa níquel 10 mm</t>
  </si>
  <si>
    <t>Material zamak acabado niquel , diametro 10 mm</t>
  </si>
  <si>
    <t>asa con tornillo, oro 25 mm</t>
  </si>
  <si>
    <t>Material zamak acabado oro, 25 mm</t>
  </si>
  <si>
    <t>asa con tornillo, níquel 25 mm</t>
  </si>
  <si>
    <t>Material zamak acabado niquel ,  25 mm</t>
  </si>
  <si>
    <t>asa  cuadrada con tornillo, oro 25 mm</t>
  </si>
  <si>
    <t>asa  redondo con tornillo porta manija, oro 10 mm</t>
  </si>
  <si>
    <t>Material zamak acabado oro, 10 mm</t>
  </si>
  <si>
    <t>Manija metálica, asa para bolso . 150 mm oro</t>
  </si>
  <si>
    <t>Material zamak, acabado oro 150 mm</t>
  </si>
  <si>
    <t xml:space="preserve">asa lateral con tornillos para bolso color oro </t>
  </si>
  <si>
    <t xml:space="preserve">Material zamak, acabado oro </t>
  </si>
  <si>
    <t>Manija metálica, asa para bolso . 130 mm oro</t>
  </si>
  <si>
    <t>Materia latón , acabado oro 130 mm</t>
  </si>
  <si>
    <t>asa media argolla 110 mm oro zamak</t>
  </si>
  <si>
    <t>Material zamak, acabado oro, media argolla 110 mm</t>
  </si>
  <si>
    <t>asa media argolla 1/2" mm oro zamak</t>
  </si>
  <si>
    <t>Material zamak, acabado oro, media argolla 1/2" mm</t>
  </si>
  <si>
    <t>asa doble argolla oro 1" zamak</t>
  </si>
  <si>
    <t xml:space="preserve">Material zamak, acabado oro, dole argolla 1" </t>
  </si>
  <si>
    <t>asa media argolla 140 mm con terminales redondos de 1/4"  oro zamak</t>
  </si>
  <si>
    <t>Material zamak, acabado oro, media argolla 140 mm</t>
  </si>
  <si>
    <t>143a</t>
  </si>
  <si>
    <t xml:space="preserve">Terminal copa para flecos oro, 5mm </t>
  </si>
  <si>
    <t xml:space="preserve">Material zamak, acabado oro, diametro 5 mm </t>
  </si>
  <si>
    <t>144a</t>
  </si>
  <si>
    <t>Terminal Puntera,  en zamak, oro de 5 mm</t>
  </si>
  <si>
    <t>145a</t>
  </si>
  <si>
    <t xml:space="preserve">Placa SENA zamak , níquel 
</t>
  </si>
  <si>
    <t xml:space="preserve">Material zamak, acabado niquel </t>
  </si>
  <si>
    <t>146a</t>
  </si>
  <si>
    <t xml:space="preserve">Terminal copa para flecos níquel,  15 mm </t>
  </si>
  <si>
    <t xml:space="preserve">Material zamak, acabado niquel, diametro 15 mm </t>
  </si>
  <si>
    <t>147a</t>
  </si>
  <si>
    <t xml:space="preserve">Terminal copa para flecos níquel, 5mm </t>
  </si>
  <si>
    <t>Cadena níquel</t>
  </si>
  <si>
    <t>Cadena trenzada  9mm. Acabado Niquel</t>
  </si>
  <si>
    <t>Cadena oro</t>
  </si>
  <si>
    <t>Cadena trenzada  9mm. Acabado oro</t>
  </si>
  <si>
    <t>149a</t>
  </si>
  <si>
    <t>llavero para cartera 6 llaves oro</t>
  </si>
  <si>
    <t xml:space="preserve">Material latón , acabado oro 6 llaves </t>
  </si>
  <si>
    <t>149b</t>
  </si>
  <si>
    <t xml:space="preserve">llavero para cartera 4 llaves níquel </t>
  </si>
  <si>
    <t>Cierre torniquete para bolso pirámide 1" x 1 1/2" oro</t>
  </si>
  <si>
    <t>Material zamak, acabado oro, piramide 1" x 1 1/2"</t>
  </si>
  <si>
    <t>Cierre torniquete para bolso pirámide 1" x 1 1/2" níquel</t>
  </si>
  <si>
    <t>Material zamak, acabado niquel, piramide 1" x 1 1/2"</t>
  </si>
  <si>
    <t>Cierre torniquete redondo para bolso  1 1/2" níquel</t>
  </si>
  <si>
    <t>Material zamak, acabado niquel, redondo  1" x 1 1/2"</t>
  </si>
  <si>
    <t>Cierre torniquete redondo para bolso  1 1/2" oro</t>
  </si>
  <si>
    <t>Material zamak, acabado oro, redondo  1" x 1 1/2"</t>
  </si>
  <si>
    <t>Cierre torniquete ovalado 3/4" x 1 1/2" para bolso  1 1/2" níquel</t>
  </si>
  <si>
    <t>Material zamak, acabado niquel, ovalado  1" x 1 1/2"</t>
  </si>
  <si>
    <t>Cierre torniquete ovalado 3/4" x 1 1/2" para bolso  1 1/2" oro</t>
  </si>
  <si>
    <t>Material zamak, acabado oro,ovalado  1" x 1 1/2"</t>
  </si>
  <si>
    <t>Cierre torniquete ovalado 3/4" x 1 1/2" para bolso  1 1/2" pavón</t>
  </si>
  <si>
    <t>Material zamak, acabado pavon,ovalado  1" x 1 1/2"</t>
  </si>
  <si>
    <t>Cierre torniquete huevo 3/4" x 1 1/2" para bolso  1 1/2" níquel</t>
  </si>
  <si>
    <t>Material latón, acabado niquel, ovalado  1" x 1 1/2"</t>
  </si>
  <si>
    <t>Cierre torniquete 3/4" x 1 1/2" para bolso  " pavón</t>
  </si>
  <si>
    <t>Material latón, acabado pavon, ovalado  3/4" x 1 1/2</t>
  </si>
  <si>
    <t>Cierre torniquete redondo para bolso  1 " oro</t>
  </si>
  <si>
    <t>Material zamak, acabado oro, redondo  1"</t>
  </si>
  <si>
    <t>Cierre torniquete ovalado 3/4" x 1 1/4" para bolso  "níquel</t>
  </si>
  <si>
    <t>Material zamak, acabado niquel, ovalado  3/4" x 1 1/4" niquel"</t>
  </si>
  <si>
    <t>Cierre torniquete ovalado 3/4" x 1 1/4 " para bolso  " oro</t>
  </si>
  <si>
    <t>Material zamak, acabado oro, ovalado   3/4" x 1 1/4  "oro"</t>
  </si>
  <si>
    <t>Cierre torniquete rectangular 6 cm x 1 cm" para bolso  "níquel</t>
  </si>
  <si>
    <t>Material zamak, acabado niquel, ovalado  6 cm x 1 cm niquel"</t>
  </si>
  <si>
    <t>Cierre torniquete ovalado 1/2" x 1" para bolso  "níquel</t>
  </si>
  <si>
    <t>Material zamak, acabado niquel, ovalado 1/2" x 1"  niquel"</t>
  </si>
  <si>
    <t>Ojalete redondo, oro, 3/4/ interno, con tornillo</t>
  </si>
  <si>
    <t>Material zamak, acabado oro, redondo  interno  3/4"  ext. 1 1/22</t>
  </si>
  <si>
    <t>Ojal metálico para calzado negro</t>
  </si>
  <si>
    <t xml:space="preserve">Material latón, acabado negro  brillante </t>
  </si>
  <si>
    <t>Ojal metálico para calzado pavón</t>
  </si>
  <si>
    <t xml:space="preserve">Material latón, acabado pavon, </t>
  </si>
  <si>
    <t>Ojal metálico para calzado níquel</t>
  </si>
  <si>
    <t>Material latón, acabado niquel</t>
  </si>
  <si>
    <t>Ojal cordonera metálico con remache para calzado níquel</t>
  </si>
  <si>
    <t>Material latón, acabado niquel, con remache</t>
  </si>
  <si>
    <t xml:space="preserve">Gancho cordonera metálico para calzado </t>
  </si>
  <si>
    <t>Material latón, acabado cobre , con remache</t>
  </si>
  <si>
    <t>Gancho militar cordonera metálico para calzado dos  huecos para remache oro</t>
  </si>
  <si>
    <t xml:space="preserve">Material latón, acabado oro , dos perforaciones </t>
  </si>
  <si>
    <t>Gancho militar cordonera metálico para calzado dos  huecos para remache negro</t>
  </si>
  <si>
    <t xml:space="preserve">Material latón, acabado negro , dos perforaciones </t>
  </si>
  <si>
    <t>Gancho militar cordonera metálico para calzado dos  huecos para remache pavón</t>
  </si>
  <si>
    <t xml:space="preserve">Material latón, acabado pavon , dos perforaciones </t>
  </si>
  <si>
    <t>Gancho militar cordonera metálico para calzado dos  huecos para remache níquel</t>
  </si>
  <si>
    <t xml:space="preserve">Material latón, acabado niquel , dos perforaciones </t>
  </si>
  <si>
    <t xml:space="preserve">cordonera redonda 1//2"  oro  de remache
</t>
  </si>
  <si>
    <t>Material latón, acabado oro , dos remaches 1/2"</t>
  </si>
  <si>
    <t xml:space="preserve">cordonera redonda 1//2"  níquel  de remache
</t>
  </si>
  <si>
    <t>Material latón, acabado niquel , dos remaches 1/2"</t>
  </si>
  <si>
    <t xml:space="preserve">cordonera redonda 1//2"  negro de remache
</t>
  </si>
  <si>
    <t>Material latón, acabado negro, dos remaches 1/2"</t>
  </si>
  <si>
    <t>cordonera 1 remache  metálica  zamak pavón</t>
  </si>
  <si>
    <t xml:space="preserve">Material zamak, acabado pavon, 1 remache </t>
  </si>
  <si>
    <t>cordonera 1 remache  metálica  zamak oro</t>
  </si>
  <si>
    <t xml:space="preserve">Material zamak, acabado oro,  1 remache </t>
  </si>
  <si>
    <t xml:space="preserve">punta de cordonera  plástico 
</t>
  </si>
  <si>
    <t>material plastico color café</t>
  </si>
  <si>
    <t>180a</t>
  </si>
  <si>
    <t>cordonera metálica cónica . Zamak oro 1/2" de largo</t>
  </si>
  <si>
    <t xml:space="preserve">Material latón, acabado oro 1/2" de largo , </t>
  </si>
  <si>
    <t>180b</t>
  </si>
  <si>
    <t>cordonera metálica cónica . Zamak níquel 1/2" de largo</t>
  </si>
  <si>
    <t xml:space="preserve">Material latón, acabadoniquel  1/2" de largo , </t>
  </si>
  <si>
    <t xml:space="preserve">cordonera metálica para bolso. Zamak negro </t>
  </si>
  <si>
    <t xml:space="preserve">Material latón, acabado negro, </t>
  </si>
  <si>
    <t xml:space="preserve">punta de cordonera  zamak  pavón 
</t>
  </si>
  <si>
    <t>Material zamak, acabado pavon</t>
  </si>
  <si>
    <t>puntera de correa, zamak, oro 1/2"</t>
  </si>
  <si>
    <t>Material zamak, acabado oro, 1/2"</t>
  </si>
  <si>
    <t>Puntera metálica para riata 1" níquel</t>
  </si>
  <si>
    <t>Material latón, acabado niquel , 1"</t>
  </si>
  <si>
    <t>Puntera metálica para riata 2" níquel</t>
  </si>
  <si>
    <t>Material latón, acabado niquel , 2"</t>
  </si>
  <si>
    <t>Puntera metálica para riata2" pavón</t>
  </si>
  <si>
    <t>Material latón, acabado pavon , 2"</t>
  </si>
  <si>
    <t>Puntera metálica para riata1 1/2" níquel</t>
  </si>
  <si>
    <t>Material latón, acabado niquel , 1 1/2"</t>
  </si>
  <si>
    <t>Puntera metálica para riata 11/2" pavón</t>
  </si>
  <si>
    <t>Material latón, acabado niquel , 11/2" pavon</t>
  </si>
  <si>
    <t>unión correa metálico 1/2" níquel</t>
  </si>
  <si>
    <t>Material zamak, acabado niquel,1/2"</t>
  </si>
  <si>
    <t xml:space="preserve">Ojalete de lujo níquel 1/4 estriado </t>
  </si>
  <si>
    <t>Material Zamak,acabado niquel diametro int. 1/4"</t>
  </si>
  <si>
    <t xml:space="preserve">Ojalete de lujo oro 1/4 estriado </t>
  </si>
  <si>
    <t>Material Zamak,acabado oro diametro int. 1/4"</t>
  </si>
  <si>
    <t>Ojalete de lujo ovalado oro zamak CON TORNILLO  1" INTERNO</t>
  </si>
  <si>
    <t xml:space="preserve">Material Zamak,acabado oro diametro 1" INT DE </t>
  </si>
  <si>
    <t>Ojalete de lujo ovalado NIQUEL zamak CON TORNILLO  1" INTERNO</t>
  </si>
  <si>
    <t xml:space="preserve">Material Zamak,acabado niquel diametro 1" INT DE </t>
  </si>
  <si>
    <t>Ojalete de lujo ovalado NIQUEL zamak   11/4" x 1/2" INTERNO</t>
  </si>
  <si>
    <t>Material Zamak,acabado niquel diametro  11/4" x 1/2" INTERNO</t>
  </si>
  <si>
    <t>Ojalete de lujo ovalado oro zamak   11/4" x 1/2" INTERNO</t>
  </si>
  <si>
    <t>Material Zamak,acabado noro diametro  11/4" x 1/2" INTERNO</t>
  </si>
  <si>
    <t>Ojalete de lujo redondo pavón zamak CON TORNILLO  3/4" INTERNO</t>
  </si>
  <si>
    <t>Material Zamak,acabado oro diametro 3/4" INTerno</t>
  </si>
  <si>
    <t>Ojalete de lujo ovalado pavón zamak CON TORNILLO  1 1/2"" INTERNO</t>
  </si>
  <si>
    <t>broche cazuela grande, negro</t>
  </si>
  <si>
    <t xml:space="preserve">Material latón, acabado negro </t>
  </si>
  <si>
    <t>broche cazuela grande, pavón</t>
  </si>
  <si>
    <t xml:space="preserve">Material latón, acabado pavon , </t>
  </si>
  <si>
    <t>broche cazuela mediano, pavón</t>
  </si>
  <si>
    <t>Material latón, acabado pavon ,</t>
  </si>
  <si>
    <t>broche cazuela grande, níquel</t>
  </si>
  <si>
    <t xml:space="preserve">Material latón, acabado niquel , </t>
  </si>
  <si>
    <t>Pirigallo Remache Piolín  con tornillo oro zamak pequeño</t>
  </si>
  <si>
    <t>Remaches Tornillo cabeza ovalada Diámetro de la cabeza: 9mm, 9.5mm Material: cobre Acabado: oro Tamaño: 8mm</t>
  </si>
  <si>
    <t>Pirigallo Remache Piolín  con tornillo oro zamak grande</t>
  </si>
  <si>
    <t>Remaches Tornillo cabeza ovalada Diámetro de la cabeza: 9mm, 9.5mm Material: cobre Acabado: oro Tamaño: 10mm</t>
  </si>
  <si>
    <t>Pirigallo Remache Piolín  con tornillo pavón zamak pequeño</t>
  </si>
  <si>
    <t>Remaches Tornillo cabeza ovalada Diámetro de la cabeza: 9mm, 9.5mm Material: cobre Acabado: pavon Tamaño: 8mm</t>
  </si>
  <si>
    <t>Pirigallo Remache Piolín  con tornillo pavón zamak grande</t>
  </si>
  <si>
    <t>Remaches Tornillo cabeza ovalada Diámetro de la cabeza: 9mm, 9.5mm Material: cobre Acabado: pavon Tamaño: 10mm</t>
  </si>
  <si>
    <t>Pirigallo Remache Piolín  con tornillo níquel zamak pequeño</t>
  </si>
  <si>
    <t>Remaches Tornillo cabeza ovalada Diámetro de la cabeza: 9mm, 9.5mm Material: cobre Acabado: niquel Tamaño: 8mm</t>
  </si>
  <si>
    <t>Pirigallo Remache Piolín  con tornillo níquel zamak grande</t>
  </si>
  <si>
    <t>Remaches Tornillo cabeza ovalada Diámetro de la cabeza: 9mm, 9.5mm Material: cobre Acabado: niquel Tamaño: 10mm</t>
  </si>
  <si>
    <t>Pirigallo Remache Piolín  con tornillo negro grafito zamak pequeño</t>
  </si>
  <si>
    <t>Remaches Tornillo cabeza ovalada Diámetro de la cabeza: 9mm, 9.5mm Material: cobre Acabado: negro grafito Tamaño: 8mm</t>
  </si>
  <si>
    <t>Pirigallo Remache Piolín  con tornillo negro grafito zamak grande</t>
  </si>
  <si>
    <t>Remaches Tornillo cabeza ovalada Diámetro de la cabeza: 9mm, 9.5mm Material: cobre Acabado: negro negro grafito Tamaño: 10mm</t>
  </si>
  <si>
    <t>pirigallo Remache Piolín  con tornillo y arandela Zamak oro</t>
  </si>
  <si>
    <t xml:space="preserve">Remaches Tornillo cabeza redonda con arandela Diámetro de la cabeza: 8mm, Material: cobreAcabado: oro 
</t>
  </si>
  <si>
    <t>pirigallo Remache Piolín  con tornillo y arandela Zamak níquel</t>
  </si>
  <si>
    <t xml:space="preserve">Remaches Tornillo cabeza redonda con arandela Diámetro de la cabeza: 8mm, Material: cobre acabado: niquel 
</t>
  </si>
  <si>
    <t>piercings oro zamak  1/2" plano tipo tornillo</t>
  </si>
  <si>
    <t xml:space="preserve">Material zamak, acabado oro, 1/2" plano redondo </t>
  </si>
  <si>
    <t xml:space="preserve">piercings oro zamak  8 mm redondo tipo bola </t>
  </si>
  <si>
    <t xml:space="preserve">Material zamak, acabado oro, 1/2" redondo tipo bola  </t>
  </si>
  <si>
    <t>piercings oro zamak  12 mm redondo tipo hongo</t>
  </si>
  <si>
    <t>Material zamak, acabado oro, 1/2" redondo tipo hongo</t>
  </si>
  <si>
    <t xml:space="preserve">piercings oro zamak  10 mm plano </t>
  </si>
  <si>
    <t>Remache Hongo # 10 pavón</t>
  </si>
  <si>
    <t>Material latón, acabado pavon, cabeza 10 mm, vastago 8 mm</t>
  </si>
  <si>
    <t>Remache Hongo # 9 pavón</t>
  </si>
  <si>
    <t>Material latón, acabado pavon, cabeza 9 mm, vastago 8 mm</t>
  </si>
  <si>
    <t>Remache Hongo # 8 pavón</t>
  </si>
  <si>
    <t>Material latón, acabado pavon, cabeza 8 mm, vastago 8 mm</t>
  </si>
  <si>
    <t>Remache Hongo # 6 pavón</t>
  </si>
  <si>
    <t>Material latón, acabado pavon, cabeza 6 mm, vastago 5 mm</t>
  </si>
  <si>
    <t>Remache Doble cabeza #9 pavón</t>
  </si>
  <si>
    <t>Remache Doble cabeza #8 pavón</t>
  </si>
  <si>
    <t>Remache Doble cabeza #6 pavón</t>
  </si>
  <si>
    <t>Material latón, acabado pavon, cabeza 6 mm, vastago 6 mm</t>
  </si>
  <si>
    <t>Remache Doble cabeza # 4 pavón</t>
  </si>
  <si>
    <t>Material latón, acabado pavon, cabeza 4 mm, vastago 5 mm</t>
  </si>
  <si>
    <t>Remache Hongo # 9 níquel</t>
  </si>
  <si>
    <t>Material latón, acabado niquel, cabeza 9 mm, vastago 8 mm</t>
  </si>
  <si>
    <t>Remache Hongo # 8 níquel</t>
  </si>
  <si>
    <t>Material latón, acabado niquel, cabeza 8 mm, vastago 8 mm</t>
  </si>
  <si>
    <t>Remache Hongo # 6 níquel</t>
  </si>
  <si>
    <t>Material latón, acabado niquel, cabeza 6 mm, vastago 5 mm</t>
  </si>
  <si>
    <t>Remache Doble cabeza #9 níquel</t>
  </si>
  <si>
    <t>Remache Doble cabeza #8 níquel</t>
  </si>
  <si>
    <t>Material latón, acabado niquel, cabeza 8 mm, vastago 6 mm</t>
  </si>
  <si>
    <t>Remache Doble cabeza #6 níquel</t>
  </si>
  <si>
    <t>Material latón, acabado niquel, cabeza 6 mm, vastago 6 mm</t>
  </si>
  <si>
    <t>Material latón, acabado niquel, cabeza 6 mm, vastago 10 mm</t>
  </si>
  <si>
    <t>Remache sencillo #8 pavón</t>
  </si>
  <si>
    <t>Remache sencillo #6 pavón</t>
  </si>
  <si>
    <t>Remache sencillo # 4 pavón</t>
  </si>
  <si>
    <t>Remache sencillo #8 níquel</t>
  </si>
  <si>
    <t>Remache sencillo #6 níquel</t>
  </si>
  <si>
    <t>Remache sencillo # 4 níquel</t>
  </si>
  <si>
    <t>Material latón, acabado niquel, cabeza 4 mm, vastago 5 mm</t>
  </si>
  <si>
    <t>Remache sencillo #8 oro</t>
  </si>
  <si>
    <t>Material latón, acabado oro, cabeza 8 mm, vastago 8 mm</t>
  </si>
  <si>
    <t>Remache sencillo #6 oro</t>
  </si>
  <si>
    <t>Material latón, acabado oro, cabeza 6 mm, vastago 6 mm</t>
  </si>
  <si>
    <t>Remache sencillo # 4 oro</t>
  </si>
  <si>
    <t>Material latón, acabado oro, cabeza 4 mm, vastago 5 mm</t>
  </si>
  <si>
    <t>Remache sencillo # 4 oro rosado</t>
  </si>
  <si>
    <t>Material latón, acabado oro rosado,cabeza 4 mm, vastago 5 mm</t>
  </si>
  <si>
    <t>remache hongo zamak pavón 11 mm</t>
  </si>
  <si>
    <t>Material zamak, acabado pavon,11 mm" hongo vastago en aluminio</t>
  </si>
  <si>
    <t>remache hongo zamak níquel 11 mm</t>
  </si>
  <si>
    <t>Material zamak, acabado niquel,11 mm" hongo, vastago en aluminio</t>
  </si>
  <si>
    <t xml:space="preserve">Material zamak, acabado niquel,11 mm" hongo con tornillo </t>
  </si>
  <si>
    <t>Remaches  cabeza plana cordonera níquel 10 mm</t>
  </si>
  <si>
    <t xml:space="preserve">Material zamak, acabado niquel, cabeza plana cordonera 10 mm,  con remache </t>
  </si>
  <si>
    <t>Remaches  cabeza plana cordonera oro 10 mm</t>
  </si>
  <si>
    <t xml:space="preserve">Material zamak, acabado oro, cabeza plana cordonera 10 mm,  con remache </t>
  </si>
  <si>
    <t>Remaches  cabeza plana oro 12 mm</t>
  </si>
  <si>
    <t xml:space="preserve">Material zamak, acabado oro, cabeza plana 12 mm,  con remache </t>
  </si>
  <si>
    <t>Remaches  cabeza plana níquel 12 mm</t>
  </si>
  <si>
    <t xml:space="preserve">Material zamak, acabado niquel, cabeza plana 12 mm,  con remache </t>
  </si>
  <si>
    <t>Remache tornillo   cabeza plana níquel 10 mm</t>
  </si>
  <si>
    <t xml:space="preserve">Material zamak, acabado niquel, cabeza plana 10 mm,  con remache </t>
  </si>
  <si>
    <t>Remaches  cabeza plana cordonera negro 10 mm</t>
  </si>
  <si>
    <t xml:space="preserve">Material zamak, acabado negro , cabeza plana cordonera 10 mm,  con remache </t>
  </si>
  <si>
    <t>Broche billetera níquel, 10 mm</t>
  </si>
  <si>
    <t xml:space="preserve">Material latón, acabado niquel, 10 mm,  </t>
  </si>
  <si>
    <t>Broche billetera oro, 10 mm</t>
  </si>
  <si>
    <t xml:space="preserve">Material latón, acabado oro, 10 mm,  </t>
  </si>
  <si>
    <t>Broche billetera níquel, tapa plástica 17 mm  ,  base de 13,5 mm</t>
  </si>
  <si>
    <t>Broche billetera pavón, 12,5 mm</t>
  </si>
  <si>
    <t>Material latón, acabado pavon, 12, 5 mm diametro</t>
  </si>
  <si>
    <t xml:space="preserve">Llave metálica deslizador   #6 para cremallera invisible- níquel </t>
  </si>
  <si>
    <t xml:space="preserve">Deslizador metalico invisible sin bloqueo #6 - niquel 
</t>
  </si>
  <si>
    <t>Deslizador metalico  sin bloqueo #6 
Acabado: Niquel</t>
  </si>
  <si>
    <t>Llave metálica deslizador   #6 para cremallera - pavón</t>
  </si>
  <si>
    <t>Deslizador metalico  sin bloqueo #6 
Acabado: pavon</t>
  </si>
  <si>
    <t>Llave metálica deslizador   #6 para cremallera - oro</t>
  </si>
  <si>
    <t>Deslizador metalico  sin bloqueo #6 
Acabado: oro</t>
  </si>
  <si>
    <t xml:space="preserve">Llave metálica DE LUJO deslizador   #6 para cremallera - níquel </t>
  </si>
  <si>
    <t>Llave metálica DE LUJO deslizador   #6 para cremallera - pavón</t>
  </si>
  <si>
    <t>Llave metálica DE LUJO deslizador   #6 para cremallera - oro</t>
  </si>
  <si>
    <t xml:space="preserve">Llave metálica DE LUJO rectangular  deslizador   #6 para cremallera - níquel </t>
  </si>
  <si>
    <t xml:space="preserve">Llave metálica deslizador  sin paleta   #6 para cremallera - níquel </t>
  </si>
  <si>
    <t>Llave metálica deslizador  sin paleta #6 para cremallera - pavón</t>
  </si>
  <si>
    <t xml:space="preserve">Llave metálica deslizador   #8 para cremallera - negro </t>
  </si>
  <si>
    <t>Deslizador metalico  sin bloqueo #8
Acabado: negro</t>
  </si>
  <si>
    <t>Llave metálica deslizador   #6 para cremallera - crema</t>
  </si>
  <si>
    <t>Deslizador metalico  sin bloqueo #6 
Acabado: nrema</t>
  </si>
  <si>
    <t>Llave metálica deslizador   #4 para cremallera -negro</t>
  </si>
  <si>
    <t>Deslizador metalico  sin bloqueo #4
Acabado:negro</t>
  </si>
  <si>
    <t>Llave metálica de lujo deslizador   #4 para cremallera - níquel</t>
  </si>
  <si>
    <t>Deslizador metalico  sin bloqueo #4
Acabado:niquel</t>
  </si>
  <si>
    <t>Llave metálica con bloqueo deslizador   #4 para cremallera - níquel</t>
  </si>
  <si>
    <t>Deslizador metalico  con bloqueo #4
Acabado:niquel</t>
  </si>
  <si>
    <t xml:space="preserve">Llave metálica deslizador   #3 para cremallera - níquel </t>
  </si>
  <si>
    <t>Deslizador metalico  sin bloqueo #3 
Acabado: Niquel</t>
  </si>
  <si>
    <t>Llave metálica deslizador   #3 para cremallera - pavón</t>
  </si>
  <si>
    <t>Deslizador metalico  sin bloqueo #3 
Acabado: pavon</t>
  </si>
  <si>
    <t>Llave metálica deslizador   #3 para cremallera - oro</t>
  </si>
  <si>
    <t>Deslizador metalico  sin bloqueo #3 
Acabado: oro</t>
  </si>
  <si>
    <t>Llave metálica deslizador  sin paleta #3 para cremallera - pavón</t>
  </si>
  <si>
    <t>Deslizador metalico  sin bloqueo #3
Acabado: pavon</t>
  </si>
  <si>
    <t xml:space="preserve">Llave metálica DE LUJO deslizador   #3 para cremallera - níquel </t>
  </si>
  <si>
    <t>Llave metálica DE LUJO deslizador   #3 para cremallera - pavón</t>
  </si>
  <si>
    <t>Llave metálica DE LUJO deslizador   #3 para cremallera - oro</t>
  </si>
  <si>
    <t xml:space="preserve">Llave metálica DE LUJO rectangular deslizador   #3 para cremallera - níquel </t>
  </si>
  <si>
    <t>Llave metálica DE LUJO deslizador rectangular  #3 para cremallera - pavón</t>
  </si>
  <si>
    <t>Llave metálica deslizador  sin paleta #3 para cremallera - níquel</t>
  </si>
  <si>
    <t xml:space="preserve">Deslizador metalico  sin bloqueo #3
Acabado: niquel </t>
  </si>
  <si>
    <t>Llave metálica con bloqueo deslizador   #6 para cremallera - níquel</t>
  </si>
  <si>
    <t xml:space="preserve">Llave metálica DE LUJO deslizador   #3 para cremallera - oro con  cadena </t>
  </si>
  <si>
    <t xml:space="preserve">Deslizador metalico  sin bloqueo #3 
Acabado: oro, con cadena </t>
  </si>
  <si>
    <t xml:space="preserve">Llave metálica DE LUJO con paleta grande  deslizador   #6  para cremallera - oro </t>
  </si>
  <si>
    <t xml:space="preserve">Deslizador metalico con Paleta grande   sin bloqueo #3 
Acabado: oro, con cadena </t>
  </si>
  <si>
    <t xml:space="preserve">LLAVE DESLIZADOR METALICO EVERBRIGHT ORO PALETA GRANDE </t>
  </si>
  <si>
    <t xml:space="preserve">Deslizador metalico EVERBRIHT con Paleta grande   sin bloqueo #6
Acabado: oro, </t>
  </si>
  <si>
    <t xml:space="preserve">LLAVE DESLIZADOR METALICO EVERBRIGHT ORO, PALETA GRANDE OVAL </t>
  </si>
  <si>
    <t xml:space="preserve">Deslizador metalico EVERBRIHT con Paleta GRANDE OVAL    sin bloqueo #6
Acabado: oro, </t>
  </si>
  <si>
    <t xml:space="preserve">LLAVE DESLIZADOR METALICO EVERBRIGHT ORO, PALETA PEQUEÑA </t>
  </si>
  <si>
    <t xml:space="preserve">Deslizador metalico EVERBRIHT con Paleta PEQUEÑA   sin bloqueo #6
Acabado: oro, </t>
  </si>
  <si>
    <t>.</t>
  </si>
  <si>
    <t>tornillo chicago para cinturón PURO CUERO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</si>
  <si>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</si>
  <si>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</si>
  <si>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</si>
  <si>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 plano para cinturón níquel- oro -pavón</t>
  </si>
  <si>
    <t xml:space="preserve">Material zamak, acabado niquel -oro-pavon nuevos </t>
  </si>
  <si>
    <t>Hebilla Burbuja morralera metálica 1" x 1 3/4, oro"</t>
  </si>
  <si>
    <t>Material zamak, acabado oro, 1" x 1 3/4"</t>
  </si>
  <si>
    <t>Hebilla Burbuja morralera metálica 1" x 1 3/4, níquel"</t>
  </si>
  <si>
    <t>Material zamak, acabado niquel, 1" x 1 3/4"</t>
  </si>
  <si>
    <t>Hebilla Burbuja morralera metálica 1" x 2 1/4", oro"</t>
  </si>
  <si>
    <t>Material zamak, acabado oro, 1" x 2 1/4""</t>
  </si>
  <si>
    <t>Hebilla Burbuja morralera metálica 1" x 2 1/4", níquel"</t>
  </si>
  <si>
    <t>Material zamak, acabado niquel,1" x 1 3/4"</t>
  </si>
  <si>
    <t>Hebilla Burbuja morralera metálica 1" x 2", oro"</t>
  </si>
  <si>
    <t>Material zamak, acabado oro, 1" x 2 ""</t>
  </si>
  <si>
    <t>Hebilla Burbuja morralera metálica 3/4" x 2", níquel"</t>
  </si>
  <si>
    <t>Material zamak, acabado niquel,1" x2"</t>
  </si>
  <si>
    <t>Hebilla Burbuja morralera metálica 1" x 2", pavón"</t>
  </si>
  <si>
    <t>Material zamak, acabado pavon, 1" x 2 ""</t>
  </si>
  <si>
    <t>Hebilla Burbuja morralera metálica 3/4" x 2", pavón"</t>
  </si>
  <si>
    <t>Material zamak, acabado pavon,1" x2"</t>
  </si>
  <si>
    <t>Hebilla de coscojo metálica, 1" níquel, calibre 4</t>
  </si>
  <si>
    <t xml:space="preserve">Material latón, acabado niquel 1" calibre 4 </t>
  </si>
  <si>
    <t>Hebilla de coscojo metálica, 3/4" níquel, calibre 4</t>
  </si>
  <si>
    <t xml:space="preserve">Material latón, acabado niquel 3/4" calibre 4 </t>
  </si>
  <si>
    <t>Hebilla de coscojo metálica, 1/2" níquel, calibre 4</t>
  </si>
  <si>
    <t xml:space="preserve">Material latón, acabado niquel 1/2" calibre 4 </t>
  </si>
  <si>
    <t>Hebilla de coscojo metálica, 1" pavón, calibre 4</t>
  </si>
  <si>
    <t xml:space="preserve">Material latón, acabado pavon 1" calibre 4 </t>
  </si>
  <si>
    <t>Hebilla de coscojo metálica, 3/4" pavón, calibre 4</t>
  </si>
  <si>
    <t xml:space="preserve">Material latón, acabado pavon 3/4" calibre 4 </t>
  </si>
  <si>
    <t>Hebilla de coscojo metálica, 1" oro, calibre 4</t>
  </si>
  <si>
    <t xml:space="preserve">Material latón, acabado oro 1" calibre 4 </t>
  </si>
  <si>
    <t>Hebilla de coscojo metálica, 1" oro, calibre 5</t>
  </si>
  <si>
    <t>Hebilla de coscojo metálica, 3/4" oro, calibre 4</t>
  </si>
  <si>
    <t xml:space="preserve">Material latón, acabado oro 3/4" calibre 4 </t>
  </si>
  <si>
    <t>Hebilla caimán doble cuadrante 1 1/2" envejecido</t>
  </si>
  <si>
    <t xml:space="preserve">Material latón, acabado envejecido 1 1/2" </t>
  </si>
  <si>
    <t xml:space="preserve">Hebilla caimán doble níquel envejecido 1 1/2" </t>
  </si>
  <si>
    <t xml:space="preserve">Material latón, acabado niquel envejecido 1 1/2" </t>
  </si>
  <si>
    <t xml:space="preserve">Hebilla caimán doble pavón envejecido 1 1/2" </t>
  </si>
  <si>
    <t xml:space="preserve">Material latón, acabado pavon envejecido 1 1/2" </t>
  </si>
  <si>
    <t xml:space="preserve">Hebilla caimán militar  pavón  1 1/2" </t>
  </si>
  <si>
    <t xml:space="preserve">Material latón, acabado pavon  1 1/2" </t>
  </si>
  <si>
    <t xml:space="preserve">Hebilla caimán con marca  para riata níquel   1 1/2" </t>
  </si>
  <si>
    <t xml:space="preserve">Material latón, acabado niquel   1 1/2" </t>
  </si>
  <si>
    <t>Hebilla de trinquete de leva para cinturón con pasador, metálica, tipo  1"</t>
  </si>
  <si>
    <t>Material zamak, acabado niquel,1"  Con pasador</t>
  </si>
  <si>
    <t>Hebilla de trinquete de leva para cinturón ,metálica, 1"</t>
  </si>
  <si>
    <t xml:space="preserve">Material zamak, acabado niquel,1"  </t>
  </si>
  <si>
    <t>Hebilla de trinquete de leva para cinturón ,metálica, cabeza oval 1, 1/8"</t>
  </si>
  <si>
    <t xml:space="preserve">Material zamak, acabado niquel, cabeza oval varias figuras, 1 1/8"  </t>
  </si>
  <si>
    <t>Hebilla de trinquete de leva para cinturón ,metálica, cabeza cuadrada 1, 1/8"</t>
  </si>
  <si>
    <t xml:space="preserve">Material zamak, acabado niquel, cabeza cuadada, 1 1/8"  </t>
  </si>
  <si>
    <t>Hebilla de trinquete de leva para cinturón ,metálica, , cabeza cuadrada  doble faz 1, 1/8"</t>
  </si>
  <si>
    <t xml:space="preserve">Material zamak, acabado niquel, cabeza cuadada, doble faz, 1 1/8"  </t>
  </si>
  <si>
    <t xml:space="preserve">Hebilla para cinturón hombre clásica de una espiga 1 1/2" níquel </t>
  </si>
  <si>
    <t>Material Zamak, acabado niquel 1 1/2"</t>
  </si>
  <si>
    <t>Hebilla para cinturón hombre clásica de una espiga 1 1/2" pavón</t>
  </si>
  <si>
    <t xml:space="preserve">Hebilla para cinturón hombre clásica de una espiga 1 1/4" níquel </t>
  </si>
  <si>
    <t>Material Zamak, acabado niquel 1 1/4"</t>
  </si>
  <si>
    <t>Hebilla para cinturón hombre de leva  1 " gris</t>
  </si>
  <si>
    <t>Material Zamak, acabado gris 1 "</t>
  </si>
  <si>
    <t>Hebilla para cinturón hombre sencilla  rejilla 1 1/4" pavón</t>
  </si>
  <si>
    <t>Material Zamak, acabado pavon1 1/4"</t>
  </si>
  <si>
    <t>Hebilla para cinturón DAMA clásica ovalada  de una espiga 30 mm oro de lujo, labrada</t>
  </si>
  <si>
    <t>Material Zamak, acabado oro, 30 mm.</t>
  </si>
  <si>
    <t xml:space="preserve">Hebilla para cinturón DAMA clásica ovalada  de una espiga 1 " níquel </t>
  </si>
  <si>
    <t>Material Zamak, acabado niquel 1"</t>
  </si>
  <si>
    <t>Hebilla para cinturón DAMA clásica ovalada  de una espiga 1 " pavón</t>
  </si>
  <si>
    <t>Material Zamak, acabado pavon1"</t>
  </si>
  <si>
    <t>Hebilla para cinturón DAMA clásica ovalada  de una espiga 1 1/4" oro de lujo</t>
  </si>
  <si>
    <t>Material Zamak, acabado oro 1 1/4"</t>
  </si>
  <si>
    <t>Hebilla para cinturón DAMA clásica ovalada  de una espiga 3/4" oro de lujo</t>
  </si>
  <si>
    <t>Material Zamak, acabado oro 3/4"</t>
  </si>
  <si>
    <t>Hebilla para cinturón DAMA clásica ovalada  de una espiga 1/2" oro de lujo</t>
  </si>
  <si>
    <t>Material Zamak, acabado oro 1/2"</t>
  </si>
  <si>
    <t>Hebilla para cinturón DAMA clásica cuadradaespiga1 1/4" oro de lujo</t>
  </si>
  <si>
    <t>Material Zamak, acabado oro1 1/4"</t>
  </si>
  <si>
    <t>Hebilla para cinturón DAMA clásica cuadrada de doble  espiga1 1/4" oro de lujo</t>
  </si>
  <si>
    <t xml:space="preserve">Hebilla para cinturón DAMA clásica ovalada  de una espiga 1 1/4 " níquel </t>
  </si>
  <si>
    <t xml:space="preserve">Hebilla para cinturón DAMA clásica cuadrada  de una espiga 3/4 " (20 cm) níquel </t>
  </si>
  <si>
    <t>Material Zamak, acabado niquel 3/4"</t>
  </si>
  <si>
    <t>Hebilla para cinturón DAMA clásica cuadrada  de una espiga 3/4 " (20 cm) pavón</t>
  </si>
  <si>
    <t>Material Zamak, acabado pavon 3/4"</t>
  </si>
  <si>
    <t>Hebilla para cinturón DAMA clásica cuadrada  de una espiga 3/4 " (20 cm) oro</t>
  </si>
  <si>
    <t xml:space="preserve">Hebilla para cinturón DAMA clásica ovalada  de una espiga  con pasador 3/4 " (20 cm) oro </t>
  </si>
  <si>
    <t>Hebilla para cinturón DAMA doble paso 1 1/4" ovalada níquel</t>
  </si>
  <si>
    <t>Hebilla para cinturón DAMA doble paso 1" ovalada níquel</t>
  </si>
  <si>
    <t>Material Zamak, acabado niquel 1 "</t>
  </si>
  <si>
    <t>Hebilla para cinturón DAMA doble paso 1 1/2" ovalada oro</t>
  </si>
  <si>
    <t>Material Zamak, acabado oro 1 1/2"</t>
  </si>
  <si>
    <t>Hebilla para cinturón DAMA doble paso 1 1/2" rectangular oro</t>
  </si>
  <si>
    <t>Hebilla para cinturón DAMA doble paso 1 1/4"  (30 mm) cuadrada oro</t>
  </si>
  <si>
    <t>Material Zamak, acabado oro 1 1/4" (30 mm)</t>
  </si>
  <si>
    <t>Hebilla para cinturón DAMA doble paso 1 1/4"  (30 mm) rectangular oro</t>
  </si>
  <si>
    <t>Hebilla para cinturón DAMA doble paso 3/4"  (20 mm) ovalada oro</t>
  </si>
  <si>
    <t>Material Zamak, acabado oro 3/4" (20 mm)</t>
  </si>
  <si>
    <t>Hebilla para cinturón DAMA doble paso3/4"  (30 mm) rectangular oro</t>
  </si>
  <si>
    <t>Hebilla doble paso cuadrada 1" níquel</t>
  </si>
  <si>
    <t>Hebilla doble paso cuadrada 3/4" níquel</t>
  </si>
  <si>
    <t>Material Zamak, acabado niquel 3/4 "</t>
  </si>
  <si>
    <t>Hebilla doble paso cuadrada 1/2" níquel</t>
  </si>
  <si>
    <t>Material Zamak, acabado niquel 1/2"</t>
  </si>
  <si>
    <t>Hebilla doble paso cuadrada 7/16" 10 mm níquel</t>
  </si>
  <si>
    <t>Material Zamak, acabado niquel 5/16" 10mm</t>
  </si>
  <si>
    <t>Hebilla doble paso cuadrada 1/4" níquel</t>
  </si>
  <si>
    <t>Material Zamak, acabado niquel 1/4"</t>
  </si>
  <si>
    <t>Hebilla doble paso cuadrada 5/16" níquel</t>
  </si>
  <si>
    <t>Material Zamak, acabado niquel 5/16"</t>
  </si>
  <si>
    <t>Hebilla doble paso cuadrada 5/8" níquel</t>
  </si>
  <si>
    <t>Material Zamak, acabado niquel 5/8"</t>
  </si>
  <si>
    <t>Hebilla doble paso cuadrada 1" pavón</t>
  </si>
  <si>
    <t>Material Zamak, acabado pavon 1 "</t>
  </si>
  <si>
    <t>Hebilla doble paso cuadrada 3/4" pavón</t>
  </si>
  <si>
    <t>Material Zamak, acabado pavon 3/4 "</t>
  </si>
  <si>
    <t>Hebilla doble paso cuadrada 1/2" pavón</t>
  </si>
  <si>
    <t>Material Zamak, acabado pavon 1/2"</t>
  </si>
  <si>
    <t>Hebilla doble paso cuadrada 7/16" 10 mm pavón</t>
  </si>
  <si>
    <t>Material Zamak, acabado pavon 5/16" 10mm</t>
  </si>
  <si>
    <t>Hebilla doble paso rectangular 3/4" pavón</t>
  </si>
  <si>
    <t>Material Zamak, acabado pavon 1/4"</t>
  </si>
  <si>
    <t>Hebilla doble paso cuadrada 1" oro</t>
  </si>
  <si>
    <t>Material Zamak, acabado oro 1 "</t>
  </si>
  <si>
    <t>Hebilla doble paso cuadrada 3/4" oro</t>
  </si>
  <si>
    <t>Material Zamak, acabado oro 3/4 "</t>
  </si>
  <si>
    <t>Hebilla doble paso cuadrada 1/2" oro</t>
  </si>
  <si>
    <t>Hebilla doble paso cuadrada 7/16" 10 mm oro</t>
  </si>
  <si>
    <t>Material Zamak, acabado oro 5/16" 10mm</t>
  </si>
  <si>
    <t>Hebilla doble paso rectangular 3/4" oro</t>
  </si>
  <si>
    <t>Material Zamak, acabado oro 1/4"</t>
  </si>
  <si>
    <t>Hebilla doble paso cuadrada 3/4" negra</t>
  </si>
  <si>
    <t>Material LATON, acabado negra 3/4 "</t>
  </si>
  <si>
    <t>Hebilla doble paso cuadrada 3/4" BLANCA</t>
  </si>
  <si>
    <t>Material LATON, acabado blanca 3/4 "</t>
  </si>
  <si>
    <t>Hebilla doble paso cuadrada1"  plástica de colores</t>
  </si>
  <si>
    <t>Material Plastico, acabado varios colores 1 "</t>
  </si>
  <si>
    <t>Hebilla doble paso ovalada 1/2" pavón</t>
  </si>
  <si>
    <t>Material Zamak, acabado pavon 1/2" ovalada</t>
  </si>
  <si>
    <t>Hebilla doble paso ovalada 1/2" negro envejecido</t>
  </si>
  <si>
    <t>Material Zamak, acabado pavon 1/2" negro envejecido</t>
  </si>
  <si>
    <t>Hebilla doble paso con remache  7/16" negro</t>
  </si>
  <si>
    <t>Material latón, acabado negro 7/16" ovalada</t>
  </si>
  <si>
    <t>Hebilla doble paso con remache  3/8" pavón</t>
  </si>
  <si>
    <t>Material latón, acabado pavon 3/8" ovalada</t>
  </si>
  <si>
    <t>Hebilla mosquetón tipo pez 1/2" pavón</t>
  </si>
  <si>
    <t>Material Zamak, acabado pavon 1/2" pez</t>
  </si>
  <si>
    <t>Hebilla tipo hoja pavón de 1"</t>
  </si>
  <si>
    <t>Material Zamak, acabado pavon 1" hoja</t>
  </si>
  <si>
    <t xml:space="preserve">chapa con llave para maletín pavón </t>
  </si>
  <si>
    <t>Material Zamak, acabado pavon 1"</t>
  </si>
  <si>
    <t>chapa con llave  para maletín níquel</t>
  </si>
  <si>
    <t>Material Zamak, acabado  niquel 1"</t>
  </si>
  <si>
    <t>cuadrante de lujo 1"  x 3/4" níquel</t>
  </si>
  <si>
    <t>Material Zamak, acabado  niquel 1"  diametro 5 mm</t>
  </si>
  <si>
    <t>cuadrante de lujo 1"  x 3/4"oro</t>
  </si>
  <si>
    <t>Material laton, acabado  oro 1" diametro 4 mm</t>
  </si>
  <si>
    <t>cuadrante de lujo 3/4"  x 3/4" oro</t>
  </si>
  <si>
    <t>Material Zamak, acabado  oro 1"  diametro 5 mm</t>
  </si>
  <si>
    <t xml:space="preserve">cuadrante de lujo plano de3/4"  x 5/8" oro </t>
  </si>
  <si>
    <t>Material Zamak, acabado  oro1"  diametro 5 mm</t>
  </si>
  <si>
    <t>cuadrante de lujo 3/4 x 5/8" oro</t>
  </si>
  <si>
    <t>Material latón, acabado  oro 3/4 x 5/8" diametro 3 mm</t>
  </si>
  <si>
    <t>cuadrante de lujo 1 1/4"  x 1/2"oro cuadrado 5mm</t>
  </si>
  <si>
    <t>Material zamak, acabado  oro  1 1/4"  x 1/2"  cuadrado diametro 4 mm</t>
  </si>
  <si>
    <t>cuadrante de lujo 1 1/2"  x 1/2"oro cuadrado 5mm</t>
  </si>
  <si>
    <t>Material zamak, acabado  oro  1 1/2"  x 1/2"  reondo diametro 4 mm</t>
  </si>
  <si>
    <t>cuadrante de lujo 3/4 x 1/2" oro</t>
  </si>
  <si>
    <t>Material latón, acabado  oro 3/4 x 1/2" diametro 3 mm</t>
  </si>
  <si>
    <t xml:space="preserve">cuadrante de lujo ovalado 1"  x 1/2" oro </t>
  </si>
  <si>
    <t>Material latón, acabado  oro    1"  x 1/2"diametro 5 mm oval</t>
  </si>
  <si>
    <t xml:space="preserve">Cuadrante 1" pavón </t>
  </si>
  <si>
    <t>material latón, acabado pavon 1" diametro 4 mm</t>
  </si>
  <si>
    <t xml:space="preserve">Cuadrante 1 1/2" pavón </t>
  </si>
  <si>
    <t>material latón, acabado pavon 1 1/2" diametro 4 mm</t>
  </si>
  <si>
    <t xml:space="preserve">Cuadrante 2" pavón </t>
  </si>
  <si>
    <t>material latón, acabado pavon 2" diametro 4mm</t>
  </si>
  <si>
    <t xml:space="preserve">Cuadrante 1" níquel </t>
  </si>
  <si>
    <t>material latón, acabado niquel 1" diametro 4 mm</t>
  </si>
  <si>
    <t xml:space="preserve">Cuadrante 1 1/2" níquel </t>
  </si>
  <si>
    <t>material latón, acabado niquel 1 1/2" diametro 4 mm</t>
  </si>
  <si>
    <t xml:space="preserve">Cuadrante 2" níquel </t>
  </si>
  <si>
    <t>material latón, acabado niquel 2" diametro 4mm</t>
  </si>
  <si>
    <t xml:space="preserve">Cuadrante 3/4" x 3/4"pavon </t>
  </si>
  <si>
    <t>material Zamak, acabado pavon 3/4" x 3/4"" diametro 5 mm</t>
  </si>
  <si>
    <t xml:space="preserve">Cuadrante 3/4" x 3/4" plano pavón </t>
  </si>
  <si>
    <t>material Zamak, acabado pavon 3/4" x 3/4""  plano diametro 2 mm</t>
  </si>
  <si>
    <t xml:space="preserve">Cuadrante 1" x1" plano pavón </t>
  </si>
  <si>
    <t>material Zamak, acabado pavon1" x1" plano diametro 3 mm</t>
  </si>
  <si>
    <t>Cuadrante 1 1/2" x1 1/2" plano níquel</t>
  </si>
  <si>
    <t>material Zamak, acabado niquel 1 1/2" x1 1/2" plano diametro 3 mm</t>
  </si>
  <si>
    <t>Cuadrante 1 1/2" azul</t>
  </si>
  <si>
    <t>material latón, acabado azul 1 1/2" diametro 4 mm</t>
  </si>
  <si>
    <t>Cuadrante 1 1/2" rosado</t>
  </si>
  <si>
    <t>material latón, acabado rosado1 1/2" diametro 4 mm</t>
  </si>
  <si>
    <t>cuadrante  de lujo 1 1/2" níquel envejecido</t>
  </si>
  <si>
    <t>Material Zamak, acabado  niquel envejecido  1 1/2"  diametro 5 mm</t>
  </si>
  <si>
    <t xml:space="preserve">trabilla 1" oro </t>
  </si>
  <si>
    <t>material latón, acabado oro 1" diametro 4 mm</t>
  </si>
  <si>
    <t xml:space="preserve">trabilla 1 1/2" oro </t>
  </si>
  <si>
    <t>material latón, acabado oro 1 1/2" diametro 5 mm</t>
  </si>
  <si>
    <t>Trabilla de lujo 1 1/4" plana oro</t>
  </si>
  <si>
    <t>Material Zamak, acabado  oro 1 1/4"  plana diametro 4 mm</t>
  </si>
  <si>
    <t>Trabilla de lujo 1 1/2" oro</t>
  </si>
  <si>
    <t>Material Zamak, acabado  oro 1 1/2"  diametro 5 mm</t>
  </si>
  <si>
    <t>Trabilla de lujo 1" plana níquel</t>
  </si>
  <si>
    <t>Material Zamak, acabado  niquel 1"  plana diametro 4 mm</t>
  </si>
  <si>
    <t>Trabilla de lujo 1 1/2" níquel envejecido</t>
  </si>
  <si>
    <t>trabilla 1" pavón</t>
  </si>
  <si>
    <t xml:space="preserve">trabilla 1 1/2" pavón </t>
  </si>
  <si>
    <t>trabilla 1" níquel</t>
  </si>
  <si>
    <t xml:space="preserve">trabilla 1 1/2" níquel </t>
  </si>
  <si>
    <t xml:space="preserve">trabilla 2" níquel </t>
  </si>
  <si>
    <t>material latón, acabado niquel 2" diametro 4 mm</t>
  </si>
  <si>
    <t xml:space="preserve">trabilla 2" delgada zamak níquel </t>
  </si>
  <si>
    <t>material zamak, acabado  niquel 2" diametro 2 mm</t>
  </si>
  <si>
    <t>trabilla 2" delgada zamak pavón</t>
  </si>
  <si>
    <t>material zamak, acabado pavon 2" diametro 2 mm</t>
  </si>
  <si>
    <t>trabilla 1 1/2" delgada zamak pavón</t>
  </si>
  <si>
    <t>material zamak, acabado pavon 12" diametro 2 mm</t>
  </si>
  <si>
    <t>trabilla 1 1/2" delgada zamak níquel</t>
  </si>
  <si>
    <t>material zamak, acabado niquel 12" diametro 2 mm</t>
  </si>
  <si>
    <t xml:space="preserve">Morralera  38 mm plástica </t>
  </si>
  <si>
    <t>Material plastico, 38 mm (1 1/2")</t>
  </si>
  <si>
    <t xml:space="preserve">Morralera  32 mm plástica </t>
  </si>
  <si>
    <t>Material plastico, 32 mm (1 1/4")</t>
  </si>
  <si>
    <t xml:space="preserve">Morralera burbuja 25 mm plástica </t>
  </si>
  <si>
    <t>Material plastico, 25 mm (1")</t>
  </si>
  <si>
    <t xml:space="preserve">Seguro para cordón doble, plástico </t>
  </si>
  <si>
    <t xml:space="preserve">Material plastico </t>
  </si>
  <si>
    <t xml:space="preserve">Media argolla 25 mm plástica </t>
  </si>
  <si>
    <t>Cuadrante 51 mm plástico</t>
  </si>
  <si>
    <t>Material plastico, 51 mm (2")</t>
  </si>
  <si>
    <t>Cuadrante 38 mm plástico</t>
  </si>
  <si>
    <t>Cuadrante 32 mm plástico</t>
  </si>
  <si>
    <t>Material plastico,  32 mm (1 1/4")</t>
  </si>
  <si>
    <t>Cuadrante 25 mm plástico</t>
  </si>
  <si>
    <t>Material plastico,25 mm (1")</t>
  </si>
  <si>
    <t xml:space="preserve">tensor o trabilla plástica 51 mm 2" </t>
  </si>
  <si>
    <t xml:space="preserve">tensor o trabilla plástica 32 mm 1 1/4" </t>
  </si>
  <si>
    <t xml:space="preserve">tensor o trabilla plástica 1" </t>
  </si>
  <si>
    <t>Hebilla burbuja  plástica 18 mm 3/4"</t>
  </si>
  <si>
    <t>Material plastico,  18 mm (3/4")</t>
  </si>
  <si>
    <t>Hebilla burbuja  plástica 25 mm 1"</t>
  </si>
  <si>
    <t>Material plastico, 25 mm 1")</t>
  </si>
  <si>
    <t>Hebilla burbuja  plástica 32 mm 1 1/2"</t>
  </si>
  <si>
    <t>Material plastico,  32 mm 1 1/2"</t>
  </si>
  <si>
    <t>Hebilla burbuja  plástica 38 mm 1 1/2"</t>
  </si>
  <si>
    <t>Material plastico,  38 mm 1 1/2"</t>
  </si>
  <si>
    <t>Hebilla burbuja  plástica 51 mm 2"</t>
  </si>
  <si>
    <t>Material plastico,  51 mm 2"</t>
  </si>
  <si>
    <t>AGUJAS</t>
  </si>
  <si>
    <t>Aguja corta cabo delgado 80</t>
  </si>
  <si>
    <t>aguja</t>
  </si>
  <si>
    <t>Aguja corta cabo delgado 90</t>
  </si>
  <si>
    <t>Aguja corta cabo delgado 100</t>
  </si>
  <si>
    <t>Aguja corta cabo delgado 110</t>
  </si>
  <si>
    <t>Aguja corta cabo delgado 125</t>
  </si>
  <si>
    <t>Aguja corta cabo grueso 80</t>
  </si>
  <si>
    <t>Aguja corta cabo grueso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</si>
  <si>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</si>
  <si>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</si>
  <si>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</si>
  <si>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</si>
  <si>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</si>
  <si>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</si>
  <si>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larga cabo grueso 80</t>
  </si>
  <si>
    <t>Aguja larga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</si>
  <si>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</si>
  <si>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</si>
  <si>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</si>
  <si>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</si>
  <si>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</si>
  <si>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 xml:space="preserve">Agujas capotera con punta #5
</t>
  </si>
  <si>
    <t xml:space="preserve">"Agujas tapiceras con punta cortante y ojo oval alargado, que permite ensartar tiras, cordones de cuero, hilos encerados e hilos terlenka. Especiales para elaborar costuras de forma manual en artículos artesanales.
Presentacion paño x 25"
</t>
  </si>
  <si>
    <t>NOMBRE</t>
  </si>
  <si>
    <t xml:space="preserve">ALEXANDER MARULANDA </t>
  </si>
  <si>
    <t xml:space="preserve">EMELY RIVERA DELGADO </t>
  </si>
  <si>
    <t>GLORIA JANETH PABON YEPES</t>
  </si>
  <si>
    <t>HERNAN JOSE RODRIGUEZ</t>
  </si>
  <si>
    <t xml:space="preserve">JULIANA ROMERO </t>
  </si>
  <si>
    <t>MAYBELLINE ARISTIZÁBAL</t>
  </si>
  <si>
    <t xml:space="preserve">MARIA EUGENIA BOLIVAR </t>
  </si>
  <si>
    <t>NICOLAS ALVAREZ</t>
  </si>
  <si>
    <t>Interlon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</si>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</sst>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_-&quot;$&quot;\ * #,##0.00_-;\-&quot;$&quot;\ * #,##0.00_-;_-&quot;$&quot;\ 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Docs-Calibri"/>
    </font>
    <font>
      <sz val="10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20"/>
      <color theme="1"/>
      <name val="Calibri"/>
      <family val="2"/>
      <scheme val="minor"/>
    </font>
    <font>
      <b/>
      <sz val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C2D69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0">
    <xf numFmtId="0" fontId="0" fillId="0" borderId="0" xfId="0"/>
    <xf numFmtId="0" fontId="8" fillId="0" borderId="1" xfId="0" applyFont="1" applyBorder="1" applyAlignment="1">
      <alignment horizontal="center" wrapText="1"/>
    </xf>
    <xf numFmtId="0" fontId="8" fillId="7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8" fillId="9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vertical="top" wrapText="1"/>
    </xf>
    <xf numFmtId="0" fontId="8" fillId="1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8" fillId="7" borderId="1" xfId="0" applyFont="1" applyFill="1" applyBorder="1" applyAlignment="1">
      <alignment horizontal="left" wrapText="1"/>
    </xf>
    <xf numFmtId="0" fontId="8" fillId="10" borderId="1" xfId="0" applyFont="1" applyFill="1" applyBorder="1" applyAlignment="1">
      <alignment horizontal="left" wrapText="1"/>
    </xf>
    <xf numFmtId="0" fontId="8" fillId="9" borderId="1" xfId="0" applyFont="1" applyFill="1" applyBorder="1" applyAlignment="1">
      <alignment horizontal="left" wrapText="1"/>
    </xf>
    <xf numFmtId="0" fontId="8" fillId="8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164" fontId="0" fillId="0" borderId="0" xfId="1" applyFont="1"/>
    <xf numFmtId="0" fontId="8" fillId="0" borderId="2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left" vertical="top" wrapText="1"/>
    </xf>
    <xf numFmtId="0" fontId="7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4" fontId="0" fillId="0" borderId="2" xfId="1" applyFont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164" fontId="12" fillId="11" borderId="1" xfId="1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164" fontId="13" fillId="0" borderId="12" xfId="1" applyFont="1" applyBorder="1" applyAlignment="1">
      <alignment horizontal="center"/>
    </xf>
    <xf numFmtId="164" fontId="13" fillId="0" borderId="13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6" fontId="0" fillId="0" borderId="0" xfId="0" applyNumberFormat="1"/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1</xdr:row>
      <xdr:rowOff>9525</xdr:rowOff>
    </xdr:from>
    <xdr:to>
      <xdr:col>5</xdr:col>
      <xdr:colOff>438150</xdr:colOff>
      <xdr:row>7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55EE10-5C60-4739-9273-208711659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75" y="200025"/>
          <a:ext cx="1724025" cy="13239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5202-2480-4E50-9D13-12FBE56311DA}" name="UDEMEDIDA" displayName="UDEMEDIDA" ref="A1:E513" totalsRowShown="0" headerRowBorderDxfId="6" tableBorderDxfId="7" totalsRowBorderDxfId="5">
  <tableColumns count="5">
    <tableColumn id="1" xr3:uid="{54773E10-D6AC-4C07-9993-6F9DE9CE50DF}" name="Producto" dataDxfId="4"/>
    <tableColumn id="2" xr3:uid="{B2998BA6-FABC-4ABE-823F-8C228FC934DB}" name="Descripción" dataDxfId="3"/>
    <tableColumn id="3" xr3:uid="{6951F630-C82D-46C0-8D57-847FE7558B43}" name="Unidad de medida" dataDxfId="2"/>
    <tableColumn id="4" xr3:uid="{9A6903E7-321A-4341-8CAB-B5427D6BAE74}" name="Cantidad existente_x000a_" dataDxfId="1"/>
    <tableColumn id="5" xr3:uid="{43668362-F2B8-4B43-840E-D4756ECD956F}" name="Valor unit establecido Incluido IVA" data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18F5-A709-4464-9DD8-4A638C0B84C9}">
  <dimension ref="A1:K52"/>
  <sheetViews>
    <sheetView tabSelected="1" workbookViewId="0">
      <selection activeCell="H16" sqref="H16"/>
    </sheetView>
  </sheetViews>
  <sheetFormatPr defaultColWidth="11.42578125" defaultRowHeight="15"/>
  <cols>
    <col min="1" max="1" width="38.85546875" customWidth="1"/>
    <col min="2" max="2" width="11.140625" customWidth="1"/>
    <col min="3" max="3" width="11.42578125" style="41"/>
    <col min="6" max="6" width="13.7109375" style="41" customWidth="1"/>
    <col min="11" max="11" width="30" customWidth="1"/>
    <col min="12" max="12" width="29.140625" customWidth="1"/>
  </cols>
  <sheetData>
    <row r="1" spans="1:11">
      <c r="A1" s="66" t="s">
        <v>0</v>
      </c>
      <c r="B1" s="77"/>
      <c r="C1" s="78"/>
    </row>
    <row r="2" spans="1:11">
      <c r="A2" s="66" t="s">
        <v>1</v>
      </c>
      <c r="B2" s="77">
        <f>VLOOKUP(A1,INSTRUCTORES!A2:B10,2,FALSE)</f>
        <v>43498846</v>
      </c>
      <c r="C2" s="78"/>
    </row>
    <row r="3" spans="1:11">
      <c r="A3" s="66" t="s">
        <v>2</v>
      </c>
      <c r="B3" s="77" t="s">
        <v>3</v>
      </c>
      <c r="C3" s="78"/>
    </row>
    <row r="4" spans="1:11">
      <c r="A4" s="66" t="s">
        <v>4</v>
      </c>
      <c r="B4" s="77" t="s">
        <v>5</v>
      </c>
      <c r="C4" s="78"/>
    </row>
    <row r="5" spans="1:11" ht="15.75" thickBot="1">
      <c r="B5" s="77"/>
      <c r="C5" s="78"/>
    </row>
    <row r="6" spans="1:11" ht="26.25">
      <c r="A6" t="s">
        <v>6</v>
      </c>
      <c r="B6" s="75">
        <f>SUM(F11:F52)</f>
        <v>23765.986693714283</v>
      </c>
      <c r="C6" s="76"/>
      <c r="K6" s="73"/>
    </row>
    <row r="7" spans="1:11">
      <c r="A7" t="s">
        <v>7</v>
      </c>
      <c r="B7" s="74"/>
      <c r="C7" s="74"/>
      <c r="K7" s="73"/>
    </row>
    <row r="8" spans="1:11">
      <c r="K8" s="73"/>
    </row>
    <row r="9" spans="1:11">
      <c r="K9" s="73"/>
    </row>
    <row r="10" spans="1:11" ht="64.5">
      <c r="A10" s="64" t="s">
        <v>8</v>
      </c>
      <c r="B10" s="64" t="s">
        <v>9</v>
      </c>
      <c r="C10" s="65" t="s">
        <v>10</v>
      </c>
      <c r="D10" s="64" t="s">
        <v>11</v>
      </c>
      <c r="E10" s="64" t="s">
        <v>10</v>
      </c>
      <c r="F10" s="65" t="s">
        <v>12</v>
      </c>
      <c r="K10" s="73"/>
    </row>
    <row r="11" spans="1:11">
      <c r="A11" s="66" t="s">
        <v>13</v>
      </c>
      <c r="B11" s="66" t="str">
        <f>VLOOKUP(A11,UDEMEDIDA[],3,FALSE)</f>
        <v>cM2</v>
      </c>
      <c r="C11" s="67">
        <f>VLOOKUP(A11,UDEMEDIDA[],5,FALSE)</f>
        <v>2.4999349999999998</v>
      </c>
      <c r="D11" s="66">
        <v>1534</v>
      </c>
      <c r="E11" s="66"/>
      <c r="F11" s="67">
        <f>+C11*D11</f>
        <v>3834.9002899999996</v>
      </c>
      <c r="K11" s="73"/>
    </row>
    <row r="12" spans="1:11">
      <c r="A12" s="66" t="s">
        <v>13</v>
      </c>
      <c r="B12" s="66" t="str">
        <f>VLOOKUP(A12,UDEMEDIDA[],3,FALSE)</f>
        <v>cM2</v>
      </c>
      <c r="C12" s="67">
        <f>VLOOKUP(A12,UDEMEDIDA[],5,FALSE)</f>
        <v>2.4999349999999998</v>
      </c>
      <c r="D12" s="66">
        <v>1444</v>
      </c>
      <c r="E12" s="66"/>
      <c r="F12" s="67">
        <f t="shared" ref="F12:F21" si="0">+C12*D12</f>
        <v>3609.9061399999996</v>
      </c>
      <c r="K12" s="73"/>
    </row>
    <row r="13" spans="1:11">
      <c r="A13" s="66" t="s">
        <v>14</v>
      </c>
      <c r="B13" s="66" t="str">
        <f>VLOOKUP(A13,UDEMEDIDA[],3,FALSE)</f>
        <v>Cm2</v>
      </c>
      <c r="C13" s="67">
        <f>VLOOKUP(A13,UDEMEDIDA[],5,FALSE)</f>
        <v>0.49789928571428571</v>
      </c>
      <c r="D13" s="66">
        <v>3303</v>
      </c>
      <c r="E13" s="66"/>
      <c r="F13" s="67">
        <f t="shared" si="0"/>
        <v>1644.5613407142857</v>
      </c>
      <c r="K13" s="73"/>
    </row>
    <row r="14" spans="1:11" ht="30.75">
      <c r="A14" s="5" t="s">
        <v>15</v>
      </c>
      <c r="B14" s="66" t="str">
        <f>VLOOKUP(A14,UDEMEDIDA[],3,FALSE)</f>
        <v>Cm2</v>
      </c>
      <c r="C14" s="67">
        <f>VLOOKUP(A14,UDEMEDIDA[],5,FALSE)</f>
        <v>0.7671929999999999</v>
      </c>
      <c r="D14" s="66">
        <v>2361</v>
      </c>
      <c r="E14" s="66"/>
      <c r="F14" s="67">
        <f t="shared" si="0"/>
        <v>1811.3426729999999</v>
      </c>
      <c r="K14" s="73"/>
    </row>
    <row r="15" spans="1:11">
      <c r="A15" s="66" t="s">
        <v>16</v>
      </c>
      <c r="B15" s="66" t="str">
        <f>VLOOKUP(A15,UDEMEDIDA[],3,FALSE)</f>
        <v>Cm</v>
      </c>
      <c r="C15" s="67">
        <f>VLOOKUP(A15,UDEMEDIDA[],5,FALSE)</f>
        <v>12.23</v>
      </c>
      <c r="D15" s="66">
        <v>41</v>
      </c>
      <c r="E15" s="66"/>
      <c r="F15" s="67">
        <f t="shared" si="0"/>
        <v>501.43</v>
      </c>
      <c r="K15" s="73"/>
    </row>
    <row r="16" spans="1:11">
      <c r="A16" s="66" t="s">
        <v>17</v>
      </c>
      <c r="B16" s="66" t="str">
        <f>VLOOKUP(A16,UDEMEDIDA[],3,FALSE)</f>
        <v>Unidad</v>
      </c>
      <c r="C16" s="67">
        <f>VLOOKUP(A16,UDEMEDIDA[],5,FALSE)</f>
        <v>455.66624999999999</v>
      </c>
      <c r="D16" s="66">
        <v>1</v>
      </c>
      <c r="E16" s="66"/>
      <c r="F16" s="67">
        <f t="shared" si="0"/>
        <v>455.66624999999999</v>
      </c>
      <c r="H16" s="79">
        <v>23765</v>
      </c>
      <c r="K16" s="73"/>
    </row>
    <row r="17" spans="1:11">
      <c r="A17" s="66" t="s">
        <v>18</v>
      </c>
      <c r="B17" s="66" t="str">
        <f>VLOOKUP(A17,UDEMEDIDA[],3,FALSE)</f>
        <v>Unidad</v>
      </c>
      <c r="C17" s="67">
        <f>VLOOKUP(A17,UDEMEDIDA[],5,FALSE)</f>
        <v>2746.52</v>
      </c>
      <c r="D17" s="66">
        <v>2</v>
      </c>
      <c r="E17" s="66"/>
      <c r="F17" s="67">
        <f t="shared" si="0"/>
        <v>5493.04</v>
      </c>
      <c r="K17" s="73"/>
    </row>
    <row r="18" spans="1:11">
      <c r="A18" s="66" t="s">
        <v>19</v>
      </c>
      <c r="B18" s="66" t="str">
        <f>VLOOKUP(A18,UDEMEDIDA[],3,FALSE)</f>
        <v>Unidad</v>
      </c>
      <c r="C18" s="67">
        <f>VLOOKUP(A18,UDEMEDIDA[],5,FALSE)</f>
        <v>1018.64</v>
      </c>
      <c r="D18" s="66">
        <v>1</v>
      </c>
      <c r="E18" s="66"/>
      <c r="F18" s="67">
        <f t="shared" si="0"/>
        <v>1018.64</v>
      </c>
    </row>
    <row r="19" spans="1:11">
      <c r="A19" s="66" t="s">
        <v>20</v>
      </c>
      <c r="B19" s="66" t="str">
        <f>VLOOKUP(A19,UDEMEDIDA[],3,FALSE)</f>
        <v>Cm</v>
      </c>
      <c r="C19" s="67">
        <f>VLOOKUP(A19,UDEMEDIDA[],5,FALSE)</f>
        <v>10.57</v>
      </c>
      <c r="D19" s="66">
        <v>250</v>
      </c>
      <c r="E19" s="66"/>
      <c r="F19" s="67">
        <f t="shared" si="0"/>
        <v>2642.5</v>
      </c>
    </row>
    <row r="20" spans="1:11">
      <c r="A20" s="66" t="s">
        <v>21</v>
      </c>
      <c r="B20" s="66" t="str">
        <f>VLOOKUP(A20,UDEMEDIDA[],3,FALSE)</f>
        <v>Unidad</v>
      </c>
      <c r="C20" s="67">
        <f>VLOOKUP(A20,UDEMEDIDA[],5,FALSE)</f>
        <v>1350</v>
      </c>
      <c r="D20" s="66">
        <v>1</v>
      </c>
      <c r="E20" s="66"/>
      <c r="F20" s="67">
        <f t="shared" si="0"/>
        <v>1350</v>
      </c>
    </row>
    <row r="21" spans="1:11">
      <c r="A21" s="66" t="s">
        <v>22</v>
      </c>
      <c r="B21" s="66" t="str">
        <f>VLOOKUP(A21,UDEMEDIDA[],3,FALSE)</f>
        <v>Cm</v>
      </c>
      <c r="C21" s="67">
        <f>VLOOKUP(A21,UDEMEDIDA[],5,FALSE)</f>
        <v>11.7</v>
      </c>
      <c r="D21" s="66">
        <v>120</v>
      </c>
      <c r="E21" s="66"/>
      <c r="F21" s="67">
        <f t="shared" si="0"/>
        <v>1404</v>
      </c>
    </row>
    <row r="22" spans="1:11">
      <c r="A22" s="66"/>
      <c r="B22" s="66" t="e">
        <f>VLOOKUP(A22,UDEMEDIDA[],3,FALSE)</f>
        <v>#N/A</v>
      </c>
      <c r="C22" s="67" t="e">
        <f>VLOOKUP(A22,UDEMEDIDA[],5,FALSE)</f>
        <v>#N/A</v>
      </c>
      <c r="D22" s="66"/>
      <c r="E22" s="66"/>
      <c r="F22" s="67"/>
    </row>
    <row r="23" spans="1:11">
      <c r="A23" s="66"/>
      <c r="B23" s="66" t="e">
        <f>VLOOKUP(A23,UDEMEDIDA[],3,FALSE)</f>
        <v>#N/A</v>
      </c>
      <c r="C23" s="67" t="e">
        <f>VLOOKUP(A23,UDEMEDIDA[],5,FALSE)</f>
        <v>#N/A</v>
      </c>
      <c r="D23" s="66"/>
      <c r="E23" s="66"/>
      <c r="F23" s="67"/>
    </row>
    <row r="24" spans="1:11">
      <c r="A24" s="66"/>
      <c r="B24" s="66" t="e">
        <f>VLOOKUP(A24,UDEMEDIDA[],3,FALSE)</f>
        <v>#N/A</v>
      </c>
      <c r="C24" s="67" t="e">
        <f>VLOOKUP(A24,UDEMEDIDA[],5,FALSE)</f>
        <v>#N/A</v>
      </c>
      <c r="D24" s="66"/>
      <c r="E24" s="66"/>
      <c r="F24" s="67"/>
    </row>
    <row r="25" spans="1:11">
      <c r="A25" s="66"/>
      <c r="B25" s="66" t="e">
        <f>VLOOKUP(A25,UDEMEDIDA[],3,FALSE)</f>
        <v>#N/A</v>
      </c>
      <c r="C25" s="67" t="e">
        <f>VLOOKUP(A25,UDEMEDIDA[],5,FALSE)</f>
        <v>#N/A</v>
      </c>
      <c r="D25" s="66"/>
      <c r="E25" s="66"/>
      <c r="F25" s="67"/>
    </row>
    <row r="26" spans="1:11">
      <c r="A26" s="66"/>
      <c r="B26" s="66" t="e">
        <f>VLOOKUP(A26,UDEMEDIDA[],3,FALSE)</f>
        <v>#N/A</v>
      </c>
      <c r="C26" s="67" t="e">
        <f>VLOOKUP(A26,UDEMEDIDA[],5,FALSE)</f>
        <v>#N/A</v>
      </c>
      <c r="D26" s="66"/>
      <c r="E26" s="66"/>
      <c r="F26" s="67"/>
    </row>
    <row r="27" spans="1:11">
      <c r="A27" s="66"/>
      <c r="B27" s="66" t="e">
        <f>VLOOKUP(A27,UDEMEDIDA[],3,FALSE)</f>
        <v>#N/A</v>
      </c>
      <c r="C27" s="67" t="e">
        <f>VLOOKUP(A27,UDEMEDIDA[],5,FALSE)</f>
        <v>#N/A</v>
      </c>
      <c r="D27" s="66"/>
      <c r="E27" s="66"/>
      <c r="F27" s="67"/>
    </row>
    <row r="28" spans="1:11">
      <c r="A28" s="66"/>
      <c r="B28" s="66" t="e">
        <f>VLOOKUP(A28,UDEMEDIDA[],3,FALSE)</f>
        <v>#N/A</v>
      </c>
      <c r="C28" s="67" t="e">
        <f>VLOOKUP(A28,UDEMEDIDA[],5,FALSE)</f>
        <v>#N/A</v>
      </c>
      <c r="D28" s="66"/>
      <c r="E28" s="66"/>
      <c r="F28" s="67"/>
    </row>
    <row r="29" spans="1:11">
      <c r="A29" s="66"/>
      <c r="B29" s="66" t="e">
        <f>VLOOKUP(A29,UDEMEDIDA[],3,FALSE)</f>
        <v>#N/A</v>
      </c>
      <c r="C29" s="67" t="e">
        <f>VLOOKUP(A29,UDEMEDIDA[],5,FALSE)</f>
        <v>#N/A</v>
      </c>
      <c r="D29" s="66"/>
      <c r="E29" s="66"/>
      <c r="F29" s="67"/>
    </row>
    <row r="30" spans="1:11">
      <c r="A30" s="66"/>
      <c r="B30" s="66" t="e">
        <f>VLOOKUP(A30,UDEMEDIDA[],3,FALSE)</f>
        <v>#N/A</v>
      </c>
      <c r="C30" s="67" t="e">
        <f>VLOOKUP(A30,UDEMEDIDA[],5,FALSE)</f>
        <v>#N/A</v>
      </c>
      <c r="D30" s="66"/>
      <c r="E30" s="66"/>
      <c r="F30" s="67"/>
    </row>
    <row r="31" spans="1:11">
      <c r="A31" s="66"/>
      <c r="B31" s="66" t="e">
        <f>VLOOKUP(A31,UDEMEDIDA[],3,FALSE)</f>
        <v>#N/A</v>
      </c>
      <c r="C31" s="67" t="e">
        <f>VLOOKUP(A31,UDEMEDIDA[],5,FALSE)</f>
        <v>#N/A</v>
      </c>
      <c r="D31" s="66"/>
      <c r="E31" s="66"/>
      <c r="F31" s="67"/>
    </row>
    <row r="32" spans="1:11">
      <c r="A32" s="66"/>
      <c r="B32" s="66" t="e">
        <f>VLOOKUP(A32,UDEMEDIDA[],3,FALSE)</f>
        <v>#N/A</v>
      </c>
      <c r="C32" s="67" t="e">
        <f>VLOOKUP(A32,UDEMEDIDA[],5,FALSE)</f>
        <v>#N/A</v>
      </c>
      <c r="D32" s="66"/>
      <c r="E32" s="66"/>
      <c r="F32" s="67"/>
    </row>
    <row r="33" spans="1:6">
      <c r="A33" s="66"/>
      <c r="B33" s="66" t="e">
        <f>VLOOKUP(A33,UDEMEDIDA[],3,FALSE)</f>
        <v>#N/A</v>
      </c>
      <c r="C33" s="67" t="e">
        <f>VLOOKUP(A33,UDEMEDIDA[],5,FALSE)</f>
        <v>#N/A</v>
      </c>
      <c r="D33" s="66"/>
      <c r="E33" s="66"/>
      <c r="F33" s="67"/>
    </row>
    <row r="34" spans="1:6">
      <c r="A34" s="66"/>
      <c r="B34" s="66" t="e">
        <f>VLOOKUP(A34,UDEMEDIDA[],3,FALSE)</f>
        <v>#N/A</v>
      </c>
      <c r="C34" s="67" t="e">
        <f>VLOOKUP(A34,UDEMEDIDA[],5,FALSE)</f>
        <v>#N/A</v>
      </c>
      <c r="D34" s="66"/>
      <c r="E34" s="66"/>
      <c r="F34" s="67"/>
    </row>
    <row r="35" spans="1:6">
      <c r="A35" s="66"/>
      <c r="B35" s="66" t="e">
        <f>VLOOKUP(A35,UDEMEDIDA[],3,FALSE)</f>
        <v>#N/A</v>
      </c>
      <c r="C35" s="67" t="e">
        <f>VLOOKUP(A35,UDEMEDIDA[],5,FALSE)</f>
        <v>#N/A</v>
      </c>
      <c r="D35" s="66"/>
      <c r="E35" s="66"/>
      <c r="F35" s="67"/>
    </row>
    <row r="36" spans="1:6">
      <c r="A36" s="66"/>
      <c r="B36" s="66" t="e">
        <f>VLOOKUP(A36,UDEMEDIDA[],3,FALSE)</f>
        <v>#N/A</v>
      </c>
      <c r="C36" s="67" t="e">
        <f>VLOOKUP(A36,UDEMEDIDA[],5,FALSE)</f>
        <v>#N/A</v>
      </c>
      <c r="D36" s="66"/>
      <c r="E36" s="66"/>
      <c r="F36" s="67"/>
    </row>
    <row r="37" spans="1:6">
      <c r="A37" s="66"/>
      <c r="B37" s="66" t="e">
        <f>VLOOKUP(A37,UDEMEDIDA[],3,FALSE)</f>
        <v>#N/A</v>
      </c>
      <c r="C37" s="67" t="e">
        <f>VLOOKUP(A37,UDEMEDIDA[],5,FALSE)</f>
        <v>#N/A</v>
      </c>
      <c r="D37" s="66"/>
      <c r="E37" s="66"/>
      <c r="F37" s="67"/>
    </row>
    <row r="38" spans="1:6">
      <c r="A38" s="66"/>
      <c r="B38" s="66" t="e">
        <f>VLOOKUP(A38,UDEMEDIDA[],3,FALSE)</f>
        <v>#N/A</v>
      </c>
      <c r="C38" s="67" t="e">
        <f>VLOOKUP(A38,UDEMEDIDA[],5,FALSE)</f>
        <v>#N/A</v>
      </c>
      <c r="D38" s="66"/>
      <c r="E38" s="66"/>
      <c r="F38" s="67"/>
    </row>
    <row r="39" spans="1:6">
      <c r="A39" s="66"/>
      <c r="B39" s="66" t="e">
        <f>VLOOKUP(A39,UDEMEDIDA[],3,FALSE)</f>
        <v>#N/A</v>
      </c>
      <c r="C39" s="67" t="e">
        <f>VLOOKUP(A39,UDEMEDIDA[],5,FALSE)</f>
        <v>#N/A</v>
      </c>
      <c r="D39" s="66"/>
      <c r="E39" s="66"/>
      <c r="F39" s="67"/>
    </row>
    <row r="40" spans="1:6">
      <c r="A40" s="66"/>
      <c r="B40" s="66" t="e">
        <f>VLOOKUP(A40,UDEMEDIDA[],3,FALSE)</f>
        <v>#N/A</v>
      </c>
      <c r="C40" s="67" t="e">
        <f>VLOOKUP(A40,UDEMEDIDA[],5,FALSE)</f>
        <v>#N/A</v>
      </c>
      <c r="D40" s="66"/>
      <c r="E40" s="66"/>
      <c r="F40" s="67"/>
    </row>
    <row r="41" spans="1:6">
      <c r="A41" s="66"/>
      <c r="B41" s="66" t="e">
        <f>VLOOKUP(A41,UDEMEDIDA[],3,FALSE)</f>
        <v>#N/A</v>
      </c>
      <c r="C41" s="67" t="e">
        <f>VLOOKUP(A41,UDEMEDIDA[],5,FALSE)</f>
        <v>#N/A</v>
      </c>
      <c r="D41" s="66"/>
      <c r="E41" s="66"/>
      <c r="F41" s="67"/>
    </row>
    <row r="42" spans="1:6">
      <c r="A42" s="66"/>
      <c r="B42" s="66" t="e">
        <f>VLOOKUP(A42,UDEMEDIDA[],3,FALSE)</f>
        <v>#N/A</v>
      </c>
      <c r="C42" s="67" t="e">
        <f>VLOOKUP(A42,UDEMEDIDA[],5,FALSE)</f>
        <v>#N/A</v>
      </c>
      <c r="D42" s="66"/>
      <c r="E42" s="66"/>
      <c r="F42" s="67"/>
    </row>
    <row r="43" spans="1:6">
      <c r="A43" s="66"/>
      <c r="B43" s="66" t="e">
        <f>VLOOKUP(A43,UDEMEDIDA[],3,FALSE)</f>
        <v>#N/A</v>
      </c>
      <c r="C43" s="67" t="e">
        <f>VLOOKUP(A43,UDEMEDIDA[],5,FALSE)</f>
        <v>#N/A</v>
      </c>
      <c r="D43" s="66"/>
      <c r="E43" s="66"/>
      <c r="F43" s="67"/>
    </row>
    <row r="44" spans="1:6">
      <c r="A44" s="66"/>
      <c r="B44" s="66" t="e">
        <f>VLOOKUP(A44,UDEMEDIDA[],3,FALSE)</f>
        <v>#N/A</v>
      </c>
      <c r="C44" s="67" t="e">
        <f>VLOOKUP(A44,UDEMEDIDA[],5,FALSE)</f>
        <v>#N/A</v>
      </c>
      <c r="D44" s="66"/>
      <c r="E44" s="66"/>
      <c r="F44" s="67"/>
    </row>
    <row r="45" spans="1:6">
      <c r="A45" s="66"/>
      <c r="B45" s="66" t="e">
        <f>VLOOKUP(A45,UDEMEDIDA[],3,FALSE)</f>
        <v>#N/A</v>
      </c>
      <c r="C45" s="67" t="e">
        <f>VLOOKUP(A45,UDEMEDIDA[],5,FALSE)</f>
        <v>#N/A</v>
      </c>
      <c r="D45" s="66"/>
      <c r="E45" s="66"/>
      <c r="F45" s="67"/>
    </row>
    <row r="46" spans="1:6">
      <c r="A46" s="66"/>
      <c r="B46" s="66" t="e">
        <f>VLOOKUP(A46,UDEMEDIDA[],3,FALSE)</f>
        <v>#N/A</v>
      </c>
      <c r="C46" s="67" t="e">
        <f>VLOOKUP(A46,UDEMEDIDA[],5,FALSE)</f>
        <v>#N/A</v>
      </c>
      <c r="D46" s="66"/>
      <c r="E46" s="66"/>
      <c r="F46" s="67"/>
    </row>
    <row r="47" spans="1:6">
      <c r="A47" s="66"/>
      <c r="B47" s="66" t="e">
        <f>VLOOKUP(A47,UDEMEDIDA[],3,FALSE)</f>
        <v>#N/A</v>
      </c>
      <c r="C47" s="67" t="e">
        <f>VLOOKUP(A47,UDEMEDIDA[],5,FALSE)</f>
        <v>#N/A</v>
      </c>
      <c r="D47" s="66"/>
      <c r="E47" s="66"/>
      <c r="F47" s="67"/>
    </row>
    <row r="48" spans="1:6">
      <c r="A48" s="66"/>
      <c r="B48" s="66" t="e">
        <f>VLOOKUP(A48,UDEMEDIDA[],3,FALSE)</f>
        <v>#N/A</v>
      </c>
      <c r="C48" s="67" t="e">
        <f>VLOOKUP(A48,UDEMEDIDA[],5,FALSE)</f>
        <v>#N/A</v>
      </c>
      <c r="D48" s="66"/>
      <c r="E48" s="66"/>
      <c r="F48" s="67"/>
    </row>
    <row r="49" spans="1:6">
      <c r="A49" s="66"/>
      <c r="B49" s="66" t="e">
        <f>VLOOKUP(A49,UDEMEDIDA[],3,FALSE)</f>
        <v>#N/A</v>
      </c>
      <c r="C49" s="67" t="e">
        <f>VLOOKUP(A49,UDEMEDIDA[],5,FALSE)</f>
        <v>#N/A</v>
      </c>
      <c r="D49" s="66"/>
      <c r="E49" s="66"/>
      <c r="F49" s="67"/>
    </row>
    <row r="50" spans="1:6">
      <c r="A50" s="66"/>
      <c r="B50" s="66" t="e">
        <f>VLOOKUP(A50,UDEMEDIDA[],3,FALSE)</f>
        <v>#N/A</v>
      </c>
      <c r="C50" s="67" t="e">
        <f>VLOOKUP(A50,UDEMEDIDA[],5,FALSE)</f>
        <v>#N/A</v>
      </c>
      <c r="D50" s="66"/>
      <c r="E50" s="66"/>
      <c r="F50" s="67"/>
    </row>
    <row r="51" spans="1:6">
      <c r="A51" s="66"/>
      <c r="B51" s="66" t="e">
        <f>VLOOKUP(A51,UDEMEDIDA[],3,FALSE)</f>
        <v>#N/A</v>
      </c>
      <c r="C51" s="67" t="e">
        <f>VLOOKUP(A51,UDEMEDIDA[],5,FALSE)</f>
        <v>#N/A</v>
      </c>
      <c r="D51" s="66"/>
      <c r="E51" s="66"/>
      <c r="F51" s="67"/>
    </row>
    <row r="52" spans="1:6">
      <c r="A52" s="66"/>
      <c r="B52" s="66" t="e">
        <f>VLOOKUP(A52,UDEMEDIDA[],3,FALSE)</f>
        <v>#N/A</v>
      </c>
      <c r="C52" s="67" t="e">
        <f>VLOOKUP(A52,UDEMEDIDA[],5,FALSE)</f>
        <v>#N/A</v>
      </c>
      <c r="D52" s="66"/>
      <c r="E52" s="66"/>
      <c r="F52" s="67"/>
    </row>
  </sheetData>
  <protectedRanges>
    <protectedRange sqref="K6:K17" name="DESBLOQUEADAS"/>
  </protectedRanges>
  <mergeCells count="7">
    <mergeCell ref="B7:C7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promptTitle="INSUMOS" prompt="CONSULTE EL MATERIAL O INSUMOS " xr:uid="{3580D405-67D4-439D-8A24-B3C80E32A9B9}">
          <x14:formula1>
            <xm:f>inventarioprueba!$A$2:$A$513</xm:f>
          </x14:formula1>
          <xm:sqref>A11:A77</xm:sqref>
        </x14:dataValidation>
        <x14:dataValidation type="list" allowBlank="1" showInputMessage="1" showErrorMessage="1" xr:uid="{E935871E-B8F2-432F-A0EF-A4A03A173491}">
          <x14:formula1>
            <xm:f>INSTRUCTORES!$A$2:$A$10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DCF7-ED27-48A9-8FB0-897C42FEE5E7}">
  <dimension ref="A1:J556"/>
  <sheetViews>
    <sheetView topLeftCell="A503" workbookViewId="0">
      <selection activeCell="C523" sqref="C523"/>
    </sheetView>
  </sheetViews>
  <sheetFormatPr defaultColWidth="11.42578125" defaultRowHeight="15"/>
  <cols>
    <col min="1" max="1" width="11.42578125" style="21"/>
    <col min="2" max="2" width="11.42578125" style="4"/>
    <col min="3" max="3" width="32.28515625" style="21" customWidth="1"/>
    <col min="4" max="4" width="34.85546875" style="4" customWidth="1"/>
    <col min="5" max="6" width="11.42578125" style="21"/>
    <col min="7" max="7" width="11.42578125" style="26"/>
    <col min="8" max="10" width="11.42578125" style="21"/>
    <col min="11" max="16384" width="11.42578125" style="4"/>
  </cols>
  <sheetData>
    <row r="1" spans="1:10" ht="60">
      <c r="A1" s="10" t="s">
        <v>23</v>
      </c>
      <c r="B1" s="11" t="s">
        <v>24</v>
      </c>
      <c r="C1" s="11" t="s">
        <v>25</v>
      </c>
      <c r="D1" s="11" t="s">
        <v>26</v>
      </c>
      <c r="E1" s="11" t="s">
        <v>27</v>
      </c>
      <c r="F1" s="12" t="s">
        <v>28</v>
      </c>
      <c r="G1" s="13" t="s">
        <v>29</v>
      </c>
      <c r="H1" s="13" t="s">
        <v>30</v>
      </c>
      <c r="I1" s="12" t="s">
        <v>31</v>
      </c>
      <c r="J1" s="12" t="s">
        <v>32</v>
      </c>
    </row>
    <row r="2" spans="1:10" ht="60">
      <c r="A2" s="22" t="s">
        <v>33</v>
      </c>
      <c r="B2" s="68">
        <v>1</v>
      </c>
      <c r="C2" s="69" t="s">
        <v>34</v>
      </c>
      <c r="D2" s="68" t="s">
        <v>35</v>
      </c>
      <c r="E2" s="69" t="s">
        <v>36</v>
      </c>
      <c r="F2" s="12">
        <v>3000</v>
      </c>
      <c r="G2" s="13">
        <v>623.66666666666663</v>
      </c>
      <c r="H2" s="13">
        <v>623.66666666666663</v>
      </c>
      <c r="I2" s="12"/>
      <c r="J2" s="12">
        <v>3000</v>
      </c>
    </row>
    <row r="3" spans="1:10" ht="90">
      <c r="A3" s="22" t="s">
        <v>33</v>
      </c>
      <c r="B3" s="68">
        <v>2</v>
      </c>
      <c r="C3" s="69" t="s">
        <v>37</v>
      </c>
      <c r="D3" s="68" t="s">
        <v>38</v>
      </c>
      <c r="E3" s="69" t="s">
        <v>36</v>
      </c>
      <c r="F3" s="12">
        <v>1500</v>
      </c>
      <c r="G3" s="13">
        <v>390.66666666666669</v>
      </c>
      <c r="H3" s="13">
        <v>390.66666666666669</v>
      </c>
      <c r="I3" s="12"/>
      <c r="J3" s="12">
        <v>1500</v>
      </c>
    </row>
    <row r="4" spans="1:10" ht="210">
      <c r="A4" s="22" t="s">
        <v>33</v>
      </c>
      <c r="B4" s="68">
        <v>3</v>
      </c>
      <c r="C4" s="69" t="s">
        <v>39</v>
      </c>
      <c r="D4" s="68" t="s">
        <v>40</v>
      </c>
      <c r="E4" s="69" t="s">
        <v>36</v>
      </c>
      <c r="F4" s="12">
        <v>2000</v>
      </c>
      <c r="G4" s="13">
        <v>1550</v>
      </c>
      <c r="H4" s="13">
        <v>1550</v>
      </c>
      <c r="I4" s="12"/>
      <c r="J4" s="12">
        <v>2000</v>
      </c>
    </row>
    <row r="5" spans="1:10" ht="195">
      <c r="A5" s="22" t="s">
        <v>33</v>
      </c>
      <c r="B5" s="68">
        <v>4</v>
      </c>
      <c r="C5" s="69" t="s">
        <v>41</v>
      </c>
      <c r="D5" s="68" t="s">
        <v>42</v>
      </c>
      <c r="E5" s="69" t="s">
        <v>36</v>
      </c>
      <c r="F5" s="12">
        <v>4000</v>
      </c>
      <c r="G5" s="13">
        <v>815</v>
      </c>
      <c r="H5" s="13">
        <v>815</v>
      </c>
      <c r="I5" s="12"/>
      <c r="J5" s="12">
        <v>4000</v>
      </c>
    </row>
    <row r="6" spans="1:10" ht="135">
      <c r="A6" s="22" t="s">
        <v>33</v>
      </c>
      <c r="B6" s="68">
        <v>5</v>
      </c>
      <c r="C6" s="69" t="s">
        <v>43</v>
      </c>
      <c r="D6" s="68" t="s">
        <v>44</v>
      </c>
      <c r="E6" s="69" t="s">
        <v>36</v>
      </c>
      <c r="F6" s="12">
        <v>1200</v>
      </c>
      <c r="G6" s="13">
        <v>1217</v>
      </c>
      <c r="H6" s="13">
        <v>1217</v>
      </c>
      <c r="I6" s="12"/>
      <c r="J6" s="12">
        <v>1200</v>
      </c>
    </row>
    <row r="7" spans="1:10" ht="135">
      <c r="A7" s="22" t="s">
        <v>33</v>
      </c>
      <c r="B7" s="68">
        <v>6</v>
      </c>
      <c r="C7" s="69" t="s">
        <v>45</v>
      </c>
      <c r="D7" s="68" t="s">
        <v>46</v>
      </c>
      <c r="E7" s="69" t="s">
        <v>36</v>
      </c>
      <c r="F7" s="12"/>
      <c r="G7" s="13">
        <v>898.44999999999993</v>
      </c>
      <c r="H7" s="13">
        <v>898.44999999999993</v>
      </c>
      <c r="I7" s="12"/>
      <c r="J7" s="12">
        <v>0</v>
      </c>
    </row>
    <row r="8" spans="1:10" ht="75">
      <c r="A8" s="22" t="s">
        <v>33</v>
      </c>
      <c r="B8" s="68">
        <v>7</v>
      </c>
      <c r="C8" s="69" t="s">
        <v>47</v>
      </c>
      <c r="D8" s="68" t="s">
        <v>48</v>
      </c>
      <c r="E8" s="69" t="s">
        <v>36</v>
      </c>
      <c r="F8" s="12">
        <v>2000</v>
      </c>
      <c r="G8" s="13">
        <v>1673.3335</v>
      </c>
      <c r="H8" s="13">
        <v>1673.3335</v>
      </c>
      <c r="I8" s="12"/>
      <c r="J8" s="12">
        <v>2000</v>
      </c>
    </row>
    <row r="9" spans="1:10" ht="75">
      <c r="A9" s="22" t="s">
        <v>33</v>
      </c>
      <c r="B9" s="68">
        <v>8</v>
      </c>
      <c r="C9" s="69" t="s">
        <v>49</v>
      </c>
      <c r="D9" s="68" t="s">
        <v>50</v>
      </c>
      <c r="E9" s="69" t="s">
        <v>36</v>
      </c>
      <c r="F9" s="12"/>
      <c r="G9" s="13">
        <v>848.46999999999991</v>
      </c>
      <c r="H9" s="13">
        <v>848.46999999999991</v>
      </c>
      <c r="I9" s="12"/>
      <c r="J9" s="12">
        <v>0</v>
      </c>
    </row>
    <row r="10" spans="1:10" ht="60">
      <c r="A10" s="22" t="s">
        <v>33</v>
      </c>
      <c r="B10" s="68">
        <v>9</v>
      </c>
      <c r="C10" s="69" t="s">
        <v>51</v>
      </c>
      <c r="D10" s="68" t="s">
        <v>52</v>
      </c>
      <c r="E10" s="69" t="s">
        <v>36</v>
      </c>
      <c r="F10" s="12"/>
      <c r="G10" s="13">
        <v>698.53</v>
      </c>
      <c r="H10" s="13">
        <v>698.53</v>
      </c>
      <c r="I10" s="12"/>
      <c r="J10" s="12">
        <v>0</v>
      </c>
    </row>
    <row r="11" spans="1:10" ht="60">
      <c r="A11" s="22" t="s">
        <v>33</v>
      </c>
      <c r="B11" s="68">
        <v>10</v>
      </c>
      <c r="C11" s="69" t="s">
        <v>53</v>
      </c>
      <c r="D11" s="68" t="s">
        <v>54</v>
      </c>
      <c r="E11" s="69" t="s">
        <v>36</v>
      </c>
      <c r="F11" s="12"/>
      <c r="G11" s="13">
        <v>477.19</v>
      </c>
      <c r="H11" s="13">
        <v>477.19</v>
      </c>
      <c r="I11" s="12"/>
      <c r="J11" s="12">
        <v>0</v>
      </c>
    </row>
    <row r="12" spans="1:10" ht="45">
      <c r="A12" s="22" t="s">
        <v>33</v>
      </c>
      <c r="B12" s="68">
        <v>11</v>
      </c>
      <c r="C12" s="69" t="s">
        <v>55</v>
      </c>
      <c r="D12" s="68" t="s">
        <v>56</v>
      </c>
      <c r="E12" s="69" t="s">
        <v>36</v>
      </c>
      <c r="F12" s="12"/>
      <c r="G12" s="13">
        <v>998.41</v>
      </c>
      <c r="H12" s="13">
        <v>998.41</v>
      </c>
      <c r="I12" s="12"/>
      <c r="J12" s="12">
        <v>0</v>
      </c>
    </row>
    <row r="13" spans="1:10" ht="210">
      <c r="A13" s="22" t="s">
        <v>33</v>
      </c>
      <c r="B13" s="68">
        <v>12</v>
      </c>
      <c r="C13" s="69" t="s">
        <v>57</v>
      </c>
      <c r="D13" s="68" t="s">
        <v>58</v>
      </c>
      <c r="E13" s="69" t="s">
        <v>36</v>
      </c>
      <c r="F13" s="12"/>
      <c r="G13" s="13">
        <v>53371.5</v>
      </c>
      <c r="H13" s="13">
        <v>53371.5</v>
      </c>
      <c r="I13" s="12"/>
      <c r="J13" s="12">
        <v>0</v>
      </c>
    </row>
    <row r="14" spans="1:10" ht="165">
      <c r="A14" s="22" t="s">
        <v>33</v>
      </c>
      <c r="B14" s="68">
        <v>13</v>
      </c>
      <c r="C14" s="69" t="s">
        <v>59</v>
      </c>
      <c r="D14" s="68" t="s">
        <v>60</v>
      </c>
      <c r="E14" s="69" t="s">
        <v>36</v>
      </c>
      <c r="F14" s="12"/>
      <c r="G14" s="13">
        <v>897.26</v>
      </c>
      <c r="H14" s="13">
        <v>897.26</v>
      </c>
      <c r="I14" s="12"/>
      <c r="J14" s="12">
        <v>0</v>
      </c>
    </row>
    <row r="15" spans="1:10" ht="15.75">
      <c r="A15" s="22" t="s">
        <v>33</v>
      </c>
      <c r="B15" s="68">
        <v>14</v>
      </c>
      <c r="C15" s="69" t="s">
        <v>61</v>
      </c>
      <c r="D15" s="68"/>
      <c r="E15" s="69" t="s">
        <v>36</v>
      </c>
      <c r="F15" s="12"/>
      <c r="G15" s="13">
        <v>1713.6</v>
      </c>
      <c r="H15" s="13">
        <v>1713.6</v>
      </c>
      <c r="I15" s="12"/>
      <c r="J15" s="12">
        <v>0</v>
      </c>
    </row>
    <row r="16" spans="1:10" ht="15.75">
      <c r="A16" s="22" t="s">
        <v>33</v>
      </c>
      <c r="B16" s="68">
        <v>15</v>
      </c>
      <c r="C16" s="69" t="s">
        <v>62</v>
      </c>
      <c r="D16" s="68"/>
      <c r="E16" s="69" t="s">
        <v>36</v>
      </c>
      <c r="F16" s="12"/>
      <c r="G16" s="13">
        <v>1</v>
      </c>
      <c r="H16" s="13">
        <v>1</v>
      </c>
      <c r="I16" s="12"/>
      <c r="J16" s="12">
        <v>0</v>
      </c>
    </row>
    <row r="17" spans="1:10" ht="30">
      <c r="A17" s="22" t="s">
        <v>33</v>
      </c>
      <c r="B17" s="68">
        <v>16</v>
      </c>
      <c r="C17" s="69" t="s">
        <v>63</v>
      </c>
      <c r="D17" s="68" t="s">
        <v>64</v>
      </c>
      <c r="E17" s="69" t="s">
        <v>36</v>
      </c>
      <c r="F17" s="12"/>
      <c r="G17" s="13">
        <v>1</v>
      </c>
      <c r="H17" s="13">
        <v>1</v>
      </c>
      <c r="I17" s="12"/>
      <c r="J17" s="12">
        <v>0</v>
      </c>
    </row>
    <row r="18" spans="1:10" ht="135">
      <c r="A18" s="23" t="s">
        <v>65</v>
      </c>
      <c r="B18" s="68">
        <v>1</v>
      </c>
      <c r="C18" s="69" t="s">
        <v>66</v>
      </c>
      <c r="D18" s="68" t="s">
        <v>67</v>
      </c>
      <c r="E18" s="69" t="s">
        <v>68</v>
      </c>
      <c r="F18" s="12">
        <v>50</v>
      </c>
      <c r="G18" s="13">
        <v>2.0392857142857141</v>
      </c>
      <c r="H18" s="13">
        <v>28549.999999999996</v>
      </c>
      <c r="I18" s="12"/>
      <c r="J18" s="12">
        <v>50</v>
      </c>
    </row>
    <row r="19" spans="1:10" ht="135">
      <c r="A19" s="23" t="s">
        <v>65</v>
      </c>
      <c r="B19" s="68">
        <v>2</v>
      </c>
      <c r="C19" s="69" t="s">
        <v>69</v>
      </c>
      <c r="D19" s="68" t="s">
        <v>70</v>
      </c>
      <c r="E19" s="69" t="s">
        <v>68</v>
      </c>
      <c r="F19" s="12">
        <v>50</v>
      </c>
      <c r="G19" s="13">
        <v>1.1785714285714286</v>
      </c>
      <c r="H19" s="13">
        <v>16500</v>
      </c>
      <c r="I19" s="12"/>
      <c r="J19" s="12">
        <v>50</v>
      </c>
    </row>
    <row r="20" spans="1:10" ht="135">
      <c r="A20" s="23" t="s">
        <v>65</v>
      </c>
      <c r="B20" s="68">
        <v>3</v>
      </c>
      <c r="C20" s="69" t="s">
        <v>71</v>
      </c>
      <c r="D20" s="68" t="s">
        <v>72</v>
      </c>
      <c r="E20" s="69" t="s">
        <v>68</v>
      </c>
      <c r="F20" s="12">
        <v>30</v>
      </c>
      <c r="G20" s="13">
        <v>0.72857142857142854</v>
      </c>
      <c r="H20" s="13">
        <v>10200</v>
      </c>
      <c r="I20" s="12"/>
      <c r="J20" s="12">
        <v>30</v>
      </c>
    </row>
    <row r="21" spans="1:10" ht="150">
      <c r="A21" s="23" t="s">
        <v>65</v>
      </c>
      <c r="B21" s="68">
        <v>4</v>
      </c>
      <c r="C21" s="69" t="s">
        <v>73</v>
      </c>
      <c r="D21" s="68" t="s">
        <v>74</v>
      </c>
      <c r="E21" s="69" t="s">
        <v>68</v>
      </c>
      <c r="F21" s="12">
        <v>30</v>
      </c>
      <c r="G21" s="13">
        <v>0.62645238095238098</v>
      </c>
      <c r="H21" s="13">
        <v>8770.3333333333339</v>
      </c>
      <c r="I21" s="12"/>
      <c r="J21" s="12">
        <v>30</v>
      </c>
    </row>
    <row r="22" spans="1:10" ht="195">
      <c r="A22" s="23" t="s">
        <v>65</v>
      </c>
      <c r="B22" s="68">
        <v>7</v>
      </c>
      <c r="C22" s="69" t="s">
        <v>75</v>
      </c>
      <c r="D22" s="68" t="s">
        <v>76</v>
      </c>
      <c r="E22" s="69" t="s">
        <v>68</v>
      </c>
      <c r="F22" s="12"/>
      <c r="G22" s="13">
        <v>2.8571050000000002</v>
      </c>
      <c r="H22" s="13">
        <v>39999.47</v>
      </c>
      <c r="I22" s="12"/>
      <c r="J22" s="12">
        <v>0</v>
      </c>
    </row>
    <row r="23" spans="1:10" ht="195">
      <c r="A23" s="23" t="s">
        <v>65</v>
      </c>
      <c r="B23" s="68">
        <v>8</v>
      </c>
      <c r="C23" s="69" t="s">
        <v>13</v>
      </c>
      <c r="D23" s="68" t="s">
        <v>77</v>
      </c>
      <c r="E23" s="69" t="s">
        <v>78</v>
      </c>
      <c r="F23" s="12"/>
      <c r="G23" s="13">
        <v>2.4999349999999998</v>
      </c>
      <c r="H23" s="13">
        <v>34999.089999999997</v>
      </c>
      <c r="I23" s="12"/>
      <c r="J23" s="12">
        <v>0</v>
      </c>
    </row>
    <row r="24" spans="1:10" ht="270">
      <c r="A24" s="23" t="s">
        <v>65</v>
      </c>
      <c r="B24" s="68">
        <v>9</v>
      </c>
      <c r="C24" s="69" t="s">
        <v>69</v>
      </c>
      <c r="D24" s="68" t="s">
        <v>79</v>
      </c>
      <c r="E24" s="69" t="s">
        <v>68</v>
      </c>
      <c r="F24" s="12"/>
      <c r="G24" s="13">
        <v>1.7856799999999999</v>
      </c>
      <c r="H24" s="13">
        <v>24999.52</v>
      </c>
      <c r="I24" s="12"/>
      <c r="J24" s="12">
        <v>0</v>
      </c>
    </row>
    <row r="25" spans="1:10" ht="409.5">
      <c r="A25" s="22" t="s">
        <v>80</v>
      </c>
      <c r="B25" s="68">
        <v>1</v>
      </c>
      <c r="C25" s="69" t="s">
        <v>81</v>
      </c>
      <c r="D25" s="68" t="s">
        <v>82</v>
      </c>
      <c r="E25" s="69" t="s">
        <v>68</v>
      </c>
      <c r="F25" s="12">
        <v>130</v>
      </c>
      <c r="G25" s="13">
        <v>2.7928571428571427</v>
      </c>
      <c r="H25" s="13">
        <v>39100</v>
      </c>
      <c r="I25" s="12"/>
      <c r="J25" s="12">
        <v>130</v>
      </c>
    </row>
    <row r="26" spans="1:10" ht="240">
      <c r="A26" s="22" t="s">
        <v>80</v>
      </c>
      <c r="B26" s="68">
        <v>2</v>
      </c>
      <c r="C26" s="69" t="s">
        <v>83</v>
      </c>
      <c r="D26" s="68" t="s">
        <v>84</v>
      </c>
      <c r="E26" s="69" t="s">
        <v>68</v>
      </c>
      <c r="F26" s="12">
        <v>50</v>
      </c>
      <c r="G26" s="13">
        <v>3.1428571428571428</v>
      </c>
      <c r="H26" s="13">
        <v>44000</v>
      </c>
      <c r="I26" s="12"/>
      <c r="J26" s="12">
        <v>50</v>
      </c>
    </row>
    <row r="27" spans="1:10" ht="195">
      <c r="A27" s="22" t="s">
        <v>80</v>
      </c>
      <c r="B27" s="68">
        <v>3</v>
      </c>
      <c r="C27" s="69" t="s">
        <v>85</v>
      </c>
      <c r="D27" s="68" t="s">
        <v>86</v>
      </c>
      <c r="E27" s="69" t="s">
        <v>68</v>
      </c>
      <c r="F27" s="12">
        <v>50</v>
      </c>
      <c r="G27" s="13">
        <v>1.3214285714285714</v>
      </c>
      <c r="H27" s="13">
        <v>18500</v>
      </c>
      <c r="I27" s="12"/>
      <c r="J27" s="12">
        <v>50</v>
      </c>
    </row>
    <row r="28" spans="1:10" ht="255">
      <c r="A28" s="23" t="s">
        <v>87</v>
      </c>
      <c r="B28" s="68"/>
      <c r="C28" s="69" t="s">
        <v>88</v>
      </c>
      <c r="D28" s="68" t="s">
        <v>89</v>
      </c>
      <c r="E28" s="69" t="s">
        <v>68</v>
      </c>
      <c r="F28" s="12">
        <v>80</v>
      </c>
      <c r="G28" s="13">
        <v>0.6785714285714286</v>
      </c>
      <c r="H28" s="13">
        <v>9500</v>
      </c>
      <c r="I28" s="12"/>
      <c r="J28" s="12">
        <v>80</v>
      </c>
    </row>
    <row r="29" spans="1:10" ht="15.75">
      <c r="A29" s="23" t="s">
        <v>87</v>
      </c>
      <c r="B29" s="68"/>
      <c r="C29" s="69" t="s">
        <v>90</v>
      </c>
      <c r="D29" s="68"/>
      <c r="E29" s="69" t="s">
        <v>68</v>
      </c>
      <c r="F29" s="12">
        <v>20</v>
      </c>
      <c r="G29" s="13">
        <v>1.1851142857142856</v>
      </c>
      <c r="H29" s="13">
        <v>16591.599999999999</v>
      </c>
      <c r="I29" s="12"/>
      <c r="J29" s="12">
        <v>20</v>
      </c>
    </row>
    <row r="30" spans="1:10" ht="30">
      <c r="A30" s="23" t="s">
        <v>87</v>
      </c>
      <c r="B30" s="68"/>
      <c r="C30" s="69" t="s">
        <v>14</v>
      </c>
      <c r="D30" s="68"/>
      <c r="E30" s="69" t="s">
        <v>68</v>
      </c>
      <c r="F30" s="12">
        <v>30</v>
      </c>
      <c r="G30" s="13">
        <v>0.49789928571428571</v>
      </c>
      <c r="H30" s="13">
        <v>6970.59</v>
      </c>
      <c r="I30" s="12"/>
      <c r="J30" s="12">
        <v>30</v>
      </c>
    </row>
    <row r="31" spans="1:10" ht="255">
      <c r="A31" s="23" t="s">
        <v>87</v>
      </c>
      <c r="B31" s="68"/>
      <c r="C31" s="69" t="s">
        <v>91</v>
      </c>
      <c r="D31" s="68" t="s">
        <v>92</v>
      </c>
      <c r="E31" s="69" t="s">
        <v>68</v>
      </c>
      <c r="F31" s="12"/>
      <c r="G31" s="13">
        <v>1.8330249999999999</v>
      </c>
      <c r="H31" s="13">
        <v>25662.35</v>
      </c>
      <c r="I31" s="12"/>
      <c r="J31" s="12">
        <v>0</v>
      </c>
    </row>
    <row r="32" spans="1:10" ht="105">
      <c r="A32" s="23" t="s">
        <v>87</v>
      </c>
      <c r="B32" s="68"/>
      <c r="C32" s="69" t="s">
        <v>93</v>
      </c>
      <c r="D32" s="68" t="s">
        <v>94</v>
      </c>
      <c r="E32" s="69" t="s">
        <v>68</v>
      </c>
      <c r="F32" s="12">
        <v>10</v>
      </c>
      <c r="G32" s="13">
        <v>2.0011428571428573</v>
      </c>
      <c r="H32" s="13">
        <v>28016.000000000004</v>
      </c>
      <c r="I32" s="12"/>
      <c r="J32" s="12">
        <v>10</v>
      </c>
    </row>
    <row r="33" spans="1:10" ht="150">
      <c r="A33" s="23" t="s">
        <v>87</v>
      </c>
      <c r="B33" s="68"/>
      <c r="C33" s="69" t="s">
        <v>95</v>
      </c>
      <c r="D33" s="68" t="s">
        <v>96</v>
      </c>
      <c r="E33" s="69" t="s">
        <v>68</v>
      </c>
      <c r="F33" s="12">
        <v>8</v>
      </c>
      <c r="G33" s="13">
        <v>2.8113214285714285</v>
      </c>
      <c r="H33" s="13">
        <v>39358.5</v>
      </c>
      <c r="I33" s="12"/>
      <c r="J33" s="12">
        <v>8</v>
      </c>
    </row>
    <row r="34" spans="1:10" ht="405">
      <c r="A34" s="23" t="s">
        <v>87</v>
      </c>
      <c r="B34" s="68"/>
      <c r="C34" s="69" t="s">
        <v>97</v>
      </c>
      <c r="D34" s="68" t="s">
        <v>98</v>
      </c>
      <c r="E34" s="69" t="s">
        <v>68</v>
      </c>
      <c r="F34" s="12">
        <v>8</v>
      </c>
      <c r="G34" s="13">
        <v>2.2817857142857143</v>
      </c>
      <c r="H34" s="13">
        <v>31945</v>
      </c>
      <c r="I34" s="12"/>
      <c r="J34" s="12">
        <v>8</v>
      </c>
    </row>
    <row r="35" spans="1:10" ht="330">
      <c r="A35" s="23" t="s">
        <v>87</v>
      </c>
      <c r="B35" s="68"/>
      <c r="C35" s="69" t="s">
        <v>99</v>
      </c>
      <c r="D35" s="68" t="s">
        <v>100</v>
      </c>
      <c r="E35" s="69" t="s">
        <v>68</v>
      </c>
      <c r="F35" s="12">
        <v>8</v>
      </c>
      <c r="G35" s="13">
        <v>4.2363214285714283</v>
      </c>
      <c r="H35" s="13">
        <v>59308.5</v>
      </c>
      <c r="I35" s="12"/>
      <c r="J35" s="12">
        <v>8</v>
      </c>
    </row>
    <row r="36" spans="1:10" ht="141.75">
      <c r="A36" s="22" t="s">
        <v>101</v>
      </c>
      <c r="B36" s="8"/>
      <c r="C36" s="14" t="s">
        <v>102</v>
      </c>
      <c r="D36" s="8" t="s">
        <v>103</v>
      </c>
      <c r="E36" s="14" t="s">
        <v>68</v>
      </c>
      <c r="F36" s="12">
        <v>100</v>
      </c>
      <c r="G36" s="13">
        <v>0.25357142857142856</v>
      </c>
      <c r="H36" s="13">
        <v>3550</v>
      </c>
      <c r="I36" s="12"/>
      <c r="J36" s="12">
        <v>100</v>
      </c>
    </row>
    <row r="37" spans="1:10" ht="141.75">
      <c r="A37" s="22" t="s">
        <v>101</v>
      </c>
      <c r="B37" s="8"/>
      <c r="C37" s="14" t="s">
        <v>104</v>
      </c>
      <c r="D37" s="8" t="s">
        <v>105</v>
      </c>
      <c r="E37" s="14" t="s">
        <v>68</v>
      </c>
      <c r="F37" s="12">
        <v>200</v>
      </c>
      <c r="G37" s="13">
        <v>0.73692857142857138</v>
      </c>
      <c r="H37" s="13">
        <v>10317</v>
      </c>
      <c r="I37" s="12"/>
      <c r="J37" s="12">
        <v>200</v>
      </c>
    </row>
    <row r="38" spans="1:10" ht="63">
      <c r="A38" s="23" t="s">
        <v>106</v>
      </c>
      <c r="B38" s="8"/>
      <c r="C38" s="14" t="s">
        <v>107</v>
      </c>
      <c r="D38" s="8" t="s">
        <v>108</v>
      </c>
      <c r="E38" s="14" t="s">
        <v>68</v>
      </c>
      <c r="F38" s="12">
        <v>3</v>
      </c>
      <c r="G38" s="13">
        <v>1.2735714285714286</v>
      </c>
      <c r="H38" s="13">
        <v>17830</v>
      </c>
      <c r="I38" s="12"/>
      <c r="J38" s="12">
        <v>3</v>
      </c>
    </row>
    <row r="39" spans="1:10" ht="173.25">
      <c r="A39" s="23" t="s">
        <v>106</v>
      </c>
      <c r="B39" s="8"/>
      <c r="C39" s="14" t="s">
        <v>109</v>
      </c>
      <c r="D39" s="8" t="s">
        <v>110</v>
      </c>
      <c r="E39" s="14" t="s">
        <v>68</v>
      </c>
      <c r="F39" s="12">
        <v>50</v>
      </c>
      <c r="G39" s="13">
        <v>2.4761900000000003</v>
      </c>
      <c r="H39" s="13">
        <v>34666.660000000003</v>
      </c>
      <c r="I39" s="12"/>
      <c r="J39" s="12">
        <v>50</v>
      </c>
    </row>
    <row r="40" spans="1:10" ht="110.25">
      <c r="A40" s="23" t="s">
        <v>106</v>
      </c>
      <c r="B40" s="8"/>
      <c r="C40" s="14" t="s">
        <v>111</v>
      </c>
      <c r="D40" s="8" t="s">
        <v>112</v>
      </c>
      <c r="E40" s="14" t="s">
        <v>68</v>
      </c>
      <c r="F40" s="12"/>
      <c r="G40" s="13">
        <v>0.61369999999999991</v>
      </c>
      <c r="H40" s="13">
        <v>8591.7999999999993</v>
      </c>
      <c r="I40" s="12"/>
      <c r="J40" s="12">
        <v>0</v>
      </c>
    </row>
    <row r="41" spans="1:10" ht="275.25">
      <c r="A41" s="23" t="s">
        <v>106</v>
      </c>
      <c r="B41" s="3"/>
      <c r="C41" s="15" t="s">
        <v>15</v>
      </c>
      <c r="D41" s="3" t="s">
        <v>113</v>
      </c>
      <c r="E41" s="15" t="s">
        <v>68</v>
      </c>
      <c r="F41" s="12"/>
      <c r="G41" s="13">
        <v>0.7671929999999999</v>
      </c>
      <c r="H41" s="13">
        <v>10740.701999999999</v>
      </c>
      <c r="I41" s="12"/>
      <c r="J41" s="12">
        <v>0</v>
      </c>
    </row>
    <row r="42" spans="1:10" ht="31.5">
      <c r="A42" s="23" t="s">
        <v>106</v>
      </c>
      <c r="B42" s="3"/>
      <c r="C42" s="15" t="s">
        <v>114</v>
      </c>
      <c r="D42" s="3"/>
      <c r="E42" s="15" t="s">
        <v>68</v>
      </c>
      <c r="F42" s="12">
        <v>10</v>
      </c>
      <c r="G42" s="13">
        <v>0.85114071428571425</v>
      </c>
      <c r="H42" s="13">
        <v>11915.97</v>
      </c>
      <c r="I42" s="12"/>
      <c r="J42" s="12">
        <v>10</v>
      </c>
    </row>
    <row r="43" spans="1:10" ht="31.5">
      <c r="A43" s="23" t="s">
        <v>106</v>
      </c>
      <c r="B43" s="3"/>
      <c r="C43" s="15" t="s">
        <v>115</v>
      </c>
      <c r="D43" s="3"/>
      <c r="E43" s="15" t="s">
        <v>68</v>
      </c>
      <c r="F43" s="12">
        <v>10</v>
      </c>
      <c r="G43" s="13">
        <v>1.6365542857142856</v>
      </c>
      <c r="H43" s="13">
        <v>22911.759999999998</v>
      </c>
      <c r="I43" s="12"/>
      <c r="J43" s="12">
        <v>10</v>
      </c>
    </row>
    <row r="44" spans="1:10" ht="360">
      <c r="A44" s="23" t="s">
        <v>106</v>
      </c>
      <c r="B44" s="3"/>
      <c r="C44" s="15" t="s">
        <v>116</v>
      </c>
      <c r="D44" s="3" t="s">
        <v>117</v>
      </c>
      <c r="E44" s="15" t="s">
        <v>68</v>
      </c>
      <c r="F44" s="12"/>
      <c r="G44" s="13">
        <v>1.4328449999999999</v>
      </c>
      <c r="H44" s="13">
        <v>20059.829999999998</v>
      </c>
      <c r="I44" s="12"/>
      <c r="J44" s="12">
        <v>0</v>
      </c>
    </row>
    <row r="45" spans="1:10" ht="150">
      <c r="A45" s="23" t="s">
        <v>106</v>
      </c>
      <c r="B45" s="3"/>
      <c r="C45" s="15" t="s">
        <v>118</v>
      </c>
      <c r="D45" s="3" t="s">
        <v>119</v>
      </c>
      <c r="E45" s="15" t="s">
        <v>68</v>
      </c>
      <c r="F45" s="12">
        <v>5</v>
      </c>
      <c r="G45" s="13">
        <v>3.5</v>
      </c>
      <c r="H45" s="13">
        <v>49000</v>
      </c>
      <c r="I45" s="12"/>
      <c r="J45" s="12">
        <v>5</v>
      </c>
    </row>
    <row r="46" spans="1:10" ht="150">
      <c r="A46" s="23" t="s">
        <v>106</v>
      </c>
      <c r="B46" s="3"/>
      <c r="C46" s="15" t="s">
        <v>120</v>
      </c>
      <c r="D46" s="3" t="s">
        <v>121</v>
      </c>
      <c r="E46" s="15" t="s">
        <v>122</v>
      </c>
      <c r="F46" s="12">
        <v>7</v>
      </c>
      <c r="G46" s="13">
        <v>8.1999999999999993</v>
      </c>
      <c r="H46" s="13">
        <v>819.99999999999989</v>
      </c>
      <c r="I46" s="12"/>
      <c r="J46" s="12">
        <v>7</v>
      </c>
    </row>
    <row r="47" spans="1:10" ht="150">
      <c r="A47" s="23" t="s">
        <v>106</v>
      </c>
      <c r="B47" s="3"/>
      <c r="C47" s="15" t="s">
        <v>22</v>
      </c>
      <c r="D47" s="3" t="s">
        <v>123</v>
      </c>
      <c r="E47" s="15" t="s">
        <v>122</v>
      </c>
      <c r="F47" s="12">
        <v>8</v>
      </c>
      <c r="G47" s="13">
        <v>11.7</v>
      </c>
      <c r="H47" s="13">
        <v>1170</v>
      </c>
      <c r="I47" s="12"/>
      <c r="J47" s="12">
        <v>8</v>
      </c>
    </row>
    <row r="48" spans="1:10" ht="120">
      <c r="A48" s="23" t="s">
        <v>106</v>
      </c>
      <c r="B48" s="3"/>
      <c r="C48" s="15" t="s">
        <v>124</v>
      </c>
      <c r="D48" s="3" t="s">
        <v>125</v>
      </c>
      <c r="E48" s="15" t="s">
        <v>122</v>
      </c>
      <c r="F48" s="12">
        <v>50</v>
      </c>
      <c r="G48" s="13">
        <v>27</v>
      </c>
      <c r="H48" s="13">
        <v>2700</v>
      </c>
      <c r="I48" s="12"/>
      <c r="J48" s="12">
        <v>50</v>
      </c>
    </row>
    <row r="49" spans="1:10" ht="120">
      <c r="A49" s="23" t="s">
        <v>106</v>
      </c>
      <c r="B49" s="3"/>
      <c r="C49" s="15" t="s">
        <v>124</v>
      </c>
      <c r="D49" s="3" t="s">
        <v>126</v>
      </c>
      <c r="E49" s="15" t="s">
        <v>122</v>
      </c>
      <c r="F49" s="12">
        <v>50</v>
      </c>
      <c r="G49" s="13">
        <v>38</v>
      </c>
      <c r="H49" s="13">
        <v>3800</v>
      </c>
      <c r="I49" s="12"/>
      <c r="J49" s="12">
        <v>50</v>
      </c>
    </row>
    <row r="50" spans="1:10" ht="90">
      <c r="A50" s="23" t="s">
        <v>106</v>
      </c>
      <c r="B50" s="3"/>
      <c r="C50" s="15" t="s">
        <v>127</v>
      </c>
      <c r="D50" s="3" t="s">
        <v>128</v>
      </c>
      <c r="E50" s="15" t="s">
        <v>122</v>
      </c>
      <c r="F50" s="12">
        <v>100</v>
      </c>
      <c r="G50" s="13">
        <v>18</v>
      </c>
      <c r="H50" s="13">
        <v>1800</v>
      </c>
      <c r="I50" s="12"/>
      <c r="J50" s="12">
        <v>100</v>
      </c>
    </row>
    <row r="51" spans="1:10" ht="105">
      <c r="A51" s="23" t="s">
        <v>106</v>
      </c>
      <c r="B51" s="3"/>
      <c r="C51" s="15" t="s">
        <v>20</v>
      </c>
      <c r="D51" s="3" t="s">
        <v>129</v>
      </c>
      <c r="E51" s="15" t="s">
        <v>122</v>
      </c>
      <c r="F51" s="12"/>
      <c r="G51" s="13">
        <v>10.57</v>
      </c>
      <c r="H51" s="13">
        <v>1057</v>
      </c>
      <c r="I51" s="12"/>
      <c r="J51" s="12">
        <v>0</v>
      </c>
    </row>
    <row r="52" spans="1:10" ht="105">
      <c r="A52" s="23" t="s">
        <v>106</v>
      </c>
      <c r="B52" s="3"/>
      <c r="C52" s="15" t="s">
        <v>130</v>
      </c>
      <c r="D52" s="3" t="s">
        <v>131</v>
      </c>
      <c r="E52" s="15" t="s">
        <v>132</v>
      </c>
      <c r="F52" s="12"/>
      <c r="G52" s="13">
        <v>0.99994000000000005</v>
      </c>
      <c r="H52" s="13">
        <v>13999.16</v>
      </c>
      <c r="I52" s="12"/>
      <c r="J52" s="12"/>
    </row>
    <row r="53" spans="1:10" ht="31.5">
      <c r="A53" s="23" t="s">
        <v>106</v>
      </c>
      <c r="B53" s="3"/>
      <c r="C53" s="15" t="s">
        <v>133</v>
      </c>
      <c r="D53" s="3"/>
      <c r="E53" s="15"/>
      <c r="F53" s="12"/>
      <c r="G53" s="13">
        <v>10.353</v>
      </c>
      <c r="H53" s="13">
        <v>1035.3</v>
      </c>
      <c r="I53" s="12"/>
      <c r="J53" s="12"/>
    </row>
    <row r="54" spans="1:10" ht="180">
      <c r="A54" s="23" t="s">
        <v>106</v>
      </c>
      <c r="B54" s="3"/>
      <c r="C54" s="15" t="s">
        <v>134</v>
      </c>
      <c r="D54" s="3" t="s">
        <v>135</v>
      </c>
      <c r="E54" s="15" t="s">
        <v>132</v>
      </c>
      <c r="F54" s="12"/>
      <c r="G54" s="13">
        <v>0.94778571428571423</v>
      </c>
      <c r="H54" s="13">
        <v>13269</v>
      </c>
      <c r="I54" s="12"/>
      <c r="J54" s="12"/>
    </row>
    <row r="55" spans="1:10" ht="150">
      <c r="A55" s="23"/>
      <c r="B55" s="3"/>
      <c r="C55" s="15" t="s">
        <v>136</v>
      </c>
      <c r="D55" s="3" t="s">
        <v>137</v>
      </c>
      <c r="E55" s="15" t="s">
        <v>132</v>
      </c>
      <c r="F55" s="12"/>
      <c r="G55" s="13">
        <v>0.371</v>
      </c>
      <c r="H55" s="13">
        <v>5194</v>
      </c>
      <c r="I55" s="12"/>
      <c r="J55" s="12"/>
    </row>
    <row r="56" spans="1:10" ht="150">
      <c r="A56" s="22" t="s">
        <v>138</v>
      </c>
      <c r="B56" s="68"/>
      <c r="C56" s="69" t="s">
        <v>139</v>
      </c>
      <c r="D56" s="68" t="s">
        <v>140</v>
      </c>
      <c r="E56" s="69" t="s">
        <v>122</v>
      </c>
      <c r="F56" s="12">
        <v>800</v>
      </c>
      <c r="G56" s="13">
        <v>9.4350000000000005</v>
      </c>
      <c r="H56" s="13">
        <v>943.5</v>
      </c>
      <c r="I56" s="12"/>
      <c r="J56" s="12">
        <v>800</v>
      </c>
    </row>
    <row r="57" spans="1:10" ht="150">
      <c r="A57" s="22" t="s">
        <v>138</v>
      </c>
      <c r="B57" s="68"/>
      <c r="C57" s="69" t="s">
        <v>141</v>
      </c>
      <c r="D57" s="68" t="s">
        <v>140</v>
      </c>
      <c r="E57" s="69" t="s">
        <v>122</v>
      </c>
      <c r="F57" s="12">
        <v>0</v>
      </c>
      <c r="G57" s="13">
        <v>9.4350000000000005</v>
      </c>
      <c r="H57" s="13">
        <v>943.5</v>
      </c>
      <c r="I57" s="12"/>
      <c r="J57" s="12">
        <v>0</v>
      </c>
    </row>
    <row r="58" spans="1:10" ht="150">
      <c r="A58" s="22" t="s">
        <v>138</v>
      </c>
      <c r="B58" s="68"/>
      <c r="C58" s="69" t="s">
        <v>16</v>
      </c>
      <c r="D58" s="68" t="s">
        <v>142</v>
      </c>
      <c r="E58" s="69" t="s">
        <v>122</v>
      </c>
      <c r="F58" s="12">
        <v>3000</v>
      </c>
      <c r="G58" s="13">
        <v>12.23</v>
      </c>
      <c r="H58" s="13">
        <v>1223</v>
      </c>
      <c r="I58" s="12"/>
      <c r="J58" s="12">
        <v>3000</v>
      </c>
    </row>
    <row r="59" spans="1:10" ht="105">
      <c r="A59" s="22" t="s">
        <v>138</v>
      </c>
      <c r="B59" s="68"/>
      <c r="C59" s="69" t="s">
        <v>143</v>
      </c>
      <c r="D59" s="68" t="s">
        <v>144</v>
      </c>
      <c r="E59" s="69" t="s">
        <v>122</v>
      </c>
      <c r="F59" s="12">
        <v>100</v>
      </c>
      <c r="G59" s="13">
        <v>98</v>
      </c>
      <c r="H59" s="13">
        <v>9800</v>
      </c>
      <c r="I59" s="12"/>
      <c r="J59" s="12">
        <v>100</v>
      </c>
    </row>
    <row r="60" spans="1:10" ht="120">
      <c r="A60" s="22" t="s">
        <v>138</v>
      </c>
      <c r="B60" s="68"/>
      <c r="C60" s="69" t="s">
        <v>145</v>
      </c>
      <c r="D60" s="68" t="s">
        <v>146</v>
      </c>
      <c r="E60" s="69" t="s">
        <v>122</v>
      </c>
      <c r="F60" s="12">
        <v>80</v>
      </c>
      <c r="G60" s="13">
        <v>98</v>
      </c>
      <c r="H60" s="13">
        <v>9800</v>
      </c>
      <c r="I60" s="12"/>
      <c r="J60" s="12">
        <v>80</v>
      </c>
    </row>
    <row r="61" spans="1:10" ht="105">
      <c r="A61" s="22" t="s">
        <v>138</v>
      </c>
      <c r="B61" s="68"/>
      <c r="C61" s="69" t="s">
        <v>145</v>
      </c>
      <c r="D61" s="68" t="s">
        <v>147</v>
      </c>
      <c r="E61" s="69" t="s">
        <v>122</v>
      </c>
      <c r="F61" s="12">
        <v>100</v>
      </c>
      <c r="G61" s="13">
        <v>98</v>
      </c>
      <c r="H61" s="13">
        <v>9800</v>
      </c>
      <c r="I61" s="12"/>
      <c r="J61" s="12">
        <v>100</v>
      </c>
    </row>
    <row r="62" spans="1:10">
      <c r="A62" s="24" t="s">
        <v>148</v>
      </c>
      <c r="B62" s="1">
        <v>1</v>
      </c>
      <c r="C62" s="16" t="s">
        <v>149</v>
      </c>
      <c r="D62" s="1" t="s">
        <v>150</v>
      </c>
      <c r="E62" s="16" t="s">
        <v>151</v>
      </c>
      <c r="F62" s="12">
        <v>2995</v>
      </c>
      <c r="G62" s="13">
        <v>131.97</v>
      </c>
      <c r="H62" s="13">
        <v>131.97</v>
      </c>
      <c r="I62" s="12"/>
      <c r="J62" s="12">
        <v>2995</v>
      </c>
    </row>
    <row r="63" spans="1:10">
      <c r="A63" s="24" t="s">
        <v>148</v>
      </c>
      <c r="B63" s="1">
        <v>2</v>
      </c>
      <c r="C63" s="16" t="s">
        <v>152</v>
      </c>
      <c r="D63" s="1" t="s">
        <v>150</v>
      </c>
      <c r="E63" s="16" t="s">
        <v>151</v>
      </c>
      <c r="F63" s="12">
        <v>300</v>
      </c>
      <c r="G63" s="13">
        <v>131.97</v>
      </c>
      <c r="H63" s="13">
        <v>131.97</v>
      </c>
      <c r="I63" s="12"/>
      <c r="J63" s="12">
        <v>300</v>
      </c>
    </row>
    <row r="64" spans="1:10">
      <c r="A64" s="24" t="s">
        <v>148</v>
      </c>
      <c r="B64" s="1">
        <v>3</v>
      </c>
      <c r="C64" s="16" t="s">
        <v>153</v>
      </c>
      <c r="D64" s="1" t="s">
        <v>150</v>
      </c>
      <c r="E64" s="16" t="s">
        <v>151</v>
      </c>
      <c r="F64" s="12">
        <v>390</v>
      </c>
      <c r="G64" s="13">
        <v>131.97</v>
      </c>
      <c r="H64" s="13">
        <v>131.97</v>
      </c>
      <c r="I64" s="12"/>
      <c r="J64" s="12">
        <v>390</v>
      </c>
    </row>
    <row r="65" spans="1:10">
      <c r="A65" s="24" t="s">
        <v>148</v>
      </c>
      <c r="B65" s="1">
        <v>4</v>
      </c>
      <c r="C65" s="16" t="s">
        <v>154</v>
      </c>
      <c r="D65" s="1" t="s">
        <v>150</v>
      </c>
      <c r="E65" s="16" t="s">
        <v>151</v>
      </c>
      <c r="F65" s="12">
        <v>13200</v>
      </c>
      <c r="G65" s="13">
        <v>131.97</v>
      </c>
      <c r="H65" s="13">
        <v>131.97</v>
      </c>
      <c r="I65" s="12"/>
      <c r="J65" s="12">
        <v>13200</v>
      </c>
    </row>
    <row r="66" spans="1:10">
      <c r="A66" s="24" t="s">
        <v>148</v>
      </c>
      <c r="B66" s="1">
        <v>5</v>
      </c>
      <c r="C66" s="16" t="s">
        <v>155</v>
      </c>
      <c r="D66" s="1" t="s">
        <v>150</v>
      </c>
      <c r="E66" s="16" t="s">
        <v>151</v>
      </c>
      <c r="F66" s="12">
        <v>20000</v>
      </c>
      <c r="G66" s="13">
        <v>131.97</v>
      </c>
      <c r="H66" s="13">
        <v>131.97</v>
      </c>
      <c r="I66" s="12"/>
      <c r="J66" s="12">
        <v>20000</v>
      </c>
    </row>
    <row r="67" spans="1:10">
      <c r="A67" s="24" t="s">
        <v>148</v>
      </c>
      <c r="B67" s="1">
        <v>6</v>
      </c>
      <c r="C67" s="16" t="s">
        <v>156</v>
      </c>
      <c r="D67" s="1" t="s">
        <v>150</v>
      </c>
      <c r="E67" s="16" t="s">
        <v>151</v>
      </c>
      <c r="F67" s="12">
        <v>19000</v>
      </c>
      <c r="G67" s="13">
        <v>131.97</v>
      </c>
      <c r="H67" s="13">
        <v>131.97</v>
      </c>
      <c r="I67" s="12"/>
      <c r="J67" s="12">
        <v>19000</v>
      </c>
    </row>
    <row r="68" spans="1:10">
      <c r="A68" s="24" t="s">
        <v>148</v>
      </c>
      <c r="B68" s="1">
        <v>7</v>
      </c>
      <c r="C68" s="16" t="s">
        <v>157</v>
      </c>
      <c r="D68" s="1" t="s">
        <v>150</v>
      </c>
      <c r="E68" s="16" t="s">
        <v>151</v>
      </c>
      <c r="F68" s="12">
        <v>18000</v>
      </c>
      <c r="G68" s="13">
        <v>131.97</v>
      </c>
      <c r="H68" s="13">
        <v>131.97</v>
      </c>
      <c r="I68" s="12"/>
      <c r="J68" s="12">
        <v>18000</v>
      </c>
    </row>
    <row r="69" spans="1:10">
      <c r="A69" s="24" t="s">
        <v>148</v>
      </c>
      <c r="B69" s="1">
        <v>8</v>
      </c>
      <c r="C69" s="16" t="s">
        <v>158</v>
      </c>
      <c r="D69" s="1" t="s">
        <v>150</v>
      </c>
      <c r="E69" s="16" t="s">
        <v>151</v>
      </c>
      <c r="F69" s="12">
        <v>17000</v>
      </c>
      <c r="G69" s="13">
        <v>131.97</v>
      </c>
      <c r="H69" s="13">
        <v>131.97</v>
      </c>
      <c r="I69" s="12"/>
      <c r="J69" s="12">
        <v>17000</v>
      </c>
    </row>
    <row r="70" spans="1:10">
      <c r="A70" s="24" t="s">
        <v>148</v>
      </c>
      <c r="B70" s="1">
        <v>9</v>
      </c>
      <c r="C70" s="16" t="s">
        <v>159</v>
      </c>
      <c r="D70" s="1" t="s">
        <v>160</v>
      </c>
      <c r="E70" s="16" t="s">
        <v>151</v>
      </c>
      <c r="F70" s="12">
        <v>505</v>
      </c>
      <c r="G70" s="13">
        <v>131.97</v>
      </c>
      <c r="H70" s="13">
        <v>131.97</v>
      </c>
      <c r="I70" s="12"/>
      <c r="J70" s="12">
        <v>505</v>
      </c>
    </row>
    <row r="71" spans="1:10">
      <c r="A71" s="24" t="s">
        <v>148</v>
      </c>
      <c r="B71" s="1">
        <v>10</v>
      </c>
      <c r="C71" s="16" t="s">
        <v>161</v>
      </c>
      <c r="D71" s="1" t="s">
        <v>160</v>
      </c>
      <c r="E71" s="16" t="s">
        <v>151</v>
      </c>
      <c r="F71" s="12">
        <v>650</v>
      </c>
      <c r="G71" s="13">
        <v>131.97</v>
      </c>
      <c r="H71" s="13">
        <v>131.97</v>
      </c>
      <c r="I71" s="12"/>
      <c r="J71" s="12">
        <v>650</v>
      </c>
    </row>
    <row r="72" spans="1:10">
      <c r="A72" s="24" t="s">
        <v>148</v>
      </c>
      <c r="B72" s="1">
        <v>11</v>
      </c>
      <c r="C72" s="16" t="s">
        <v>162</v>
      </c>
      <c r="D72" s="1" t="s">
        <v>160</v>
      </c>
      <c r="E72" s="16" t="s">
        <v>151</v>
      </c>
      <c r="F72" s="12">
        <v>1000</v>
      </c>
      <c r="G72" s="13">
        <v>131.97</v>
      </c>
      <c r="H72" s="13">
        <v>131.97</v>
      </c>
      <c r="I72" s="12"/>
      <c r="J72" s="12">
        <v>1000</v>
      </c>
    </row>
    <row r="73" spans="1:10">
      <c r="A73" s="24" t="s">
        <v>148</v>
      </c>
      <c r="B73" s="1">
        <v>12</v>
      </c>
      <c r="C73" s="16" t="s">
        <v>163</v>
      </c>
      <c r="D73" s="1" t="s">
        <v>164</v>
      </c>
      <c r="E73" s="16" t="s">
        <v>151</v>
      </c>
      <c r="F73" s="12">
        <v>1160</v>
      </c>
      <c r="G73" s="13">
        <v>131.97</v>
      </c>
      <c r="H73" s="13">
        <v>131.97</v>
      </c>
      <c r="I73" s="12"/>
      <c r="J73" s="12">
        <v>1160</v>
      </c>
    </row>
    <row r="74" spans="1:10">
      <c r="A74" s="24" t="s">
        <v>148</v>
      </c>
      <c r="B74" s="1">
        <v>13</v>
      </c>
      <c r="C74" s="16" t="s">
        <v>165</v>
      </c>
      <c r="D74" s="1" t="s">
        <v>150</v>
      </c>
      <c r="E74" s="16" t="s">
        <v>151</v>
      </c>
      <c r="F74" s="12">
        <v>500</v>
      </c>
      <c r="G74" s="13">
        <v>131.97</v>
      </c>
      <c r="H74" s="13">
        <v>131.97</v>
      </c>
      <c r="I74" s="12"/>
      <c r="J74" s="12">
        <v>500</v>
      </c>
    </row>
    <row r="75" spans="1:10">
      <c r="A75" s="24" t="s">
        <v>148</v>
      </c>
      <c r="B75" s="1">
        <v>14</v>
      </c>
      <c r="C75" s="16" t="s">
        <v>166</v>
      </c>
      <c r="D75" s="1" t="s">
        <v>160</v>
      </c>
      <c r="E75" s="16" t="s">
        <v>151</v>
      </c>
      <c r="F75" s="12">
        <v>179</v>
      </c>
      <c r="G75" s="13">
        <v>131.97</v>
      </c>
      <c r="H75" s="13">
        <v>131.97</v>
      </c>
      <c r="I75" s="12"/>
      <c r="J75" s="12">
        <v>179</v>
      </c>
    </row>
    <row r="76" spans="1:10">
      <c r="A76" s="24" t="s">
        <v>148</v>
      </c>
      <c r="B76" s="1">
        <v>16</v>
      </c>
      <c r="C76" s="16" t="s">
        <v>167</v>
      </c>
      <c r="D76" s="1" t="s">
        <v>150</v>
      </c>
      <c r="E76" s="16" t="s">
        <v>151</v>
      </c>
      <c r="F76" s="12">
        <v>2373</v>
      </c>
      <c r="G76" s="13">
        <v>131.97</v>
      </c>
      <c r="H76" s="13">
        <v>131.97</v>
      </c>
      <c r="I76" s="12"/>
      <c r="J76" s="12">
        <v>2373</v>
      </c>
    </row>
    <row r="77" spans="1:10">
      <c r="A77" s="24" t="s">
        <v>148</v>
      </c>
      <c r="B77" s="1">
        <v>17</v>
      </c>
      <c r="C77" s="16" t="s">
        <v>168</v>
      </c>
      <c r="D77" s="1" t="s">
        <v>150</v>
      </c>
      <c r="E77" s="16" t="s">
        <v>151</v>
      </c>
      <c r="F77" s="12">
        <v>800</v>
      </c>
      <c r="G77" s="13">
        <v>131.97</v>
      </c>
      <c r="H77" s="13">
        <v>131.97</v>
      </c>
      <c r="I77" s="12"/>
      <c r="J77" s="12">
        <v>800</v>
      </c>
    </row>
    <row r="78" spans="1:10">
      <c r="A78" s="24" t="s">
        <v>148</v>
      </c>
      <c r="B78" s="1">
        <v>18</v>
      </c>
      <c r="C78" s="16" t="s">
        <v>169</v>
      </c>
      <c r="D78" s="1" t="s">
        <v>150</v>
      </c>
      <c r="E78" s="16" t="s">
        <v>151</v>
      </c>
      <c r="F78" s="12">
        <v>9250</v>
      </c>
      <c r="G78" s="13">
        <v>131.97</v>
      </c>
      <c r="H78" s="13">
        <v>131.97</v>
      </c>
      <c r="I78" s="12"/>
      <c r="J78" s="12">
        <v>9250</v>
      </c>
    </row>
    <row r="79" spans="1:10">
      <c r="A79" s="24" t="s">
        <v>148</v>
      </c>
      <c r="B79" s="1">
        <v>19</v>
      </c>
      <c r="C79" s="16" t="s">
        <v>170</v>
      </c>
      <c r="D79" s="1" t="s">
        <v>150</v>
      </c>
      <c r="E79" s="16" t="s">
        <v>151</v>
      </c>
      <c r="F79" s="12">
        <v>3997</v>
      </c>
      <c r="G79" s="13">
        <v>131.97</v>
      </c>
      <c r="H79" s="13">
        <v>131.97</v>
      </c>
      <c r="I79" s="12"/>
      <c r="J79" s="12">
        <v>3997</v>
      </c>
    </row>
    <row r="80" spans="1:10">
      <c r="A80" s="24" t="s">
        <v>148</v>
      </c>
      <c r="B80" s="1">
        <v>20</v>
      </c>
      <c r="C80" s="16" t="s">
        <v>171</v>
      </c>
      <c r="D80" s="1" t="s">
        <v>150</v>
      </c>
      <c r="E80" s="16" t="s">
        <v>151</v>
      </c>
      <c r="F80" s="12">
        <v>16000</v>
      </c>
      <c r="G80" s="13">
        <v>131.97</v>
      </c>
      <c r="H80" s="13">
        <v>131.97</v>
      </c>
      <c r="I80" s="12"/>
      <c r="J80" s="12">
        <v>16000</v>
      </c>
    </row>
    <row r="81" spans="1:10">
      <c r="A81" s="24" t="s">
        <v>148</v>
      </c>
      <c r="B81" s="1">
        <v>21</v>
      </c>
      <c r="C81" s="16" t="s">
        <v>172</v>
      </c>
      <c r="D81" s="1" t="s">
        <v>150</v>
      </c>
      <c r="E81" s="16" t="s">
        <v>151</v>
      </c>
      <c r="F81" s="12">
        <v>2432</v>
      </c>
      <c r="G81" s="13">
        <v>131.97</v>
      </c>
      <c r="H81" s="13">
        <v>131.97</v>
      </c>
      <c r="I81" s="12"/>
      <c r="J81" s="12">
        <v>2432</v>
      </c>
    </row>
    <row r="82" spans="1:10">
      <c r="A82" s="24" t="s">
        <v>148</v>
      </c>
      <c r="B82" s="2">
        <v>22</v>
      </c>
      <c r="C82" s="17" t="s">
        <v>173</v>
      </c>
      <c r="D82" s="2" t="s">
        <v>150</v>
      </c>
      <c r="E82" s="17" t="s">
        <v>151</v>
      </c>
      <c r="F82" s="12">
        <v>2000</v>
      </c>
      <c r="G82" s="13">
        <v>131.97</v>
      </c>
      <c r="H82" s="13">
        <v>131.97</v>
      </c>
      <c r="I82" s="12"/>
      <c r="J82" s="12">
        <v>2000</v>
      </c>
    </row>
    <row r="83" spans="1:10">
      <c r="A83" s="24" t="s">
        <v>148</v>
      </c>
      <c r="B83" s="1">
        <v>23</v>
      </c>
      <c r="C83" s="16" t="s">
        <v>174</v>
      </c>
      <c r="D83" s="1" t="s">
        <v>150</v>
      </c>
      <c r="E83" s="16" t="s">
        <v>151</v>
      </c>
      <c r="F83" s="12">
        <v>44</v>
      </c>
      <c r="G83" s="13">
        <v>131.97</v>
      </c>
      <c r="H83" s="13">
        <v>131.97</v>
      </c>
      <c r="I83" s="12"/>
      <c r="J83" s="12">
        <v>44</v>
      </c>
    </row>
    <row r="84" spans="1:10" ht="30">
      <c r="A84" s="24" t="s">
        <v>148</v>
      </c>
      <c r="B84" s="6">
        <v>24</v>
      </c>
      <c r="C84" s="18" t="s">
        <v>175</v>
      </c>
      <c r="D84" s="6" t="s">
        <v>176</v>
      </c>
      <c r="E84" s="18" t="s">
        <v>151</v>
      </c>
      <c r="F84" s="12">
        <v>800</v>
      </c>
      <c r="G84" s="13">
        <v>249.9</v>
      </c>
      <c r="H84" s="13">
        <v>249.9</v>
      </c>
      <c r="I84" s="12"/>
      <c r="J84" s="12">
        <v>800</v>
      </c>
    </row>
    <row r="85" spans="1:10">
      <c r="A85" s="24" t="s">
        <v>148</v>
      </c>
      <c r="B85" s="7">
        <v>25</v>
      </c>
      <c r="C85" s="19" t="s">
        <v>177</v>
      </c>
      <c r="D85" s="7" t="s">
        <v>150</v>
      </c>
      <c r="E85" s="19" t="s">
        <v>151</v>
      </c>
      <c r="F85" s="12">
        <v>0</v>
      </c>
      <c r="G85" s="13">
        <v>1280.44</v>
      </c>
      <c r="H85" s="13">
        <v>1280.44</v>
      </c>
      <c r="I85" s="12"/>
      <c r="J85" s="12">
        <v>0</v>
      </c>
    </row>
    <row r="86" spans="1:10" ht="30">
      <c r="A86" s="24" t="s">
        <v>148</v>
      </c>
      <c r="B86" s="6">
        <v>26</v>
      </c>
      <c r="C86" s="18" t="s">
        <v>178</v>
      </c>
      <c r="D86" s="6" t="s">
        <v>150</v>
      </c>
      <c r="E86" s="18" t="s">
        <v>151</v>
      </c>
      <c r="F86" s="12">
        <v>192</v>
      </c>
      <c r="G86" s="13">
        <v>1280.44</v>
      </c>
      <c r="H86" s="13">
        <v>1280.44</v>
      </c>
      <c r="I86" s="12"/>
      <c r="J86" s="12">
        <v>192</v>
      </c>
    </row>
    <row r="87" spans="1:10" ht="30">
      <c r="A87" s="24" t="s">
        <v>148</v>
      </c>
      <c r="B87" s="6">
        <v>27</v>
      </c>
      <c r="C87" s="18" t="s">
        <v>179</v>
      </c>
      <c r="D87" s="6" t="s">
        <v>150</v>
      </c>
      <c r="E87" s="18" t="s">
        <v>151</v>
      </c>
      <c r="F87" s="12">
        <v>20</v>
      </c>
      <c r="G87" s="13">
        <v>1280.44</v>
      </c>
      <c r="H87" s="13">
        <v>1280.44</v>
      </c>
      <c r="I87" s="12"/>
      <c r="J87" s="12">
        <v>20</v>
      </c>
    </row>
    <row r="88" spans="1:10" ht="30">
      <c r="A88" s="24" t="s">
        <v>148</v>
      </c>
      <c r="B88" s="6">
        <v>28</v>
      </c>
      <c r="C88" s="18" t="s">
        <v>180</v>
      </c>
      <c r="D88" s="6" t="s">
        <v>150</v>
      </c>
      <c r="E88" s="18" t="s">
        <v>151</v>
      </c>
      <c r="F88" s="12">
        <v>46</v>
      </c>
      <c r="G88" s="13">
        <v>1280.44</v>
      </c>
      <c r="H88" s="13">
        <v>1280.44</v>
      </c>
      <c r="I88" s="12"/>
      <c r="J88" s="12">
        <v>46</v>
      </c>
    </row>
    <row r="89" spans="1:10">
      <c r="A89" s="24" t="s">
        <v>148</v>
      </c>
      <c r="B89" s="6">
        <v>29</v>
      </c>
      <c r="C89" s="18" t="s">
        <v>181</v>
      </c>
      <c r="D89" s="6" t="s">
        <v>150</v>
      </c>
      <c r="E89" s="18" t="s">
        <v>151</v>
      </c>
      <c r="F89" s="12">
        <v>20</v>
      </c>
      <c r="G89" s="13">
        <v>1280.44</v>
      </c>
      <c r="H89" s="13">
        <v>1280.44</v>
      </c>
      <c r="I89" s="12"/>
      <c r="J89" s="12">
        <v>20</v>
      </c>
    </row>
    <row r="90" spans="1:10">
      <c r="A90" s="24" t="s">
        <v>148</v>
      </c>
      <c r="B90" s="7">
        <v>30</v>
      </c>
      <c r="C90" s="19" t="s">
        <v>182</v>
      </c>
      <c r="D90" s="7" t="s">
        <v>150</v>
      </c>
      <c r="E90" s="19" t="s">
        <v>151</v>
      </c>
      <c r="F90" s="12">
        <v>400</v>
      </c>
      <c r="G90" s="13">
        <v>1280.44</v>
      </c>
      <c r="H90" s="13">
        <v>1280.44</v>
      </c>
      <c r="I90" s="12"/>
      <c r="J90" s="12">
        <v>400</v>
      </c>
    </row>
    <row r="91" spans="1:10" ht="30">
      <c r="A91" s="24" t="s">
        <v>148</v>
      </c>
      <c r="B91" s="6">
        <v>31</v>
      </c>
      <c r="C91" s="18" t="s">
        <v>183</v>
      </c>
      <c r="D91" s="6" t="s">
        <v>150</v>
      </c>
      <c r="E91" s="18" t="s">
        <v>151</v>
      </c>
      <c r="F91" s="12">
        <v>20</v>
      </c>
      <c r="G91" s="13">
        <v>1280.44</v>
      </c>
      <c r="H91" s="13">
        <v>1280.44</v>
      </c>
      <c r="I91" s="12"/>
      <c r="J91" s="12">
        <v>20</v>
      </c>
    </row>
    <row r="92" spans="1:10">
      <c r="A92" s="24" t="s">
        <v>148</v>
      </c>
      <c r="B92" s="1">
        <v>32</v>
      </c>
      <c r="C92" s="16" t="s">
        <v>184</v>
      </c>
      <c r="D92" s="1" t="s">
        <v>185</v>
      </c>
      <c r="E92" s="16" t="s">
        <v>151</v>
      </c>
      <c r="F92" s="12">
        <v>114</v>
      </c>
      <c r="G92" s="13">
        <v>1505.04</v>
      </c>
      <c r="H92" s="13">
        <v>1505.04</v>
      </c>
      <c r="I92" s="12"/>
      <c r="J92" s="12">
        <v>114</v>
      </c>
    </row>
    <row r="93" spans="1:10">
      <c r="A93" s="24" t="s">
        <v>148</v>
      </c>
      <c r="B93" s="1">
        <v>33</v>
      </c>
      <c r="C93" s="16" t="s">
        <v>186</v>
      </c>
      <c r="D93" s="1" t="s">
        <v>185</v>
      </c>
      <c r="E93" s="16" t="s">
        <v>151</v>
      </c>
      <c r="F93" s="12">
        <v>50</v>
      </c>
      <c r="G93" s="13">
        <v>1505.04</v>
      </c>
      <c r="H93" s="13">
        <v>1505.04</v>
      </c>
      <c r="I93" s="12"/>
      <c r="J93" s="12">
        <v>50</v>
      </c>
    </row>
    <row r="94" spans="1:10">
      <c r="A94" s="24" t="s">
        <v>148</v>
      </c>
      <c r="B94" s="1">
        <v>34</v>
      </c>
      <c r="C94" s="16" t="s">
        <v>187</v>
      </c>
      <c r="D94" s="1" t="s">
        <v>185</v>
      </c>
      <c r="E94" s="16" t="s">
        <v>151</v>
      </c>
      <c r="F94" s="12">
        <v>241</v>
      </c>
      <c r="G94" s="13">
        <v>3628.57</v>
      </c>
      <c r="H94" s="13">
        <v>3628.57</v>
      </c>
      <c r="I94" s="12"/>
      <c r="J94" s="12">
        <v>241</v>
      </c>
    </row>
    <row r="95" spans="1:10">
      <c r="A95" s="24" t="s">
        <v>148</v>
      </c>
      <c r="B95" s="1">
        <v>35</v>
      </c>
      <c r="C95" s="16"/>
      <c r="D95" s="1"/>
      <c r="E95" s="16" t="s">
        <v>151</v>
      </c>
      <c r="F95" s="12"/>
      <c r="G95" s="13">
        <v>0</v>
      </c>
      <c r="H95" s="13">
        <v>0</v>
      </c>
      <c r="I95" s="12"/>
      <c r="J95" s="12">
        <v>0</v>
      </c>
    </row>
    <row r="96" spans="1:10">
      <c r="A96" s="24" t="s">
        <v>148</v>
      </c>
      <c r="B96" s="1">
        <v>36</v>
      </c>
      <c r="C96" s="16"/>
      <c r="D96" s="1"/>
      <c r="E96" s="16" t="s">
        <v>151</v>
      </c>
      <c r="F96" s="12"/>
      <c r="G96" s="13">
        <v>0</v>
      </c>
      <c r="H96" s="13">
        <v>0</v>
      </c>
      <c r="I96" s="12"/>
      <c r="J96" s="12">
        <v>0</v>
      </c>
    </row>
    <row r="97" spans="1:10">
      <c r="A97" s="24" t="s">
        <v>148</v>
      </c>
      <c r="B97" s="1">
        <v>37</v>
      </c>
      <c r="C97" s="16"/>
      <c r="D97" s="1"/>
      <c r="E97" s="16" t="s">
        <v>151</v>
      </c>
      <c r="F97" s="12"/>
      <c r="G97" s="13">
        <v>0</v>
      </c>
      <c r="H97" s="13">
        <v>0</v>
      </c>
      <c r="I97" s="12"/>
      <c r="J97" s="12">
        <v>0</v>
      </c>
    </row>
    <row r="98" spans="1:10">
      <c r="A98" s="24" t="s">
        <v>148</v>
      </c>
      <c r="B98" s="1">
        <v>38</v>
      </c>
      <c r="C98" s="16"/>
      <c r="D98" s="1"/>
      <c r="E98" s="16" t="s">
        <v>151</v>
      </c>
      <c r="F98" s="12"/>
      <c r="G98" s="13">
        <v>0</v>
      </c>
      <c r="H98" s="13">
        <v>0</v>
      </c>
      <c r="I98" s="12"/>
      <c r="J98" s="12">
        <v>0</v>
      </c>
    </row>
    <row r="99" spans="1:10">
      <c r="A99" s="24" t="s">
        <v>148</v>
      </c>
      <c r="B99" s="2">
        <v>39</v>
      </c>
      <c r="C99" s="17" t="s">
        <v>188</v>
      </c>
      <c r="D99" s="2" t="s">
        <v>189</v>
      </c>
      <c r="E99" s="17" t="s">
        <v>151</v>
      </c>
      <c r="F99" s="12">
        <v>270</v>
      </c>
      <c r="G99" s="13">
        <v>1275.68</v>
      </c>
      <c r="H99" s="13">
        <v>1275.68</v>
      </c>
      <c r="I99" s="12"/>
      <c r="J99" s="12">
        <v>270</v>
      </c>
    </row>
    <row r="100" spans="1:10">
      <c r="A100" s="24" t="s">
        <v>148</v>
      </c>
      <c r="B100" s="1">
        <v>40</v>
      </c>
      <c r="C100" s="16" t="s">
        <v>190</v>
      </c>
      <c r="D100" s="1" t="s">
        <v>189</v>
      </c>
      <c r="E100" s="16" t="s">
        <v>151</v>
      </c>
      <c r="F100" s="12">
        <v>133</v>
      </c>
      <c r="G100" s="13">
        <v>1275.68</v>
      </c>
      <c r="H100" s="13">
        <v>1275.68</v>
      </c>
      <c r="I100" s="12"/>
      <c r="J100" s="12">
        <v>133</v>
      </c>
    </row>
    <row r="101" spans="1:10">
      <c r="A101" s="24" t="s">
        <v>148</v>
      </c>
      <c r="B101" s="1">
        <v>41</v>
      </c>
      <c r="C101" s="16" t="s">
        <v>191</v>
      </c>
      <c r="D101" s="1" t="s">
        <v>189</v>
      </c>
      <c r="E101" s="16" t="s">
        <v>151</v>
      </c>
      <c r="F101" s="12">
        <v>378</v>
      </c>
      <c r="G101" s="13">
        <v>3373</v>
      </c>
      <c r="H101" s="13">
        <v>3373</v>
      </c>
      <c r="I101" s="12"/>
      <c r="J101" s="12">
        <v>378</v>
      </c>
    </row>
    <row r="102" spans="1:10">
      <c r="A102" s="24" t="s">
        <v>148</v>
      </c>
      <c r="B102" s="1">
        <v>42</v>
      </c>
      <c r="C102" s="16" t="s">
        <v>192</v>
      </c>
      <c r="D102" s="1" t="s">
        <v>189</v>
      </c>
      <c r="E102" s="16" t="s">
        <v>151</v>
      </c>
      <c r="F102" s="12">
        <v>210</v>
      </c>
      <c r="G102" s="13">
        <v>3373</v>
      </c>
      <c r="H102" s="13">
        <v>3373</v>
      </c>
      <c r="I102" s="12"/>
      <c r="J102" s="12">
        <v>210</v>
      </c>
    </row>
    <row r="103" spans="1:10">
      <c r="A103" s="24" t="s">
        <v>148</v>
      </c>
      <c r="B103" s="1">
        <v>43</v>
      </c>
      <c r="C103" s="16" t="s">
        <v>193</v>
      </c>
      <c r="D103" s="1" t="s">
        <v>189</v>
      </c>
      <c r="E103" s="16" t="s">
        <v>151</v>
      </c>
      <c r="F103" s="12">
        <v>18</v>
      </c>
      <c r="G103" s="13">
        <v>1275.68</v>
      </c>
      <c r="H103" s="13">
        <v>1275.68</v>
      </c>
      <c r="I103" s="12"/>
      <c r="J103" s="12">
        <v>18</v>
      </c>
    </row>
    <row r="104" spans="1:10">
      <c r="A104" s="24" t="s">
        <v>148</v>
      </c>
      <c r="B104" s="1">
        <v>44</v>
      </c>
      <c r="C104" s="16" t="s">
        <v>194</v>
      </c>
      <c r="D104" s="1" t="s">
        <v>189</v>
      </c>
      <c r="E104" s="16" t="s">
        <v>151</v>
      </c>
      <c r="F104" s="12">
        <v>100</v>
      </c>
      <c r="G104" s="13">
        <v>1225.7</v>
      </c>
      <c r="H104" s="13">
        <v>1225.7</v>
      </c>
      <c r="I104" s="12"/>
      <c r="J104" s="12">
        <v>100</v>
      </c>
    </row>
    <row r="105" spans="1:10">
      <c r="A105" s="24" t="s">
        <v>148</v>
      </c>
      <c r="B105" s="1">
        <v>45</v>
      </c>
      <c r="C105" s="16" t="s">
        <v>195</v>
      </c>
      <c r="D105" s="1" t="s">
        <v>189</v>
      </c>
      <c r="E105" s="16" t="s">
        <v>151</v>
      </c>
      <c r="F105" s="12">
        <v>60</v>
      </c>
      <c r="G105" s="13">
        <v>1225.7</v>
      </c>
      <c r="H105" s="13">
        <v>1225.7</v>
      </c>
      <c r="I105" s="12"/>
      <c r="J105" s="12">
        <v>60</v>
      </c>
    </row>
    <row r="106" spans="1:10" ht="30">
      <c r="A106" s="24" t="s">
        <v>148</v>
      </c>
      <c r="B106" s="1">
        <v>46</v>
      </c>
      <c r="C106" s="16" t="s">
        <v>196</v>
      </c>
      <c r="D106" s="1" t="s">
        <v>189</v>
      </c>
      <c r="E106" s="16" t="s">
        <v>151</v>
      </c>
      <c r="F106" s="12">
        <v>50</v>
      </c>
      <c r="G106" s="13">
        <v>1225.7</v>
      </c>
      <c r="H106" s="13">
        <v>1225.7</v>
      </c>
      <c r="I106" s="12"/>
      <c r="J106" s="12">
        <v>50</v>
      </c>
    </row>
    <row r="107" spans="1:10" ht="30">
      <c r="A107" s="24" t="s">
        <v>148</v>
      </c>
      <c r="B107" s="1">
        <v>47</v>
      </c>
      <c r="C107" s="16" t="s">
        <v>197</v>
      </c>
      <c r="D107" s="1" t="s">
        <v>189</v>
      </c>
      <c r="E107" s="16" t="s">
        <v>151</v>
      </c>
      <c r="F107" s="12">
        <v>12</v>
      </c>
      <c r="G107" s="13">
        <v>1225.7</v>
      </c>
      <c r="H107" s="13">
        <v>1225.7</v>
      </c>
      <c r="I107" s="12"/>
      <c r="J107" s="12">
        <v>12</v>
      </c>
    </row>
    <row r="108" spans="1:10">
      <c r="A108" s="24" t="s">
        <v>148</v>
      </c>
      <c r="B108" s="1">
        <v>48</v>
      </c>
      <c r="C108" s="16" t="s">
        <v>198</v>
      </c>
      <c r="D108" s="1" t="s">
        <v>189</v>
      </c>
      <c r="E108" s="16" t="s">
        <v>151</v>
      </c>
      <c r="F108" s="12">
        <v>70</v>
      </c>
      <c r="G108" s="13">
        <v>3881.78</v>
      </c>
      <c r="H108" s="13">
        <v>3881.78</v>
      </c>
      <c r="I108" s="12"/>
      <c r="J108" s="12">
        <v>70</v>
      </c>
    </row>
    <row r="109" spans="1:10">
      <c r="A109" s="24" t="s">
        <v>148</v>
      </c>
      <c r="B109" s="1">
        <v>49</v>
      </c>
      <c r="C109" s="16" t="s">
        <v>199</v>
      </c>
      <c r="D109" s="1" t="s">
        <v>189</v>
      </c>
      <c r="E109" s="16" t="s">
        <v>151</v>
      </c>
      <c r="F109" s="12">
        <v>25</v>
      </c>
      <c r="G109" s="13">
        <v>1275.68</v>
      </c>
      <c r="H109" s="13">
        <v>1275.68</v>
      </c>
      <c r="I109" s="12"/>
      <c r="J109" s="12">
        <v>25</v>
      </c>
    </row>
    <row r="110" spans="1:10">
      <c r="A110" s="24" t="s">
        <v>148</v>
      </c>
      <c r="B110" s="2">
        <v>50</v>
      </c>
      <c r="C110" s="17" t="s">
        <v>200</v>
      </c>
      <c r="D110" s="2" t="s">
        <v>189</v>
      </c>
      <c r="E110" s="17" t="s">
        <v>151</v>
      </c>
      <c r="F110" s="12">
        <v>10</v>
      </c>
      <c r="G110" s="13">
        <v>1275.68</v>
      </c>
      <c r="H110" s="13">
        <v>1275.68</v>
      </c>
      <c r="I110" s="12"/>
      <c r="J110" s="12">
        <v>10</v>
      </c>
    </row>
    <row r="111" spans="1:10">
      <c r="A111" s="24" t="s">
        <v>148</v>
      </c>
      <c r="B111" s="1">
        <v>51</v>
      </c>
      <c r="C111" s="16" t="s">
        <v>201</v>
      </c>
      <c r="D111" s="1" t="s">
        <v>189</v>
      </c>
      <c r="E111" s="16" t="s">
        <v>151</v>
      </c>
      <c r="F111" s="12">
        <v>168</v>
      </c>
      <c r="G111" s="13">
        <v>1275.68</v>
      </c>
      <c r="H111" s="13">
        <v>1275.68</v>
      </c>
      <c r="I111" s="12"/>
      <c r="J111" s="12">
        <v>168</v>
      </c>
    </row>
    <row r="112" spans="1:10">
      <c r="A112" s="24" t="s">
        <v>148</v>
      </c>
      <c r="B112" s="2">
        <v>52</v>
      </c>
      <c r="C112" s="17" t="s">
        <v>202</v>
      </c>
      <c r="D112" s="2" t="s">
        <v>189</v>
      </c>
      <c r="E112" s="17" t="s">
        <v>151</v>
      </c>
      <c r="F112" s="12">
        <v>7</v>
      </c>
      <c r="G112" s="13">
        <v>1275.68</v>
      </c>
      <c r="H112" s="13">
        <v>1275.68</v>
      </c>
      <c r="I112" s="12"/>
      <c r="J112" s="12">
        <v>7</v>
      </c>
    </row>
    <row r="113" spans="1:10">
      <c r="A113" s="24" t="s">
        <v>148</v>
      </c>
      <c r="B113" s="1">
        <v>53</v>
      </c>
      <c r="C113" s="16" t="s">
        <v>203</v>
      </c>
      <c r="D113" s="1" t="s">
        <v>189</v>
      </c>
      <c r="E113" s="16" t="s">
        <v>151</v>
      </c>
      <c r="F113" s="12">
        <v>10</v>
      </c>
      <c r="G113" s="13">
        <v>3881.78</v>
      </c>
      <c r="H113" s="13">
        <v>3881.78</v>
      </c>
      <c r="I113" s="12"/>
      <c r="J113" s="12">
        <v>10</v>
      </c>
    </row>
    <row r="114" spans="1:10" ht="60">
      <c r="A114" s="24" t="s">
        <v>148</v>
      </c>
      <c r="B114" s="1">
        <v>54</v>
      </c>
      <c r="C114" s="16" t="s">
        <v>204</v>
      </c>
      <c r="D114" s="1" t="s">
        <v>205</v>
      </c>
      <c r="E114" s="16" t="s">
        <v>151</v>
      </c>
      <c r="F114" s="12">
        <v>42</v>
      </c>
      <c r="G114" s="13">
        <v>2400</v>
      </c>
      <c r="H114" s="13">
        <v>2400</v>
      </c>
      <c r="I114" s="12"/>
      <c r="J114" s="12">
        <v>42</v>
      </c>
    </row>
    <row r="115" spans="1:10" ht="45">
      <c r="A115" s="24" t="s">
        <v>148</v>
      </c>
      <c r="B115" s="1">
        <v>55</v>
      </c>
      <c r="C115" s="16" t="s">
        <v>206</v>
      </c>
      <c r="D115" s="1" t="s">
        <v>207</v>
      </c>
      <c r="E115" s="16" t="s">
        <v>151</v>
      </c>
      <c r="F115" s="12">
        <v>26</v>
      </c>
      <c r="G115" s="13">
        <v>2400</v>
      </c>
      <c r="H115" s="13">
        <v>2400</v>
      </c>
      <c r="I115" s="12"/>
      <c r="J115" s="12">
        <v>26</v>
      </c>
    </row>
    <row r="116" spans="1:10" ht="30">
      <c r="A116" s="24" t="s">
        <v>148</v>
      </c>
      <c r="B116" s="1">
        <v>56</v>
      </c>
      <c r="C116" s="16" t="s">
        <v>208</v>
      </c>
      <c r="D116" s="1" t="s">
        <v>209</v>
      </c>
      <c r="E116" s="16" t="s">
        <v>151</v>
      </c>
      <c r="F116" s="12">
        <v>90</v>
      </c>
      <c r="G116" s="13">
        <v>2400</v>
      </c>
      <c r="H116" s="13">
        <v>2400</v>
      </c>
      <c r="I116" s="12"/>
      <c r="J116" s="12">
        <v>90</v>
      </c>
    </row>
    <row r="117" spans="1:10" ht="30">
      <c r="A117" s="24" t="s">
        <v>148</v>
      </c>
      <c r="B117" s="1">
        <v>57</v>
      </c>
      <c r="C117" s="16" t="s">
        <v>210</v>
      </c>
      <c r="D117" s="1" t="s">
        <v>211</v>
      </c>
      <c r="E117" s="16" t="s">
        <v>151</v>
      </c>
      <c r="F117" s="12">
        <v>181</v>
      </c>
      <c r="G117" s="13">
        <v>2400</v>
      </c>
      <c r="H117" s="13">
        <v>2400</v>
      </c>
      <c r="I117" s="12"/>
      <c r="J117" s="12">
        <v>181</v>
      </c>
    </row>
    <row r="118" spans="1:10" ht="30">
      <c r="A118" s="24" t="s">
        <v>148</v>
      </c>
      <c r="B118" s="1">
        <v>58</v>
      </c>
      <c r="C118" s="16" t="s">
        <v>210</v>
      </c>
      <c r="D118" s="1" t="s">
        <v>209</v>
      </c>
      <c r="E118" s="16" t="s">
        <v>151</v>
      </c>
      <c r="F118" s="12">
        <v>31</v>
      </c>
      <c r="G118" s="13">
        <v>2400</v>
      </c>
      <c r="H118" s="13">
        <v>2400</v>
      </c>
      <c r="I118" s="12"/>
      <c r="J118" s="12">
        <v>31</v>
      </c>
    </row>
    <row r="119" spans="1:10" ht="30">
      <c r="A119" s="24" t="s">
        <v>148</v>
      </c>
      <c r="B119" s="1">
        <v>59</v>
      </c>
      <c r="C119" s="16" t="s">
        <v>212</v>
      </c>
      <c r="D119" s="1" t="s">
        <v>213</v>
      </c>
      <c r="E119" s="16" t="s">
        <v>151</v>
      </c>
      <c r="F119" s="12">
        <v>33</v>
      </c>
      <c r="G119" s="13">
        <v>2400</v>
      </c>
      <c r="H119" s="13">
        <v>2400</v>
      </c>
      <c r="I119" s="12"/>
      <c r="J119" s="12">
        <v>33</v>
      </c>
    </row>
    <row r="120" spans="1:10" ht="30">
      <c r="A120" s="24" t="s">
        <v>148</v>
      </c>
      <c r="B120" s="1">
        <v>60</v>
      </c>
      <c r="C120" s="16" t="s">
        <v>208</v>
      </c>
      <c r="D120" s="1" t="s">
        <v>211</v>
      </c>
      <c r="E120" s="16" t="s">
        <v>151</v>
      </c>
      <c r="F120" s="12">
        <v>74</v>
      </c>
      <c r="G120" s="13">
        <v>2400</v>
      </c>
      <c r="H120" s="13">
        <v>2400</v>
      </c>
      <c r="I120" s="12"/>
      <c r="J120" s="12">
        <v>74</v>
      </c>
    </row>
    <row r="121" spans="1:10">
      <c r="A121" s="24" t="s">
        <v>148</v>
      </c>
      <c r="B121" s="1">
        <v>61</v>
      </c>
      <c r="C121" s="16" t="s">
        <v>214</v>
      </c>
      <c r="D121" s="1" t="s">
        <v>215</v>
      </c>
      <c r="E121" s="16" t="s">
        <v>151</v>
      </c>
      <c r="F121" s="12">
        <v>90</v>
      </c>
      <c r="G121" s="13">
        <v>2400</v>
      </c>
      <c r="H121" s="13">
        <v>2400</v>
      </c>
      <c r="I121" s="12"/>
      <c r="J121" s="12">
        <v>90</v>
      </c>
    </row>
    <row r="122" spans="1:10" ht="30">
      <c r="A122" s="24" t="s">
        <v>148</v>
      </c>
      <c r="B122" s="1">
        <v>62</v>
      </c>
      <c r="C122" s="16" t="s">
        <v>216</v>
      </c>
      <c r="D122" s="1" t="s">
        <v>217</v>
      </c>
      <c r="E122" s="16" t="s">
        <v>151</v>
      </c>
      <c r="F122" s="12">
        <v>150</v>
      </c>
      <c r="G122" s="13">
        <v>2400</v>
      </c>
      <c r="H122" s="13">
        <v>2400</v>
      </c>
      <c r="I122" s="12"/>
      <c r="J122" s="12">
        <v>150</v>
      </c>
    </row>
    <row r="123" spans="1:10" ht="30">
      <c r="A123" s="24" t="s">
        <v>148</v>
      </c>
      <c r="B123" s="1">
        <v>63</v>
      </c>
      <c r="C123" s="16" t="s">
        <v>218</v>
      </c>
      <c r="D123" s="1" t="s">
        <v>211</v>
      </c>
      <c r="E123" s="16" t="s">
        <v>151</v>
      </c>
      <c r="F123" s="12">
        <v>24</v>
      </c>
      <c r="G123" s="13">
        <v>2400</v>
      </c>
      <c r="H123" s="13">
        <v>2400</v>
      </c>
      <c r="I123" s="12"/>
      <c r="J123" s="12">
        <v>24</v>
      </c>
    </row>
    <row r="124" spans="1:10" ht="45">
      <c r="A124" s="24" t="s">
        <v>148</v>
      </c>
      <c r="B124" s="1">
        <v>64</v>
      </c>
      <c r="C124" s="16" t="s">
        <v>206</v>
      </c>
      <c r="D124" s="1" t="s">
        <v>219</v>
      </c>
      <c r="E124" s="16" t="s">
        <v>151</v>
      </c>
      <c r="F124" s="12">
        <v>6</v>
      </c>
      <c r="G124" s="13">
        <v>2400</v>
      </c>
      <c r="H124" s="13">
        <v>2400</v>
      </c>
      <c r="I124" s="12"/>
      <c r="J124" s="12">
        <v>6</v>
      </c>
    </row>
    <row r="125" spans="1:10" ht="30">
      <c r="A125" s="24" t="s">
        <v>148</v>
      </c>
      <c r="B125" s="1">
        <v>65</v>
      </c>
      <c r="C125" s="16" t="s">
        <v>220</v>
      </c>
      <c r="D125" s="1" t="s">
        <v>221</v>
      </c>
      <c r="E125" s="16" t="s">
        <v>151</v>
      </c>
      <c r="F125" s="12">
        <v>460</v>
      </c>
      <c r="G125" s="13">
        <v>304.64</v>
      </c>
      <c r="H125" s="13">
        <v>304.64</v>
      </c>
      <c r="I125" s="12"/>
      <c r="J125" s="12">
        <v>460</v>
      </c>
    </row>
    <row r="126" spans="1:10" ht="30">
      <c r="A126" s="24" t="s">
        <v>148</v>
      </c>
      <c r="B126" s="1">
        <v>66</v>
      </c>
      <c r="C126" s="16" t="s">
        <v>222</v>
      </c>
      <c r="D126" s="1" t="s">
        <v>223</v>
      </c>
      <c r="E126" s="16" t="s">
        <v>151</v>
      </c>
      <c r="F126" s="12">
        <v>70</v>
      </c>
      <c r="G126" s="13">
        <v>304.64</v>
      </c>
      <c r="H126" s="13">
        <v>304.64</v>
      </c>
      <c r="I126" s="12"/>
      <c r="J126" s="12">
        <v>70</v>
      </c>
    </row>
    <row r="127" spans="1:10" ht="30">
      <c r="A127" s="24" t="s">
        <v>148</v>
      </c>
      <c r="B127" s="1">
        <v>67</v>
      </c>
      <c r="C127" s="16" t="s">
        <v>224</v>
      </c>
      <c r="D127" s="1" t="s">
        <v>225</v>
      </c>
      <c r="E127" s="16" t="s">
        <v>151</v>
      </c>
      <c r="F127" s="12">
        <v>417</v>
      </c>
      <c r="G127" s="13">
        <v>304.64</v>
      </c>
      <c r="H127" s="13">
        <v>304.64</v>
      </c>
      <c r="I127" s="12"/>
      <c r="J127" s="12">
        <v>417</v>
      </c>
    </row>
    <row r="128" spans="1:10" ht="30">
      <c r="A128" s="24" t="s">
        <v>148</v>
      </c>
      <c r="B128" s="1">
        <v>68</v>
      </c>
      <c r="C128" s="16" t="s">
        <v>226</v>
      </c>
      <c r="D128" s="1" t="s">
        <v>227</v>
      </c>
      <c r="E128" s="16" t="s">
        <v>151</v>
      </c>
      <c r="F128" s="12">
        <v>28</v>
      </c>
      <c r="G128" s="13">
        <v>304.64</v>
      </c>
      <c r="H128" s="13">
        <v>304.64</v>
      </c>
      <c r="I128" s="12"/>
      <c r="J128" s="12">
        <v>28</v>
      </c>
    </row>
    <row r="129" spans="1:10" ht="30">
      <c r="A129" s="24" t="s">
        <v>148</v>
      </c>
      <c r="B129" s="1">
        <v>69</v>
      </c>
      <c r="C129" s="16" t="s">
        <v>228</v>
      </c>
      <c r="D129" s="1" t="s">
        <v>229</v>
      </c>
      <c r="E129" s="16" t="s">
        <v>151</v>
      </c>
      <c r="F129" s="12">
        <v>20</v>
      </c>
      <c r="G129" s="13">
        <v>304.64</v>
      </c>
      <c r="H129" s="13">
        <v>304.64</v>
      </c>
      <c r="I129" s="12"/>
      <c r="J129" s="12">
        <v>20</v>
      </c>
    </row>
    <row r="130" spans="1:10" ht="30">
      <c r="A130" s="24" t="s">
        <v>148</v>
      </c>
      <c r="B130" s="2">
        <v>70</v>
      </c>
      <c r="C130" s="17" t="s">
        <v>230</v>
      </c>
      <c r="D130" s="2" t="s">
        <v>231</v>
      </c>
      <c r="E130" s="17" t="s">
        <v>151</v>
      </c>
      <c r="F130" s="12">
        <v>60</v>
      </c>
      <c r="G130" s="13">
        <v>304.64</v>
      </c>
      <c r="H130" s="13">
        <v>304.64</v>
      </c>
      <c r="I130" s="12"/>
      <c r="J130" s="12">
        <v>60</v>
      </c>
    </row>
    <row r="131" spans="1:10" ht="30">
      <c r="A131" s="24" t="s">
        <v>148</v>
      </c>
      <c r="B131" s="2">
        <v>71</v>
      </c>
      <c r="C131" s="17" t="s">
        <v>232</v>
      </c>
      <c r="D131" s="2" t="s">
        <v>233</v>
      </c>
      <c r="E131" s="17" t="s">
        <v>151</v>
      </c>
      <c r="F131" s="12">
        <v>20</v>
      </c>
      <c r="G131" s="13">
        <v>304.64</v>
      </c>
      <c r="H131" s="13">
        <v>304.64</v>
      </c>
      <c r="I131" s="12"/>
      <c r="J131" s="12">
        <v>20</v>
      </c>
    </row>
    <row r="132" spans="1:10" ht="30">
      <c r="A132" s="24" t="s">
        <v>148</v>
      </c>
      <c r="B132" s="2">
        <v>72</v>
      </c>
      <c r="C132" s="17" t="s">
        <v>234</v>
      </c>
      <c r="D132" s="2" t="s">
        <v>235</v>
      </c>
      <c r="E132" s="17" t="s">
        <v>151</v>
      </c>
      <c r="F132" s="12">
        <v>90</v>
      </c>
      <c r="G132" s="13">
        <v>304.64</v>
      </c>
      <c r="H132" s="13">
        <v>304.64</v>
      </c>
      <c r="I132" s="12"/>
      <c r="J132" s="12">
        <v>90</v>
      </c>
    </row>
    <row r="133" spans="1:10" ht="30">
      <c r="A133" s="24" t="s">
        <v>148</v>
      </c>
      <c r="B133" s="2">
        <v>73</v>
      </c>
      <c r="C133" s="17" t="s">
        <v>236</v>
      </c>
      <c r="D133" s="2" t="s">
        <v>237</v>
      </c>
      <c r="E133" s="17" t="s">
        <v>151</v>
      </c>
      <c r="F133" s="12">
        <v>40</v>
      </c>
      <c r="G133" s="13">
        <v>304.64</v>
      </c>
      <c r="H133" s="13">
        <v>304.64</v>
      </c>
      <c r="I133" s="12"/>
      <c r="J133" s="12">
        <v>40</v>
      </c>
    </row>
    <row r="134" spans="1:10" ht="30">
      <c r="A134" s="24" t="s">
        <v>148</v>
      </c>
      <c r="B134" s="2">
        <v>74</v>
      </c>
      <c r="C134" s="17" t="s">
        <v>238</v>
      </c>
      <c r="D134" s="2" t="s">
        <v>239</v>
      </c>
      <c r="E134" s="17" t="s">
        <v>151</v>
      </c>
      <c r="F134" s="12">
        <v>30</v>
      </c>
      <c r="G134" s="13">
        <v>304.64</v>
      </c>
      <c r="H134" s="13">
        <v>304.64</v>
      </c>
      <c r="I134" s="12"/>
      <c r="J134" s="12">
        <v>30</v>
      </c>
    </row>
    <row r="135" spans="1:10" ht="30">
      <c r="A135" s="24" t="s">
        <v>148</v>
      </c>
      <c r="B135" s="2">
        <v>75</v>
      </c>
      <c r="C135" s="17" t="s">
        <v>240</v>
      </c>
      <c r="D135" s="2" t="s">
        <v>241</v>
      </c>
      <c r="E135" s="17" t="s">
        <v>151</v>
      </c>
      <c r="F135" s="12">
        <v>30</v>
      </c>
      <c r="G135" s="13">
        <v>304.64</v>
      </c>
      <c r="H135" s="13">
        <v>304.64</v>
      </c>
      <c r="I135" s="12"/>
      <c r="J135" s="12">
        <v>30</v>
      </c>
    </row>
    <row r="136" spans="1:10" ht="30">
      <c r="A136" s="24" t="s">
        <v>148</v>
      </c>
      <c r="B136" s="2">
        <v>76</v>
      </c>
      <c r="C136" s="17" t="s">
        <v>242</v>
      </c>
      <c r="D136" s="2" t="s">
        <v>243</v>
      </c>
      <c r="E136" s="17" t="s">
        <v>151</v>
      </c>
      <c r="F136" s="12">
        <v>12</v>
      </c>
      <c r="G136" s="13">
        <v>304.64</v>
      </c>
      <c r="H136" s="13">
        <v>304.64</v>
      </c>
      <c r="I136" s="12"/>
      <c r="J136" s="12">
        <v>12</v>
      </c>
    </row>
    <row r="137" spans="1:10" ht="30">
      <c r="A137" s="24" t="s">
        <v>148</v>
      </c>
      <c r="B137" s="2">
        <v>77</v>
      </c>
      <c r="C137" s="17" t="s">
        <v>244</v>
      </c>
      <c r="D137" s="2" t="s">
        <v>245</v>
      </c>
      <c r="E137" s="17" t="s">
        <v>151</v>
      </c>
      <c r="F137" s="12">
        <v>300</v>
      </c>
      <c r="G137" s="13">
        <v>304.64</v>
      </c>
      <c r="H137" s="13">
        <v>304.64</v>
      </c>
      <c r="I137" s="12"/>
      <c r="J137" s="12">
        <v>300</v>
      </c>
    </row>
    <row r="138" spans="1:10" ht="30">
      <c r="A138" s="24" t="s">
        <v>148</v>
      </c>
      <c r="B138" s="2">
        <v>78</v>
      </c>
      <c r="C138" s="17" t="s">
        <v>246</v>
      </c>
      <c r="D138" s="2" t="s">
        <v>247</v>
      </c>
      <c r="E138" s="17" t="s">
        <v>151</v>
      </c>
      <c r="F138" s="12">
        <v>100</v>
      </c>
      <c r="G138" s="13">
        <v>304.64</v>
      </c>
      <c r="H138" s="13">
        <v>304.64</v>
      </c>
      <c r="I138" s="12"/>
      <c r="J138" s="12">
        <v>100</v>
      </c>
    </row>
    <row r="139" spans="1:10" ht="30">
      <c r="A139" s="24" t="s">
        <v>148</v>
      </c>
      <c r="B139" s="2">
        <v>79</v>
      </c>
      <c r="C139" s="17" t="s">
        <v>248</v>
      </c>
      <c r="D139" s="2" t="s">
        <v>249</v>
      </c>
      <c r="E139" s="17" t="s">
        <v>151</v>
      </c>
      <c r="F139" s="12">
        <v>90</v>
      </c>
      <c r="G139" s="13">
        <v>304.64</v>
      </c>
      <c r="H139" s="13">
        <v>304.64</v>
      </c>
      <c r="I139" s="12"/>
      <c r="J139" s="12">
        <v>90</v>
      </c>
    </row>
    <row r="140" spans="1:10" ht="30">
      <c r="A140" s="24" t="s">
        <v>148</v>
      </c>
      <c r="B140" s="2">
        <v>80</v>
      </c>
      <c r="C140" s="17" t="s">
        <v>250</v>
      </c>
      <c r="D140" s="2" t="s">
        <v>251</v>
      </c>
      <c r="E140" s="17" t="s">
        <v>151</v>
      </c>
      <c r="F140" s="12">
        <v>70</v>
      </c>
      <c r="G140" s="13">
        <v>3356</v>
      </c>
      <c r="H140" s="13">
        <v>3356</v>
      </c>
      <c r="I140" s="12"/>
      <c r="J140" s="12">
        <v>70</v>
      </c>
    </row>
    <row r="141" spans="1:10" ht="30">
      <c r="A141" s="24" t="s">
        <v>148</v>
      </c>
      <c r="B141" s="2">
        <v>81</v>
      </c>
      <c r="C141" s="17" t="s">
        <v>252</v>
      </c>
      <c r="D141" s="2" t="s">
        <v>253</v>
      </c>
      <c r="E141" s="17" t="s">
        <v>151</v>
      </c>
      <c r="F141" s="12">
        <v>100</v>
      </c>
      <c r="G141" s="13">
        <v>304.64</v>
      </c>
      <c r="H141" s="13">
        <v>304.64</v>
      </c>
      <c r="I141" s="12"/>
      <c r="J141" s="12">
        <v>100</v>
      </c>
    </row>
    <row r="142" spans="1:10" ht="30">
      <c r="A142" s="24" t="s">
        <v>148</v>
      </c>
      <c r="B142" s="2">
        <v>82</v>
      </c>
      <c r="C142" s="17" t="s">
        <v>252</v>
      </c>
      <c r="D142" s="2" t="s">
        <v>254</v>
      </c>
      <c r="E142" s="17" t="s">
        <v>151</v>
      </c>
      <c r="F142" s="12">
        <v>70</v>
      </c>
      <c r="G142" s="13">
        <v>304.64</v>
      </c>
      <c r="H142" s="13">
        <v>304.64</v>
      </c>
      <c r="I142" s="12"/>
      <c r="J142" s="12">
        <v>70</v>
      </c>
    </row>
    <row r="143" spans="1:10" ht="30">
      <c r="A143" s="24" t="s">
        <v>148</v>
      </c>
      <c r="B143" s="2">
        <v>83</v>
      </c>
      <c r="C143" s="17" t="s">
        <v>255</v>
      </c>
      <c r="D143" s="2" t="s">
        <v>256</v>
      </c>
      <c r="E143" s="17" t="s">
        <v>151</v>
      </c>
      <c r="F143" s="12">
        <v>40</v>
      </c>
      <c r="G143" s="13">
        <v>3356</v>
      </c>
      <c r="H143" s="13">
        <v>3356</v>
      </c>
      <c r="I143" s="12"/>
      <c r="J143" s="12">
        <v>40</v>
      </c>
    </row>
    <row r="144" spans="1:10" ht="30">
      <c r="A144" s="24" t="s">
        <v>148</v>
      </c>
      <c r="B144" s="2">
        <v>84</v>
      </c>
      <c r="C144" s="17" t="s">
        <v>257</v>
      </c>
      <c r="D144" s="2" t="s">
        <v>258</v>
      </c>
      <c r="E144" s="17" t="s">
        <v>151</v>
      </c>
      <c r="F144" s="12">
        <v>200</v>
      </c>
      <c r="G144" s="13">
        <v>304.64</v>
      </c>
      <c r="H144" s="13">
        <v>304.64</v>
      </c>
      <c r="I144" s="12"/>
      <c r="J144" s="12">
        <v>200</v>
      </c>
    </row>
    <row r="145" spans="1:10" ht="30">
      <c r="A145" s="24" t="s">
        <v>148</v>
      </c>
      <c r="B145" s="2">
        <v>85</v>
      </c>
      <c r="C145" s="17" t="s">
        <v>259</v>
      </c>
      <c r="D145" s="2" t="s">
        <v>260</v>
      </c>
      <c r="E145" s="17" t="s">
        <v>151</v>
      </c>
      <c r="F145" s="12">
        <v>50</v>
      </c>
      <c r="G145" s="13">
        <v>3356</v>
      </c>
      <c r="H145" s="13">
        <v>3356</v>
      </c>
      <c r="I145" s="12"/>
      <c r="J145" s="12">
        <v>50</v>
      </c>
    </row>
    <row r="146" spans="1:10" ht="30">
      <c r="A146" s="24" t="s">
        <v>148</v>
      </c>
      <c r="B146" s="2">
        <v>86</v>
      </c>
      <c r="C146" s="17" t="s">
        <v>261</v>
      </c>
      <c r="D146" s="2" t="s">
        <v>260</v>
      </c>
      <c r="E146" s="17" t="s">
        <v>151</v>
      </c>
      <c r="F146" s="12">
        <v>50</v>
      </c>
      <c r="G146" s="13">
        <v>3356</v>
      </c>
      <c r="H146" s="13">
        <v>3356</v>
      </c>
      <c r="I146" s="12"/>
      <c r="J146" s="12">
        <v>50</v>
      </c>
    </row>
    <row r="147" spans="1:10" ht="30">
      <c r="A147" s="24" t="s">
        <v>148</v>
      </c>
      <c r="B147" s="2">
        <v>87</v>
      </c>
      <c r="C147" s="17" t="s">
        <v>262</v>
      </c>
      <c r="D147" s="2" t="s">
        <v>263</v>
      </c>
      <c r="E147" s="17" t="s">
        <v>151</v>
      </c>
      <c r="F147" s="12">
        <v>50</v>
      </c>
      <c r="G147" s="13">
        <v>3356</v>
      </c>
      <c r="H147" s="13">
        <v>3356</v>
      </c>
      <c r="I147" s="12"/>
      <c r="J147" s="12">
        <v>50</v>
      </c>
    </row>
    <row r="148" spans="1:10" ht="30">
      <c r="A148" s="24" t="s">
        <v>148</v>
      </c>
      <c r="B148" s="2">
        <v>88</v>
      </c>
      <c r="C148" s="17" t="s">
        <v>264</v>
      </c>
      <c r="D148" s="2" t="s">
        <v>265</v>
      </c>
      <c r="E148" s="17" t="s">
        <v>151</v>
      </c>
      <c r="F148" s="12">
        <v>500</v>
      </c>
      <c r="G148" s="13">
        <v>304.64</v>
      </c>
      <c r="H148" s="13">
        <v>304.64</v>
      </c>
      <c r="I148" s="12"/>
      <c r="J148" s="12">
        <v>500</v>
      </c>
    </row>
    <row r="149" spans="1:10" ht="30">
      <c r="A149" s="24" t="s">
        <v>148</v>
      </c>
      <c r="B149" s="2">
        <v>89</v>
      </c>
      <c r="C149" s="17" t="s">
        <v>266</v>
      </c>
      <c r="D149" s="2" t="s">
        <v>265</v>
      </c>
      <c r="E149" s="17" t="s">
        <v>151</v>
      </c>
      <c r="F149" s="12">
        <v>35</v>
      </c>
      <c r="G149" s="13">
        <v>304.64</v>
      </c>
      <c r="H149" s="13">
        <v>304.64</v>
      </c>
      <c r="I149" s="12"/>
      <c r="J149" s="12">
        <v>35</v>
      </c>
    </row>
    <row r="150" spans="1:10" ht="30">
      <c r="A150" s="24" t="s">
        <v>148</v>
      </c>
      <c r="B150" s="2">
        <v>90</v>
      </c>
      <c r="C150" s="17" t="s">
        <v>267</v>
      </c>
      <c r="D150" s="2" t="s">
        <v>268</v>
      </c>
      <c r="E150" s="17" t="s">
        <v>151</v>
      </c>
      <c r="F150" s="12">
        <v>35</v>
      </c>
      <c r="G150" s="13">
        <v>304.64</v>
      </c>
      <c r="H150" s="13">
        <v>304.64</v>
      </c>
      <c r="I150" s="12"/>
      <c r="J150" s="12">
        <v>35</v>
      </c>
    </row>
    <row r="151" spans="1:10" ht="30">
      <c r="A151" s="24" t="s">
        <v>148</v>
      </c>
      <c r="B151" s="2">
        <v>91</v>
      </c>
      <c r="C151" s="17" t="s">
        <v>269</v>
      </c>
      <c r="D151" s="2" t="s">
        <v>270</v>
      </c>
      <c r="E151" s="17" t="s">
        <v>151</v>
      </c>
      <c r="F151" s="12">
        <v>30</v>
      </c>
      <c r="G151" s="13">
        <v>304.64</v>
      </c>
      <c r="H151" s="13">
        <v>304.64</v>
      </c>
      <c r="I151" s="12"/>
      <c r="J151" s="12">
        <v>30</v>
      </c>
    </row>
    <row r="152" spans="1:10" ht="30">
      <c r="A152" s="24" t="s">
        <v>148</v>
      </c>
      <c r="B152" s="2">
        <v>92</v>
      </c>
      <c r="C152" s="17" t="s">
        <v>271</v>
      </c>
      <c r="D152" s="2" t="s">
        <v>272</v>
      </c>
      <c r="E152" s="17" t="s">
        <v>151</v>
      </c>
      <c r="F152" s="12">
        <v>20</v>
      </c>
      <c r="G152" s="13">
        <v>304.64</v>
      </c>
      <c r="H152" s="13">
        <v>304.64</v>
      </c>
      <c r="I152" s="12"/>
      <c r="J152" s="12">
        <v>20</v>
      </c>
    </row>
    <row r="153" spans="1:10" ht="30">
      <c r="A153" s="24" t="s">
        <v>148</v>
      </c>
      <c r="B153" s="2">
        <v>93</v>
      </c>
      <c r="C153" s="17" t="s">
        <v>273</v>
      </c>
      <c r="D153" s="2" t="s">
        <v>270</v>
      </c>
      <c r="E153" s="17" t="s">
        <v>151</v>
      </c>
      <c r="F153" s="12">
        <v>16</v>
      </c>
      <c r="G153" s="13">
        <v>304.64</v>
      </c>
      <c r="H153" s="13">
        <v>304.64</v>
      </c>
      <c r="I153" s="12"/>
      <c r="J153" s="12">
        <v>16</v>
      </c>
    </row>
    <row r="154" spans="1:10" ht="30">
      <c r="A154" s="24" t="s">
        <v>148</v>
      </c>
      <c r="B154" s="2">
        <v>94</v>
      </c>
      <c r="C154" s="17" t="s">
        <v>274</v>
      </c>
      <c r="D154" s="2" t="s">
        <v>275</v>
      </c>
      <c r="E154" s="17" t="s">
        <v>151</v>
      </c>
      <c r="F154" s="12">
        <v>80</v>
      </c>
      <c r="G154" s="13">
        <v>304.64</v>
      </c>
      <c r="H154" s="13">
        <v>304.64</v>
      </c>
      <c r="I154" s="12"/>
      <c r="J154" s="12">
        <v>80</v>
      </c>
    </row>
    <row r="155" spans="1:10" ht="30">
      <c r="A155" s="24" t="s">
        <v>148</v>
      </c>
      <c r="B155" s="2">
        <v>95</v>
      </c>
      <c r="C155" s="17" t="s">
        <v>276</v>
      </c>
      <c r="D155" s="2" t="s">
        <v>277</v>
      </c>
      <c r="E155" s="17" t="s">
        <v>151</v>
      </c>
      <c r="F155" s="12">
        <v>80</v>
      </c>
      <c r="G155" s="13">
        <v>304.64</v>
      </c>
      <c r="H155" s="13">
        <v>304.64</v>
      </c>
      <c r="I155" s="12"/>
      <c r="J155" s="12">
        <v>80</v>
      </c>
    </row>
    <row r="156" spans="1:10" ht="30">
      <c r="A156" s="24" t="s">
        <v>148</v>
      </c>
      <c r="B156" s="2">
        <v>96</v>
      </c>
      <c r="C156" s="17" t="s">
        <v>278</v>
      </c>
      <c r="D156" s="2" t="s">
        <v>279</v>
      </c>
      <c r="E156" s="17" t="s">
        <v>151</v>
      </c>
      <c r="F156" s="12">
        <v>100</v>
      </c>
      <c r="G156" s="13">
        <v>3356</v>
      </c>
      <c r="H156" s="13">
        <v>3356</v>
      </c>
      <c r="I156" s="12"/>
      <c r="J156" s="12">
        <v>100</v>
      </c>
    </row>
    <row r="157" spans="1:10" ht="30">
      <c r="A157" s="24" t="s">
        <v>148</v>
      </c>
      <c r="B157" s="2">
        <v>97</v>
      </c>
      <c r="C157" s="17" t="s">
        <v>280</v>
      </c>
      <c r="D157" s="2" t="s">
        <v>281</v>
      </c>
      <c r="E157" s="17" t="s">
        <v>151</v>
      </c>
      <c r="F157" s="12">
        <v>10</v>
      </c>
      <c r="G157" s="13">
        <v>3356</v>
      </c>
      <c r="H157" s="13">
        <v>3356</v>
      </c>
      <c r="I157" s="12"/>
      <c r="J157" s="12">
        <v>10</v>
      </c>
    </row>
    <row r="158" spans="1:10" ht="30">
      <c r="A158" s="24" t="s">
        <v>148</v>
      </c>
      <c r="B158" s="2">
        <v>98</v>
      </c>
      <c r="C158" s="17" t="s">
        <v>282</v>
      </c>
      <c r="D158" s="2" t="s">
        <v>283</v>
      </c>
      <c r="E158" s="17" t="s">
        <v>151</v>
      </c>
      <c r="F158" s="12">
        <v>50</v>
      </c>
      <c r="G158" s="13">
        <v>3356</v>
      </c>
      <c r="H158" s="13">
        <v>3356</v>
      </c>
      <c r="I158" s="12"/>
      <c r="J158" s="12">
        <v>50</v>
      </c>
    </row>
    <row r="159" spans="1:10" ht="30">
      <c r="A159" s="24" t="s">
        <v>148</v>
      </c>
      <c r="B159" s="2">
        <v>99</v>
      </c>
      <c r="C159" s="17" t="s">
        <v>284</v>
      </c>
      <c r="D159" s="2" t="s">
        <v>285</v>
      </c>
      <c r="E159" s="17" t="s">
        <v>151</v>
      </c>
      <c r="F159" s="12">
        <v>30</v>
      </c>
      <c r="G159" s="13">
        <v>3356</v>
      </c>
      <c r="H159" s="13">
        <v>3356</v>
      </c>
      <c r="I159" s="12"/>
      <c r="J159" s="12">
        <v>30</v>
      </c>
    </row>
    <row r="160" spans="1:10" ht="30">
      <c r="A160" s="24" t="s">
        <v>148</v>
      </c>
      <c r="B160" s="2">
        <v>100</v>
      </c>
      <c r="C160" s="17" t="s">
        <v>286</v>
      </c>
      <c r="D160" s="2" t="s">
        <v>287</v>
      </c>
      <c r="E160" s="17" t="s">
        <v>151</v>
      </c>
      <c r="F160" s="12">
        <v>50</v>
      </c>
      <c r="G160" s="13">
        <v>3356</v>
      </c>
      <c r="H160" s="13">
        <v>3356</v>
      </c>
      <c r="I160" s="12"/>
      <c r="J160" s="12">
        <v>50</v>
      </c>
    </row>
    <row r="161" spans="1:10" ht="30">
      <c r="A161" s="24" t="s">
        <v>148</v>
      </c>
      <c r="B161" s="2">
        <v>101</v>
      </c>
      <c r="C161" s="17" t="s">
        <v>288</v>
      </c>
      <c r="D161" s="2" t="s">
        <v>289</v>
      </c>
      <c r="E161" s="17" t="s">
        <v>151</v>
      </c>
      <c r="F161" s="12">
        <v>300</v>
      </c>
      <c r="G161" s="13">
        <v>3356</v>
      </c>
      <c r="H161" s="13">
        <v>3356</v>
      </c>
      <c r="I161" s="12"/>
      <c r="J161" s="12">
        <v>300</v>
      </c>
    </row>
    <row r="162" spans="1:10" ht="30">
      <c r="A162" s="24" t="s">
        <v>148</v>
      </c>
      <c r="B162" s="2" t="s">
        <v>290</v>
      </c>
      <c r="C162" s="17" t="s">
        <v>291</v>
      </c>
      <c r="D162" s="2" t="s">
        <v>292</v>
      </c>
      <c r="E162" s="17" t="s">
        <v>151</v>
      </c>
      <c r="F162" s="12">
        <v>20</v>
      </c>
      <c r="G162" s="13">
        <v>3356</v>
      </c>
      <c r="H162" s="13">
        <v>3356</v>
      </c>
      <c r="I162" s="12"/>
      <c r="J162" s="12">
        <v>20</v>
      </c>
    </row>
    <row r="163" spans="1:10" ht="30">
      <c r="A163" s="24" t="s">
        <v>148</v>
      </c>
      <c r="B163" s="2" t="s">
        <v>293</v>
      </c>
      <c r="C163" s="17" t="s">
        <v>294</v>
      </c>
      <c r="D163" s="2" t="s">
        <v>295</v>
      </c>
      <c r="E163" s="17" t="s">
        <v>151</v>
      </c>
      <c r="F163" s="12">
        <v>20</v>
      </c>
      <c r="G163" s="13">
        <v>3356</v>
      </c>
      <c r="H163" s="13">
        <v>198</v>
      </c>
      <c r="I163" s="12"/>
      <c r="J163" s="12"/>
    </row>
    <row r="164" spans="1:10" ht="30">
      <c r="A164" s="24" t="s">
        <v>148</v>
      </c>
      <c r="B164" s="2">
        <v>102</v>
      </c>
      <c r="C164" s="17" t="s">
        <v>296</v>
      </c>
      <c r="D164" s="2" t="s">
        <v>297</v>
      </c>
      <c r="E164" s="17" t="s">
        <v>151</v>
      </c>
      <c r="F164" s="12">
        <v>100</v>
      </c>
      <c r="G164" s="13">
        <v>198</v>
      </c>
      <c r="H164" s="13">
        <v>198</v>
      </c>
      <c r="I164" s="12"/>
      <c r="J164" s="12">
        <v>100</v>
      </c>
    </row>
    <row r="165" spans="1:10" ht="30">
      <c r="A165" s="24" t="s">
        <v>148</v>
      </c>
      <c r="B165" s="2">
        <v>103</v>
      </c>
      <c r="C165" s="17" t="s">
        <v>298</v>
      </c>
      <c r="D165" s="2" t="s">
        <v>299</v>
      </c>
      <c r="E165" s="17" t="s">
        <v>151</v>
      </c>
      <c r="F165" s="12">
        <v>800</v>
      </c>
      <c r="G165" s="13">
        <v>198</v>
      </c>
      <c r="H165" s="13">
        <v>198</v>
      </c>
      <c r="I165" s="12"/>
      <c r="J165" s="12">
        <v>800</v>
      </c>
    </row>
    <row r="166" spans="1:10" ht="30">
      <c r="A166" s="24" t="s">
        <v>148</v>
      </c>
      <c r="B166" s="2">
        <v>104</v>
      </c>
      <c r="C166" s="17" t="s">
        <v>300</v>
      </c>
      <c r="D166" s="2" t="s">
        <v>301</v>
      </c>
      <c r="E166" s="17" t="s">
        <v>151</v>
      </c>
      <c r="F166" s="12">
        <v>50</v>
      </c>
      <c r="G166" s="13">
        <v>198</v>
      </c>
      <c r="H166" s="13">
        <v>198</v>
      </c>
      <c r="I166" s="12"/>
      <c r="J166" s="12">
        <v>50</v>
      </c>
    </row>
    <row r="167" spans="1:10" ht="30">
      <c r="A167" s="24" t="s">
        <v>148</v>
      </c>
      <c r="B167" s="2">
        <v>105</v>
      </c>
      <c r="C167" s="17" t="s">
        <v>302</v>
      </c>
      <c r="D167" s="2" t="s">
        <v>303</v>
      </c>
      <c r="E167" s="17" t="s">
        <v>151</v>
      </c>
      <c r="F167" s="12">
        <v>590</v>
      </c>
      <c r="G167" s="13">
        <v>198</v>
      </c>
      <c r="H167" s="13">
        <v>198</v>
      </c>
      <c r="I167" s="12"/>
      <c r="J167" s="12">
        <v>590</v>
      </c>
    </row>
    <row r="168" spans="1:10" ht="30">
      <c r="A168" s="24" t="s">
        <v>148</v>
      </c>
      <c r="B168" s="2">
        <v>106</v>
      </c>
      <c r="C168" s="17" t="s">
        <v>304</v>
      </c>
      <c r="D168" s="2" t="s">
        <v>305</v>
      </c>
      <c r="E168" s="17" t="s">
        <v>151</v>
      </c>
      <c r="F168" s="12">
        <v>168</v>
      </c>
      <c r="G168" s="13">
        <v>198</v>
      </c>
      <c r="H168" s="13">
        <v>198</v>
      </c>
      <c r="I168" s="12"/>
      <c r="J168" s="12">
        <v>168</v>
      </c>
    </row>
    <row r="169" spans="1:10" ht="30">
      <c r="A169" s="24" t="s">
        <v>148</v>
      </c>
      <c r="B169" s="2">
        <v>107</v>
      </c>
      <c r="C169" s="17" t="s">
        <v>306</v>
      </c>
      <c r="D169" s="2" t="s">
        <v>299</v>
      </c>
      <c r="E169" s="17" t="s">
        <v>151</v>
      </c>
      <c r="F169" s="12">
        <v>100</v>
      </c>
      <c r="G169" s="13">
        <v>198</v>
      </c>
      <c r="H169" s="13">
        <v>198</v>
      </c>
      <c r="I169" s="12"/>
      <c r="J169" s="12">
        <v>100</v>
      </c>
    </row>
    <row r="170" spans="1:10" ht="30">
      <c r="A170" s="24" t="s">
        <v>148</v>
      </c>
      <c r="B170" s="2">
        <v>108</v>
      </c>
      <c r="C170" s="17" t="s">
        <v>298</v>
      </c>
      <c r="D170" s="2" t="s">
        <v>299</v>
      </c>
      <c r="E170" s="17" t="s">
        <v>151</v>
      </c>
      <c r="F170" s="12">
        <v>700</v>
      </c>
      <c r="G170" s="13">
        <v>198</v>
      </c>
      <c r="H170" s="13">
        <v>198</v>
      </c>
      <c r="I170" s="12"/>
      <c r="J170" s="12">
        <v>700</v>
      </c>
    </row>
    <row r="171" spans="1:10" ht="30">
      <c r="A171" s="24" t="s">
        <v>148</v>
      </c>
      <c r="B171" s="2">
        <v>109</v>
      </c>
      <c r="C171" s="17" t="s">
        <v>307</v>
      </c>
      <c r="D171" s="2" t="s">
        <v>308</v>
      </c>
      <c r="E171" s="17" t="s">
        <v>151</v>
      </c>
      <c r="F171" s="12">
        <v>500</v>
      </c>
      <c r="G171" s="13">
        <v>198</v>
      </c>
      <c r="H171" s="13">
        <v>3356</v>
      </c>
      <c r="I171" s="12"/>
      <c r="J171" s="12">
        <v>500</v>
      </c>
    </row>
    <row r="172" spans="1:10" ht="30">
      <c r="A172" s="24" t="s">
        <v>148</v>
      </c>
      <c r="B172" s="2">
        <v>110</v>
      </c>
      <c r="C172" s="17" t="s">
        <v>309</v>
      </c>
      <c r="D172" s="2" t="s">
        <v>281</v>
      </c>
      <c r="E172" s="17" t="s">
        <v>151</v>
      </c>
      <c r="F172" s="12">
        <v>97</v>
      </c>
      <c r="G172" s="13">
        <v>3356</v>
      </c>
      <c r="H172" s="13">
        <v>3356</v>
      </c>
      <c r="I172" s="12"/>
      <c r="J172" s="12">
        <v>97</v>
      </c>
    </row>
    <row r="173" spans="1:10" ht="30">
      <c r="A173" s="24" t="s">
        <v>148</v>
      </c>
      <c r="B173" s="2">
        <v>111</v>
      </c>
      <c r="C173" s="17" t="s">
        <v>310</v>
      </c>
      <c r="D173" s="2" t="s">
        <v>311</v>
      </c>
      <c r="E173" s="17" t="s">
        <v>151</v>
      </c>
      <c r="F173" s="12">
        <v>417</v>
      </c>
      <c r="G173" s="13">
        <v>3356</v>
      </c>
      <c r="H173" s="13">
        <v>3356</v>
      </c>
      <c r="I173" s="12"/>
      <c r="J173" s="12">
        <v>417</v>
      </c>
    </row>
    <row r="174" spans="1:10" ht="30">
      <c r="A174" s="24" t="s">
        <v>148</v>
      </c>
      <c r="B174" s="2">
        <v>112</v>
      </c>
      <c r="C174" s="17" t="s">
        <v>312</v>
      </c>
      <c r="D174" s="2" t="s">
        <v>313</v>
      </c>
      <c r="E174" s="17" t="s">
        <v>151</v>
      </c>
      <c r="F174" s="12">
        <v>300</v>
      </c>
      <c r="G174" s="13">
        <v>3356</v>
      </c>
      <c r="H174" s="13">
        <v>3356</v>
      </c>
      <c r="I174" s="12"/>
      <c r="J174" s="12">
        <v>300</v>
      </c>
    </row>
    <row r="175" spans="1:10" ht="30">
      <c r="A175" s="24" t="s">
        <v>148</v>
      </c>
      <c r="B175" s="2">
        <v>113</v>
      </c>
      <c r="C175" s="17" t="s">
        <v>314</v>
      </c>
      <c r="D175" s="2" t="s">
        <v>315</v>
      </c>
      <c r="E175" s="17" t="s">
        <v>151</v>
      </c>
      <c r="F175" s="12">
        <v>47</v>
      </c>
      <c r="G175" s="13">
        <v>3356</v>
      </c>
      <c r="H175" s="13">
        <v>3356</v>
      </c>
      <c r="I175" s="12"/>
      <c r="J175" s="12">
        <v>47</v>
      </c>
    </row>
    <row r="176" spans="1:10" ht="30">
      <c r="A176" s="24" t="s">
        <v>148</v>
      </c>
      <c r="B176" s="2">
        <v>114</v>
      </c>
      <c r="C176" s="17" t="s">
        <v>316</v>
      </c>
      <c r="D176" s="2" t="s">
        <v>317</v>
      </c>
      <c r="E176" s="17" t="s">
        <v>151</v>
      </c>
      <c r="F176" s="12">
        <v>329</v>
      </c>
      <c r="G176" s="13">
        <v>3356</v>
      </c>
      <c r="H176" s="13">
        <v>3356</v>
      </c>
      <c r="I176" s="12"/>
      <c r="J176" s="12">
        <v>329</v>
      </c>
    </row>
    <row r="177" spans="1:10" ht="30">
      <c r="A177" s="24" t="s">
        <v>148</v>
      </c>
      <c r="B177" s="2">
        <v>115</v>
      </c>
      <c r="C177" s="17" t="s">
        <v>318</v>
      </c>
      <c r="D177" s="2" t="s">
        <v>319</v>
      </c>
      <c r="E177" s="17" t="s">
        <v>151</v>
      </c>
      <c r="F177" s="12">
        <v>329</v>
      </c>
      <c r="G177" s="13">
        <v>3356</v>
      </c>
      <c r="H177" s="13">
        <v>3356</v>
      </c>
      <c r="I177" s="12"/>
      <c r="J177" s="12">
        <v>329</v>
      </c>
    </row>
    <row r="178" spans="1:10" ht="30">
      <c r="A178" s="24" t="s">
        <v>148</v>
      </c>
      <c r="B178" s="2">
        <v>116</v>
      </c>
      <c r="C178" s="17" t="s">
        <v>320</v>
      </c>
      <c r="D178" s="2" t="s">
        <v>321</v>
      </c>
      <c r="E178" s="17" t="s">
        <v>151</v>
      </c>
      <c r="F178" s="12">
        <v>190</v>
      </c>
      <c r="G178" s="13">
        <v>3356</v>
      </c>
      <c r="H178" s="13">
        <v>3356</v>
      </c>
      <c r="I178" s="12"/>
      <c r="J178" s="12">
        <v>190</v>
      </c>
    </row>
    <row r="179" spans="1:10" ht="30">
      <c r="A179" s="24" t="s">
        <v>148</v>
      </c>
      <c r="B179" s="2">
        <v>117</v>
      </c>
      <c r="C179" s="17" t="s">
        <v>322</v>
      </c>
      <c r="D179" s="2" t="s">
        <v>323</v>
      </c>
      <c r="E179" s="17" t="s">
        <v>151</v>
      </c>
      <c r="F179" s="12">
        <v>100</v>
      </c>
      <c r="G179" s="13">
        <v>3356</v>
      </c>
      <c r="H179" s="13">
        <v>3356</v>
      </c>
      <c r="I179" s="12"/>
      <c r="J179" s="12">
        <v>100</v>
      </c>
    </row>
    <row r="180" spans="1:10" ht="30">
      <c r="A180" s="24" t="s">
        <v>148</v>
      </c>
      <c r="B180" s="2">
        <v>118</v>
      </c>
      <c r="C180" s="17" t="s">
        <v>324</v>
      </c>
      <c r="D180" s="2" t="s">
        <v>325</v>
      </c>
      <c r="E180" s="17" t="s">
        <v>151</v>
      </c>
      <c r="F180" s="12">
        <v>200</v>
      </c>
      <c r="G180" s="13">
        <v>3356</v>
      </c>
      <c r="H180" s="13">
        <v>3356</v>
      </c>
      <c r="I180" s="12"/>
      <c r="J180" s="12">
        <v>200</v>
      </c>
    </row>
    <row r="181" spans="1:10" ht="30">
      <c r="A181" s="24" t="s">
        <v>148</v>
      </c>
      <c r="B181" s="2">
        <v>119</v>
      </c>
      <c r="C181" s="17" t="s">
        <v>326</v>
      </c>
      <c r="D181" s="2" t="s">
        <v>327</v>
      </c>
      <c r="E181" s="17" t="s">
        <v>151</v>
      </c>
      <c r="F181" s="12">
        <v>200</v>
      </c>
      <c r="G181" s="13">
        <v>3356</v>
      </c>
      <c r="H181" s="13">
        <v>3356</v>
      </c>
      <c r="I181" s="12"/>
      <c r="J181" s="12">
        <v>200</v>
      </c>
    </row>
    <row r="182" spans="1:10" ht="30">
      <c r="A182" s="24" t="s">
        <v>148</v>
      </c>
      <c r="B182" s="2">
        <v>120</v>
      </c>
      <c r="C182" s="17" t="s">
        <v>328</v>
      </c>
      <c r="D182" s="2" t="s">
        <v>329</v>
      </c>
      <c r="E182" s="17" t="s">
        <v>151</v>
      </c>
      <c r="F182" s="12">
        <v>93</v>
      </c>
      <c r="G182" s="13">
        <v>3356</v>
      </c>
      <c r="H182" s="13">
        <v>3356</v>
      </c>
      <c r="I182" s="12"/>
      <c r="J182" s="12">
        <v>93</v>
      </c>
    </row>
    <row r="183" spans="1:10" ht="30">
      <c r="A183" s="24" t="s">
        <v>148</v>
      </c>
      <c r="B183" s="2">
        <v>121</v>
      </c>
      <c r="C183" s="17" t="s">
        <v>330</v>
      </c>
      <c r="D183" s="2" t="s">
        <v>331</v>
      </c>
      <c r="E183" s="17" t="s">
        <v>151</v>
      </c>
      <c r="F183" s="12">
        <v>9</v>
      </c>
      <c r="G183" s="13">
        <v>3356</v>
      </c>
      <c r="H183" s="13">
        <v>2563</v>
      </c>
      <c r="I183" s="12"/>
      <c r="J183" s="12">
        <v>9</v>
      </c>
    </row>
    <row r="184" spans="1:10" ht="45">
      <c r="A184" s="24" t="s">
        <v>148</v>
      </c>
      <c r="B184" s="2">
        <v>124</v>
      </c>
      <c r="C184" s="17" t="s">
        <v>332</v>
      </c>
      <c r="D184" s="2" t="s">
        <v>333</v>
      </c>
      <c r="E184" s="17" t="s">
        <v>151</v>
      </c>
      <c r="F184" s="12">
        <v>30</v>
      </c>
      <c r="G184" s="13">
        <v>2563</v>
      </c>
      <c r="H184" s="13">
        <v>2563</v>
      </c>
      <c r="I184" s="12"/>
      <c r="J184" s="12">
        <v>30</v>
      </c>
    </row>
    <row r="185" spans="1:10" ht="45">
      <c r="A185" s="24" t="s">
        <v>148</v>
      </c>
      <c r="B185" s="2">
        <v>125</v>
      </c>
      <c r="C185" s="17" t="s">
        <v>332</v>
      </c>
      <c r="D185" s="2" t="s">
        <v>334</v>
      </c>
      <c r="E185" s="17" t="s">
        <v>151</v>
      </c>
      <c r="F185" s="12">
        <v>100</v>
      </c>
      <c r="G185" s="13">
        <v>2563</v>
      </c>
      <c r="H185" s="13">
        <v>2563</v>
      </c>
      <c r="I185" s="12"/>
      <c r="J185" s="12">
        <v>100</v>
      </c>
    </row>
    <row r="186" spans="1:10" ht="45">
      <c r="A186" s="24" t="s">
        <v>148</v>
      </c>
      <c r="B186" s="2">
        <v>126</v>
      </c>
      <c r="C186" s="17" t="s">
        <v>335</v>
      </c>
      <c r="D186" s="2" t="s">
        <v>336</v>
      </c>
      <c r="E186" s="17" t="s">
        <v>151</v>
      </c>
      <c r="F186" s="12">
        <v>100</v>
      </c>
      <c r="G186" s="13">
        <v>2563</v>
      </c>
      <c r="H186" s="13">
        <v>2563</v>
      </c>
      <c r="I186" s="12"/>
      <c r="J186" s="12">
        <v>100</v>
      </c>
    </row>
    <row r="187" spans="1:10" ht="45">
      <c r="A187" s="24" t="s">
        <v>148</v>
      </c>
      <c r="B187" s="2">
        <v>127</v>
      </c>
      <c r="C187" s="17" t="s">
        <v>337</v>
      </c>
      <c r="D187" s="2" t="s">
        <v>338</v>
      </c>
      <c r="E187" s="17" t="s">
        <v>151</v>
      </c>
      <c r="F187" s="12">
        <v>100</v>
      </c>
      <c r="G187" s="13">
        <v>2563</v>
      </c>
      <c r="H187" s="13">
        <v>2563</v>
      </c>
      <c r="I187" s="12"/>
      <c r="J187" s="12">
        <v>100</v>
      </c>
    </row>
    <row r="188" spans="1:10" ht="45">
      <c r="A188" s="24" t="s">
        <v>148</v>
      </c>
      <c r="B188" s="2">
        <v>128</v>
      </c>
      <c r="C188" s="17" t="s">
        <v>339</v>
      </c>
      <c r="D188" s="2" t="s">
        <v>340</v>
      </c>
      <c r="E188" s="17" t="s">
        <v>151</v>
      </c>
      <c r="F188" s="12">
        <v>100</v>
      </c>
      <c r="G188" s="13">
        <v>2563</v>
      </c>
      <c r="H188" s="13">
        <v>2364.5299999999997</v>
      </c>
      <c r="I188" s="12"/>
      <c r="J188" s="12">
        <v>100</v>
      </c>
    </row>
    <row r="189" spans="1:10" ht="45">
      <c r="A189" s="24" t="s">
        <v>148</v>
      </c>
      <c r="B189" s="2">
        <v>129</v>
      </c>
      <c r="C189" s="17" t="s">
        <v>341</v>
      </c>
      <c r="D189" s="2" t="s">
        <v>342</v>
      </c>
      <c r="E189" s="17" t="s">
        <v>151</v>
      </c>
      <c r="F189" s="12">
        <v>100</v>
      </c>
      <c r="G189" s="13">
        <v>2364.5299999999997</v>
      </c>
      <c r="H189" s="13">
        <v>2364.5299999999997</v>
      </c>
      <c r="I189" s="12"/>
      <c r="J189" s="12">
        <v>100</v>
      </c>
    </row>
    <row r="190" spans="1:10" ht="45">
      <c r="A190" s="24" t="s">
        <v>148</v>
      </c>
      <c r="B190" s="2">
        <v>130</v>
      </c>
      <c r="C190" s="17" t="s">
        <v>343</v>
      </c>
      <c r="D190" s="2" t="s">
        <v>344</v>
      </c>
      <c r="E190" s="17" t="s">
        <v>151</v>
      </c>
      <c r="F190" s="12">
        <v>50</v>
      </c>
      <c r="G190" s="13">
        <v>2364.5299999999997</v>
      </c>
      <c r="H190" s="13">
        <v>2440.69</v>
      </c>
      <c r="I190" s="12"/>
      <c r="J190" s="12">
        <v>50</v>
      </c>
    </row>
    <row r="191" spans="1:10" ht="30">
      <c r="A191" s="24" t="s">
        <v>148</v>
      </c>
      <c r="B191" s="2">
        <v>131</v>
      </c>
      <c r="C191" s="17" t="s">
        <v>345</v>
      </c>
      <c r="D191" s="2" t="s">
        <v>346</v>
      </c>
      <c r="E191" s="17" t="s">
        <v>151</v>
      </c>
      <c r="F191" s="12">
        <v>100</v>
      </c>
      <c r="G191" s="13">
        <v>2440.69</v>
      </c>
      <c r="H191" s="13">
        <v>2440.69</v>
      </c>
      <c r="I191" s="12"/>
      <c r="J191" s="12">
        <v>100</v>
      </c>
    </row>
    <row r="192" spans="1:10" ht="30">
      <c r="A192" s="24" t="s">
        <v>148</v>
      </c>
      <c r="B192" s="2">
        <v>132</v>
      </c>
      <c r="C192" s="17" t="s">
        <v>347</v>
      </c>
      <c r="D192" s="2" t="s">
        <v>348</v>
      </c>
      <c r="E192" s="17" t="s">
        <v>151</v>
      </c>
      <c r="F192" s="12">
        <v>150</v>
      </c>
      <c r="G192" s="13">
        <v>2440.69</v>
      </c>
      <c r="H192" s="13">
        <v>3700</v>
      </c>
      <c r="I192" s="12"/>
      <c r="J192" s="12">
        <v>150</v>
      </c>
    </row>
    <row r="193" spans="1:10">
      <c r="A193" s="24" t="s">
        <v>148</v>
      </c>
      <c r="B193" s="2">
        <v>133</v>
      </c>
      <c r="C193" s="17" t="s">
        <v>349</v>
      </c>
      <c r="D193" s="2" t="s">
        <v>350</v>
      </c>
      <c r="E193" s="17" t="s">
        <v>151</v>
      </c>
      <c r="F193" s="12">
        <v>100</v>
      </c>
      <c r="G193" s="13">
        <v>3700</v>
      </c>
      <c r="H193" s="13">
        <v>3700</v>
      </c>
      <c r="I193" s="12"/>
      <c r="J193" s="12">
        <v>100</v>
      </c>
    </row>
    <row r="194" spans="1:10">
      <c r="A194" s="24" t="s">
        <v>148</v>
      </c>
      <c r="B194" s="2">
        <v>134</v>
      </c>
      <c r="C194" s="17" t="s">
        <v>351</v>
      </c>
      <c r="D194" s="2" t="s">
        <v>352</v>
      </c>
      <c r="E194" s="17" t="s">
        <v>151</v>
      </c>
      <c r="F194" s="12">
        <v>30</v>
      </c>
      <c r="G194" s="13">
        <v>3700</v>
      </c>
      <c r="H194" s="13">
        <v>2727.48</v>
      </c>
      <c r="I194" s="12"/>
      <c r="J194" s="12">
        <v>30</v>
      </c>
    </row>
    <row r="195" spans="1:10" ht="30">
      <c r="A195" s="24" t="s">
        <v>148</v>
      </c>
      <c r="B195" s="2">
        <v>135</v>
      </c>
      <c r="C195" s="17" t="s">
        <v>353</v>
      </c>
      <c r="D195" s="2" t="s">
        <v>354</v>
      </c>
      <c r="E195" s="17" t="s">
        <v>151</v>
      </c>
      <c r="F195" s="12">
        <v>30</v>
      </c>
      <c r="G195" s="13">
        <v>2727.48</v>
      </c>
      <c r="H195" s="13">
        <v>2727.48</v>
      </c>
      <c r="I195" s="12"/>
      <c r="J195" s="12">
        <v>30</v>
      </c>
    </row>
    <row r="196" spans="1:10" ht="30">
      <c r="A196" s="24" t="s">
        <v>148</v>
      </c>
      <c r="B196" s="2">
        <v>136</v>
      </c>
      <c r="C196" s="17" t="s">
        <v>355</v>
      </c>
      <c r="D196" s="2" t="s">
        <v>356</v>
      </c>
      <c r="E196" s="17" t="s">
        <v>151</v>
      </c>
      <c r="F196" s="12">
        <v>24</v>
      </c>
      <c r="G196" s="13">
        <v>2727.48</v>
      </c>
      <c r="H196" s="13">
        <v>1537.48</v>
      </c>
      <c r="I196" s="12"/>
      <c r="J196" s="12">
        <v>24</v>
      </c>
    </row>
    <row r="197" spans="1:10">
      <c r="A197" s="24" t="s">
        <v>148</v>
      </c>
      <c r="B197" s="2">
        <v>137</v>
      </c>
      <c r="C197" s="17" t="s">
        <v>357</v>
      </c>
      <c r="D197" s="2" t="s">
        <v>358</v>
      </c>
      <c r="E197" s="17" t="s">
        <v>151</v>
      </c>
      <c r="F197" s="12">
        <v>50</v>
      </c>
      <c r="G197" s="13">
        <v>1537.48</v>
      </c>
      <c r="H197" s="13">
        <v>1537.48</v>
      </c>
      <c r="I197" s="12"/>
      <c r="J197" s="12">
        <v>50</v>
      </c>
    </row>
    <row r="198" spans="1:10" ht="30">
      <c r="A198" s="24" t="s">
        <v>148</v>
      </c>
      <c r="B198" s="2">
        <v>138</v>
      </c>
      <c r="C198" s="17" t="s">
        <v>359</v>
      </c>
      <c r="D198" s="2" t="s">
        <v>360</v>
      </c>
      <c r="E198" s="17" t="s">
        <v>151</v>
      </c>
      <c r="F198" s="12">
        <v>50</v>
      </c>
      <c r="G198" s="13">
        <v>1537.48</v>
      </c>
      <c r="H198" s="13">
        <v>1537.48</v>
      </c>
      <c r="I198" s="12"/>
      <c r="J198" s="12">
        <v>50</v>
      </c>
    </row>
    <row r="199" spans="1:10" ht="30">
      <c r="A199" s="24" t="s">
        <v>148</v>
      </c>
      <c r="B199" s="2">
        <v>139</v>
      </c>
      <c r="C199" s="17" t="s">
        <v>361</v>
      </c>
      <c r="D199" s="2" t="s">
        <v>358</v>
      </c>
      <c r="E199" s="17" t="s">
        <v>151</v>
      </c>
      <c r="F199" s="12">
        <v>8</v>
      </c>
      <c r="G199" s="13">
        <v>1537.48</v>
      </c>
      <c r="H199" s="13">
        <v>1537.48</v>
      </c>
      <c r="I199" s="12"/>
      <c r="J199" s="12">
        <v>8</v>
      </c>
    </row>
    <row r="200" spans="1:10" ht="30">
      <c r="A200" s="24" t="s">
        <v>148</v>
      </c>
      <c r="B200" s="2">
        <v>140</v>
      </c>
      <c r="C200" s="17" t="s">
        <v>362</v>
      </c>
      <c r="D200" s="2" t="s">
        <v>363</v>
      </c>
      <c r="E200" s="17" t="s">
        <v>151</v>
      </c>
      <c r="F200" s="12">
        <v>24</v>
      </c>
      <c r="G200" s="13">
        <v>1537.48</v>
      </c>
      <c r="H200" s="13">
        <v>23075.289999999997</v>
      </c>
      <c r="I200" s="12"/>
      <c r="J200" s="12">
        <v>24</v>
      </c>
    </row>
    <row r="201" spans="1:10" ht="30">
      <c r="A201" s="24" t="s">
        <v>148</v>
      </c>
      <c r="B201" s="2">
        <v>141</v>
      </c>
      <c r="C201" s="17" t="s">
        <v>364</v>
      </c>
      <c r="D201" s="2" t="s">
        <v>365</v>
      </c>
      <c r="E201" s="17" t="s">
        <v>151</v>
      </c>
      <c r="F201" s="12">
        <v>15</v>
      </c>
      <c r="G201" s="13">
        <v>23075.289999999997</v>
      </c>
      <c r="H201" s="13">
        <v>0</v>
      </c>
      <c r="I201" s="12"/>
      <c r="J201" s="12">
        <v>15</v>
      </c>
    </row>
    <row r="202" spans="1:10">
      <c r="A202" s="24" t="s">
        <v>148</v>
      </c>
      <c r="B202" s="2"/>
      <c r="C202" s="17"/>
      <c r="D202" s="2"/>
      <c r="E202" s="17" t="s">
        <v>151</v>
      </c>
      <c r="F202" s="12"/>
      <c r="G202" s="13">
        <v>0</v>
      </c>
      <c r="H202" s="13">
        <v>2727.48</v>
      </c>
      <c r="I202" s="12"/>
      <c r="J202" s="12">
        <v>0</v>
      </c>
    </row>
    <row r="203" spans="1:10" ht="30">
      <c r="A203" s="24" t="s">
        <v>148</v>
      </c>
      <c r="B203" s="2">
        <v>142</v>
      </c>
      <c r="C203" s="17" t="s">
        <v>366</v>
      </c>
      <c r="D203" s="2" t="s">
        <v>367</v>
      </c>
      <c r="E203" s="17" t="s">
        <v>151</v>
      </c>
      <c r="F203" s="12">
        <v>16</v>
      </c>
      <c r="G203" s="13">
        <v>2727.48</v>
      </c>
      <c r="H203" s="13">
        <v>23075</v>
      </c>
      <c r="I203" s="12"/>
      <c r="J203" s="12">
        <v>16</v>
      </c>
    </row>
    <row r="204" spans="1:10" ht="30">
      <c r="A204" s="24" t="s">
        <v>148</v>
      </c>
      <c r="B204" s="2">
        <v>143</v>
      </c>
      <c r="C204" s="17" t="s">
        <v>368</v>
      </c>
      <c r="D204" s="2" t="s">
        <v>369</v>
      </c>
      <c r="E204" s="17" t="s">
        <v>151</v>
      </c>
      <c r="F204" s="12">
        <v>15</v>
      </c>
      <c r="G204" s="13">
        <v>23075</v>
      </c>
      <c r="H204" s="13">
        <v>11057</v>
      </c>
      <c r="I204" s="12"/>
      <c r="J204" s="12">
        <v>15</v>
      </c>
    </row>
    <row r="205" spans="1:10" ht="30">
      <c r="A205" s="24" t="s">
        <v>148</v>
      </c>
      <c r="B205" s="2">
        <v>144</v>
      </c>
      <c r="C205" s="17" t="s">
        <v>370</v>
      </c>
      <c r="D205" s="2" t="s">
        <v>371</v>
      </c>
      <c r="E205" s="17" t="s">
        <v>151</v>
      </c>
      <c r="F205" s="12">
        <v>15</v>
      </c>
      <c r="G205" s="13">
        <v>11057</v>
      </c>
      <c r="H205" s="13">
        <v>1537.48</v>
      </c>
      <c r="I205" s="12"/>
      <c r="J205" s="12">
        <v>15</v>
      </c>
    </row>
    <row r="206" spans="1:10" ht="30">
      <c r="A206" s="24" t="s">
        <v>148</v>
      </c>
      <c r="B206" s="2">
        <v>145</v>
      </c>
      <c r="C206" s="17" t="s">
        <v>372</v>
      </c>
      <c r="D206" s="2" t="s">
        <v>373</v>
      </c>
      <c r="E206" s="17" t="s">
        <v>151</v>
      </c>
      <c r="F206" s="12">
        <v>15</v>
      </c>
      <c r="G206" s="13">
        <v>1537.48</v>
      </c>
      <c r="H206" s="13">
        <v>1537.48</v>
      </c>
      <c r="I206" s="12"/>
      <c r="J206" s="12">
        <v>15</v>
      </c>
    </row>
    <row r="207" spans="1:10" ht="30">
      <c r="A207" s="24" t="s">
        <v>148</v>
      </c>
      <c r="B207" s="9">
        <v>146</v>
      </c>
      <c r="C207" s="20" t="s">
        <v>374</v>
      </c>
      <c r="D207" s="9" t="s">
        <v>375</v>
      </c>
      <c r="E207" s="20" t="s">
        <v>151</v>
      </c>
      <c r="F207" s="12">
        <v>12</v>
      </c>
      <c r="G207" s="13">
        <v>1537.48</v>
      </c>
      <c r="H207" s="13">
        <v>11057</v>
      </c>
      <c r="I207" s="12"/>
      <c r="J207" s="12">
        <v>12</v>
      </c>
    </row>
    <row r="208" spans="1:10" ht="45">
      <c r="A208" s="24" t="s">
        <v>148</v>
      </c>
      <c r="B208" s="9">
        <v>147</v>
      </c>
      <c r="C208" s="20" t="s">
        <v>376</v>
      </c>
      <c r="D208" s="9" t="s">
        <v>377</v>
      </c>
      <c r="E208" s="20" t="s">
        <v>151</v>
      </c>
      <c r="F208" s="12">
        <v>20</v>
      </c>
      <c r="G208" s="13">
        <v>11057</v>
      </c>
      <c r="H208" s="13">
        <v>2727.48</v>
      </c>
      <c r="I208" s="12"/>
      <c r="J208" s="12">
        <v>20</v>
      </c>
    </row>
    <row r="209" spans="1:10" ht="30">
      <c r="A209" s="24" t="s">
        <v>148</v>
      </c>
      <c r="B209" s="6" t="s">
        <v>378</v>
      </c>
      <c r="C209" s="18" t="s">
        <v>379</v>
      </c>
      <c r="D209" s="6" t="s">
        <v>380</v>
      </c>
      <c r="E209" s="18" t="s">
        <v>151</v>
      </c>
      <c r="F209" s="12">
        <v>15</v>
      </c>
      <c r="G209" s="13">
        <v>2727.48</v>
      </c>
      <c r="H209" s="13">
        <v>3111.85</v>
      </c>
      <c r="I209" s="12"/>
      <c r="J209" s="12">
        <v>15</v>
      </c>
    </row>
    <row r="210" spans="1:10" ht="30">
      <c r="A210" s="24" t="s">
        <v>148</v>
      </c>
      <c r="B210" s="6" t="s">
        <v>381</v>
      </c>
      <c r="C210" s="18" t="s">
        <v>382</v>
      </c>
      <c r="D210" s="6" t="s">
        <v>380</v>
      </c>
      <c r="E210" s="18" t="s">
        <v>151</v>
      </c>
      <c r="F210" s="12">
        <v>50</v>
      </c>
      <c r="G210" s="13">
        <v>3111.85</v>
      </c>
      <c r="H210" s="13">
        <v>1</v>
      </c>
      <c r="I210" s="12"/>
      <c r="J210" s="12">
        <v>50</v>
      </c>
    </row>
    <row r="211" spans="1:10" ht="30">
      <c r="A211" s="24" t="s">
        <v>148</v>
      </c>
      <c r="B211" s="6" t="s">
        <v>383</v>
      </c>
      <c r="C211" s="18" t="s">
        <v>384</v>
      </c>
      <c r="D211" s="6" t="s">
        <v>385</v>
      </c>
      <c r="E211" s="18" t="s">
        <v>151</v>
      </c>
      <c r="F211" s="12">
        <v>100</v>
      </c>
      <c r="G211" s="13">
        <v>1</v>
      </c>
      <c r="H211" s="13">
        <v>2727.48</v>
      </c>
      <c r="I211" s="12"/>
      <c r="J211" s="12">
        <v>100</v>
      </c>
    </row>
    <row r="212" spans="1:10" ht="30">
      <c r="A212" s="24" t="s">
        <v>148</v>
      </c>
      <c r="B212" s="6" t="s">
        <v>386</v>
      </c>
      <c r="C212" s="18" t="s">
        <v>387</v>
      </c>
      <c r="D212" s="6" t="s">
        <v>388</v>
      </c>
      <c r="E212" s="18" t="s">
        <v>151</v>
      </c>
      <c r="F212" s="12">
        <v>20</v>
      </c>
      <c r="G212" s="13">
        <v>2727.48</v>
      </c>
      <c r="H212" s="13">
        <v>2727.48</v>
      </c>
      <c r="I212" s="12"/>
      <c r="J212" s="12">
        <v>20</v>
      </c>
    </row>
    <row r="213" spans="1:10" ht="30">
      <c r="A213" s="24" t="s">
        <v>148</v>
      </c>
      <c r="B213" s="6" t="s">
        <v>389</v>
      </c>
      <c r="C213" s="18" t="s">
        <v>390</v>
      </c>
      <c r="D213" s="6" t="s">
        <v>279</v>
      </c>
      <c r="E213" s="18" t="s">
        <v>151</v>
      </c>
      <c r="F213" s="12">
        <v>15</v>
      </c>
      <c r="G213" s="13">
        <v>2727.48</v>
      </c>
      <c r="H213" s="13">
        <v>14750</v>
      </c>
      <c r="I213" s="12"/>
      <c r="J213" s="12">
        <v>15</v>
      </c>
    </row>
    <row r="214" spans="1:10" ht="30">
      <c r="A214" s="24" t="s">
        <v>148</v>
      </c>
      <c r="B214" s="9">
        <v>148</v>
      </c>
      <c r="C214" s="20" t="s">
        <v>391</v>
      </c>
      <c r="D214" s="9" t="s">
        <v>392</v>
      </c>
      <c r="E214" s="20" t="s">
        <v>151</v>
      </c>
      <c r="F214" s="12">
        <v>8</v>
      </c>
      <c r="G214" s="13">
        <v>14750</v>
      </c>
      <c r="H214" s="13">
        <v>14750</v>
      </c>
      <c r="I214" s="12"/>
      <c r="J214" s="12">
        <v>8</v>
      </c>
    </row>
    <row r="215" spans="1:10">
      <c r="A215" s="24" t="s">
        <v>148</v>
      </c>
      <c r="B215" s="9">
        <v>149</v>
      </c>
      <c r="C215" s="20" t="s">
        <v>393</v>
      </c>
      <c r="D215" s="9" t="s">
        <v>394</v>
      </c>
      <c r="E215" s="20" t="s">
        <v>151</v>
      </c>
      <c r="F215" s="12">
        <v>20</v>
      </c>
      <c r="G215" s="13">
        <v>14750</v>
      </c>
      <c r="H215" s="13">
        <v>1900</v>
      </c>
      <c r="I215" s="12"/>
      <c r="J215" s="12">
        <v>20</v>
      </c>
    </row>
    <row r="216" spans="1:10">
      <c r="A216" s="24" t="s">
        <v>148</v>
      </c>
      <c r="B216" s="6" t="s">
        <v>395</v>
      </c>
      <c r="C216" s="18" t="s">
        <v>396</v>
      </c>
      <c r="D216" s="6" t="s">
        <v>397</v>
      </c>
      <c r="E216" s="18" t="s">
        <v>151</v>
      </c>
      <c r="F216" s="12">
        <v>20</v>
      </c>
      <c r="G216" s="13">
        <v>1900</v>
      </c>
      <c r="H216" s="13">
        <v>1900</v>
      </c>
      <c r="I216" s="12"/>
      <c r="J216" s="12">
        <v>20</v>
      </c>
    </row>
    <row r="217" spans="1:10">
      <c r="A217" s="24" t="s">
        <v>148</v>
      </c>
      <c r="B217" s="6" t="s">
        <v>398</v>
      </c>
      <c r="C217" s="18" t="s">
        <v>399</v>
      </c>
      <c r="D217" s="6" t="s">
        <v>397</v>
      </c>
      <c r="E217" s="18" t="s">
        <v>151</v>
      </c>
      <c r="F217" s="12">
        <v>10</v>
      </c>
      <c r="G217" s="13">
        <v>1900</v>
      </c>
      <c r="H217" s="13">
        <v>6957.9299999999994</v>
      </c>
      <c r="I217" s="12"/>
      <c r="J217" s="12">
        <v>10</v>
      </c>
    </row>
    <row r="218" spans="1:10" ht="30">
      <c r="A218" s="24" t="s">
        <v>148</v>
      </c>
      <c r="B218" s="9">
        <v>150</v>
      </c>
      <c r="C218" s="20" t="s">
        <v>400</v>
      </c>
      <c r="D218" s="9" t="s">
        <v>401</v>
      </c>
      <c r="E218" s="20" t="s">
        <v>151</v>
      </c>
      <c r="F218" s="12">
        <v>20</v>
      </c>
      <c r="G218" s="13">
        <v>6957.9299999999994</v>
      </c>
      <c r="H218" s="13">
        <v>6957.9299999999994</v>
      </c>
      <c r="I218" s="12"/>
      <c r="J218" s="12">
        <v>20</v>
      </c>
    </row>
    <row r="219" spans="1:10" ht="30">
      <c r="A219" s="24" t="s">
        <v>148</v>
      </c>
      <c r="B219" s="9">
        <v>151</v>
      </c>
      <c r="C219" s="20" t="s">
        <v>402</v>
      </c>
      <c r="D219" s="9" t="s">
        <v>403</v>
      </c>
      <c r="E219" s="20" t="s">
        <v>151</v>
      </c>
      <c r="F219" s="12">
        <v>30</v>
      </c>
      <c r="G219" s="13">
        <v>6957.9299999999994</v>
      </c>
      <c r="H219" s="13">
        <v>6957.9299999999994</v>
      </c>
      <c r="I219" s="12"/>
      <c r="J219" s="12">
        <v>30</v>
      </c>
    </row>
    <row r="220" spans="1:10" ht="30">
      <c r="A220" s="24" t="s">
        <v>148</v>
      </c>
      <c r="B220" s="2">
        <v>152</v>
      </c>
      <c r="C220" s="17" t="s">
        <v>404</v>
      </c>
      <c r="D220" s="2" t="s">
        <v>405</v>
      </c>
      <c r="E220" s="17" t="s">
        <v>151</v>
      </c>
      <c r="F220" s="12">
        <v>10</v>
      </c>
      <c r="G220" s="13">
        <v>6957.9299999999994</v>
      </c>
      <c r="H220" s="13">
        <v>6957.9299999999994</v>
      </c>
      <c r="I220" s="12"/>
      <c r="J220" s="12">
        <v>10</v>
      </c>
    </row>
    <row r="221" spans="1:10" ht="30">
      <c r="A221" s="24" t="s">
        <v>148</v>
      </c>
      <c r="B221" s="2">
        <v>153</v>
      </c>
      <c r="C221" s="17" t="s">
        <v>406</v>
      </c>
      <c r="D221" s="2" t="s">
        <v>407</v>
      </c>
      <c r="E221" s="17" t="s">
        <v>151</v>
      </c>
      <c r="F221" s="12">
        <v>15</v>
      </c>
      <c r="G221" s="13">
        <v>6957.9299999999994</v>
      </c>
      <c r="H221" s="13">
        <v>6957.9299999999994</v>
      </c>
      <c r="I221" s="12"/>
      <c r="J221" s="12">
        <v>15</v>
      </c>
    </row>
    <row r="222" spans="1:10" ht="30">
      <c r="A222" s="24" t="s">
        <v>148</v>
      </c>
      <c r="B222" s="2">
        <v>154</v>
      </c>
      <c r="C222" s="17" t="s">
        <v>408</v>
      </c>
      <c r="D222" s="2" t="s">
        <v>409</v>
      </c>
      <c r="E222" s="17" t="s">
        <v>151</v>
      </c>
      <c r="F222" s="12">
        <v>40</v>
      </c>
      <c r="G222" s="13">
        <v>6957.9299999999994</v>
      </c>
      <c r="H222" s="13">
        <v>6957.9299999999994</v>
      </c>
      <c r="I222" s="12"/>
      <c r="J222" s="12">
        <v>40</v>
      </c>
    </row>
    <row r="223" spans="1:10" ht="30">
      <c r="A223" s="24" t="s">
        <v>148</v>
      </c>
      <c r="B223" s="2">
        <v>155</v>
      </c>
      <c r="C223" s="17" t="s">
        <v>410</v>
      </c>
      <c r="D223" s="2" t="s">
        <v>411</v>
      </c>
      <c r="E223" s="17" t="s">
        <v>151</v>
      </c>
      <c r="F223" s="12">
        <v>50</v>
      </c>
      <c r="G223" s="13">
        <v>6957.9299999999994</v>
      </c>
      <c r="H223" s="13">
        <v>6957.9299999999994</v>
      </c>
      <c r="I223" s="12"/>
      <c r="J223" s="12">
        <v>50</v>
      </c>
    </row>
    <row r="224" spans="1:10" ht="30">
      <c r="A224" s="24" t="s">
        <v>148</v>
      </c>
      <c r="B224" s="2">
        <v>156</v>
      </c>
      <c r="C224" s="17" t="s">
        <v>412</v>
      </c>
      <c r="D224" s="2" t="s">
        <v>413</v>
      </c>
      <c r="E224" s="17" t="s">
        <v>151</v>
      </c>
      <c r="F224" s="12">
        <v>20</v>
      </c>
      <c r="G224" s="13">
        <v>6957.9299999999994</v>
      </c>
      <c r="H224" s="13">
        <v>1000</v>
      </c>
      <c r="I224" s="12"/>
      <c r="J224" s="12">
        <v>20</v>
      </c>
    </row>
    <row r="225" spans="1:10" ht="30">
      <c r="A225" s="24" t="s">
        <v>148</v>
      </c>
      <c r="B225" s="2">
        <v>157</v>
      </c>
      <c r="C225" s="17" t="s">
        <v>414</v>
      </c>
      <c r="D225" s="2" t="s">
        <v>415</v>
      </c>
      <c r="E225" s="17" t="s">
        <v>151</v>
      </c>
      <c r="F225" s="12">
        <v>40</v>
      </c>
      <c r="G225" s="13">
        <v>1000</v>
      </c>
      <c r="H225" s="13">
        <v>1000</v>
      </c>
      <c r="I225" s="12"/>
      <c r="J225" s="12">
        <v>40</v>
      </c>
    </row>
    <row r="226" spans="1:10" ht="30">
      <c r="A226" s="24" t="s">
        <v>148</v>
      </c>
      <c r="B226" s="2">
        <v>158</v>
      </c>
      <c r="C226" s="17" t="s">
        <v>416</v>
      </c>
      <c r="D226" s="2" t="s">
        <v>417</v>
      </c>
      <c r="E226" s="17" t="s">
        <v>151</v>
      </c>
      <c r="F226" s="12">
        <v>40</v>
      </c>
      <c r="G226" s="13">
        <v>1000</v>
      </c>
      <c r="H226" s="13">
        <v>6957.9299999999994</v>
      </c>
      <c r="I226" s="12"/>
      <c r="J226" s="12">
        <v>40</v>
      </c>
    </row>
    <row r="227" spans="1:10" ht="30">
      <c r="A227" s="24" t="s">
        <v>148</v>
      </c>
      <c r="B227" s="2">
        <v>159</v>
      </c>
      <c r="C227" s="17" t="s">
        <v>418</v>
      </c>
      <c r="D227" s="2" t="s">
        <v>419</v>
      </c>
      <c r="E227" s="17" t="s">
        <v>151</v>
      </c>
      <c r="F227" s="12">
        <v>15</v>
      </c>
      <c r="G227" s="13">
        <v>6957.9299999999994</v>
      </c>
      <c r="H227" s="13">
        <v>6957.9299999999994</v>
      </c>
      <c r="I227" s="12"/>
      <c r="J227" s="12">
        <v>15</v>
      </c>
    </row>
    <row r="228" spans="1:10" ht="30">
      <c r="A228" s="24" t="s">
        <v>148</v>
      </c>
      <c r="B228" s="2">
        <v>160</v>
      </c>
      <c r="C228" s="17" t="s">
        <v>420</v>
      </c>
      <c r="D228" s="2" t="s">
        <v>421</v>
      </c>
      <c r="E228" s="17" t="s">
        <v>151</v>
      </c>
      <c r="F228" s="12">
        <v>20</v>
      </c>
      <c r="G228" s="13">
        <v>6957.9299999999994</v>
      </c>
      <c r="H228" s="13">
        <v>6957.9299999999994</v>
      </c>
      <c r="I228" s="12"/>
      <c r="J228" s="12">
        <v>20</v>
      </c>
    </row>
    <row r="229" spans="1:10" ht="30">
      <c r="A229" s="24" t="s">
        <v>148</v>
      </c>
      <c r="B229" s="2">
        <v>161</v>
      </c>
      <c r="C229" s="17" t="s">
        <v>420</v>
      </c>
      <c r="D229" s="2" t="s">
        <v>421</v>
      </c>
      <c r="E229" s="17" t="s">
        <v>151</v>
      </c>
      <c r="F229" s="12">
        <v>20</v>
      </c>
      <c r="G229" s="13">
        <v>6957.9299999999994</v>
      </c>
      <c r="H229" s="13">
        <v>6957.9299999999994</v>
      </c>
      <c r="I229" s="12"/>
      <c r="J229" s="12">
        <v>20</v>
      </c>
    </row>
    <row r="230" spans="1:10" ht="30">
      <c r="A230" s="24" t="s">
        <v>148</v>
      </c>
      <c r="B230" s="2">
        <v>162</v>
      </c>
      <c r="C230" s="17" t="s">
        <v>422</v>
      </c>
      <c r="D230" s="2" t="s">
        <v>423</v>
      </c>
      <c r="E230" s="17" t="s">
        <v>151</v>
      </c>
      <c r="F230" s="12">
        <v>20</v>
      </c>
      <c r="G230" s="13">
        <v>6957.9299999999994</v>
      </c>
      <c r="H230" s="13">
        <v>6957.9299999999994</v>
      </c>
      <c r="I230" s="12"/>
      <c r="J230" s="12">
        <v>20</v>
      </c>
    </row>
    <row r="231" spans="1:10" ht="30">
      <c r="A231" s="24" t="s">
        <v>148</v>
      </c>
      <c r="B231" s="2">
        <v>163</v>
      </c>
      <c r="C231" s="17" t="s">
        <v>424</v>
      </c>
      <c r="D231" s="2" t="s">
        <v>425</v>
      </c>
      <c r="E231" s="17" t="s">
        <v>151</v>
      </c>
      <c r="F231" s="12">
        <v>10</v>
      </c>
      <c r="G231" s="13">
        <v>6957.9299999999994</v>
      </c>
      <c r="H231" s="13">
        <v>6957.9299999999994</v>
      </c>
      <c r="I231" s="12"/>
      <c r="J231" s="12">
        <v>10</v>
      </c>
    </row>
    <row r="232" spans="1:10" ht="30">
      <c r="A232" s="24" t="s">
        <v>148</v>
      </c>
      <c r="B232" s="2">
        <v>164</v>
      </c>
      <c r="C232" s="17" t="s">
        <v>426</v>
      </c>
      <c r="D232" s="2" t="s">
        <v>427</v>
      </c>
      <c r="E232" s="17" t="s">
        <v>151</v>
      </c>
      <c r="F232" s="12">
        <v>12</v>
      </c>
      <c r="G232" s="13">
        <v>6957.9299999999994</v>
      </c>
      <c r="H232" s="13">
        <v>6957.9299999999994</v>
      </c>
      <c r="I232" s="12"/>
      <c r="J232" s="12">
        <v>12</v>
      </c>
    </row>
    <row r="233" spans="1:10" ht="30">
      <c r="A233" s="24" t="s">
        <v>148</v>
      </c>
      <c r="B233" s="2">
        <v>165</v>
      </c>
      <c r="C233" s="17" t="s">
        <v>428</v>
      </c>
      <c r="D233" s="2" t="s">
        <v>429</v>
      </c>
      <c r="E233" s="17" t="s">
        <v>151</v>
      </c>
      <c r="F233" s="12">
        <v>40</v>
      </c>
      <c r="G233" s="13">
        <v>6957.9299999999994</v>
      </c>
      <c r="H233" s="13">
        <v>873.94</v>
      </c>
      <c r="I233" s="12"/>
      <c r="J233" s="12">
        <v>40</v>
      </c>
    </row>
    <row r="234" spans="1:10" ht="30">
      <c r="A234" s="24" t="s">
        <v>148</v>
      </c>
      <c r="B234" s="2">
        <v>166</v>
      </c>
      <c r="C234" s="17" t="s">
        <v>430</v>
      </c>
      <c r="D234" s="2" t="s">
        <v>431</v>
      </c>
      <c r="E234" s="17" t="s">
        <v>151</v>
      </c>
      <c r="F234" s="12">
        <v>1000</v>
      </c>
      <c r="G234" s="13">
        <v>873.94</v>
      </c>
      <c r="H234" s="13">
        <v>873.94</v>
      </c>
      <c r="I234" s="12"/>
      <c r="J234" s="12">
        <v>1000</v>
      </c>
    </row>
    <row r="235" spans="1:10">
      <c r="A235" s="24" t="s">
        <v>148</v>
      </c>
      <c r="B235" s="2">
        <v>167</v>
      </c>
      <c r="C235" s="17" t="s">
        <v>432</v>
      </c>
      <c r="D235" s="2" t="s">
        <v>433</v>
      </c>
      <c r="E235" s="17" t="s">
        <v>151</v>
      </c>
      <c r="F235" s="12">
        <v>300</v>
      </c>
      <c r="G235" s="13">
        <v>873.94</v>
      </c>
      <c r="H235" s="13">
        <v>873.94</v>
      </c>
      <c r="I235" s="12"/>
      <c r="J235" s="12">
        <v>300</v>
      </c>
    </row>
    <row r="236" spans="1:10">
      <c r="A236" s="24" t="s">
        <v>148</v>
      </c>
      <c r="B236" s="2">
        <v>168</v>
      </c>
      <c r="C236" s="17" t="s">
        <v>434</v>
      </c>
      <c r="D236" s="2" t="s">
        <v>435</v>
      </c>
      <c r="E236" s="17" t="s">
        <v>151</v>
      </c>
      <c r="F236" s="12">
        <v>300</v>
      </c>
      <c r="G236" s="13">
        <v>873.94</v>
      </c>
      <c r="H236" s="13">
        <v>873.94</v>
      </c>
      <c r="I236" s="12"/>
      <c r="J236" s="12">
        <v>300</v>
      </c>
    </row>
    <row r="237" spans="1:10" ht="30">
      <c r="A237" s="24" t="s">
        <v>148</v>
      </c>
      <c r="B237" s="2">
        <v>169</v>
      </c>
      <c r="C237" s="17" t="s">
        <v>436</v>
      </c>
      <c r="D237" s="2" t="s">
        <v>437</v>
      </c>
      <c r="E237" s="17" t="s">
        <v>151</v>
      </c>
      <c r="F237" s="12">
        <v>300</v>
      </c>
      <c r="G237" s="13">
        <v>873.94</v>
      </c>
      <c r="H237" s="13">
        <v>873.94</v>
      </c>
      <c r="I237" s="12"/>
      <c r="J237" s="12">
        <v>300</v>
      </c>
    </row>
    <row r="238" spans="1:10" ht="30">
      <c r="A238" s="24" t="s">
        <v>148</v>
      </c>
      <c r="B238" s="2">
        <v>170</v>
      </c>
      <c r="C238" s="17" t="s">
        <v>438</v>
      </c>
      <c r="D238" s="2" t="s">
        <v>439</v>
      </c>
      <c r="E238" s="17" t="s">
        <v>151</v>
      </c>
      <c r="F238" s="12">
        <v>300</v>
      </c>
      <c r="G238" s="13">
        <v>873.94</v>
      </c>
      <c r="H238" s="13">
        <v>873.94</v>
      </c>
      <c r="I238" s="12"/>
      <c r="J238" s="12">
        <v>300</v>
      </c>
    </row>
    <row r="239" spans="1:10" ht="45">
      <c r="A239" s="24" t="s">
        <v>148</v>
      </c>
      <c r="B239" s="2">
        <v>171</v>
      </c>
      <c r="C239" s="17" t="s">
        <v>440</v>
      </c>
      <c r="D239" s="2" t="s">
        <v>441</v>
      </c>
      <c r="E239" s="17" t="s">
        <v>151</v>
      </c>
      <c r="F239" s="12">
        <v>300</v>
      </c>
      <c r="G239" s="13">
        <v>873.94</v>
      </c>
      <c r="H239" s="13">
        <v>873.94</v>
      </c>
      <c r="I239" s="12"/>
      <c r="J239" s="12">
        <v>300</v>
      </c>
    </row>
    <row r="240" spans="1:10" ht="45">
      <c r="A240" s="24" t="s">
        <v>148</v>
      </c>
      <c r="B240" s="2">
        <v>172</v>
      </c>
      <c r="C240" s="17" t="s">
        <v>442</v>
      </c>
      <c r="D240" s="2" t="s">
        <v>443</v>
      </c>
      <c r="E240" s="17" t="s">
        <v>151</v>
      </c>
      <c r="F240" s="12">
        <v>300</v>
      </c>
      <c r="G240" s="13">
        <v>873.94</v>
      </c>
      <c r="H240" s="13">
        <v>873.94</v>
      </c>
      <c r="I240" s="12"/>
      <c r="J240" s="12">
        <v>300</v>
      </c>
    </row>
    <row r="241" spans="1:10" ht="45">
      <c r="A241" s="24" t="s">
        <v>148</v>
      </c>
      <c r="B241" s="2">
        <v>173</v>
      </c>
      <c r="C241" s="17" t="s">
        <v>444</v>
      </c>
      <c r="D241" s="2" t="s">
        <v>445</v>
      </c>
      <c r="E241" s="17" t="s">
        <v>151</v>
      </c>
      <c r="F241" s="12">
        <v>300</v>
      </c>
      <c r="G241" s="13">
        <v>873.94</v>
      </c>
      <c r="H241" s="13">
        <v>873.94</v>
      </c>
      <c r="I241" s="12"/>
      <c r="J241" s="12">
        <v>300</v>
      </c>
    </row>
    <row r="242" spans="1:10" ht="45">
      <c r="A242" s="24" t="s">
        <v>148</v>
      </c>
      <c r="B242" s="2">
        <v>174</v>
      </c>
      <c r="C242" s="17" t="s">
        <v>446</v>
      </c>
      <c r="D242" s="2" t="s">
        <v>447</v>
      </c>
      <c r="E242" s="17" t="s">
        <v>151</v>
      </c>
      <c r="F242" s="12">
        <v>300</v>
      </c>
      <c r="G242" s="13">
        <v>873.94</v>
      </c>
      <c r="H242" s="13">
        <v>873.94</v>
      </c>
      <c r="I242" s="12"/>
      <c r="J242" s="12">
        <v>300</v>
      </c>
    </row>
    <row r="243" spans="1:10" ht="45">
      <c r="A243" s="24" t="s">
        <v>148</v>
      </c>
      <c r="B243" s="2">
        <v>175</v>
      </c>
      <c r="C243" s="17" t="s">
        <v>448</v>
      </c>
      <c r="D243" s="2" t="s">
        <v>449</v>
      </c>
      <c r="E243" s="17" t="s">
        <v>151</v>
      </c>
      <c r="F243" s="12">
        <v>30</v>
      </c>
      <c r="G243" s="13">
        <v>873.94</v>
      </c>
      <c r="H243" s="13">
        <v>873.94</v>
      </c>
      <c r="I243" s="12"/>
      <c r="J243" s="12">
        <v>30</v>
      </c>
    </row>
    <row r="244" spans="1:10" ht="45">
      <c r="A244" s="24" t="s">
        <v>148</v>
      </c>
      <c r="B244" s="2">
        <v>176</v>
      </c>
      <c r="C244" s="17" t="s">
        <v>450</v>
      </c>
      <c r="D244" s="2" t="s">
        <v>451</v>
      </c>
      <c r="E244" s="17" t="s">
        <v>151</v>
      </c>
      <c r="F244" s="12">
        <v>20</v>
      </c>
      <c r="G244" s="13">
        <v>873.94</v>
      </c>
      <c r="H244" s="13">
        <v>873.94</v>
      </c>
      <c r="I244" s="12"/>
      <c r="J244" s="12">
        <v>20</v>
      </c>
    </row>
    <row r="245" spans="1:10" ht="45">
      <c r="A245" s="24" t="s">
        <v>148</v>
      </c>
      <c r="B245" s="2">
        <v>177</v>
      </c>
      <c r="C245" s="17" t="s">
        <v>452</v>
      </c>
      <c r="D245" s="2" t="s">
        <v>453</v>
      </c>
      <c r="E245" s="17" t="s">
        <v>151</v>
      </c>
      <c r="F245" s="12">
        <v>20</v>
      </c>
      <c r="G245" s="13">
        <v>873.94</v>
      </c>
      <c r="H245" s="13">
        <v>1200</v>
      </c>
      <c r="I245" s="12"/>
      <c r="J245" s="12">
        <v>20</v>
      </c>
    </row>
    <row r="246" spans="1:10" ht="30">
      <c r="A246" s="24" t="s">
        <v>148</v>
      </c>
      <c r="B246" s="2">
        <v>178</v>
      </c>
      <c r="C246" s="17" t="s">
        <v>454</v>
      </c>
      <c r="D246" s="2" t="s">
        <v>455</v>
      </c>
      <c r="E246" s="17" t="s">
        <v>151</v>
      </c>
      <c r="F246" s="12">
        <v>20</v>
      </c>
      <c r="G246" s="13">
        <v>1200</v>
      </c>
      <c r="H246" s="13">
        <v>1200</v>
      </c>
      <c r="I246" s="12"/>
      <c r="J246" s="12">
        <v>20</v>
      </c>
    </row>
    <row r="247" spans="1:10" ht="30">
      <c r="A247" s="24" t="s">
        <v>148</v>
      </c>
      <c r="B247" s="2">
        <v>179</v>
      </c>
      <c r="C247" s="17" t="s">
        <v>456</v>
      </c>
      <c r="D247" s="2" t="s">
        <v>457</v>
      </c>
      <c r="E247" s="17" t="s">
        <v>151</v>
      </c>
      <c r="F247" s="12">
        <v>20</v>
      </c>
      <c r="G247" s="13">
        <v>1200</v>
      </c>
      <c r="H247" s="13">
        <v>1200</v>
      </c>
      <c r="I247" s="12"/>
      <c r="J247" s="12">
        <v>20</v>
      </c>
    </row>
    <row r="248" spans="1:10" ht="30">
      <c r="A248" s="24" t="s">
        <v>148</v>
      </c>
      <c r="B248" s="2">
        <v>180</v>
      </c>
      <c r="C248" s="17" t="s">
        <v>458</v>
      </c>
      <c r="D248" s="2" t="s">
        <v>459</v>
      </c>
      <c r="E248" s="17" t="s">
        <v>151</v>
      </c>
      <c r="F248" s="12">
        <v>50</v>
      </c>
      <c r="G248" s="13">
        <v>1200</v>
      </c>
      <c r="H248" s="13">
        <v>1200</v>
      </c>
      <c r="I248" s="12"/>
      <c r="J248" s="12">
        <v>50</v>
      </c>
    </row>
    <row r="249" spans="1:10" ht="30">
      <c r="A249" s="24" t="s">
        <v>148</v>
      </c>
      <c r="B249" s="2" t="s">
        <v>460</v>
      </c>
      <c r="C249" s="17" t="s">
        <v>461</v>
      </c>
      <c r="D249" s="2" t="s">
        <v>462</v>
      </c>
      <c r="E249" s="17" t="s">
        <v>151</v>
      </c>
      <c r="F249" s="12">
        <v>30</v>
      </c>
      <c r="G249" s="13">
        <v>1200</v>
      </c>
      <c r="H249" s="13">
        <v>1200</v>
      </c>
      <c r="I249" s="12"/>
      <c r="J249" s="12">
        <v>30</v>
      </c>
    </row>
    <row r="250" spans="1:10" ht="30">
      <c r="A250" s="24" t="s">
        <v>148</v>
      </c>
      <c r="B250" s="2" t="s">
        <v>463</v>
      </c>
      <c r="C250" s="17" t="s">
        <v>464</v>
      </c>
      <c r="D250" s="2" t="s">
        <v>465</v>
      </c>
      <c r="E250" s="17" t="s">
        <v>151</v>
      </c>
      <c r="F250" s="12">
        <v>30</v>
      </c>
      <c r="G250" s="13">
        <v>1200</v>
      </c>
      <c r="H250" s="13">
        <v>0</v>
      </c>
      <c r="I250" s="12"/>
      <c r="J250" s="12">
        <v>30</v>
      </c>
    </row>
    <row r="251" spans="1:10">
      <c r="A251" s="24" t="s">
        <v>148</v>
      </c>
      <c r="B251" s="2"/>
      <c r="C251" s="17"/>
      <c r="D251" s="2"/>
      <c r="E251" s="17" t="s">
        <v>151</v>
      </c>
      <c r="F251" s="12"/>
      <c r="G251" s="13">
        <v>0</v>
      </c>
      <c r="H251" s="13">
        <v>1200</v>
      </c>
      <c r="I251" s="12"/>
      <c r="J251" s="12">
        <v>0</v>
      </c>
    </row>
    <row r="252" spans="1:10" ht="30">
      <c r="A252" s="24" t="s">
        <v>148</v>
      </c>
      <c r="B252" s="2">
        <v>181</v>
      </c>
      <c r="C252" s="17" t="s">
        <v>466</v>
      </c>
      <c r="D252" s="2" t="s">
        <v>467</v>
      </c>
      <c r="E252" s="17" t="s">
        <v>151</v>
      </c>
      <c r="F252" s="12">
        <v>100</v>
      </c>
      <c r="G252" s="13">
        <v>1200</v>
      </c>
      <c r="H252" s="13">
        <v>1200</v>
      </c>
      <c r="I252" s="12"/>
      <c r="J252" s="12">
        <v>100</v>
      </c>
    </row>
    <row r="253" spans="1:10" ht="30">
      <c r="A253" s="24" t="s">
        <v>148</v>
      </c>
      <c r="B253" s="2">
        <v>182</v>
      </c>
      <c r="C253" s="17" t="s">
        <v>468</v>
      </c>
      <c r="D253" s="2" t="s">
        <v>469</v>
      </c>
      <c r="E253" s="17" t="s">
        <v>151</v>
      </c>
      <c r="F253" s="12">
        <v>50</v>
      </c>
      <c r="G253" s="13">
        <v>1200</v>
      </c>
      <c r="H253" s="13">
        <v>1200</v>
      </c>
      <c r="I253" s="12"/>
      <c r="J253" s="12">
        <v>50</v>
      </c>
    </row>
    <row r="254" spans="1:10">
      <c r="A254" s="24" t="s">
        <v>148</v>
      </c>
      <c r="B254" s="2">
        <v>183</v>
      </c>
      <c r="C254" s="17" t="s">
        <v>470</v>
      </c>
      <c r="D254" s="2" t="s">
        <v>471</v>
      </c>
      <c r="E254" s="17" t="s">
        <v>151</v>
      </c>
      <c r="F254" s="12">
        <v>15</v>
      </c>
      <c r="G254" s="13">
        <v>1200</v>
      </c>
      <c r="H254" s="13">
        <v>500</v>
      </c>
      <c r="I254" s="12"/>
      <c r="J254" s="12">
        <v>15</v>
      </c>
    </row>
    <row r="255" spans="1:10" ht="30">
      <c r="A255" s="24" t="s">
        <v>148</v>
      </c>
      <c r="B255" s="2">
        <v>184</v>
      </c>
      <c r="C255" s="17" t="s">
        <v>472</v>
      </c>
      <c r="D255" s="2" t="s">
        <v>473</v>
      </c>
      <c r="E255" s="17" t="s">
        <v>151</v>
      </c>
      <c r="F255" s="12">
        <v>50</v>
      </c>
      <c r="G255" s="13">
        <v>500</v>
      </c>
      <c r="H255" s="13">
        <v>500</v>
      </c>
      <c r="I255" s="12"/>
      <c r="J255" s="12">
        <v>50</v>
      </c>
    </row>
    <row r="256" spans="1:10" ht="30">
      <c r="A256" s="24" t="s">
        <v>148</v>
      </c>
      <c r="B256" s="2">
        <v>185</v>
      </c>
      <c r="C256" s="17" t="s">
        <v>474</v>
      </c>
      <c r="D256" s="2" t="s">
        <v>475</v>
      </c>
      <c r="E256" s="17" t="s">
        <v>151</v>
      </c>
      <c r="F256" s="12">
        <v>100</v>
      </c>
      <c r="G256" s="13">
        <v>500</v>
      </c>
      <c r="H256" s="13">
        <v>500</v>
      </c>
      <c r="I256" s="12"/>
      <c r="J256" s="12">
        <v>100</v>
      </c>
    </row>
    <row r="257" spans="1:10" ht="30">
      <c r="A257" s="24" t="s">
        <v>148</v>
      </c>
      <c r="B257" s="2">
        <v>186</v>
      </c>
      <c r="C257" s="17" t="s">
        <v>476</v>
      </c>
      <c r="D257" s="2" t="s">
        <v>477</v>
      </c>
      <c r="E257" s="17" t="s">
        <v>151</v>
      </c>
      <c r="F257" s="12">
        <v>100</v>
      </c>
      <c r="G257" s="13">
        <v>500</v>
      </c>
      <c r="H257" s="13">
        <v>500</v>
      </c>
      <c r="I257" s="12"/>
      <c r="J257" s="12">
        <v>100</v>
      </c>
    </row>
    <row r="258" spans="1:10" ht="30">
      <c r="A258" s="24" t="s">
        <v>148</v>
      </c>
      <c r="B258" s="2">
        <v>187</v>
      </c>
      <c r="C258" s="17" t="s">
        <v>478</v>
      </c>
      <c r="D258" s="2" t="s">
        <v>479</v>
      </c>
      <c r="E258" s="17" t="s">
        <v>151</v>
      </c>
      <c r="F258" s="12">
        <v>100</v>
      </c>
      <c r="G258" s="13">
        <v>500</v>
      </c>
      <c r="H258" s="13">
        <v>500</v>
      </c>
      <c r="I258" s="12"/>
      <c r="J258" s="12">
        <v>100</v>
      </c>
    </row>
    <row r="259" spans="1:10" ht="30">
      <c r="A259" s="24" t="s">
        <v>148</v>
      </c>
      <c r="B259" s="2">
        <v>188</v>
      </c>
      <c r="C259" s="17" t="s">
        <v>480</v>
      </c>
      <c r="D259" s="2" t="s">
        <v>481</v>
      </c>
      <c r="E259" s="17" t="s">
        <v>151</v>
      </c>
      <c r="F259" s="12">
        <v>100</v>
      </c>
      <c r="G259" s="13">
        <v>500</v>
      </c>
      <c r="H259" s="13">
        <v>1200</v>
      </c>
      <c r="I259" s="12"/>
      <c r="J259" s="12">
        <v>100</v>
      </c>
    </row>
    <row r="260" spans="1:10">
      <c r="A260" s="24" t="s">
        <v>148</v>
      </c>
      <c r="B260" s="2">
        <v>189</v>
      </c>
      <c r="C260" s="17" t="s">
        <v>482</v>
      </c>
      <c r="D260" s="2" t="s">
        <v>483</v>
      </c>
      <c r="E260" s="17" t="s">
        <v>151</v>
      </c>
      <c r="F260" s="12">
        <v>20</v>
      </c>
      <c r="G260" s="13">
        <v>1200</v>
      </c>
      <c r="H260" s="13">
        <v>5450</v>
      </c>
      <c r="I260" s="12"/>
      <c r="J260" s="12">
        <v>20</v>
      </c>
    </row>
    <row r="261" spans="1:10" ht="30">
      <c r="A261" s="24" t="s">
        <v>148</v>
      </c>
      <c r="B261" s="2">
        <v>190</v>
      </c>
      <c r="C261" s="17" t="s">
        <v>484</v>
      </c>
      <c r="D261" s="2" t="s">
        <v>485</v>
      </c>
      <c r="E261" s="17" t="s">
        <v>151</v>
      </c>
      <c r="F261" s="12">
        <v>80</v>
      </c>
      <c r="G261" s="13">
        <v>5450</v>
      </c>
      <c r="H261" s="13">
        <v>5450</v>
      </c>
      <c r="I261" s="12"/>
      <c r="J261" s="12">
        <v>80</v>
      </c>
    </row>
    <row r="262" spans="1:10" ht="30">
      <c r="A262" s="24" t="s">
        <v>148</v>
      </c>
      <c r="B262" s="2">
        <v>191</v>
      </c>
      <c r="C262" s="17" t="s">
        <v>486</v>
      </c>
      <c r="D262" s="2" t="s">
        <v>487</v>
      </c>
      <c r="E262" s="17" t="s">
        <v>151</v>
      </c>
      <c r="F262" s="12">
        <v>80</v>
      </c>
      <c r="G262" s="13">
        <v>5450</v>
      </c>
      <c r="H262" s="13">
        <v>5450</v>
      </c>
      <c r="I262" s="12"/>
      <c r="J262" s="12">
        <v>80</v>
      </c>
    </row>
    <row r="263" spans="1:10" ht="30">
      <c r="A263" s="24" t="s">
        <v>148</v>
      </c>
      <c r="B263" s="2">
        <v>192</v>
      </c>
      <c r="C263" s="17" t="s">
        <v>488</v>
      </c>
      <c r="D263" s="2" t="s">
        <v>489</v>
      </c>
      <c r="E263" s="17" t="s">
        <v>151</v>
      </c>
      <c r="F263" s="12">
        <v>15</v>
      </c>
      <c r="G263" s="13">
        <v>5450</v>
      </c>
      <c r="H263" s="13">
        <v>5450</v>
      </c>
      <c r="I263" s="12"/>
      <c r="J263" s="12">
        <v>15</v>
      </c>
    </row>
    <row r="264" spans="1:10" ht="30">
      <c r="A264" s="24" t="s">
        <v>148</v>
      </c>
      <c r="B264" s="2">
        <v>193</v>
      </c>
      <c r="C264" s="17" t="s">
        <v>490</v>
      </c>
      <c r="D264" s="2" t="s">
        <v>491</v>
      </c>
      <c r="E264" s="17" t="s">
        <v>151</v>
      </c>
      <c r="F264" s="12">
        <v>20</v>
      </c>
      <c r="G264" s="13">
        <v>5450</v>
      </c>
      <c r="H264" s="13">
        <v>5450</v>
      </c>
      <c r="I264" s="12"/>
      <c r="J264" s="12">
        <v>20</v>
      </c>
    </row>
    <row r="265" spans="1:10" ht="30">
      <c r="A265" s="24" t="s">
        <v>148</v>
      </c>
      <c r="B265" s="2">
        <v>194</v>
      </c>
      <c r="C265" s="17" t="s">
        <v>492</v>
      </c>
      <c r="D265" s="2" t="s">
        <v>493</v>
      </c>
      <c r="E265" s="17" t="s">
        <v>151</v>
      </c>
      <c r="F265" s="12">
        <v>12</v>
      </c>
      <c r="G265" s="13">
        <v>5450</v>
      </c>
      <c r="H265" s="13">
        <v>5450</v>
      </c>
      <c r="I265" s="12"/>
      <c r="J265" s="12">
        <v>12</v>
      </c>
    </row>
    <row r="266" spans="1:10" ht="30">
      <c r="A266" s="24" t="s">
        <v>148</v>
      </c>
      <c r="B266" s="2">
        <v>195</v>
      </c>
      <c r="C266" s="17" t="s">
        <v>494</v>
      </c>
      <c r="D266" s="2" t="s">
        <v>495</v>
      </c>
      <c r="E266" s="17" t="s">
        <v>151</v>
      </c>
      <c r="F266" s="12">
        <v>12</v>
      </c>
      <c r="G266" s="13">
        <v>5450</v>
      </c>
      <c r="H266" s="13">
        <v>5450</v>
      </c>
      <c r="I266" s="12"/>
      <c r="J266" s="12">
        <v>12</v>
      </c>
    </row>
    <row r="267" spans="1:10" ht="45">
      <c r="A267" s="24" t="s">
        <v>148</v>
      </c>
      <c r="B267" s="2">
        <v>196</v>
      </c>
      <c r="C267" s="17" t="s">
        <v>496</v>
      </c>
      <c r="D267" s="2" t="s">
        <v>497</v>
      </c>
      <c r="E267" s="17" t="s">
        <v>151</v>
      </c>
      <c r="F267" s="12">
        <v>35</v>
      </c>
      <c r="G267" s="13">
        <v>5450</v>
      </c>
      <c r="H267" s="13">
        <v>5450</v>
      </c>
      <c r="I267" s="12"/>
      <c r="J267" s="12">
        <v>35</v>
      </c>
    </row>
    <row r="268" spans="1:10" ht="45">
      <c r="A268" s="24" t="s">
        <v>148</v>
      </c>
      <c r="B268" s="2">
        <v>197</v>
      </c>
      <c r="C268" s="17" t="s">
        <v>498</v>
      </c>
      <c r="D268" s="2" t="s">
        <v>497</v>
      </c>
      <c r="E268" s="17" t="s">
        <v>151</v>
      </c>
      <c r="F268" s="12">
        <v>35</v>
      </c>
      <c r="G268" s="13">
        <v>5450</v>
      </c>
      <c r="H268" s="13">
        <v>177.31</v>
      </c>
      <c r="I268" s="12"/>
      <c r="J268" s="12">
        <v>35</v>
      </c>
    </row>
    <row r="269" spans="1:10">
      <c r="A269" s="24" t="s">
        <v>148</v>
      </c>
      <c r="B269" s="2">
        <v>198</v>
      </c>
      <c r="C269" s="17" t="s">
        <v>499</v>
      </c>
      <c r="D269" s="2" t="s">
        <v>500</v>
      </c>
      <c r="E269" s="17" t="s">
        <v>151</v>
      </c>
      <c r="F269" s="12">
        <v>1000</v>
      </c>
      <c r="G269" s="13">
        <v>177.31</v>
      </c>
      <c r="H269" s="13">
        <v>177.31</v>
      </c>
      <c r="I269" s="12"/>
      <c r="J269" s="12">
        <v>1000</v>
      </c>
    </row>
    <row r="270" spans="1:10">
      <c r="A270" s="24" t="s">
        <v>148</v>
      </c>
      <c r="B270" s="2">
        <v>199</v>
      </c>
      <c r="C270" s="17" t="s">
        <v>501</v>
      </c>
      <c r="D270" s="2" t="s">
        <v>502</v>
      </c>
      <c r="E270" s="17" t="s">
        <v>151</v>
      </c>
      <c r="F270" s="12">
        <v>500</v>
      </c>
      <c r="G270" s="13">
        <v>177.31</v>
      </c>
      <c r="H270" s="13">
        <v>177.31</v>
      </c>
      <c r="I270" s="12"/>
      <c r="J270" s="12">
        <v>500</v>
      </c>
    </row>
    <row r="271" spans="1:10">
      <c r="A271" s="24" t="s">
        <v>148</v>
      </c>
      <c r="B271" s="2">
        <v>200</v>
      </c>
      <c r="C271" s="17" t="s">
        <v>503</v>
      </c>
      <c r="D271" s="2" t="s">
        <v>504</v>
      </c>
      <c r="E271" s="17" t="s">
        <v>151</v>
      </c>
      <c r="F271" s="12">
        <v>3500</v>
      </c>
      <c r="G271" s="13">
        <v>177.31</v>
      </c>
      <c r="H271" s="13">
        <v>177.31</v>
      </c>
      <c r="I271" s="12"/>
      <c r="J271" s="12">
        <v>3500</v>
      </c>
    </row>
    <row r="272" spans="1:10">
      <c r="A272" s="24" t="s">
        <v>148</v>
      </c>
      <c r="B272" s="2">
        <v>201</v>
      </c>
      <c r="C272" s="17" t="s">
        <v>505</v>
      </c>
      <c r="D272" s="2" t="s">
        <v>506</v>
      </c>
      <c r="E272" s="17" t="s">
        <v>151</v>
      </c>
      <c r="F272" s="12">
        <v>2500</v>
      </c>
      <c r="G272" s="13">
        <v>177.31</v>
      </c>
      <c r="H272" s="13">
        <v>2885.5</v>
      </c>
      <c r="I272" s="12"/>
      <c r="J272" s="12">
        <v>2500</v>
      </c>
    </row>
    <row r="273" spans="1:10" ht="60">
      <c r="A273" s="24" t="s">
        <v>148</v>
      </c>
      <c r="B273" s="2">
        <v>202</v>
      </c>
      <c r="C273" s="17" t="s">
        <v>507</v>
      </c>
      <c r="D273" s="2" t="s">
        <v>508</v>
      </c>
      <c r="E273" s="17" t="s">
        <v>151</v>
      </c>
      <c r="F273" s="12">
        <v>150</v>
      </c>
      <c r="G273" s="13">
        <v>2885.5</v>
      </c>
      <c r="H273" s="13">
        <v>2885.5</v>
      </c>
      <c r="I273" s="12"/>
      <c r="J273" s="12">
        <v>150</v>
      </c>
    </row>
    <row r="274" spans="1:10" ht="60">
      <c r="A274" s="24" t="s">
        <v>148</v>
      </c>
      <c r="B274" s="2">
        <v>203</v>
      </c>
      <c r="C274" s="17" t="s">
        <v>509</v>
      </c>
      <c r="D274" s="2" t="s">
        <v>510</v>
      </c>
      <c r="E274" s="17" t="s">
        <v>151</v>
      </c>
      <c r="F274" s="12">
        <v>150</v>
      </c>
      <c r="G274" s="13">
        <v>2885.5</v>
      </c>
      <c r="H274" s="13">
        <v>2885.5</v>
      </c>
      <c r="I274" s="12"/>
      <c r="J274" s="12">
        <v>150</v>
      </c>
    </row>
    <row r="275" spans="1:10" ht="60">
      <c r="A275" s="24" t="s">
        <v>148</v>
      </c>
      <c r="B275" s="2">
        <v>204</v>
      </c>
      <c r="C275" s="17" t="s">
        <v>511</v>
      </c>
      <c r="D275" s="2" t="s">
        <v>512</v>
      </c>
      <c r="E275" s="17" t="s">
        <v>151</v>
      </c>
      <c r="F275" s="12">
        <v>150</v>
      </c>
      <c r="G275" s="13">
        <v>2885.5</v>
      </c>
      <c r="H275" s="13">
        <v>2885.5</v>
      </c>
      <c r="I275" s="12"/>
      <c r="J275" s="12">
        <v>150</v>
      </c>
    </row>
    <row r="276" spans="1:10" ht="60">
      <c r="A276" s="24" t="s">
        <v>148</v>
      </c>
      <c r="B276" s="2">
        <v>205</v>
      </c>
      <c r="C276" s="17" t="s">
        <v>513</v>
      </c>
      <c r="D276" s="2" t="s">
        <v>514</v>
      </c>
      <c r="E276" s="17" t="s">
        <v>151</v>
      </c>
      <c r="F276" s="12">
        <v>150</v>
      </c>
      <c r="G276" s="13">
        <v>2885.5</v>
      </c>
      <c r="H276" s="13">
        <v>2885.5</v>
      </c>
      <c r="I276" s="12"/>
      <c r="J276" s="12">
        <v>150</v>
      </c>
    </row>
    <row r="277" spans="1:10" ht="60">
      <c r="A277" s="24" t="s">
        <v>148</v>
      </c>
      <c r="B277" s="2">
        <v>206</v>
      </c>
      <c r="C277" s="17" t="s">
        <v>515</v>
      </c>
      <c r="D277" s="2" t="s">
        <v>516</v>
      </c>
      <c r="E277" s="17" t="s">
        <v>151</v>
      </c>
      <c r="F277" s="12">
        <v>150</v>
      </c>
      <c r="G277" s="13">
        <v>2885.5</v>
      </c>
      <c r="H277" s="13">
        <v>2885.5</v>
      </c>
      <c r="I277" s="12"/>
      <c r="J277" s="12">
        <v>150</v>
      </c>
    </row>
    <row r="278" spans="1:10" ht="60">
      <c r="A278" s="24" t="s">
        <v>148</v>
      </c>
      <c r="B278" s="2">
        <v>207</v>
      </c>
      <c r="C278" s="17" t="s">
        <v>517</v>
      </c>
      <c r="D278" s="2" t="s">
        <v>518</v>
      </c>
      <c r="E278" s="17" t="s">
        <v>151</v>
      </c>
      <c r="F278" s="12">
        <v>150</v>
      </c>
      <c r="G278" s="13">
        <v>2885.5</v>
      </c>
      <c r="H278" s="13">
        <v>2885.5</v>
      </c>
      <c r="I278" s="12"/>
      <c r="J278" s="12">
        <v>150</v>
      </c>
    </row>
    <row r="279" spans="1:10" ht="60">
      <c r="A279" s="24" t="s">
        <v>148</v>
      </c>
      <c r="B279" s="2">
        <v>208</v>
      </c>
      <c r="C279" s="17" t="s">
        <v>519</v>
      </c>
      <c r="D279" s="2" t="s">
        <v>520</v>
      </c>
      <c r="E279" s="17" t="s">
        <v>151</v>
      </c>
      <c r="F279" s="12">
        <v>150</v>
      </c>
      <c r="G279" s="13">
        <v>2885.5</v>
      </c>
      <c r="H279" s="13">
        <v>2885.5</v>
      </c>
      <c r="I279" s="12"/>
      <c r="J279" s="12">
        <v>150</v>
      </c>
    </row>
    <row r="280" spans="1:10" ht="60">
      <c r="A280" s="24" t="s">
        <v>148</v>
      </c>
      <c r="B280" s="2">
        <v>209</v>
      </c>
      <c r="C280" s="17" t="s">
        <v>521</v>
      </c>
      <c r="D280" s="2" t="s">
        <v>522</v>
      </c>
      <c r="E280" s="17" t="s">
        <v>151</v>
      </c>
      <c r="F280" s="12">
        <v>150</v>
      </c>
      <c r="G280" s="13">
        <v>2885.5</v>
      </c>
      <c r="H280" s="13">
        <v>2785.5</v>
      </c>
      <c r="I280" s="12"/>
      <c r="J280" s="12">
        <v>150</v>
      </c>
    </row>
    <row r="281" spans="1:10" ht="60">
      <c r="A281" s="24" t="s">
        <v>148</v>
      </c>
      <c r="B281" s="2">
        <v>210</v>
      </c>
      <c r="C281" s="17" t="s">
        <v>523</v>
      </c>
      <c r="D281" s="2" t="s">
        <v>524</v>
      </c>
      <c r="E281" s="17" t="s">
        <v>151</v>
      </c>
      <c r="F281" s="12">
        <v>50</v>
      </c>
      <c r="G281" s="13">
        <v>2785.5</v>
      </c>
      <c r="H281" s="13">
        <v>2785.5</v>
      </c>
      <c r="I281" s="12"/>
      <c r="J281" s="12">
        <v>50</v>
      </c>
    </row>
    <row r="282" spans="1:10" ht="75">
      <c r="A282" s="24" t="s">
        <v>148</v>
      </c>
      <c r="B282" s="2">
        <v>211</v>
      </c>
      <c r="C282" s="17" t="s">
        <v>525</v>
      </c>
      <c r="D282" s="2" t="s">
        <v>526</v>
      </c>
      <c r="E282" s="17" t="s">
        <v>151</v>
      </c>
      <c r="F282" s="12">
        <v>50</v>
      </c>
      <c r="G282" s="13">
        <v>2785.5</v>
      </c>
      <c r="H282" s="13">
        <v>0</v>
      </c>
      <c r="I282" s="12"/>
      <c r="J282" s="12">
        <v>50</v>
      </c>
    </row>
    <row r="283" spans="1:10">
      <c r="A283" s="24" t="s">
        <v>148</v>
      </c>
      <c r="B283" s="2">
        <v>212</v>
      </c>
      <c r="C283" s="17"/>
      <c r="D283" s="2"/>
      <c r="E283" s="17" t="s">
        <v>151</v>
      </c>
      <c r="F283" s="12"/>
      <c r="G283" s="13">
        <v>0</v>
      </c>
      <c r="H283" s="13">
        <v>2563</v>
      </c>
      <c r="I283" s="12"/>
      <c r="J283" s="12">
        <v>0</v>
      </c>
    </row>
    <row r="284" spans="1:10" ht="30">
      <c r="A284" s="24" t="s">
        <v>148</v>
      </c>
      <c r="B284" s="2">
        <v>213</v>
      </c>
      <c r="C284" s="17" t="s">
        <v>527</v>
      </c>
      <c r="D284" s="2" t="s">
        <v>528</v>
      </c>
      <c r="E284" s="17" t="s">
        <v>151</v>
      </c>
      <c r="F284" s="12">
        <v>20</v>
      </c>
      <c r="G284" s="13">
        <v>2563</v>
      </c>
      <c r="H284" s="13">
        <v>2563</v>
      </c>
      <c r="I284" s="12"/>
      <c r="J284" s="12">
        <v>20</v>
      </c>
    </row>
    <row r="285" spans="1:10" ht="30">
      <c r="A285" s="24" t="s">
        <v>148</v>
      </c>
      <c r="B285" s="2">
        <v>214</v>
      </c>
      <c r="C285" s="17" t="s">
        <v>529</v>
      </c>
      <c r="D285" s="2" t="s">
        <v>530</v>
      </c>
      <c r="E285" s="17" t="s">
        <v>151</v>
      </c>
      <c r="F285" s="12">
        <v>20</v>
      </c>
      <c r="G285" s="13">
        <v>2563</v>
      </c>
      <c r="H285" s="13">
        <v>2563</v>
      </c>
      <c r="I285" s="12"/>
      <c r="J285" s="12">
        <v>20</v>
      </c>
    </row>
    <row r="286" spans="1:10" ht="30">
      <c r="A286" s="24" t="s">
        <v>148</v>
      </c>
      <c r="B286" s="2">
        <v>215</v>
      </c>
      <c r="C286" s="17" t="s">
        <v>531</v>
      </c>
      <c r="D286" s="2" t="s">
        <v>532</v>
      </c>
      <c r="E286" s="17" t="s">
        <v>151</v>
      </c>
      <c r="F286" s="12">
        <v>20</v>
      </c>
      <c r="G286" s="13">
        <v>2563</v>
      </c>
      <c r="H286" s="13">
        <v>2563</v>
      </c>
      <c r="I286" s="12"/>
      <c r="J286" s="12">
        <v>20</v>
      </c>
    </row>
    <row r="287" spans="1:10" ht="30">
      <c r="A287" s="24" t="s">
        <v>148</v>
      </c>
      <c r="B287" s="2">
        <v>216</v>
      </c>
      <c r="C287" s="17" t="s">
        <v>533</v>
      </c>
      <c r="D287" s="2" t="s">
        <v>532</v>
      </c>
      <c r="E287" s="17" t="s">
        <v>151</v>
      </c>
      <c r="F287" s="12">
        <v>20</v>
      </c>
      <c r="G287" s="13">
        <v>2563</v>
      </c>
      <c r="H287" s="13">
        <v>0</v>
      </c>
      <c r="I287" s="12"/>
      <c r="J287" s="12">
        <v>20</v>
      </c>
    </row>
    <row r="288" spans="1:10">
      <c r="A288" s="24" t="s">
        <v>148</v>
      </c>
      <c r="B288" s="2">
        <v>217</v>
      </c>
      <c r="C288" s="17"/>
      <c r="D288" s="2"/>
      <c r="E288" s="17" t="s">
        <v>151</v>
      </c>
      <c r="F288" s="12"/>
      <c r="G288" s="13">
        <v>0</v>
      </c>
      <c r="H288" s="13">
        <v>0</v>
      </c>
      <c r="I288" s="12"/>
      <c r="J288" s="12">
        <v>0</v>
      </c>
    </row>
    <row r="289" spans="1:10">
      <c r="A289" s="24" t="s">
        <v>148</v>
      </c>
      <c r="B289" s="2">
        <v>218</v>
      </c>
      <c r="C289" s="17"/>
      <c r="D289" s="2"/>
      <c r="E289" s="17" t="s">
        <v>151</v>
      </c>
      <c r="F289" s="12"/>
      <c r="G289" s="13">
        <v>0</v>
      </c>
      <c r="H289" s="13">
        <v>0</v>
      </c>
      <c r="I289" s="12"/>
      <c r="J289" s="12">
        <v>0</v>
      </c>
    </row>
    <row r="290" spans="1:10">
      <c r="A290" s="24" t="s">
        <v>148</v>
      </c>
      <c r="B290" s="2">
        <v>219</v>
      </c>
      <c r="C290" s="17"/>
      <c r="D290" s="2"/>
      <c r="E290" s="17" t="s">
        <v>151</v>
      </c>
      <c r="F290" s="12"/>
      <c r="G290" s="13">
        <v>0</v>
      </c>
      <c r="H290" s="13">
        <v>114.24</v>
      </c>
      <c r="I290" s="12"/>
      <c r="J290" s="12">
        <v>0</v>
      </c>
    </row>
    <row r="291" spans="1:10" ht="30">
      <c r="A291" s="24" t="s">
        <v>148</v>
      </c>
      <c r="B291" s="2">
        <v>220</v>
      </c>
      <c r="C291" s="17" t="s">
        <v>534</v>
      </c>
      <c r="D291" s="2" t="s">
        <v>535</v>
      </c>
      <c r="E291" s="17" t="s">
        <v>151</v>
      </c>
      <c r="F291" s="12">
        <v>200</v>
      </c>
      <c r="G291" s="13">
        <v>114.24</v>
      </c>
      <c r="H291" s="13">
        <v>114.24</v>
      </c>
      <c r="I291" s="12"/>
      <c r="J291" s="12">
        <v>200</v>
      </c>
    </row>
    <row r="292" spans="1:10" ht="30">
      <c r="A292" s="24" t="s">
        <v>148</v>
      </c>
      <c r="B292" s="2">
        <v>221</v>
      </c>
      <c r="C292" s="17" t="s">
        <v>536</v>
      </c>
      <c r="D292" s="2" t="s">
        <v>537</v>
      </c>
      <c r="E292" s="17" t="s">
        <v>151</v>
      </c>
      <c r="F292" s="12">
        <v>3000</v>
      </c>
      <c r="G292" s="13">
        <v>114.24</v>
      </c>
      <c r="H292" s="13">
        <v>114.24</v>
      </c>
      <c r="I292" s="12"/>
      <c r="J292" s="12">
        <v>3000</v>
      </c>
    </row>
    <row r="293" spans="1:10" ht="30">
      <c r="A293" s="24" t="s">
        <v>148</v>
      </c>
      <c r="B293" s="2">
        <v>222</v>
      </c>
      <c r="C293" s="17" t="s">
        <v>538</v>
      </c>
      <c r="D293" s="2" t="s">
        <v>539</v>
      </c>
      <c r="E293" s="17" t="s">
        <v>151</v>
      </c>
      <c r="F293" s="12">
        <v>3000</v>
      </c>
      <c r="G293" s="13">
        <v>114.24</v>
      </c>
      <c r="H293" s="13">
        <v>114.24</v>
      </c>
      <c r="I293" s="12"/>
      <c r="J293" s="12">
        <v>3000</v>
      </c>
    </row>
    <row r="294" spans="1:10" ht="30">
      <c r="A294" s="24" t="s">
        <v>148</v>
      </c>
      <c r="B294" s="2">
        <v>223</v>
      </c>
      <c r="C294" s="17" t="s">
        <v>540</v>
      </c>
      <c r="D294" s="2" t="s">
        <v>541</v>
      </c>
      <c r="E294" s="17" t="s">
        <v>151</v>
      </c>
      <c r="F294" s="12">
        <v>3000</v>
      </c>
      <c r="G294" s="13">
        <v>114.24</v>
      </c>
      <c r="H294" s="13">
        <v>114.24</v>
      </c>
      <c r="I294" s="12"/>
      <c r="J294" s="12">
        <v>3000</v>
      </c>
    </row>
    <row r="295" spans="1:10" ht="30">
      <c r="A295" s="24" t="s">
        <v>148</v>
      </c>
      <c r="B295" s="2">
        <v>224</v>
      </c>
      <c r="C295" s="17" t="s">
        <v>542</v>
      </c>
      <c r="D295" s="2" t="s">
        <v>537</v>
      </c>
      <c r="E295" s="17" t="s">
        <v>151</v>
      </c>
      <c r="F295" s="12">
        <v>3000</v>
      </c>
      <c r="G295" s="13">
        <v>114.24</v>
      </c>
      <c r="H295" s="13">
        <v>114.24</v>
      </c>
      <c r="I295" s="12"/>
      <c r="J295" s="12">
        <v>3000</v>
      </c>
    </row>
    <row r="296" spans="1:10" ht="30">
      <c r="A296" s="24" t="s">
        <v>148</v>
      </c>
      <c r="B296" s="2">
        <v>225</v>
      </c>
      <c r="C296" s="17" t="s">
        <v>543</v>
      </c>
      <c r="D296" s="2" t="s">
        <v>539</v>
      </c>
      <c r="E296" s="17" t="s">
        <v>151</v>
      </c>
      <c r="F296" s="12">
        <v>3000</v>
      </c>
      <c r="G296" s="13">
        <v>114.24</v>
      </c>
      <c r="H296" s="13">
        <v>114.24</v>
      </c>
      <c r="I296" s="12"/>
      <c r="J296" s="12">
        <v>3000</v>
      </c>
    </row>
    <row r="297" spans="1:10" ht="30">
      <c r="A297" s="24" t="s">
        <v>148</v>
      </c>
      <c r="B297" s="2">
        <v>226</v>
      </c>
      <c r="C297" s="17" t="s">
        <v>544</v>
      </c>
      <c r="D297" s="2" t="s">
        <v>545</v>
      </c>
      <c r="E297" s="17" t="s">
        <v>151</v>
      </c>
      <c r="F297" s="12">
        <v>3000</v>
      </c>
      <c r="G297" s="13">
        <v>114.24</v>
      </c>
      <c r="H297" s="13">
        <v>114.24</v>
      </c>
      <c r="I297" s="12"/>
      <c r="J297" s="12">
        <v>3000</v>
      </c>
    </row>
    <row r="298" spans="1:10" ht="30">
      <c r="A298" s="24" t="s">
        <v>148</v>
      </c>
      <c r="B298" s="2">
        <v>227</v>
      </c>
      <c r="C298" s="17" t="s">
        <v>546</v>
      </c>
      <c r="D298" s="2" t="s">
        <v>547</v>
      </c>
      <c r="E298" s="17" t="s">
        <v>151</v>
      </c>
      <c r="F298" s="12">
        <v>1000</v>
      </c>
      <c r="G298" s="13">
        <v>114.24</v>
      </c>
      <c r="H298" s="13">
        <v>114.24</v>
      </c>
      <c r="I298" s="12"/>
      <c r="J298" s="12">
        <v>1000</v>
      </c>
    </row>
    <row r="299" spans="1:10" ht="30">
      <c r="A299" s="24" t="s">
        <v>148</v>
      </c>
      <c r="B299" s="2">
        <v>228</v>
      </c>
      <c r="C299" s="17" t="s">
        <v>548</v>
      </c>
      <c r="D299" s="2" t="s">
        <v>549</v>
      </c>
      <c r="E299" s="17" t="s">
        <v>151</v>
      </c>
      <c r="F299" s="12">
        <v>1000</v>
      </c>
      <c r="G299" s="13">
        <v>114.24</v>
      </c>
      <c r="H299" s="13">
        <v>114.24</v>
      </c>
      <c r="I299" s="12"/>
      <c r="J299" s="12">
        <v>1000</v>
      </c>
    </row>
    <row r="300" spans="1:10" ht="30">
      <c r="A300" s="24" t="s">
        <v>148</v>
      </c>
      <c r="B300" s="2">
        <v>229</v>
      </c>
      <c r="C300" s="17" t="s">
        <v>550</v>
      </c>
      <c r="D300" s="2" t="s">
        <v>551</v>
      </c>
      <c r="E300" s="17" t="s">
        <v>151</v>
      </c>
      <c r="F300" s="12">
        <v>1000</v>
      </c>
      <c r="G300" s="13">
        <v>114.24</v>
      </c>
      <c r="H300" s="13">
        <v>114.24</v>
      </c>
      <c r="I300" s="12"/>
      <c r="J300" s="12">
        <v>1000</v>
      </c>
    </row>
    <row r="301" spans="1:10" ht="30">
      <c r="A301" s="24" t="s">
        <v>148</v>
      </c>
      <c r="B301" s="2">
        <v>230</v>
      </c>
      <c r="C301" s="17" t="s">
        <v>552</v>
      </c>
      <c r="D301" s="2" t="s">
        <v>553</v>
      </c>
      <c r="E301" s="17" t="s">
        <v>151</v>
      </c>
      <c r="F301" s="12">
        <v>2000</v>
      </c>
      <c r="G301" s="13">
        <v>114.24</v>
      </c>
      <c r="H301" s="13">
        <v>114.24</v>
      </c>
      <c r="I301" s="12"/>
      <c r="J301" s="12">
        <v>2000</v>
      </c>
    </row>
    <row r="302" spans="1:10" ht="30">
      <c r="A302" s="24" t="s">
        <v>148</v>
      </c>
      <c r="B302" s="2">
        <v>231</v>
      </c>
      <c r="C302" s="17" t="s">
        <v>554</v>
      </c>
      <c r="D302" s="2" t="s">
        <v>549</v>
      </c>
      <c r="E302" s="17" t="s">
        <v>151</v>
      </c>
      <c r="F302" s="12">
        <v>1000</v>
      </c>
      <c r="G302" s="13">
        <v>114.24</v>
      </c>
      <c r="H302" s="13">
        <v>114.24</v>
      </c>
      <c r="I302" s="12"/>
      <c r="J302" s="12">
        <v>1000</v>
      </c>
    </row>
    <row r="303" spans="1:10" ht="30">
      <c r="A303" s="24" t="s">
        <v>148</v>
      </c>
      <c r="B303" s="2">
        <v>232</v>
      </c>
      <c r="C303" s="17" t="s">
        <v>555</v>
      </c>
      <c r="D303" s="2" t="s">
        <v>556</v>
      </c>
      <c r="E303" s="17" t="s">
        <v>151</v>
      </c>
      <c r="F303" s="12">
        <v>1000</v>
      </c>
      <c r="G303" s="13">
        <v>114.24</v>
      </c>
      <c r="H303" s="13">
        <v>114.24</v>
      </c>
      <c r="I303" s="12"/>
      <c r="J303" s="12">
        <v>1000</v>
      </c>
    </row>
    <row r="304" spans="1:10" ht="30">
      <c r="A304" s="24" t="s">
        <v>148</v>
      </c>
      <c r="B304" s="2">
        <v>233</v>
      </c>
      <c r="C304" s="17" t="s">
        <v>557</v>
      </c>
      <c r="D304" s="2" t="s">
        <v>558</v>
      </c>
      <c r="E304" s="17" t="s">
        <v>151</v>
      </c>
      <c r="F304" s="12">
        <v>2000</v>
      </c>
      <c r="G304" s="13">
        <v>114.24</v>
      </c>
      <c r="H304" s="13">
        <v>114.24</v>
      </c>
      <c r="I304" s="12"/>
      <c r="J304" s="12">
        <v>2000</v>
      </c>
    </row>
    <row r="305" spans="1:10" ht="30">
      <c r="A305" s="24" t="s">
        <v>148</v>
      </c>
      <c r="B305" s="2">
        <v>234</v>
      </c>
      <c r="C305" s="17" t="s">
        <v>557</v>
      </c>
      <c r="D305" s="2" t="s">
        <v>559</v>
      </c>
      <c r="E305" s="17" t="s">
        <v>151</v>
      </c>
      <c r="F305" s="12">
        <v>100</v>
      </c>
      <c r="G305" s="13">
        <v>114.24</v>
      </c>
      <c r="H305" s="13">
        <v>114.24</v>
      </c>
      <c r="I305" s="12"/>
      <c r="J305" s="12">
        <v>100</v>
      </c>
    </row>
    <row r="306" spans="1:10" ht="30">
      <c r="A306" s="24" t="s">
        <v>148</v>
      </c>
      <c r="B306" s="2">
        <v>235</v>
      </c>
      <c r="C306" s="17" t="s">
        <v>560</v>
      </c>
      <c r="D306" s="2" t="s">
        <v>539</v>
      </c>
      <c r="E306" s="17" t="s">
        <v>151</v>
      </c>
      <c r="F306" s="12">
        <v>1000</v>
      </c>
      <c r="G306" s="13">
        <v>114.24</v>
      </c>
      <c r="H306" s="13">
        <v>114.24</v>
      </c>
      <c r="I306" s="12"/>
      <c r="J306" s="12">
        <v>1000</v>
      </c>
    </row>
    <row r="307" spans="1:10" ht="30">
      <c r="A307" s="24" t="s">
        <v>148</v>
      </c>
      <c r="B307" s="2">
        <v>236</v>
      </c>
      <c r="C307" s="17" t="s">
        <v>561</v>
      </c>
      <c r="D307" s="2" t="s">
        <v>545</v>
      </c>
      <c r="E307" s="17" t="s">
        <v>151</v>
      </c>
      <c r="F307" s="12">
        <v>1000</v>
      </c>
      <c r="G307" s="13">
        <v>114.24</v>
      </c>
      <c r="H307" s="13">
        <v>114.24</v>
      </c>
      <c r="I307" s="12"/>
      <c r="J307" s="12">
        <v>1000</v>
      </c>
    </row>
    <row r="308" spans="1:10" ht="30">
      <c r="A308" s="24" t="s">
        <v>148</v>
      </c>
      <c r="B308" s="2">
        <v>237</v>
      </c>
      <c r="C308" s="17" t="s">
        <v>562</v>
      </c>
      <c r="D308" s="2" t="s">
        <v>547</v>
      </c>
      <c r="E308" s="17" t="s">
        <v>151</v>
      </c>
      <c r="F308" s="12">
        <v>1000</v>
      </c>
      <c r="G308" s="13">
        <v>114.24</v>
      </c>
      <c r="H308" s="13">
        <v>114.24</v>
      </c>
      <c r="I308" s="12"/>
      <c r="J308" s="12">
        <v>1000</v>
      </c>
    </row>
    <row r="309" spans="1:10" ht="30">
      <c r="A309" s="24" t="s">
        <v>148</v>
      </c>
      <c r="B309" s="2">
        <v>238</v>
      </c>
      <c r="C309" s="17" t="s">
        <v>563</v>
      </c>
      <c r="D309" s="2" t="s">
        <v>551</v>
      </c>
      <c r="E309" s="17" t="s">
        <v>151</v>
      </c>
      <c r="F309" s="12">
        <v>1000</v>
      </c>
      <c r="G309" s="13">
        <v>114.24</v>
      </c>
      <c r="H309" s="13">
        <v>114.24</v>
      </c>
      <c r="I309" s="12"/>
      <c r="J309" s="12">
        <v>1000</v>
      </c>
    </row>
    <row r="310" spans="1:10" ht="30">
      <c r="A310" s="24" t="s">
        <v>148</v>
      </c>
      <c r="B310" s="2">
        <v>239</v>
      </c>
      <c r="C310" s="17" t="s">
        <v>564</v>
      </c>
      <c r="D310" s="2" t="s">
        <v>558</v>
      </c>
      <c r="E310" s="17" t="s">
        <v>151</v>
      </c>
      <c r="F310" s="12">
        <v>1000</v>
      </c>
      <c r="G310" s="13">
        <v>114.24</v>
      </c>
      <c r="H310" s="13">
        <v>114.24</v>
      </c>
      <c r="I310" s="12"/>
      <c r="J310" s="12">
        <v>1000</v>
      </c>
    </row>
    <row r="311" spans="1:10" ht="30">
      <c r="A311" s="24" t="s">
        <v>148</v>
      </c>
      <c r="B311" s="2">
        <v>240</v>
      </c>
      <c r="C311" s="17" t="s">
        <v>565</v>
      </c>
      <c r="D311" s="2" t="s">
        <v>566</v>
      </c>
      <c r="E311" s="17" t="s">
        <v>151</v>
      </c>
      <c r="F311" s="12">
        <v>1000</v>
      </c>
      <c r="G311" s="13">
        <v>114.24</v>
      </c>
      <c r="H311" s="13">
        <v>114.24</v>
      </c>
      <c r="I311" s="12"/>
      <c r="J311" s="12">
        <v>1000</v>
      </c>
    </row>
    <row r="312" spans="1:10" ht="30">
      <c r="A312" s="24" t="s">
        <v>148</v>
      </c>
      <c r="B312" s="2">
        <v>241</v>
      </c>
      <c r="C312" s="17" t="s">
        <v>567</v>
      </c>
      <c r="D312" s="2" t="s">
        <v>568</v>
      </c>
      <c r="E312" s="17" t="s">
        <v>151</v>
      </c>
      <c r="F312" s="12">
        <v>1000</v>
      </c>
      <c r="G312" s="13">
        <v>114.24</v>
      </c>
      <c r="H312" s="13">
        <v>114.24</v>
      </c>
      <c r="I312" s="12"/>
      <c r="J312" s="12">
        <v>1000</v>
      </c>
    </row>
    <row r="313" spans="1:10" ht="30">
      <c r="A313" s="24" t="s">
        <v>148</v>
      </c>
      <c r="B313" s="2">
        <v>242</v>
      </c>
      <c r="C313" s="17" t="s">
        <v>569</v>
      </c>
      <c r="D313" s="2" t="s">
        <v>570</v>
      </c>
      <c r="E313" s="17" t="s">
        <v>151</v>
      </c>
      <c r="F313" s="12">
        <v>1000</v>
      </c>
      <c r="G313" s="13">
        <v>114.24</v>
      </c>
      <c r="H313" s="13">
        <v>114.24</v>
      </c>
      <c r="I313" s="12"/>
      <c r="J313" s="12">
        <v>1000</v>
      </c>
    </row>
    <row r="314" spans="1:10" ht="30">
      <c r="A314" s="24" t="s">
        <v>148</v>
      </c>
      <c r="B314" s="2">
        <v>243</v>
      </c>
      <c r="C314" s="17" t="s">
        <v>571</v>
      </c>
      <c r="D314" s="2" t="s">
        <v>572</v>
      </c>
      <c r="E314" s="17" t="s">
        <v>151</v>
      </c>
      <c r="F314" s="12">
        <v>1000</v>
      </c>
      <c r="G314" s="13">
        <v>114.24</v>
      </c>
      <c r="H314" s="13">
        <v>114.24</v>
      </c>
      <c r="I314" s="12"/>
      <c r="J314" s="12">
        <v>1000</v>
      </c>
    </row>
    <row r="315" spans="1:10" ht="30">
      <c r="A315" s="24" t="s">
        <v>148</v>
      </c>
      <c r="B315" s="2">
        <v>244</v>
      </c>
      <c r="C315" s="17" t="s">
        <v>573</v>
      </c>
      <c r="D315" s="2" t="s">
        <v>574</v>
      </c>
      <c r="E315" s="17" t="s">
        <v>151</v>
      </c>
      <c r="F315" s="12">
        <v>1000</v>
      </c>
      <c r="G315" s="13">
        <v>114.24</v>
      </c>
      <c r="H315" s="13">
        <v>0</v>
      </c>
      <c r="I315" s="12"/>
      <c r="J315" s="12">
        <v>1000</v>
      </c>
    </row>
    <row r="316" spans="1:10">
      <c r="A316" s="24" t="s">
        <v>148</v>
      </c>
      <c r="B316" s="2">
        <v>245</v>
      </c>
      <c r="C316" s="17"/>
      <c r="D316" s="2"/>
      <c r="E316" s="17" t="s">
        <v>151</v>
      </c>
      <c r="F316" s="12"/>
      <c r="G316" s="13">
        <v>0</v>
      </c>
      <c r="H316" s="13">
        <v>0</v>
      </c>
      <c r="I316" s="12"/>
      <c r="J316" s="12">
        <v>0</v>
      </c>
    </row>
    <row r="317" spans="1:10">
      <c r="A317" s="24" t="s">
        <v>148</v>
      </c>
      <c r="B317" s="2">
        <v>246</v>
      </c>
      <c r="C317" s="17"/>
      <c r="D317" s="2"/>
      <c r="E317" s="17" t="s">
        <v>151</v>
      </c>
      <c r="F317" s="12"/>
      <c r="G317" s="13">
        <v>0</v>
      </c>
      <c r="H317" s="13">
        <v>0</v>
      </c>
      <c r="I317" s="12"/>
      <c r="J317" s="12">
        <v>0</v>
      </c>
    </row>
    <row r="318" spans="1:10">
      <c r="A318" s="24" t="s">
        <v>148</v>
      </c>
      <c r="B318" s="2">
        <v>247</v>
      </c>
      <c r="C318" s="17"/>
      <c r="D318" s="2"/>
      <c r="E318" s="17" t="s">
        <v>151</v>
      </c>
      <c r="F318" s="12"/>
      <c r="G318" s="13">
        <v>0</v>
      </c>
      <c r="H318" s="13">
        <v>0</v>
      </c>
      <c r="I318" s="12"/>
      <c r="J318" s="12">
        <v>0</v>
      </c>
    </row>
    <row r="319" spans="1:10">
      <c r="A319" s="24" t="s">
        <v>148</v>
      </c>
      <c r="B319" s="2">
        <v>248</v>
      </c>
      <c r="C319" s="17"/>
      <c r="D319" s="2"/>
      <c r="E319" s="17" t="s">
        <v>151</v>
      </c>
      <c r="F319" s="12"/>
      <c r="G319" s="13">
        <v>0</v>
      </c>
      <c r="H319" s="13">
        <v>0</v>
      </c>
      <c r="I319" s="12"/>
      <c r="J319" s="12">
        <v>0</v>
      </c>
    </row>
    <row r="320" spans="1:10">
      <c r="A320" s="24" t="s">
        <v>148</v>
      </c>
      <c r="B320" s="2">
        <v>249</v>
      </c>
      <c r="C320" s="17"/>
      <c r="D320" s="2"/>
      <c r="E320" s="17" t="s">
        <v>151</v>
      </c>
      <c r="F320" s="12"/>
      <c r="G320" s="13">
        <v>0</v>
      </c>
      <c r="H320" s="13">
        <v>546</v>
      </c>
      <c r="I320" s="12"/>
      <c r="J320" s="12">
        <v>0</v>
      </c>
    </row>
    <row r="321" spans="1:10" ht="30">
      <c r="A321" s="24" t="s">
        <v>148</v>
      </c>
      <c r="B321" s="2">
        <v>250</v>
      </c>
      <c r="C321" s="17" t="s">
        <v>575</v>
      </c>
      <c r="D321" s="2" t="s">
        <v>576</v>
      </c>
      <c r="E321" s="17" t="s">
        <v>151</v>
      </c>
      <c r="F321" s="12">
        <v>100</v>
      </c>
      <c r="G321" s="13">
        <v>546</v>
      </c>
      <c r="H321" s="13">
        <v>546</v>
      </c>
      <c r="I321" s="12"/>
      <c r="J321" s="12">
        <v>100</v>
      </c>
    </row>
    <row r="322" spans="1:10" ht="30">
      <c r="A322" s="24" t="s">
        <v>148</v>
      </c>
      <c r="B322" s="2">
        <v>251</v>
      </c>
      <c r="C322" s="17" t="s">
        <v>577</v>
      </c>
      <c r="D322" s="2" t="s">
        <v>578</v>
      </c>
      <c r="E322" s="17" t="s">
        <v>151</v>
      </c>
      <c r="F322" s="12">
        <v>100</v>
      </c>
      <c r="G322" s="13">
        <v>546</v>
      </c>
      <c r="H322" s="13">
        <v>1800</v>
      </c>
      <c r="I322" s="12"/>
      <c r="J322" s="12">
        <v>100</v>
      </c>
    </row>
    <row r="323" spans="1:10" ht="30">
      <c r="A323" s="24" t="s">
        <v>148</v>
      </c>
      <c r="B323" s="2">
        <v>252</v>
      </c>
      <c r="C323" s="17" t="s">
        <v>577</v>
      </c>
      <c r="D323" s="2" t="s">
        <v>579</v>
      </c>
      <c r="E323" s="17" t="s">
        <v>151</v>
      </c>
      <c r="F323" s="12">
        <v>100</v>
      </c>
      <c r="G323" s="13">
        <v>1800</v>
      </c>
      <c r="H323" s="13">
        <v>1550</v>
      </c>
      <c r="I323" s="12"/>
      <c r="J323" s="12">
        <v>100</v>
      </c>
    </row>
    <row r="324" spans="1:10" ht="45">
      <c r="A324" s="24" t="s">
        <v>148</v>
      </c>
      <c r="B324" s="2">
        <v>253</v>
      </c>
      <c r="C324" s="17" t="s">
        <v>580</v>
      </c>
      <c r="D324" s="2" t="s">
        <v>581</v>
      </c>
      <c r="E324" s="17" t="s">
        <v>151</v>
      </c>
      <c r="F324" s="12">
        <v>30</v>
      </c>
      <c r="G324" s="13">
        <v>1550</v>
      </c>
      <c r="H324" s="13">
        <v>1550</v>
      </c>
      <c r="I324" s="12"/>
      <c r="J324" s="12">
        <v>30</v>
      </c>
    </row>
    <row r="325" spans="1:10" ht="30">
      <c r="A325" s="24" t="s">
        <v>148</v>
      </c>
      <c r="B325" s="2">
        <v>254</v>
      </c>
      <c r="C325" s="17" t="s">
        <v>582</v>
      </c>
      <c r="D325" s="2" t="s">
        <v>583</v>
      </c>
      <c r="E325" s="17" t="s">
        <v>151</v>
      </c>
      <c r="F325" s="12">
        <v>30</v>
      </c>
      <c r="G325" s="13">
        <v>1550</v>
      </c>
      <c r="H325" s="13">
        <v>1550</v>
      </c>
      <c r="I325" s="12"/>
      <c r="J325" s="12">
        <v>30</v>
      </c>
    </row>
    <row r="326" spans="1:10" ht="30">
      <c r="A326" s="24" t="s">
        <v>148</v>
      </c>
      <c r="B326" s="2">
        <v>255</v>
      </c>
      <c r="C326" s="17" t="s">
        <v>584</v>
      </c>
      <c r="D326" s="2" t="s">
        <v>585</v>
      </c>
      <c r="E326" s="17" t="s">
        <v>151</v>
      </c>
      <c r="F326" s="12">
        <v>100</v>
      </c>
      <c r="G326" s="13">
        <v>1550</v>
      </c>
      <c r="H326" s="13">
        <v>1550</v>
      </c>
      <c r="I326" s="12"/>
      <c r="J326" s="12">
        <v>100</v>
      </c>
    </row>
    <row r="327" spans="1:10" ht="30">
      <c r="A327" s="24" t="s">
        <v>148</v>
      </c>
      <c r="B327" s="2">
        <v>256</v>
      </c>
      <c r="C327" s="17" t="s">
        <v>586</v>
      </c>
      <c r="D327" s="2" t="s">
        <v>587</v>
      </c>
      <c r="E327" s="17" t="s">
        <v>151</v>
      </c>
      <c r="F327" s="12">
        <v>100</v>
      </c>
      <c r="G327" s="13">
        <v>1550</v>
      </c>
      <c r="H327" s="13">
        <v>1550</v>
      </c>
      <c r="I327" s="12"/>
      <c r="J327" s="12">
        <v>100</v>
      </c>
    </row>
    <row r="328" spans="1:10" ht="30">
      <c r="A328" s="24" t="s">
        <v>148</v>
      </c>
      <c r="B328" s="2">
        <v>257</v>
      </c>
      <c r="C328" s="17" t="s">
        <v>588</v>
      </c>
      <c r="D328" s="2" t="s">
        <v>589</v>
      </c>
      <c r="E328" s="17" t="s">
        <v>151</v>
      </c>
      <c r="F328" s="12">
        <v>100</v>
      </c>
      <c r="G328" s="13">
        <v>1550</v>
      </c>
      <c r="H328" s="13">
        <v>1550</v>
      </c>
      <c r="I328" s="12"/>
      <c r="J328" s="12">
        <v>100</v>
      </c>
    </row>
    <row r="329" spans="1:10" ht="45">
      <c r="A329" s="24" t="s">
        <v>148</v>
      </c>
      <c r="B329" s="2">
        <v>258</v>
      </c>
      <c r="C329" s="17" t="s">
        <v>590</v>
      </c>
      <c r="D329" s="2" t="s">
        <v>591</v>
      </c>
      <c r="E329" s="17" t="s">
        <v>151</v>
      </c>
      <c r="F329" s="12">
        <v>20</v>
      </c>
      <c r="G329" s="13">
        <v>1550</v>
      </c>
      <c r="H329" s="13">
        <v>0</v>
      </c>
      <c r="I329" s="12"/>
      <c r="J329" s="12">
        <v>20</v>
      </c>
    </row>
    <row r="330" spans="1:10">
      <c r="A330" s="24" t="s">
        <v>148</v>
      </c>
      <c r="B330" s="2">
        <v>259</v>
      </c>
      <c r="C330" s="17"/>
      <c r="D330" s="2"/>
      <c r="E330" s="17" t="s">
        <v>151</v>
      </c>
      <c r="F330" s="12"/>
      <c r="G330" s="13">
        <v>0</v>
      </c>
      <c r="H330" s="13">
        <v>0</v>
      </c>
      <c r="I330" s="12"/>
      <c r="J330" s="12">
        <v>0</v>
      </c>
    </row>
    <row r="331" spans="1:10">
      <c r="A331" s="24" t="s">
        <v>148</v>
      </c>
      <c r="B331" s="2">
        <v>260</v>
      </c>
      <c r="C331" s="17"/>
      <c r="D331" s="2"/>
      <c r="E331" s="17" t="s">
        <v>151</v>
      </c>
      <c r="F331" s="12"/>
      <c r="G331" s="13">
        <v>0</v>
      </c>
      <c r="H331" s="13">
        <v>0</v>
      </c>
      <c r="I331" s="12"/>
      <c r="J331" s="12">
        <v>0</v>
      </c>
    </row>
    <row r="332" spans="1:10">
      <c r="A332" s="24" t="s">
        <v>148</v>
      </c>
      <c r="B332" s="2">
        <v>261</v>
      </c>
      <c r="C332" s="17"/>
      <c r="D332" s="2"/>
      <c r="E332" s="17" t="s">
        <v>151</v>
      </c>
      <c r="F332" s="12"/>
      <c r="G332" s="13">
        <v>0</v>
      </c>
      <c r="H332" s="13">
        <v>0</v>
      </c>
      <c r="I332" s="12"/>
      <c r="J332" s="12">
        <v>0</v>
      </c>
    </row>
    <row r="333" spans="1:10">
      <c r="A333" s="24" t="s">
        <v>148</v>
      </c>
      <c r="B333" s="2">
        <v>262</v>
      </c>
      <c r="C333" s="17"/>
      <c r="D333" s="2"/>
      <c r="E333" s="17" t="s">
        <v>151</v>
      </c>
      <c r="F333" s="12"/>
      <c r="G333" s="13">
        <v>0</v>
      </c>
      <c r="H333" s="13">
        <v>0</v>
      </c>
      <c r="I333" s="12"/>
      <c r="J333" s="12">
        <v>0</v>
      </c>
    </row>
    <row r="334" spans="1:10">
      <c r="A334" s="24" t="s">
        <v>148</v>
      </c>
      <c r="B334" s="2">
        <v>263</v>
      </c>
      <c r="C334" s="17"/>
      <c r="D334" s="2"/>
      <c r="E334" s="17" t="s">
        <v>151</v>
      </c>
      <c r="F334" s="12"/>
      <c r="G334" s="13">
        <v>0</v>
      </c>
      <c r="H334" s="13">
        <v>0</v>
      </c>
      <c r="I334" s="12"/>
      <c r="J334" s="12">
        <v>0</v>
      </c>
    </row>
    <row r="335" spans="1:10">
      <c r="A335" s="24" t="s">
        <v>148</v>
      </c>
      <c r="B335" s="2">
        <v>264</v>
      </c>
      <c r="C335" s="17"/>
      <c r="D335" s="2"/>
      <c r="E335" s="17" t="s">
        <v>151</v>
      </c>
      <c r="F335" s="12"/>
      <c r="G335" s="13">
        <v>0</v>
      </c>
      <c r="H335" s="13">
        <v>375</v>
      </c>
      <c r="I335" s="12"/>
      <c r="J335" s="12">
        <v>0</v>
      </c>
    </row>
    <row r="336" spans="1:10" ht="30">
      <c r="A336" s="24" t="s">
        <v>148</v>
      </c>
      <c r="B336" s="2">
        <v>265</v>
      </c>
      <c r="C336" s="17" t="s">
        <v>592</v>
      </c>
      <c r="D336" s="2" t="s">
        <v>593</v>
      </c>
      <c r="E336" s="17" t="s">
        <v>151</v>
      </c>
      <c r="F336" s="12">
        <v>2000</v>
      </c>
      <c r="G336" s="13">
        <v>375</v>
      </c>
      <c r="H336" s="13">
        <v>375</v>
      </c>
      <c r="I336" s="12"/>
      <c r="J336" s="12">
        <v>2000</v>
      </c>
    </row>
    <row r="337" spans="1:10">
      <c r="A337" s="24" t="s">
        <v>148</v>
      </c>
      <c r="B337" s="2">
        <v>266</v>
      </c>
      <c r="C337" s="17" t="s">
        <v>594</v>
      </c>
      <c r="D337" s="2" t="s">
        <v>595</v>
      </c>
      <c r="E337" s="17" t="s">
        <v>151</v>
      </c>
      <c r="F337" s="12">
        <v>100</v>
      </c>
      <c r="G337" s="13">
        <v>375</v>
      </c>
      <c r="H337" s="13">
        <v>1006.6666666666666</v>
      </c>
      <c r="I337" s="12"/>
      <c r="J337" s="12">
        <v>100</v>
      </c>
    </row>
    <row r="338" spans="1:10" ht="30">
      <c r="A338" s="24" t="s">
        <v>148</v>
      </c>
      <c r="B338" s="2">
        <v>267</v>
      </c>
      <c r="C338" s="17" t="s">
        <v>596</v>
      </c>
      <c r="D338" s="2" t="s">
        <v>595</v>
      </c>
      <c r="E338" s="17" t="s">
        <v>151</v>
      </c>
      <c r="F338" s="12">
        <v>300</v>
      </c>
      <c r="G338" s="13">
        <v>1006.6666666666666</v>
      </c>
      <c r="H338" s="13">
        <v>375</v>
      </c>
      <c r="I338" s="12"/>
      <c r="J338" s="12">
        <v>300</v>
      </c>
    </row>
    <row r="339" spans="1:10" ht="30">
      <c r="A339" s="24" t="s">
        <v>148</v>
      </c>
      <c r="B339" s="2">
        <v>268</v>
      </c>
      <c r="C339" s="17" t="s">
        <v>597</v>
      </c>
      <c r="D339" s="2" t="s">
        <v>598</v>
      </c>
      <c r="E339" s="17" t="s">
        <v>151</v>
      </c>
      <c r="F339" s="12">
        <v>200</v>
      </c>
      <c r="G339" s="13">
        <v>375</v>
      </c>
      <c r="H339" s="13">
        <v>375</v>
      </c>
      <c r="I339" s="12"/>
      <c r="J339" s="12">
        <v>200</v>
      </c>
    </row>
    <row r="340" spans="1:10" ht="30">
      <c r="A340" s="24" t="s">
        <v>148</v>
      </c>
      <c r="B340" s="2">
        <v>269</v>
      </c>
      <c r="C340" s="17" t="s">
        <v>597</v>
      </c>
      <c r="D340" s="2" t="s">
        <v>598</v>
      </c>
      <c r="E340" s="17" t="s">
        <v>151</v>
      </c>
      <c r="F340" s="12">
        <v>50</v>
      </c>
      <c r="G340" s="13">
        <v>375</v>
      </c>
      <c r="H340" s="13">
        <v>455.66624999999999</v>
      </c>
      <c r="I340" s="12"/>
      <c r="J340" s="12">
        <v>50</v>
      </c>
    </row>
    <row r="341" spans="1:10" ht="45">
      <c r="A341" s="24" t="s">
        <v>148</v>
      </c>
      <c r="B341" s="2">
        <v>270</v>
      </c>
      <c r="C341" s="17" t="s">
        <v>599</v>
      </c>
      <c r="D341" s="2" t="s">
        <v>600</v>
      </c>
      <c r="E341" s="17" t="s">
        <v>151</v>
      </c>
      <c r="F341" s="12">
        <v>800</v>
      </c>
      <c r="G341" s="13">
        <v>455.66624999999999</v>
      </c>
      <c r="H341" s="13">
        <v>455.66624999999999</v>
      </c>
      <c r="I341" s="12"/>
      <c r="J341" s="12">
        <v>800</v>
      </c>
    </row>
    <row r="342" spans="1:10" ht="30">
      <c r="A342" s="24" t="s">
        <v>148</v>
      </c>
      <c r="B342" s="2">
        <v>271</v>
      </c>
      <c r="C342" s="17" t="s">
        <v>17</v>
      </c>
      <c r="D342" s="2" t="s">
        <v>601</v>
      </c>
      <c r="E342" s="17" t="s">
        <v>151</v>
      </c>
      <c r="F342" s="12">
        <v>600</v>
      </c>
      <c r="G342" s="13">
        <v>455.66624999999999</v>
      </c>
      <c r="H342" s="13">
        <v>455.66624999999999</v>
      </c>
      <c r="I342" s="12"/>
      <c r="J342" s="12">
        <v>600</v>
      </c>
    </row>
    <row r="343" spans="1:10" ht="30">
      <c r="A343" s="24" t="s">
        <v>148</v>
      </c>
      <c r="B343" s="2">
        <v>272</v>
      </c>
      <c r="C343" s="17" t="s">
        <v>602</v>
      </c>
      <c r="D343" s="2" t="s">
        <v>603</v>
      </c>
      <c r="E343" s="17" t="s">
        <v>151</v>
      </c>
      <c r="F343" s="12">
        <v>700</v>
      </c>
      <c r="G343" s="13">
        <v>455.66624999999999</v>
      </c>
      <c r="H343" s="13">
        <v>455.66624999999999</v>
      </c>
      <c r="I343" s="12"/>
      <c r="J343" s="12">
        <v>700</v>
      </c>
    </row>
    <row r="344" spans="1:10" ht="30">
      <c r="A344" s="24" t="s">
        <v>148</v>
      </c>
      <c r="B344" s="2">
        <v>273</v>
      </c>
      <c r="C344" s="17" t="s">
        <v>604</v>
      </c>
      <c r="D344" s="2" t="s">
        <v>605</v>
      </c>
      <c r="E344" s="17" t="s">
        <v>151</v>
      </c>
      <c r="F344" s="12">
        <v>1000</v>
      </c>
      <c r="G344" s="13">
        <v>455.66624999999999</v>
      </c>
      <c r="H344" s="13">
        <v>1266.6666666666667</v>
      </c>
      <c r="I344" s="12"/>
      <c r="J344" s="12">
        <v>1000</v>
      </c>
    </row>
    <row r="345" spans="1:10" ht="30">
      <c r="A345" s="24" t="s">
        <v>148</v>
      </c>
      <c r="B345" s="2">
        <v>274</v>
      </c>
      <c r="C345" s="17" t="s">
        <v>606</v>
      </c>
      <c r="D345" s="2" t="s">
        <v>601</v>
      </c>
      <c r="E345" s="17" t="s">
        <v>151</v>
      </c>
      <c r="F345" s="12">
        <v>200</v>
      </c>
      <c r="G345" s="13">
        <v>1266.6666666666667</v>
      </c>
      <c r="H345" s="13">
        <v>1266.6666666666667</v>
      </c>
      <c r="I345" s="12"/>
      <c r="J345" s="12">
        <v>200</v>
      </c>
    </row>
    <row r="346" spans="1:10" ht="30">
      <c r="A346" s="24" t="s">
        <v>148</v>
      </c>
      <c r="B346" s="2">
        <v>275</v>
      </c>
      <c r="C346" s="17" t="s">
        <v>607</v>
      </c>
      <c r="D346" s="2" t="s">
        <v>603</v>
      </c>
      <c r="E346" s="17" t="s">
        <v>151</v>
      </c>
      <c r="F346" s="12">
        <v>200</v>
      </c>
      <c r="G346" s="13">
        <v>1266.6666666666667</v>
      </c>
      <c r="H346" s="13">
        <v>1266.6666666666667</v>
      </c>
      <c r="I346" s="12"/>
      <c r="J346" s="12">
        <v>200</v>
      </c>
    </row>
    <row r="347" spans="1:10" ht="30">
      <c r="A347" s="24" t="s">
        <v>148</v>
      </c>
      <c r="B347" s="2">
        <v>276</v>
      </c>
      <c r="C347" s="17" t="s">
        <v>608</v>
      </c>
      <c r="D347" s="2" t="s">
        <v>605</v>
      </c>
      <c r="E347" s="17" t="s">
        <v>151</v>
      </c>
      <c r="F347" s="12">
        <v>200</v>
      </c>
      <c r="G347" s="13">
        <v>1266.6666666666667</v>
      </c>
      <c r="H347" s="13">
        <v>1266.6666666666667</v>
      </c>
      <c r="I347" s="12"/>
      <c r="J347" s="12">
        <v>200</v>
      </c>
    </row>
    <row r="348" spans="1:10" ht="45">
      <c r="A348" s="24" t="s">
        <v>148</v>
      </c>
      <c r="B348" s="2">
        <v>277</v>
      </c>
      <c r="C348" s="17" t="s">
        <v>609</v>
      </c>
      <c r="D348" s="2" t="s">
        <v>601</v>
      </c>
      <c r="E348" s="17" t="s">
        <v>151</v>
      </c>
      <c r="F348" s="12">
        <v>50</v>
      </c>
      <c r="G348" s="13">
        <v>1266.6666666666667</v>
      </c>
      <c r="H348" s="13">
        <v>455.66624999999999</v>
      </c>
      <c r="I348" s="12"/>
      <c r="J348" s="12">
        <v>50</v>
      </c>
    </row>
    <row r="349" spans="1:10" ht="30">
      <c r="A349" s="24" t="s">
        <v>148</v>
      </c>
      <c r="B349" s="2">
        <v>278</v>
      </c>
      <c r="C349" s="17" t="s">
        <v>610</v>
      </c>
      <c r="D349" s="2" t="s">
        <v>601</v>
      </c>
      <c r="E349" s="17" t="s">
        <v>151</v>
      </c>
      <c r="F349" s="12">
        <v>40</v>
      </c>
      <c r="G349" s="13">
        <v>455.66624999999999</v>
      </c>
      <c r="H349" s="13">
        <v>455.66624999999999</v>
      </c>
      <c r="I349" s="12"/>
      <c r="J349" s="12">
        <v>40</v>
      </c>
    </row>
    <row r="350" spans="1:10" ht="30">
      <c r="A350" s="24" t="s">
        <v>148</v>
      </c>
      <c r="B350" s="2">
        <v>279</v>
      </c>
      <c r="C350" s="17" t="s">
        <v>611</v>
      </c>
      <c r="D350" s="2" t="s">
        <v>603</v>
      </c>
      <c r="E350" s="17" t="s">
        <v>151</v>
      </c>
      <c r="F350" s="12">
        <v>40</v>
      </c>
      <c r="G350" s="13">
        <v>455.66624999999999</v>
      </c>
      <c r="H350" s="13">
        <v>455.66624999999999</v>
      </c>
      <c r="I350" s="12"/>
      <c r="J350" s="12">
        <v>40</v>
      </c>
    </row>
    <row r="351" spans="1:10" ht="30">
      <c r="A351" s="24" t="s">
        <v>148</v>
      </c>
      <c r="B351" s="2">
        <v>280</v>
      </c>
      <c r="C351" s="17" t="s">
        <v>612</v>
      </c>
      <c r="D351" s="2" t="s">
        <v>613</v>
      </c>
      <c r="E351" s="17" t="s">
        <v>151</v>
      </c>
      <c r="F351" s="12">
        <v>50</v>
      </c>
      <c r="G351" s="13">
        <v>455.66624999999999</v>
      </c>
      <c r="H351" s="13">
        <v>455.66624999999999</v>
      </c>
      <c r="I351" s="12"/>
      <c r="J351" s="12">
        <v>50</v>
      </c>
    </row>
    <row r="352" spans="1:10" ht="30">
      <c r="A352" s="24" t="s">
        <v>148</v>
      </c>
      <c r="B352" s="2">
        <v>281</v>
      </c>
      <c r="C352" s="17" t="s">
        <v>614</v>
      </c>
      <c r="D352" s="2" t="s">
        <v>615</v>
      </c>
      <c r="E352" s="17" t="s">
        <v>151</v>
      </c>
      <c r="F352" s="12">
        <v>30</v>
      </c>
      <c r="G352" s="13">
        <v>455.66624999999999</v>
      </c>
      <c r="H352" s="13">
        <v>455.66624999999999</v>
      </c>
      <c r="I352" s="12"/>
      <c r="J352" s="12">
        <v>30</v>
      </c>
    </row>
    <row r="353" spans="1:10" ht="30">
      <c r="A353" s="24" t="s">
        <v>148</v>
      </c>
      <c r="B353" s="2">
        <v>282</v>
      </c>
      <c r="C353" s="17" t="s">
        <v>616</v>
      </c>
      <c r="D353" s="2" t="s">
        <v>617</v>
      </c>
      <c r="E353" s="17" t="s">
        <v>151</v>
      </c>
      <c r="F353" s="12">
        <v>200</v>
      </c>
      <c r="G353" s="13">
        <v>455.66624999999999</v>
      </c>
      <c r="H353" s="13">
        <v>1266.6666666666667</v>
      </c>
      <c r="I353" s="12"/>
      <c r="J353" s="12">
        <v>200</v>
      </c>
    </row>
    <row r="354" spans="1:10" ht="30">
      <c r="A354" s="24" t="s">
        <v>148</v>
      </c>
      <c r="B354" s="2">
        <v>283</v>
      </c>
      <c r="C354" s="17" t="s">
        <v>618</v>
      </c>
      <c r="D354" s="2" t="s">
        <v>619</v>
      </c>
      <c r="E354" s="17" t="s">
        <v>151</v>
      </c>
      <c r="F354" s="12">
        <v>200</v>
      </c>
      <c r="G354" s="13">
        <v>1266.6666666666667</v>
      </c>
      <c r="H354" s="13">
        <v>833</v>
      </c>
      <c r="I354" s="12"/>
      <c r="J354" s="12">
        <v>200</v>
      </c>
    </row>
    <row r="355" spans="1:10" ht="45">
      <c r="A355" s="24" t="s">
        <v>148</v>
      </c>
      <c r="B355" s="2">
        <v>284</v>
      </c>
      <c r="C355" s="17" t="s">
        <v>620</v>
      </c>
      <c r="D355" s="2" t="s">
        <v>621</v>
      </c>
      <c r="E355" s="17" t="s">
        <v>151</v>
      </c>
      <c r="F355" s="12">
        <v>50</v>
      </c>
      <c r="G355" s="13">
        <v>833</v>
      </c>
      <c r="H355" s="13">
        <v>455.66624999999999</v>
      </c>
      <c r="I355" s="12"/>
      <c r="J355" s="12">
        <v>50</v>
      </c>
    </row>
    <row r="356" spans="1:10" ht="30">
      <c r="A356" s="24" t="s">
        <v>148</v>
      </c>
      <c r="B356" s="2">
        <v>285</v>
      </c>
      <c r="C356" s="17" t="s">
        <v>622</v>
      </c>
      <c r="D356" s="2" t="s">
        <v>623</v>
      </c>
      <c r="E356" s="17" t="s">
        <v>151</v>
      </c>
      <c r="F356" s="12">
        <v>250</v>
      </c>
      <c r="G356" s="13">
        <v>455.66624999999999</v>
      </c>
      <c r="H356" s="13">
        <v>455.66624999999999</v>
      </c>
      <c r="I356" s="12"/>
      <c r="J356" s="12">
        <v>250</v>
      </c>
    </row>
    <row r="357" spans="1:10" ht="30">
      <c r="A357" s="24" t="s">
        <v>148</v>
      </c>
      <c r="B357" s="2">
        <v>286</v>
      </c>
      <c r="C357" s="17" t="s">
        <v>624</v>
      </c>
      <c r="D357" s="2" t="s">
        <v>625</v>
      </c>
      <c r="E357" s="17" t="s">
        <v>151</v>
      </c>
      <c r="F357" s="12">
        <v>700</v>
      </c>
      <c r="G357" s="13">
        <v>455.66624999999999</v>
      </c>
      <c r="H357" s="13">
        <v>455.66624999999999</v>
      </c>
      <c r="I357" s="12"/>
      <c r="J357" s="12">
        <v>700</v>
      </c>
    </row>
    <row r="358" spans="1:10" ht="30">
      <c r="A358" s="24" t="s">
        <v>148</v>
      </c>
      <c r="B358" s="2">
        <v>287</v>
      </c>
      <c r="C358" s="17" t="s">
        <v>626</v>
      </c>
      <c r="D358" s="2" t="s">
        <v>627</v>
      </c>
      <c r="E358" s="17" t="s">
        <v>151</v>
      </c>
      <c r="F358" s="12">
        <v>200</v>
      </c>
      <c r="G358" s="13">
        <v>455.66624999999999</v>
      </c>
      <c r="H358" s="13">
        <v>455.66624999999999</v>
      </c>
      <c r="I358" s="12"/>
      <c r="J358" s="12">
        <v>200</v>
      </c>
    </row>
    <row r="359" spans="1:10" ht="30">
      <c r="A359" s="24" t="s">
        <v>148</v>
      </c>
      <c r="B359" s="2">
        <v>288</v>
      </c>
      <c r="C359" s="17" t="s">
        <v>628</v>
      </c>
      <c r="D359" s="2" t="s">
        <v>629</v>
      </c>
      <c r="E359" s="17" t="s">
        <v>151</v>
      </c>
      <c r="F359" s="12">
        <v>40</v>
      </c>
      <c r="G359" s="13">
        <v>455.66624999999999</v>
      </c>
      <c r="H359" s="13">
        <v>1266.6666666666667</v>
      </c>
      <c r="I359" s="12"/>
      <c r="J359" s="12">
        <v>40</v>
      </c>
    </row>
    <row r="360" spans="1:10" ht="30">
      <c r="A360" s="24" t="s">
        <v>148</v>
      </c>
      <c r="B360" s="2">
        <v>289</v>
      </c>
      <c r="C360" s="17" t="s">
        <v>630</v>
      </c>
      <c r="D360" s="2" t="s">
        <v>623</v>
      </c>
      <c r="E360" s="17" t="s">
        <v>151</v>
      </c>
      <c r="F360" s="12">
        <v>50</v>
      </c>
      <c r="G360" s="13">
        <v>1266.6666666666667</v>
      </c>
      <c r="H360" s="13">
        <v>1266.6666666666667</v>
      </c>
      <c r="I360" s="12"/>
      <c r="J360" s="12">
        <v>50</v>
      </c>
    </row>
    <row r="361" spans="1:10" ht="30">
      <c r="A361" s="24" t="s">
        <v>148</v>
      </c>
      <c r="B361" s="2">
        <v>290</v>
      </c>
      <c r="C361" s="17" t="s">
        <v>631</v>
      </c>
      <c r="D361" s="2" t="s">
        <v>625</v>
      </c>
      <c r="E361" s="17" t="s">
        <v>151</v>
      </c>
      <c r="F361" s="12">
        <v>50</v>
      </c>
      <c r="G361" s="13">
        <v>1266.6666666666667</v>
      </c>
      <c r="H361" s="13">
        <v>1266.6666666666667</v>
      </c>
      <c r="I361" s="12"/>
      <c r="J361" s="12">
        <v>50</v>
      </c>
    </row>
    <row r="362" spans="1:10" ht="30">
      <c r="A362" s="24" t="s">
        <v>148</v>
      </c>
      <c r="B362" s="2">
        <v>291</v>
      </c>
      <c r="C362" s="17" t="s">
        <v>632</v>
      </c>
      <c r="D362" s="2" t="s">
        <v>627</v>
      </c>
      <c r="E362" s="17" t="s">
        <v>151</v>
      </c>
      <c r="F362" s="12">
        <v>500</v>
      </c>
      <c r="G362" s="13">
        <v>1266.6666666666667</v>
      </c>
      <c r="H362" s="13">
        <v>1266.6666666666667</v>
      </c>
      <c r="I362" s="12"/>
      <c r="J362" s="12">
        <v>500</v>
      </c>
    </row>
    <row r="363" spans="1:10" ht="45">
      <c r="A363" s="24" t="s">
        <v>148</v>
      </c>
      <c r="B363" s="2">
        <v>292</v>
      </c>
      <c r="C363" s="17" t="s">
        <v>633</v>
      </c>
      <c r="D363" s="2" t="s">
        <v>623</v>
      </c>
      <c r="E363" s="17" t="s">
        <v>151</v>
      </c>
      <c r="F363" s="12">
        <v>300</v>
      </c>
      <c r="G363" s="13">
        <v>1266.6666666666667</v>
      </c>
      <c r="H363" s="13">
        <v>1266.6666666666667</v>
      </c>
      <c r="I363" s="12"/>
      <c r="J363" s="12">
        <v>300</v>
      </c>
    </row>
    <row r="364" spans="1:10" ht="45">
      <c r="A364" s="24" t="s">
        <v>148</v>
      </c>
      <c r="B364" s="2">
        <v>293</v>
      </c>
      <c r="C364" s="17" t="s">
        <v>634</v>
      </c>
      <c r="D364" s="2" t="s">
        <v>625</v>
      </c>
      <c r="E364" s="17" t="s">
        <v>151</v>
      </c>
      <c r="F364" s="12">
        <v>100</v>
      </c>
      <c r="G364" s="13">
        <v>1266.6666666666667</v>
      </c>
      <c r="H364" s="13">
        <v>455.66624999999999</v>
      </c>
      <c r="I364" s="12"/>
      <c r="J364" s="12">
        <v>100</v>
      </c>
    </row>
    <row r="365" spans="1:10" ht="30">
      <c r="A365" s="24" t="s">
        <v>148</v>
      </c>
      <c r="B365" s="2">
        <v>294</v>
      </c>
      <c r="C365" s="17" t="s">
        <v>635</v>
      </c>
      <c r="D365" s="2" t="s">
        <v>636</v>
      </c>
      <c r="E365" s="17" t="s">
        <v>151</v>
      </c>
      <c r="F365" s="12">
        <v>80</v>
      </c>
      <c r="G365" s="13">
        <v>455.66624999999999</v>
      </c>
      <c r="H365" s="13">
        <v>833</v>
      </c>
      <c r="I365" s="12"/>
      <c r="J365" s="12">
        <v>80</v>
      </c>
    </row>
    <row r="366" spans="1:10" ht="45">
      <c r="A366" s="24" t="s">
        <v>148</v>
      </c>
      <c r="B366" s="2">
        <v>295</v>
      </c>
      <c r="C366" s="17" t="s">
        <v>637</v>
      </c>
      <c r="D366" s="2" t="s">
        <v>621</v>
      </c>
      <c r="E366" s="17" t="s">
        <v>151</v>
      </c>
      <c r="F366" s="12">
        <v>50</v>
      </c>
      <c r="G366" s="13">
        <v>833</v>
      </c>
      <c r="H366" s="13">
        <v>1266.6666666666667</v>
      </c>
      <c r="I366" s="12"/>
      <c r="J366" s="12">
        <v>50</v>
      </c>
    </row>
    <row r="367" spans="1:10" ht="45">
      <c r="A367" s="24" t="s">
        <v>148</v>
      </c>
      <c r="B367" s="2">
        <v>296</v>
      </c>
      <c r="C367" s="17" t="s">
        <v>638</v>
      </c>
      <c r="D367" s="2" t="s">
        <v>639</v>
      </c>
      <c r="E367" s="17" t="s">
        <v>151</v>
      </c>
      <c r="F367" s="12">
        <v>20</v>
      </c>
      <c r="G367" s="13">
        <v>1266.6666666666667</v>
      </c>
      <c r="H367" s="13">
        <v>1266.6666666666667</v>
      </c>
      <c r="I367" s="12"/>
      <c r="J367" s="12">
        <v>20</v>
      </c>
    </row>
    <row r="368" spans="1:10" ht="45">
      <c r="A368" s="24" t="s">
        <v>148</v>
      </c>
      <c r="B368" s="2">
        <v>297</v>
      </c>
      <c r="C368" s="17" t="s">
        <v>640</v>
      </c>
      <c r="D368" s="2" t="s">
        <v>641</v>
      </c>
      <c r="E368" s="17" t="s">
        <v>151</v>
      </c>
      <c r="F368" s="12">
        <v>20</v>
      </c>
      <c r="G368" s="13">
        <v>1266.6666666666667</v>
      </c>
      <c r="H368" s="13">
        <v>2898.84</v>
      </c>
      <c r="I368" s="12"/>
      <c r="J368" s="12">
        <v>20</v>
      </c>
    </row>
    <row r="369" spans="1:10" ht="45">
      <c r="A369" s="24" t="s">
        <v>148</v>
      </c>
      <c r="B369" s="2">
        <v>298</v>
      </c>
      <c r="C369" s="17" t="s">
        <v>642</v>
      </c>
      <c r="D369" s="2" t="s">
        <v>643</v>
      </c>
      <c r="E369" s="17" t="s">
        <v>151</v>
      </c>
      <c r="F369" s="12">
        <v>100</v>
      </c>
      <c r="G369" s="13">
        <v>2898.84</v>
      </c>
      <c r="H369" s="13">
        <v>2898.84</v>
      </c>
      <c r="I369" s="12"/>
      <c r="J369" s="12">
        <v>100</v>
      </c>
    </row>
    <row r="370" spans="1:10" ht="60">
      <c r="A370" s="24" t="s">
        <v>148</v>
      </c>
      <c r="B370" s="2">
        <v>299</v>
      </c>
      <c r="C370" s="17" t="s">
        <v>644</v>
      </c>
      <c r="D370" s="2" t="s">
        <v>645</v>
      </c>
      <c r="E370" s="17" t="s">
        <v>151</v>
      </c>
      <c r="F370" s="12">
        <v>70</v>
      </c>
      <c r="G370" s="13">
        <v>2898.84</v>
      </c>
      <c r="H370" s="13">
        <v>2898.84</v>
      </c>
      <c r="I370" s="12"/>
      <c r="J370" s="12">
        <v>70</v>
      </c>
    </row>
    <row r="371" spans="1:10" ht="45">
      <c r="A371" s="24" t="s">
        <v>148</v>
      </c>
      <c r="B371" s="2">
        <v>300</v>
      </c>
      <c r="C371" s="17" t="s">
        <v>646</v>
      </c>
      <c r="D371" s="2" t="s">
        <v>647</v>
      </c>
      <c r="E371" s="17" t="s">
        <v>151</v>
      </c>
      <c r="F371" s="12">
        <v>1500</v>
      </c>
      <c r="G371" s="13">
        <v>2898.84</v>
      </c>
      <c r="H371" s="13">
        <v>0</v>
      </c>
      <c r="I371" s="12"/>
      <c r="J371" s="12">
        <v>1500</v>
      </c>
    </row>
    <row r="372" spans="1:10">
      <c r="A372" s="24" t="s">
        <v>148</v>
      </c>
      <c r="B372" s="2">
        <v>301</v>
      </c>
      <c r="C372" s="17"/>
      <c r="D372" s="2" t="s">
        <v>648</v>
      </c>
      <c r="E372" s="17" t="s">
        <v>151</v>
      </c>
      <c r="F372" s="12"/>
      <c r="G372" s="13">
        <v>0</v>
      </c>
      <c r="H372" s="13">
        <v>0</v>
      </c>
      <c r="I372" s="12"/>
      <c r="J372" s="12">
        <v>0</v>
      </c>
    </row>
    <row r="373" spans="1:10">
      <c r="A373" s="24" t="s">
        <v>148</v>
      </c>
      <c r="B373" s="2">
        <v>302</v>
      </c>
      <c r="C373" s="17"/>
      <c r="D373" s="2" t="s">
        <v>648</v>
      </c>
      <c r="E373" s="17" t="s">
        <v>151</v>
      </c>
      <c r="F373" s="12"/>
      <c r="G373" s="13">
        <v>0</v>
      </c>
      <c r="H373" s="13">
        <v>0</v>
      </c>
      <c r="I373" s="12"/>
      <c r="J373" s="12">
        <v>0</v>
      </c>
    </row>
    <row r="374" spans="1:10">
      <c r="A374" s="24" t="s">
        <v>148</v>
      </c>
      <c r="B374" s="2">
        <v>303</v>
      </c>
      <c r="C374" s="17"/>
      <c r="D374" s="2" t="s">
        <v>648</v>
      </c>
      <c r="E374" s="17" t="s">
        <v>151</v>
      </c>
      <c r="F374" s="12"/>
      <c r="G374" s="13">
        <v>0</v>
      </c>
      <c r="H374" s="13">
        <v>0</v>
      </c>
      <c r="I374" s="12"/>
      <c r="J374" s="12">
        <v>0</v>
      </c>
    </row>
    <row r="375" spans="1:10">
      <c r="A375" s="24" t="s">
        <v>148</v>
      </c>
      <c r="B375" s="2">
        <v>304</v>
      </c>
      <c r="C375" s="17"/>
      <c r="D375" s="2" t="s">
        <v>648</v>
      </c>
      <c r="E375" s="17" t="s">
        <v>151</v>
      </c>
      <c r="F375" s="12"/>
      <c r="G375" s="13">
        <v>0</v>
      </c>
      <c r="H375" s="13">
        <v>1550</v>
      </c>
      <c r="I375" s="12"/>
      <c r="J375" s="12">
        <v>0</v>
      </c>
    </row>
    <row r="376" spans="1:10" ht="30">
      <c r="A376" s="24" t="s">
        <v>148</v>
      </c>
      <c r="B376" s="2">
        <v>305</v>
      </c>
      <c r="C376" s="17" t="s">
        <v>649</v>
      </c>
      <c r="D376" s="2" t="s">
        <v>469</v>
      </c>
      <c r="E376" s="17" t="s">
        <v>151</v>
      </c>
      <c r="F376" s="12"/>
      <c r="G376" s="13">
        <v>1550</v>
      </c>
      <c r="H376" s="13">
        <v>1550</v>
      </c>
      <c r="I376" s="12"/>
      <c r="J376" s="12">
        <v>0</v>
      </c>
    </row>
    <row r="377" spans="1:10" ht="30">
      <c r="A377" s="24" t="s">
        <v>148</v>
      </c>
      <c r="B377" s="2">
        <v>306</v>
      </c>
      <c r="C377" s="17" t="s">
        <v>650</v>
      </c>
      <c r="D377" s="2" t="s">
        <v>385</v>
      </c>
      <c r="E377" s="17" t="s">
        <v>151</v>
      </c>
      <c r="F377" s="12">
        <v>500</v>
      </c>
      <c r="G377" s="13">
        <v>1550</v>
      </c>
      <c r="H377" s="13">
        <v>1550</v>
      </c>
      <c r="I377" s="12"/>
      <c r="J377" s="12">
        <v>500</v>
      </c>
    </row>
    <row r="378" spans="1:10" ht="30">
      <c r="A378" s="24" t="s">
        <v>148</v>
      </c>
      <c r="B378" s="2">
        <v>307</v>
      </c>
      <c r="C378" s="17" t="s">
        <v>651</v>
      </c>
      <c r="D378" s="2" t="s">
        <v>469</v>
      </c>
      <c r="E378" s="17" t="s">
        <v>151</v>
      </c>
      <c r="F378" s="12">
        <v>500</v>
      </c>
      <c r="G378" s="13">
        <v>1550</v>
      </c>
      <c r="H378" s="13">
        <v>1550</v>
      </c>
      <c r="I378" s="12"/>
      <c r="J378" s="12">
        <v>500</v>
      </c>
    </row>
    <row r="379" spans="1:10" ht="30">
      <c r="A379" s="24" t="s">
        <v>148</v>
      </c>
      <c r="B379" s="2">
        <v>308</v>
      </c>
      <c r="C379" s="17" t="s">
        <v>652</v>
      </c>
      <c r="D379" s="2" t="s">
        <v>385</v>
      </c>
      <c r="E379" s="17" t="s">
        <v>151</v>
      </c>
      <c r="F379" s="12">
        <v>500</v>
      </c>
      <c r="G379" s="13">
        <v>1550</v>
      </c>
      <c r="H379" s="13">
        <v>1550</v>
      </c>
      <c r="I379" s="12"/>
      <c r="J379" s="12">
        <v>500</v>
      </c>
    </row>
    <row r="380" spans="1:10" ht="30">
      <c r="A380" s="24" t="s">
        <v>148</v>
      </c>
      <c r="B380" s="2">
        <v>309</v>
      </c>
      <c r="C380" s="17" t="s">
        <v>653</v>
      </c>
      <c r="D380" s="2" t="s">
        <v>654</v>
      </c>
      <c r="E380" s="17" t="s">
        <v>151</v>
      </c>
      <c r="F380" s="12">
        <v>100</v>
      </c>
      <c r="G380" s="13">
        <v>1550</v>
      </c>
      <c r="H380" s="13">
        <v>4799.2700000000004</v>
      </c>
      <c r="I380" s="12"/>
      <c r="J380" s="12">
        <v>100</v>
      </c>
    </row>
    <row r="381" spans="1:10" ht="30">
      <c r="A381" s="24" t="s">
        <v>148</v>
      </c>
      <c r="B381" s="2">
        <v>310</v>
      </c>
      <c r="C381" s="17" t="s">
        <v>655</v>
      </c>
      <c r="D381" s="2" t="s">
        <v>656</v>
      </c>
      <c r="E381" s="17" t="s">
        <v>151</v>
      </c>
      <c r="F381" s="12">
        <v>15</v>
      </c>
      <c r="G381" s="13">
        <v>4799.2700000000004</v>
      </c>
      <c r="H381" s="13">
        <v>4799.2700000000004</v>
      </c>
      <c r="I381" s="12"/>
      <c r="J381" s="12">
        <v>15</v>
      </c>
    </row>
    <row r="382" spans="1:10" ht="30">
      <c r="A382" s="24" t="s">
        <v>148</v>
      </c>
      <c r="B382" s="2">
        <v>311</v>
      </c>
      <c r="C382" s="17" t="s">
        <v>657</v>
      </c>
      <c r="D382" s="2" t="s">
        <v>658</v>
      </c>
      <c r="E382" s="17" t="s">
        <v>151</v>
      </c>
      <c r="F382" s="12">
        <v>80</v>
      </c>
      <c r="G382" s="13">
        <v>4799.2700000000004</v>
      </c>
      <c r="H382" s="13">
        <v>4799.2700000000004</v>
      </c>
      <c r="I382" s="12"/>
      <c r="J382" s="12">
        <v>80</v>
      </c>
    </row>
    <row r="383" spans="1:10" ht="30">
      <c r="A383" s="24" t="s">
        <v>148</v>
      </c>
      <c r="B383" s="2">
        <v>312</v>
      </c>
      <c r="C383" s="17" t="s">
        <v>659</v>
      </c>
      <c r="D383" s="2" t="s">
        <v>660</v>
      </c>
      <c r="E383" s="17" t="s">
        <v>151</v>
      </c>
      <c r="F383" s="12">
        <v>50</v>
      </c>
      <c r="G383" s="13">
        <v>4799.2700000000004</v>
      </c>
      <c r="H383" s="13">
        <v>4799.2700000000004</v>
      </c>
      <c r="I383" s="12"/>
      <c r="J383" s="12">
        <v>50</v>
      </c>
    </row>
    <row r="384" spans="1:10" ht="30">
      <c r="A384" s="24" t="s">
        <v>148</v>
      </c>
      <c r="B384" s="2">
        <v>313</v>
      </c>
      <c r="C384" s="17" t="s">
        <v>661</v>
      </c>
      <c r="D384" s="2" t="s">
        <v>662</v>
      </c>
      <c r="E384" s="17" t="s">
        <v>151</v>
      </c>
      <c r="F384" s="12">
        <v>50</v>
      </c>
      <c r="G384" s="13">
        <v>4799.2700000000004</v>
      </c>
      <c r="H384" s="13">
        <v>4799.2700000000004</v>
      </c>
      <c r="I384" s="12"/>
      <c r="J384" s="12">
        <v>50</v>
      </c>
    </row>
    <row r="385" spans="1:10" ht="30">
      <c r="A385" s="24" t="s">
        <v>148</v>
      </c>
      <c r="B385" s="2">
        <v>314</v>
      </c>
      <c r="C385" s="17" t="s">
        <v>663</v>
      </c>
      <c r="D385" s="2" t="s">
        <v>664</v>
      </c>
      <c r="E385" s="17" t="s">
        <v>151</v>
      </c>
      <c r="F385" s="12">
        <v>90</v>
      </c>
      <c r="G385" s="13">
        <v>4799.2700000000004</v>
      </c>
      <c r="H385" s="13">
        <v>4799.2700000000004</v>
      </c>
      <c r="I385" s="12"/>
      <c r="J385" s="12">
        <v>90</v>
      </c>
    </row>
    <row r="386" spans="1:10" ht="30">
      <c r="A386" s="24" t="s">
        <v>148</v>
      </c>
      <c r="B386" s="2">
        <v>315</v>
      </c>
      <c r="C386" s="17" t="s">
        <v>665</v>
      </c>
      <c r="D386" s="2" t="s">
        <v>666</v>
      </c>
      <c r="E386" s="17" t="s">
        <v>151</v>
      </c>
      <c r="F386" s="12">
        <v>20</v>
      </c>
      <c r="G386" s="13">
        <v>4799.2700000000004</v>
      </c>
      <c r="H386" s="13">
        <v>4799.2700000000004</v>
      </c>
      <c r="I386" s="12"/>
      <c r="J386" s="12">
        <v>20</v>
      </c>
    </row>
    <row r="387" spans="1:10" ht="30">
      <c r="A387" s="24" t="s">
        <v>148</v>
      </c>
      <c r="B387" s="2">
        <v>316</v>
      </c>
      <c r="C387" s="17" t="s">
        <v>667</v>
      </c>
      <c r="D387" s="2" t="s">
        <v>668</v>
      </c>
      <c r="E387" s="17" t="s">
        <v>151</v>
      </c>
      <c r="F387" s="12">
        <v>30</v>
      </c>
      <c r="G387" s="13">
        <v>4799.2700000000004</v>
      </c>
      <c r="H387" s="13">
        <v>4799.2700000000004</v>
      </c>
      <c r="I387" s="12"/>
      <c r="J387" s="12">
        <v>30</v>
      </c>
    </row>
    <row r="388" spans="1:10" ht="30">
      <c r="A388" s="24" t="s">
        <v>148</v>
      </c>
      <c r="B388" s="2">
        <v>317</v>
      </c>
      <c r="C388" s="17" t="s">
        <v>669</v>
      </c>
      <c r="D388" s="2" t="s">
        <v>670</v>
      </c>
      <c r="E388" s="17" t="s">
        <v>151</v>
      </c>
      <c r="F388" s="12">
        <v>15</v>
      </c>
      <c r="G388" s="13">
        <v>4799.2700000000004</v>
      </c>
      <c r="H388" s="13">
        <v>3844.89</v>
      </c>
      <c r="I388" s="12"/>
      <c r="J388" s="12">
        <v>15</v>
      </c>
    </row>
    <row r="389" spans="1:10" ht="30">
      <c r="A389" s="24" t="s">
        <v>148</v>
      </c>
      <c r="B389" s="2">
        <v>318</v>
      </c>
      <c r="C389" s="17" t="s">
        <v>671</v>
      </c>
      <c r="D389" s="2" t="s">
        <v>672</v>
      </c>
      <c r="E389" s="17" t="s">
        <v>151</v>
      </c>
      <c r="F389" s="12">
        <v>30</v>
      </c>
      <c r="G389" s="13">
        <v>3844.89</v>
      </c>
      <c r="H389" s="13">
        <v>3844.89</v>
      </c>
      <c r="I389" s="12"/>
      <c r="J389" s="12">
        <v>30</v>
      </c>
    </row>
    <row r="390" spans="1:10" ht="30">
      <c r="A390" s="24" t="s">
        <v>148</v>
      </c>
      <c r="B390" s="2">
        <v>319</v>
      </c>
      <c r="C390" s="17" t="s">
        <v>673</v>
      </c>
      <c r="D390" s="2" t="s">
        <v>674</v>
      </c>
      <c r="E390" s="17" t="s">
        <v>151</v>
      </c>
      <c r="F390" s="12">
        <v>20</v>
      </c>
      <c r="G390" s="13">
        <v>3844.89</v>
      </c>
      <c r="H390" s="13">
        <v>3844.89</v>
      </c>
      <c r="I390" s="12"/>
      <c r="J390" s="12">
        <v>20</v>
      </c>
    </row>
    <row r="391" spans="1:10" ht="30">
      <c r="A391" s="24" t="s">
        <v>148</v>
      </c>
      <c r="B391" s="2">
        <v>320</v>
      </c>
      <c r="C391" s="17" t="s">
        <v>675</v>
      </c>
      <c r="D391" s="2" t="s">
        <v>676</v>
      </c>
      <c r="E391" s="17" t="s">
        <v>151</v>
      </c>
      <c r="F391" s="12">
        <v>20</v>
      </c>
      <c r="G391" s="13">
        <v>3844.89</v>
      </c>
      <c r="H391" s="13">
        <v>3844.89</v>
      </c>
      <c r="I391" s="12"/>
      <c r="J391" s="12">
        <v>20</v>
      </c>
    </row>
    <row r="392" spans="1:10" ht="30">
      <c r="A392" s="24" t="s">
        <v>148</v>
      </c>
      <c r="B392" s="2">
        <v>321</v>
      </c>
      <c r="C392" s="17" t="s">
        <v>677</v>
      </c>
      <c r="D392" s="2" t="s">
        <v>678</v>
      </c>
      <c r="E392" s="17" t="s">
        <v>151</v>
      </c>
      <c r="F392" s="12">
        <v>9</v>
      </c>
      <c r="G392" s="13">
        <v>3844.89</v>
      </c>
      <c r="H392" s="13">
        <v>3844.89</v>
      </c>
      <c r="I392" s="12"/>
      <c r="J392" s="12">
        <v>9</v>
      </c>
    </row>
    <row r="393" spans="1:10" ht="30">
      <c r="A393" s="24" t="s">
        <v>148</v>
      </c>
      <c r="B393" s="2">
        <v>322</v>
      </c>
      <c r="C393" s="17" t="s">
        <v>679</v>
      </c>
      <c r="D393" s="2" t="s">
        <v>680</v>
      </c>
      <c r="E393" s="17" t="s">
        <v>151</v>
      </c>
      <c r="F393" s="12">
        <v>20</v>
      </c>
      <c r="G393" s="13">
        <v>3844.89</v>
      </c>
      <c r="H393" s="13">
        <v>3844.89</v>
      </c>
      <c r="I393" s="12"/>
      <c r="J393" s="12">
        <v>20</v>
      </c>
    </row>
    <row r="394" spans="1:10" ht="30">
      <c r="A394" s="24" t="s">
        <v>148</v>
      </c>
      <c r="B394" s="2">
        <v>323</v>
      </c>
      <c r="C394" s="17" t="s">
        <v>681</v>
      </c>
      <c r="D394" s="2" t="s">
        <v>682</v>
      </c>
      <c r="E394" s="17" t="s">
        <v>151</v>
      </c>
      <c r="F394" s="12">
        <v>30</v>
      </c>
      <c r="G394" s="13">
        <v>3844.89</v>
      </c>
      <c r="H394" s="13">
        <v>3844.89</v>
      </c>
      <c r="I394" s="12"/>
      <c r="J394" s="12">
        <v>30</v>
      </c>
    </row>
    <row r="395" spans="1:10" ht="30">
      <c r="A395" s="24" t="s">
        <v>148</v>
      </c>
      <c r="B395" s="2">
        <v>324</v>
      </c>
      <c r="C395" s="17" t="s">
        <v>683</v>
      </c>
      <c r="D395" s="2" t="s">
        <v>682</v>
      </c>
      <c r="E395" s="17" t="s">
        <v>151</v>
      </c>
      <c r="F395" s="12">
        <v>30</v>
      </c>
      <c r="G395" s="13">
        <v>3844.89</v>
      </c>
      <c r="H395" s="13">
        <v>3844.89</v>
      </c>
      <c r="I395" s="12"/>
      <c r="J395" s="12">
        <v>30</v>
      </c>
    </row>
    <row r="396" spans="1:10" ht="30">
      <c r="A396" s="24" t="s">
        <v>148</v>
      </c>
      <c r="B396" s="2">
        <v>325</v>
      </c>
      <c r="C396" s="17" t="s">
        <v>684</v>
      </c>
      <c r="D396" s="2" t="s">
        <v>685</v>
      </c>
      <c r="E396" s="17" t="s">
        <v>151</v>
      </c>
      <c r="F396" s="12">
        <v>50</v>
      </c>
      <c r="G396" s="13">
        <v>3844.89</v>
      </c>
      <c r="H396" s="13">
        <v>0</v>
      </c>
      <c r="I396" s="12"/>
      <c r="J396" s="12">
        <v>50</v>
      </c>
    </row>
    <row r="397" spans="1:10">
      <c r="A397" s="24" t="s">
        <v>148</v>
      </c>
      <c r="B397" s="2">
        <v>326</v>
      </c>
      <c r="C397" s="17"/>
      <c r="D397" s="2"/>
      <c r="E397" s="17" t="s">
        <v>151</v>
      </c>
      <c r="F397" s="12"/>
      <c r="G397" s="13">
        <v>0</v>
      </c>
      <c r="H397" s="13">
        <v>8973.7900000000009</v>
      </c>
      <c r="I397" s="12"/>
      <c r="J397" s="12">
        <v>0</v>
      </c>
    </row>
    <row r="398" spans="1:10" ht="30">
      <c r="A398" s="24" t="s">
        <v>148</v>
      </c>
      <c r="B398" s="2">
        <v>327</v>
      </c>
      <c r="C398" s="17" t="s">
        <v>686</v>
      </c>
      <c r="D398" s="2" t="s">
        <v>687</v>
      </c>
      <c r="E398" s="17" t="s">
        <v>151</v>
      </c>
      <c r="F398" s="12">
        <v>6</v>
      </c>
      <c r="G398" s="13">
        <v>8973.7900000000009</v>
      </c>
      <c r="H398" s="13">
        <v>8973.7900000000009</v>
      </c>
      <c r="I398" s="12"/>
      <c r="J398" s="12">
        <v>6</v>
      </c>
    </row>
    <row r="399" spans="1:10" ht="30">
      <c r="A399" s="24" t="s">
        <v>148</v>
      </c>
      <c r="B399" s="2">
        <v>328</v>
      </c>
      <c r="C399" s="17" t="s">
        <v>688</v>
      </c>
      <c r="D399" s="2" t="s">
        <v>689</v>
      </c>
      <c r="E399" s="17" t="s">
        <v>151</v>
      </c>
      <c r="F399" s="12">
        <v>8</v>
      </c>
      <c r="G399" s="13">
        <v>8973.7900000000009</v>
      </c>
      <c r="H399" s="13">
        <v>8973.7900000000009</v>
      </c>
      <c r="I399" s="12"/>
      <c r="J399" s="12">
        <v>8</v>
      </c>
    </row>
    <row r="400" spans="1:10" ht="30">
      <c r="A400" s="24" t="s">
        <v>148</v>
      </c>
      <c r="B400" s="2">
        <v>329</v>
      </c>
      <c r="C400" s="17" t="s">
        <v>690</v>
      </c>
      <c r="D400" s="2" t="s">
        <v>691</v>
      </c>
      <c r="E400" s="17" t="s">
        <v>151</v>
      </c>
      <c r="F400" s="12">
        <v>8</v>
      </c>
      <c r="G400" s="13">
        <v>8973.7900000000009</v>
      </c>
      <c r="H400" s="13">
        <v>8973.7900000000009</v>
      </c>
      <c r="I400" s="12"/>
      <c r="J400" s="12">
        <v>8</v>
      </c>
    </row>
    <row r="401" spans="1:10" ht="30">
      <c r="A401" s="24" t="s">
        <v>148</v>
      </c>
      <c r="B401" s="2">
        <v>330</v>
      </c>
      <c r="C401" s="17" t="s">
        <v>692</v>
      </c>
      <c r="D401" s="2" t="s">
        <v>693</v>
      </c>
      <c r="E401" s="17" t="s">
        <v>151</v>
      </c>
      <c r="F401" s="12">
        <v>8</v>
      </c>
      <c r="G401" s="13">
        <v>8973.7900000000009</v>
      </c>
      <c r="H401" s="13">
        <v>1000</v>
      </c>
      <c r="I401" s="12"/>
      <c r="J401" s="12">
        <v>8</v>
      </c>
    </row>
    <row r="402" spans="1:10" ht="30">
      <c r="A402" s="24" t="s">
        <v>148</v>
      </c>
      <c r="B402" s="2">
        <v>331</v>
      </c>
      <c r="C402" s="17" t="s">
        <v>694</v>
      </c>
      <c r="D402" s="2" t="s">
        <v>695</v>
      </c>
      <c r="E402" s="17" t="s">
        <v>151</v>
      </c>
      <c r="F402" s="12">
        <v>50</v>
      </c>
      <c r="G402" s="13">
        <v>1000</v>
      </c>
      <c r="H402" s="13">
        <v>1661.24</v>
      </c>
      <c r="I402" s="12"/>
      <c r="J402" s="12">
        <v>50</v>
      </c>
    </row>
    <row r="403" spans="1:10" ht="45">
      <c r="A403" s="24" t="s">
        <v>148</v>
      </c>
      <c r="B403" s="2">
        <v>332</v>
      </c>
      <c r="C403" s="17" t="s">
        <v>696</v>
      </c>
      <c r="D403" s="2" t="s">
        <v>697</v>
      </c>
      <c r="E403" s="17" t="s">
        <v>151</v>
      </c>
      <c r="F403" s="12">
        <v>6</v>
      </c>
      <c r="G403" s="13">
        <v>1661.24</v>
      </c>
      <c r="H403" s="13">
        <v>1661.24</v>
      </c>
      <c r="I403" s="12"/>
      <c r="J403" s="12">
        <v>6</v>
      </c>
    </row>
    <row r="404" spans="1:10" ht="30">
      <c r="A404" s="24" t="s">
        <v>148</v>
      </c>
      <c r="B404" s="2">
        <v>333</v>
      </c>
      <c r="C404" s="17" t="s">
        <v>698</v>
      </c>
      <c r="D404" s="2" t="s">
        <v>699</v>
      </c>
      <c r="E404" s="17" t="s">
        <v>151</v>
      </c>
      <c r="F404" s="12">
        <v>50</v>
      </c>
      <c r="G404" s="13">
        <v>1661.24</v>
      </c>
      <c r="H404" s="13">
        <v>1661.24</v>
      </c>
      <c r="I404" s="12"/>
      <c r="J404" s="12">
        <v>50</v>
      </c>
    </row>
    <row r="405" spans="1:10" ht="45">
      <c r="A405" s="24" t="s">
        <v>148</v>
      </c>
      <c r="B405" s="2">
        <v>334</v>
      </c>
      <c r="C405" s="17" t="s">
        <v>700</v>
      </c>
      <c r="D405" s="2" t="s">
        <v>701</v>
      </c>
      <c r="E405" s="17" t="s">
        <v>151</v>
      </c>
      <c r="F405" s="12">
        <v>50</v>
      </c>
      <c r="G405" s="13">
        <v>1661.24</v>
      </c>
      <c r="H405" s="13">
        <v>1661.24</v>
      </c>
      <c r="I405" s="12"/>
      <c r="J405" s="12">
        <v>50</v>
      </c>
    </row>
    <row r="406" spans="1:10" ht="45">
      <c r="A406" s="24" t="s">
        <v>148</v>
      </c>
      <c r="B406" s="2">
        <v>335</v>
      </c>
      <c r="C406" s="17" t="s">
        <v>702</v>
      </c>
      <c r="D406" s="2" t="s">
        <v>703</v>
      </c>
      <c r="E406" s="17" t="s">
        <v>151</v>
      </c>
      <c r="F406" s="12">
        <v>50</v>
      </c>
      <c r="G406" s="13">
        <v>1661.24</v>
      </c>
      <c r="H406" s="13">
        <v>1661.24</v>
      </c>
      <c r="I406" s="12"/>
      <c r="J406" s="12">
        <v>50</v>
      </c>
    </row>
    <row r="407" spans="1:10" ht="45">
      <c r="A407" s="24" t="s">
        <v>148</v>
      </c>
      <c r="B407" s="2">
        <v>336</v>
      </c>
      <c r="C407" s="17" t="s">
        <v>704</v>
      </c>
      <c r="D407" s="2" t="s">
        <v>705</v>
      </c>
      <c r="E407" s="17" t="s">
        <v>151</v>
      </c>
      <c r="F407" s="12">
        <v>30</v>
      </c>
      <c r="G407" s="13">
        <v>1661.24</v>
      </c>
      <c r="H407" s="13">
        <v>8973.7900000000009</v>
      </c>
      <c r="I407" s="12"/>
      <c r="J407" s="12">
        <v>30</v>
      </c>
    </row>
    <row r="408" spans="1:10" ht="30">
      <c r="A408" s="24" t="s">
        <v>148</v>
      </c>
      <c r="B408" s="2">
        <v>337</v>
      </c>
      <c r="C408" s="17" t="s">
        <v>706</v>
      </c>
      <c r="D408" s="2" t="s">
        <v>707</v>
      </c>
      <c r="E408" s="17" t="s">
        <v>151</v>
      </c>
      <c r="F408" s="12">
        <v>110</v>
      </c>
      <c r="G408" s="13">
        <v>8973.7900000000009</v>
      </c>
      <c r="H408" s="13">
        <v>8973.7900000000009</v>
      </c>
      <c r="I408" s="12"/>
      <c r="J408" s="12">
        <v>110</v>
      </c>
    </row>
    <row r="409" spans="1:10" ht="30">
      <c r="A409" s="24" t="s">
        <v>148</v>
      </c>
      <c r="B409" s="2">
        <v>338</v>
      </c>
      <c r="C409" s="17" t="s">
        <v>708</v>
      </c>
      <c r="D409" s="2" t="s">
        <v>707</v>
      </c>
      <c r="E409" s="17" t="s">
        <v>151</v>
      </c>
      <c r="F409" s="12">
        <v>40</v>
      </c>
      <c r="G409" s="13">
        <v>8973.7900000000009</v>
      </c>
      <c r="H409" s="13">
        <v>8973.7900000000009</v>
      </c>
      <c r="I409" s="12"/>
      <c r="J409" s="12">
        <v>40</v>
      </c>
    </row>
    <row r="410" spans="1:10" ht="30">
      <c r="A410" s="24" t="s">
        <v>148</v>
      </c>
      <c r="B410" s="2">
        <v>339</v>
      </c>
      <c r="C410" s="17" t="s">
        <v>709</v>
      </c>
      <c r="D410" s="2" t="s">
        <v>710</v>
      </c>
      <c r="E410" s="17" t="s">
        <v>151</v>
      </c>
      <c r="F410" s="12">
        <v>4</v>
      </c>
      <c r="G410" s="13">
        <v>8973.7900000000009</v>
      </c>
      <c r="H410" s="13">
        <v>1661.24</v>
      </c>
      <c r="I410" s="12"/>
      <c r="J410" s="12">
        <v>4</v>
      </c>
    </row>
    <row r="411" spans="1:10" ht="30">
      <c r="A411" s="24" t="s">
        <v>148</v>
      </c>
      <c r="B411" s="2">
        <v>340</v>
      </c>
      <c r="C411" s="17" t="s">
        <v>711</v>
      </c>
      <c r="D411" s="2" t="s">
        <v>712</v>
      </c>
      <c r="E411" s="17" t="s">
        <v>151</v>
      </c>
      <c r="F411" s="12">
        <v>4</v>
      </c>
      <c r="G411" s="13">
        <v>1661.24</v>
      </c>
      <c r="H411" s="13">
        <v>1661.24</v>
      </c>
      <c r="I411" s="12"/>
      <c r="J411" s="12">
        <v>4</v>
      </c>
    </row>
    <row r="412" spans="1:10" ht="30">
      <c r="A412" s="24" t="s">
        <v>148</v>
      </c>
      <c r="B412" s="2">
        <v>341</v>
      </c>
      <c r="C412" s="17" t="s">
        <v>713</v>
      </c>
      <c r="D412" s="2" t="s">
        <v>714</v>
      </c>
      <c r="E412" s="17" t="s">
        <v>151</v>
      </c>
      <c r="F412" s="12">
        <v>70</v>
      </c>
      <c r="G412" s="13">
        <v>1661.24</v>
      </c>
      <c r="H412" s="13">
        <v>3850</v>
      </c>
      <c r="I412" s="12"/>
      <c r="J412" s="12">
        <v>70</v>
      </c>
    </row>
    <row r="413" spans="1:10">
      <c r="A413" s="24" t="s">
        <v>148</v>
      </c>
      <c r="B413" s="2">
        <v>342</v>
      </c>
      <c r="C413" s="17"/>
      <c r="D413" s="2"/>
      <c r="E413" s="17" t="s">
        <v>151</v>
      </c>
      <c r="F413" s="12"/>
      <c r="G413" s="13">
        <v>3850</v>
      </c>
      <c r="H413" s="13">
        <v>3850</v>
      </c>
      <c r="I413" s="12"/>
      <c r="J413" s="12">
        <v>0</v>
      </c>
    </row>
    <row r="414" spans="1:10" ht="45">
      <c r="A414" s="24" t="s">
        <v>148</v>
      </c>
      <c r="B414" s="2">
        <v>343</v>
      </c>
      <c r="C414" s="17" t="s">
        <v>715</v>
      </c>
      <c r="D414" s="2" t="s">
        <v>716</v>
      </c>
      <c r="E414" s="17" t="s">
        <v>151</v>
      </c>
      <c r="F414" s="12">
        <v>10</v>
      </c>
      <c r="G414" s="13">
        <v>3850</v>
      </c>
      <c r="H414" s="13">
        <v>3850</v>
      </c>
      <c r="I414" s="12"/>
      <c r="J414" s="12">
        <v>10</v>
      </c>
    </row>
    <row r="415" spans="1:10" ht="30">
      <c r="A415" s="24" t="s">
        <v>148</v>
      </c>
      <c r="B415" s="2">
        <v>344</v>
      </c>
      <c r="C415" s="17" t="s">
        <v>717</v>
      </c>
      <c r="D415" s="2" t="s">
        <v>718</v>
      </c>
      <c r="E415" s="17" t="s">
        <v>151</v>
      </c>
      <c r="F415" s="12">
        <v>8</v>
      </c>
      <c r="G415" s="13">
        <v>3850</v>
      </c>
      <c r="H415" s="13">
        <v>3850</v>
      </c>
      <c r="I415" s="12"/>
      <c r="J415" s="12">
        <v>8</v>
      </c>
    </row>
    <row r="416" spans="1:10" ht="30">
      <c r="A416" s="24" t="s">
        <v>148</v>
      </c>
      <c r="B416" s="2">
        <v>345</v>
      </c>
      <c r="C416" s="17" t="s">
        <v>719</v>
      </c>
      <c r="D416" s="2" t="s">
        <v>720</v>
      </c>
      <c r="E416" s="17" t="s">
        <v>151</v>
      </c>
      <c r="F416" s="12">
        <v>8</v>
      </c>
      <c r="G416" s="13">
        <v>3850</v>
      </c>
      <c r="H416" s="13">
        <v>3850</v>
      </c>
      <c r="I416" s="12"/>
      <c r="J416" s="12">
        <v>8</v>
      </c>
    </row>
    <row r="417" spans="1:10" ht="45">
      <c r="A417" s="24" t="s">
        <v>148</v>
      </c>
      <c r="B417" s="2">
        <v>346</v>
      </c>
      <c r="C417" s="17" t="s">
        <v>721</v>
      </c>
      <c r="D417" s="2" t="s">
        <v>722</v>
      </c>
      <c r="E417" s="17" t="s">
        <v>151</v>
      </c>
      <c r="F417" s="12">
        <v>15</v>
      </c>
      <c r="G417" s="13">
        <v>3850</v>
      </c>
      <c r="H417" s="13">
        <v>3850</v>
      </c>
      <c r="I417" s="12"/>
      <c r="J417" s="12">
        <v>15</v>
      </c>
    </row>
    <row r="418" spans="1:10" ht="45">
      <c r="A418" s="24" t="s">
        <v>148</v>
      </c>
      <c r="B418" s="2">
        <v>347</v>
      </c>
      <c r="C418" s="17" t="s">
        <v>723</v>
      </c>
      <c r="D418" s="2" t="s">
        <v>724</v>
      </c>
      <c r="E418" s="17" t="s">
        <v>151</v>
      </c>
      <c r="F418" s="12">
        <v>80</v>
      </c>
      <c r="G418" s="13">
        <v>3850</v>
      </c>
      <c r="H418" s="13">
        <v>3850</v>
      </c>
      <c r="I418" s="12"/>
      <c r="J418" s="12">
        <v>80</v>
      </c>
    </row>
    <row r="419" spans="1:10" ht="45">
      <c r="A419" s="24" t="s">
        <v>148</v>
      </c>
      <c r="B419" s="2">
        <v>348</v>
      </c>
      <c r="C419" s="17" t="s">
        <v>725</v>
      </c>
      <c r="D419" s="2" t="s">
        <v>726</v>
      </c>
      <c r="E419" s="17" t="s">
        <v>151</v>
      </c>
      <c r="F419" s="12">
        <v>40</v>
      </c>
      <c r="G419" s="13">
        <v>3850</v>
      </c>
      <c r="H419" s="13">
        <v>3850</v>
      </c>
      <c r="I419" s="12"/>
      <c r="J419" s="12">
        <v>40</v>
      </c>
    </row>
    <row r="420" spans="1:10" ht="30">
      <c r="A420" s="24" t="s">
        <v>148</v>
      </c>
      <c r="B420" s="2">
        <v>349</v>
      </c>
      <c r="C420" s="17" t="s">
        <v>727</v>
      </c>
      <c r="D420" s="2" t="s">
        <v>728</v>
      </c>
      <c r="E420" s="17" t="s">
        <v>151</v>
      </c>
      <c r="F420" s="12">
        <v>10</v>
      </c>
      <c r="G420" s="13">
        <v>3850</v>
      </c>
      <c r="H420" s="13">
        <v>3850</v>
      </c>
      <c r="I420" s="12"/>
      <c r="J420" s="12">
        <v>10</v>
      </c>
    </row>
    <row r="421" spans="1:10" ht="45">
      <c r="A421" s="24" t="s">
        <v>148</v>
      </c>
      <c r="B421" s="2">
        <v>350</v>
      </c>
      <c r="C421" s="17" t="s">
        <v>729</v>
      </c>
      <c r="D421" s="2" t="s">
        <v>722</v>
      </c>
      <c r="E421" s="17" t="s">
        <v>151</v>
      </c>
      <c r="F421" s="12">
        <v>50</v>
      </c>
      <c r="G421" s="13">
        <v>3850</v>
      </c>
      <c r="H421" s="13">
        <v>3850</v>
      </c>
      <c r="I421" s="12"/>
      <c r="J421" s="12">
        <v>50</v>
      </c>
    </row>
    <row r="422" spans="1:10" ht="45">
      <c r="A422" s="24" t="s">
        <v>148</v>
      </c>
      <c r="B422" s="2">
        <v>351</v>
      </c>
      <c r="C422" s="17" t="s">
        <v>730</v>
      </c>
      <c r="D422" s="2" t="s">
        <v>710</v>
      </c>
      <c r="E422" s="17" t="s">
        <v>151</v>
      </c>
      <c r="F422" s="12">
        <v>20</v>
      </c>
      <c r="G422" s="13">
        <v>3850</v>
      </c>
      <c r="H422" s="13">
        <v>3850</v>
      </c>
      <c r="I422" s="12"/>
      <c r="J422" s="12">
        <v>20</v>
      </c>
    </row>
    <row r="423" spans="1:10" ht="45">
      <c r="A423" s="24" t="s">
        <v>148</v>
      </c>
      <c r="B423" s="2">
        <v>352</v>
      </c>
      <c r="C423" s="17" t="s">
        <v>731</v>
      </c>
      <c r="D423" s="2" t="s">
        <v>732</v>
      </c>
      <c r="E423" s="17" t="s">
        <v>151</v>
      </c>
      <c r="F423" s="12">
        <v>50</v>
      </c>
      <c r="G423" s="13">
        <v>3850</v>
      </c>
      <c r="H423" s="13">
        <v>3850</v>
      </c>
      <c r="I423" s="12"/>
      <c r="J423" s="12">
        <v>50</v>
      </c>
    </row>
    <row r="424" spans="1:10" ht="45">
      <c r="A424" s="24" t="s">
        <v>148</v>
      </c>
      <c r="B424" s="2">
        <v>353</v>
      </c>
      <c r="C424" s="17" t="s">
        <v>733</v>
      </c>
      <c r="D424" s="2" t="s">
        <v>734</v>
      </c>
      <c r="E424" s="17" t="s">
        <v>151</v>
      </c>
      <c r="F424" s="12">
        <v>50</v>
      </c>
      <c r="G424" s="13">
        <v>3850</v>
      </c>
      <c r="H424" s="13">
        <v>3850</v>
      </c>
      <c r="I424" s="12"/>
      <c r="J424" s="12">
        <v>50</v>
      </c>
    </row>
    <row r="425" spans="1:10" ht="45">
      <c r="A425" s="24" t="s">
        <v>148</v>
      </c>
      <c r="B425" s="2">
        <v>354</v>
      </c>
      <c r="C425" s="17" t="s">
        <v>735</v>
      </c>
      <c r="D425" s="2" t="s">
        <v>724</v>
      </c>
      <c r="E425" s="17" t="s">
        <v>151</v>
      </c>
      <c r="F425" s="12">
        <v>50</v>
      </c>
      <c r="G425" s="13">
        <v>3850</v>
      </c>
      <c r="H425" s="13">
        <v>3850</v>
      </c>
      <c r="I425" s="12"/>
      <c r="J425" s="12">
        <v>50</v>
      </c>
    </row>
    <row r="426" spans="1:10" ht="45">
      <c r="A426" s="24" t="s">
        <v>148</v>
      </c>
      <c r="B426" s="2">
        <v>355</v>
      </c>
      <c r="C426" s="17" t="s">
        <v>736</v>
      </c>
      <c r="D426" s="2" t="s">
        <v>724</v>
      </c>
      <c r="E426" s="17" t="s">
        <v>151</v>
      </c>
      <c r="F426" s="12">
        <v>100</v>
      </c>
      <c r="G426" s="13">
        <v>3850</v>
      </c>
      <c r="H426" s="13">
        <v>3850</v>
      </c>
      <c r="I426" s="12"/>
      <c r="J426" s="12">
        <v>100</v>
      </c>
    </row>
    <row r="427" spans="1:10" ht="30">
      <c r="A427" s="24" t="s">
        <v>148</v>
      </c>
      <c r="B427" s="2">
        <v>356</v>
      </c>
      <c r="C427" s="17" t="s">
        <v>737</v>
      </c>
      <c r="D427" s="2" t="s">
        <v>710</v>
      </c>
      <c r="E427" s="17" t="s">
        <v>151</v>
      </c>
      <c r="F427" s="12">
        <v>50</v>
      </c>
      <c r="G427" s="13">
        <v>3850</v>
      </c>
      <c r="H427" s="13">
        <v>3850</v>
      </c>
      <c r="I427" s="12"/>
      <c r="J427" s="12">
        <v>50</v>
      </c>
    </row>
    <row r="428" spans="1:10" ht="30">
      <c r="A428" s="24" t="s">
        <v>148</v>
      </c>
      <c r="B428" s="2">
        <v>357</v>
      </c>
      <c r="C428" s="17" t="s">
        <v>738</v>
      </c>
      <c r="D428" s="2" t="s">
        <v>739</v>
      </c>
      <c r="E428" s="17" t="s">
        <v>151</v>
      </c>
      <c r="F428" s="12">
        <v>5</v>
      </c>
      <c r="G428" s="13">
        <v>3850</v>
      </c>
      <c r="H428" s="13">
        <v>3850</v>
      </c>
      <c r="I428" s="12"/>
      <c r="J428" s="12">
        <v>5</v>
      </c>
    </row>
    <row r="429" spans="1:10" ht="30">
      <c r="A429" s="24" t="s">
        <v>148</v>
      </c>
      <c r="B429" s="2">
        <v>358</v>
      </c>
      <c r="C429" s="17" t="s">
        <v>740</v>
      </c>
      <c r="D429" s="2" t="s">
        <v>741</v>
      </c>
      <c r="E429" s="17" t="s">
        <v>151</v>
      </c>
      <c r="F429" s="12">
        <v>30</v>
      </c>
      <c r="G429" s="13">
        <v>3850</v>
      </c>
      <c r="H429" s="13">
        <v>3850</v>
      </c>
      <c r="I429" s="12"/>
      <c r="J429" s="12">
        <v>30</v>
      </c>
    </row>
    <row r="430" spans="1:10" ht="30">
      <c r="A430" s="24" t="s">
        <v>148</v>
      </c>
      <c r="B430" s="2">
        <v>359</v>
      </c>
      <c r="C430" s="17" t="s">
        <v>742</v>
      </c>
      <c r="D430" s="2" t="s">
        <v>741</v>
      </c>
      <c r="E430" s="17" t="s">
        <v>151</v>
      </c>
      <c r="F430" s="12">
        <v>30</v>
      </c>
      <c r="G430" s="13">
        <v>3850</v>
      </c>
      <c r="H430" s="13">
        <v>3850</v>
      </c>
      <c r="I430" s="12"/>
      <c r="J430" s="12">
        <v>30</v>
      </c>
    </row>
    <row r="431" spans="1:10" ht="30">
      <c r="A431" s="24" t="s">
        <v>148</v>
      </c>
      <c r="B431" s="2">
        <v>360</v>
      </c>
      <c r="C431" s="17" t="s">
        <v>743</v>
      </c>
      <c r="D431" s="2" t="s">
        <v>744</v>
      </c>
      <c r="E431" s="17" t="s">
        <v>151</v>
      </c>
      <c r="F431" s="12">
        <v>30</v>
      </c>
      <c r="G431" s="13">
        <v>3850</v>
      </c>
      <c r="H431" s="13">
        <v>3850</v>
      </c>
      <c r="I431" s="12"/>
      <c r="J431" s="12">
        <v>30</v>
      </c>
    </row>
    <row r="432" spans="1:10" ht="45">
      <c r="A432" s="24" t="s">
        <v>148</v>
      </c>
      <c r="B432" s="2">
        <v>361</v>
      </c>
      <c r="C432" s="17" t="s">
        <v>745</v>
      </c>
      <c r="D432" s="2" t="s">
        <v>744</v>
      </c>
      <c r="E432" s="17" t="s">
        <v>151</v>
      </c>
      <c r="F432" s="12">
        <v>30</v>
      </c>
      <c r="G432" s="13">
        <v>3850</v>
      </c>
      <c r="H432" s="13">
        <v>3850</v>
      </c>
      <c r="I432" s="12"/>
      <c r="J432" s="12">
        <v>30</v>
      </c>
    </row>
    <row r="433" spans="1:10" ht="30">
      <c r="A433" s="24" t="s">
        <v>148</v>
      </c>
      <c r="B433" s="2">
        <v>362</v>
      </c>
      <c r="C433" s="17" t="s">
        <v>746</v>
      </c>
      <c r="D433" s="2" t="s">
        <v>747</v>
      </c>
      <c r="E433" s="17" t="s">
        <v>151</v>
      </c>
      <c r="F433" s="12">
        <v>30</v>
      </c>
      <c r="G433" s="13">
        <v>3850</v>
      </c>
      <c r="H433" s="13">
        <v>3850</v>
      </c>
      <c r="I433" s="12"/>
      <c r="J433" s="12">
        <v>30</v>
      </c>
    </row>
    <row r="434" spans="1:10" ht="30">
      <c r="A434" s="24" t="s">
        <v>148</v>
      </c>
      <c r="B434" s="2">
        <v>363</v>
      </c>
      <c r="C434" s="17" t="s">
        <v>748</v>
      </c>
      <c r="D434" s="2" t="s">
        <v>744</v>
      </c>
      <c r="E434" s="17" t="s">
        <v>151</v>
      </c>
      <c r="F434" s="12">
        <v>30</v>
      </c>
      <c r="G434" s="13">
        <v>3850</v>
      </c>
      <c r="H434" s="13">
        <v>690.75</v>
      </c>
      <c r="I434" s="12"/>
      <c r="J434" s="12">
        <v>30</v>
      </c>
    </row>
    <row r="435" spans="1:10" ht="30">
      <c r="A435" s="24" t="s">
        <v>148</v>
      </c>
      <c r="B435" s="2">
        <v>364</v>
      </c>
      <c r="C435" s="17" t="s">
        <v>749</v>
      </c>
      <c r="D435" s="2" t="s">
        <v>739</v>
      </c>
      <c r="E435" s="17" t="s">
        <v>151</v>
      </c>
      <c r="F435" s="12">
        <v>80</v>
      </c>
      <c r="G435" s="13">
        <v>690.75</v>
      </c>
      <c r="H435" s="13">
        <v>690.75</v>
      </c>
      <c r="I435" s="12"/>
      <c r="J435" s="12">
        <v>80</v>
      </c>
    </row>
    <row r="436" spans="1:10" ht="30">
      <c r="A436" s="24" t="s">
        <v>148</v>
      </c>
      <c r="B436" s="2">
        <v>365</v>
      </c>
      <c r="C436" s="17" t="s">
        <v>750</v>
      </c>
      <c r="D436" s="2" t="s">
        <v>751</v>
      </c>
      <c r="E436" s="17" t="s">
        <v>151</v>
      </c>
      <c r="F436" s="12">
        <v>80</v>
      </c>
      <c r="G436" s="13">
        <v>690.75</v>
      </c>
      <c r="H436" s="13">
        <v>690.75</v>
      </c>
      <c r="I436" s="12"/>
      <c r="J436" s="12">
        <v>80</v>
      </c>
    </row>
    <row r="437" spans="1:10" ht="30">
      <c r="A437" s="24" t="s">
        <v>148</v>
      </c>
      <c r="B437" s="2">
        <v>366</v>
      </c>
      <c r="C437" s="17" t="s">
        <v>752</v>
      </c>
      <c r="D437" s="2" t="s">
        <v>753</v>
      </c>
      <c r="E437" s="17" t="s">
        <v>151</v>
      </c>
      <c r="F437" s="12">
        <v>84</v>
      </c>
      <c r="G437" s="13">
        <v>690.75</v>
      </c>
      <c r="H437" s="13">
        <v>690.75</v>
      </c>
      <c r="I437" s="12"/>
      <c r="J437" s="12">
        <v>84</v>
      </c>
    </row>
    <row r="438" spans="1:10" ht="30">
      <c r="A438" s="24" t="s">
        <v>148</v>
      </c>
      <c r="B438" s="2">
        <v>367</v>
      </c>
      <c r="C438" s="17" t="s">
        <v>754</v>
      </c>
      <c r="D438" s="2" t="s">
        <v>755</v>
      </c>
      <c r="E438" s="17" t="s">
        <v>151</v>
      </c>
      <c r="F438" s="12">
        <v>50</v>
      </c>
      <c r="G438" s="13">
        <v>690.75</v>
      </c>
      <c r="H438" s="13">
        <v>690.75</v>
      </c>
      <c r="I438" s="12"/>
      <c r="J438" s="12">
        <v>50</v>
      </c>
    </row>
    <row r="439" spans="1:10" ht="30">
      <c r="A439" s="24" t="s">
        <v>148</v>
      </c>
      <c r="B439" s="2">
        <v>368</v>
      </c>
      <c r="C439" s="17" t="s">
        <v>756</v>
      </c>
      <c r="D439" s="2" t="s">
        <v>757</v>
      </c>
      <c r="E439" s="17" t="s">
        <v>151</v>
      </c>
      <c r="F439" s="12">
        <v>15</v>
      </c>
      <c r="G439" s="13">
        <v>690.75</v>
      </c>
      <c r="H439" s="13">
        <v>690.75</v>
      </c>
      <c r="I439" s="12"/>
      <c r="J439" s="12">
        <v>15</v>
      </c>
    </row>
    <row r="440" spans="1:10" ht="30">
      <c r="A440" s="24" t="s">
        <v>148</v>
      </c>
      <c r="B440" s="2">
        <v>369</v>
      </c>
      <c r="C440" s="17" t="s">
        <v>758</v>
      </c>
      <c r="D440" s="2" t="s">
        <v>759</v>
      </c>
      <c r="E440" s="17" t="s">
        <v>151</v>
      </c>
      <c r="F440" s="12">
        <v>15</v>
      </c>
      <c r="G440" s="13">
        <v>690.75</v>
      </c>
      <c r="H440" s="13">
        <v>690.75</v>
      </c>
      <c r="I440" s="12"/>
      <c r="J440" s="12">
        <v>15</v>
      </c>
    </row>
    <row r="441" spans="1:10" ht="30">
      <c r="A441" s="24" t="s">
        <v>148</v>
      </c>
      <c r="B441" s="2">
        <v>370</v>
      </c>
      <c r="C441" s="17" t="s">
        <v>760</v>
      </c>
      <c r="D441" s="2" t="s">
        <v>761</v>
      </c>
      <c r="E441" s="17" t="s">
        <v>151</v>
      </c>
      <c r="F441" s="12">
        <v>20</v>
      </c>
      <c r="G441" s="13">
        <v>690.75</v>
      </c>
      <c r="H441" s="13">
        <v>690.75</v>
      </c>
      <c r="I441" s="12"/>
      <c r="J441" s="12">
        <v>20</v>
      </c>
    </row>
    <row r="442" spans="1:10" ht="30">
      <c r="A442" s="24" t="s">
        <v>148</v>
      </c>
      <c r="B442" s="2">
        <v>371</v>
      </c>
      <c r="C442" s="17" t="s">
        <v>762</v>
      </c>
      <c r="D442" s="2" t="s">
        <v>763</v>
      </c>
      <c r="E442" s="17" t="s">
        <v>151</v>
      </c>
      <c r="F442" s="12">
        <v>80</v>
      </c>
      <c r="G442" s="13">
        <v>690.75</v>
      </c>
      <c r="H442" s="13">
        <v>690.75</v>
      </c>
      <c r="I442" s="12"/>
      <c r="J442" s="12">
        <v>80</v>
      </c>
    </row>
    <row r="443" spans="1:10" ht="30">
      <c r="A443" s="24" t="s">
        <v>148</v>
      </c>
      <c r="B443" s="2">
        <v>372</v>
      </c>
      <c r="C443" s="17" t="s">
        <v>764</v>
      </c>
      <c r="D443" s="2" t="s">
        <v>765</v>
      </c>
      <c r="E443" s="17" t="s">
        <v>151</v>
      </c>
      <c r="F443" s="12">
        <v>80</v>
      </c>
      <c r="G443" s="13">
        <v>690.75</v>
      </c>
      <c r="H443" s="13">
        <v>690.75</v>
      </c>
      <c r="I443" s="12"/>
      <c r="J443" s="12">
        <v>80</v>
      </c>
    </row>
    <row r="444" spans="1:10" ht="30">
      <c r="A444" s="24" t="s">
        <v>148</v>
      </c>
      <c r="B444" s="2">
        <v>373</v>
      </c>
      <c r="C444" s="17" t="s">
        <v>766</v>
      </c>
      <c r="D444" s="2" t="s">
        <v>767</v>
      </c>
      <c r="E444" s="17" t="s">
        <v>151</v>
      </c>
      <c r="F444" s="12">
        <v>84</v>
      </c>
      <c r="G444" s="13">
        <v>690.75</v>
      </c>
      <c r="H444" s="13">
        <v>690.75</v>
      </c>
      <c r="I444" s="12"/>
      <c r="J444" s="12">
        <v>84</v>
      </c>
    </row>
    <row r="445" spans="1:10" ht="30">
      <c r="A445" s="24" t="s">
        <v>148</v>
      </c>
      <c r="B445" s="2">
        <v>374</v>
      </c>
      <c r="C445" s="17" t="s">
        <v>768</v>
      </c>
      <c r="D445" s="2" t="s">
        <v>769</v>
      </c>
      <c r="E445" s="17" t="s">
        <v>151</v>
      </c>
      <c r="F445" s="12">
        <v>50</v>
      </c>
      <c r="G445" s="13">
        <v>690.75</v>
      </c>
      <c r="H445" s="13">
        <v>690.75</v>
      </c>
      <c r="I445" s="12"/>
      <c r="J445" s="12">
        <v>50</v>
      </c>
    </row>
    <row r="446" spans="1:10" ht="30">
      <c r="A446" s="24" t="s">
        <v>148</v>
      </c>
      <c r="B446" s="2">
        <v>375</v>
      </c>
      <c r="C446" s="17" t="s">
        <v>770</v>
      </c>
      <c r="D446" s="2" t="s">
        <v>771</v>
      </c>
      <c r="E446" s="17" t="s">
        <v>151</v>
      </c>
      <c r="F446" s="12">
        <v>10</v>
      </c>
      <c r="G446" s="13">
        <v>690.75</v>
      </c>
      <c r="H446" s="13">
        <v>690.75</v>
      </c>
      <c r="I446" s="12"/>
      <c r="J446" s="12">
        <v>10</v>
      </c>
    </row>
    <row r="447" spans="1:10">
      <c r="A447" s="24" t="s">
        <v>148</v>
      </c>
      <c r="B447" s="2">
        <v>376</v>
      </c>
      <c r="C447" s="17" t="s">
        <v>772</v>
      </c>
      <c r="D447" s="2" t="s">
        <v>773</v>
      </c>
      <c r="E447" s="17" t="s">
        <v>151</v>
      </c>
      <c r="F447" s="12">
        <v>80</v>
      </c>
      <c r="G447" s="13">
        <v>690.75</v>
      </c>
      <c r="H447" s="13">
        <v>690.75</v>
      </c>
      <c r="I447" s="12"/>
      <c r="J447" s="12">
        <v>80</v>
      </c>
    </row>
    <row r="448" spans="1:10" ht="30">
      <c r="A448" s="24" t="s">
        <v>148</v>
      </c>
      <c r="B448" s="2">
        <v>377</v>
      </c>
      <c r="C448" s="17" t="s">
        <v>774</v>
      </c>
      <c r="D448" s="2" t="s">
        <v>775</v>
      </c>
      <c r="E448" s="17" t="s">
        <v>151</v>
      </c>
      <c r="F448" s="12">
        <v>80</v>
      </c>
      <c r="G448" s="13">
        <v>690.75</v>
      </c>
      <c r="H448" s="13">
        <v>690.75</v>
      </c>
      <c r="I448" s="12"/>
      <c r="J448" s="12">
        <v>80</v>
      </c>
    </row>
    <row r="449" spans="1:10" ht="30">
      <c r="A449" s="24" t="s">
        <v>148</v>
      </c>
      <c r="B449" s="2">
        <v>378</v>
      </c>
      <c r="C449" s="17" t="s">
        <v>776</v>
      </c>
      <c r="D449" s="2" t="s">
        <v>726</v>
      </c>
      <c r="E449" s="17" t="s">
        <v>151</v>
      </c>
      <c r="F449" s="12">
        <v>84</v>
      </c>
      <c r="G449" s="13">
        <v>690.75</v>
      </c>
      <c r="H449" s="13">
        <v>690.75</v>
      </c>
      <c r="I449" s="12"/>
      <c r="J449" s="12">
        <v>84</v>
      </c>
    </row>
    <row r="450" spans="1:10" ht="30">
      <c r="A450" s="24" t="s">
        <v>148</v>
      </c>
      <c r="B450" s="2">
        <v>379</v>
      </c>
      <c r="C450" s="17" t="s">
        <v>777</v>
      </c>
      <c r="D450" s="2" t="s">
        <v>778</v>
      </c>
      <c r="E450" s="17" t="s">
        <v>151</v>
      </c>
      <c r="F450" s="12">
        <v>50</v>
      </c>
      <c r="G450" s="13">
        <v>690.75</v>
      </c>
      <c r="H450" s="13">
        <v>690.75</v>
      </c>
      <c r="I450" s="12"/>
      <c r="J450" s="12">
        <v>50</v>
      </c>
    </row>
    <row r="451" spans="1:10" ht="30">
      <c r="A451" s="24" t="s">
        <v>148</v>
      </c>
      <c r="B451" s="2">
        <v>380</v>
      </c>
      <c r="C451" s="17" t="s">
        <v>779</v>
      </c>
      <c r="D451" s="2" t="s">
        <v>780</v>
      </c>
      <c r="E451" s="17" t="s">
        <v>151</v>
      </c>
      <c r="F451" s="12">
        <v>10</v>
      </c>
      <c r="G451" s="13">
        <v>690.75</v>
      </c>
      <c r="H451" s="13">
        <v>690.75</v>
      </c>
      <c r="I451" s="12"/>
      <c r="J451" s="12">
        <v>10</v>
      </c>
    </row>
    <row r="452" spans="1:10" ht="30">
      <c r="A452" s="24" t="s">
        <v>148</v>
      </c>
      <c r="B452" s="2">
        <v>381</v>
      </c>
      <c r="C452" s="17" t="s">
        <v>781</v>
      </c>
      <c r="D452" s="2" t="s">
        <v>782</v>
      </c>
      <c r="E452" s="17" t="s">
        <v>151</v>
      </c>
      <c r="F452" s="12">
        <v>30</v>
      </c>
      <c r="G452" s="13">
        <v>690.75</v>
      </c>
      <c r="H452" s="13">
        <v>690.75</v>
      </c>
      <c r="I452" s="12"/>
      <c r="J452" s="12">
        <v>30</v>
      </c>
    </row>
    <row r="453" spans="1:10" ht="30">
      <c r="A453" s="24" t="s">
        <v>148</v>
      </c>
      <c r="B453" s="2">
        <v>382</v>
      </c>
      <c r="C453" s="17" t="s">
        <v>783</v>
      </c>
      <c r="D453" s="2" t="s">
        <v>784</v>
      </c>
      <c r="E453" s="17" t="s">
        <v>151</v>
      </c>
      <c r="F453" s="12">
        <v>50</v>
      </c>
      <c r="G453" s="13">
        <v>690.75</v>
      </c>
      <c r="H453" s="13">
        <v>690.75</v>
      </c>
      <c r="I453" s="12"/>
      <c r="J453" s="12">
        <v>50</v>
      </c>
    </row>
    <row r="454" spans="1:10" ht="30">
      <c r="A454" s="24" t="s">
        <v>148</v>
      </c>
      <c r="B454" s="2">
        <v>383</v>
      </c>
      <c r="C454" s="17" t="s">
        <v>785</v>
      </c>
      <c r="D454" s="2" t="s">
        <v>786</v>
      </c>
      <c r="E454" s="17" t="s">
        <v>151</v>
      </c>
      <c r="F454" s="12">
        <v>20</v>
      </c>
      <c r="G454" s="13">
        <v>690.75</v>
      </c>
      <c r="H454" s="13">
        <v>690.75</v>
      </c>
      <c r="I454" s="12"/>
      <c r="J454" s="12">
        <v>20</v>
      </c>
    </row>
    <row r="455" spans="1:10" ht="30">
      <c r="A455" s="24" t="s">
        <v>148</v>
      </c>
      <c r="B455" s="2">
        <v>384</v>
      </c>
      <c r="C455" s="17" t="s">
        <v>787</v>
      </c>
      <c r="D455" s="2" t="s">
        <v>788</v>
      </c>
      <c r="E455" s="17" t="s">
        <v>151</v>
      </c>
      <c r="F455" s="12">
        <v>200</v>
      </c>
      <c r="G455" s="13">
        <v>690.75</v>
      </c>
      <c r="H455" s="13">
        <v>690.75</v>
      </c>
      <c r="I455" s="12"/>
      <c r="J455" s="12">
        <v>200</v>
      </c>
    </row>
    <row r="456" spans="1:10" ht="30">
      <c r="A456" s="24" t="s">
        <v>148</v>
      </c>
      <c r="B456" s="2">
        <v>385</v>
      </c>
      <c r="C456" s="17" t="s">
        <v>789</v>
      </c>
      <c r="D456" s="2" t="s">
        <v>790</v>
      </c>
      <c r="E456" s="17" t="s">
        <v>151</v>
      </c>
      <c r="F456" s="12">
        <v>30</v>
      </c>
      <c r="G456" s="13">
        <v>690.75</v>
      </c>
      <c r="H456" s="13">
        <v>690.75</v>
      </c>
      <c r="I456" s="12"/>
      <c r="J456" s="12">
        <v>30</v>
      </c>
    </row>
    <row r="457" spans="1:10" ht="30">
      <c r="A457" s="24" t="s">
        <v>148</v>
      </c>
      <c r="B457" s="2">
        <v>386</v>
      </c>
      <c r="C457" s="17" t="s">
        <v>791</v>
      </c>
      <c r="D457" s="2" t="s">
        <v>792</v>
      </c>
      <c r="E457" s="17" t="s">
        <v>151</v>
      </c>
      <c r="F457" s="12">
        <v>30</v>
      </c>
      <c r="G457" s="13">
        <v>690.75</v>
      </c>
      <c r="H457" s="13">
        <v>690.75</v>
      </c>
      <c r="I457" s="12"/>
      <c r="J457" s="12">
        <v>30</v>
      </c>
    </row>
    <row r="458" spans="1:10" ht="30">
      <c r="A458" s="24" t="s">
        <v>148</v>
      </c>
      <c r="B458" s="2">
        <v>387</v>
      </c>
      <c r="C458" s="17" t="s">
        <v>793</v>
      </c>
      <c r="D458" s="2" t="s">
        <v>794</v>
      </c>
      <c r="E458" s="17" t="s">
        <v>151</v>
      </c>
      <c r="F458" s="12">
        <v>30</v>
      </c>
      <c r="G458" s="13">
        <v>690.75</v>
      </c>
      <c r="H458" s="13">
        <v>690.75</v>
      </c>
      <c r="I458" s="12"/>
      <c r="J458" s="12">
        <v>30</v>
      </c>
    </row>
    <row r="459" spans="1:10" ht="30">
      <c r="A459" s="24" t="s">
        <v>148</v>
      </c>
      <c r="B459" s="2">
        <v>388</v>
      </c>
      <c r="C459" s="17" t="s">
        <v>795</v>
      </c>
      <c r="D459" s="2" t="s">
        <v>796</v>
      </c>
      <c r="E459" s="17" t="s">
        <v>151</v>
      </c>
      <c r="F459" s="12">
        <v>15</v>
      </c>
      <c r="G459" s="13">
        <v>690.75</v>
      </c>
      <c r="H459" s="13">
        <v>690.75</v>
      </c>
      <c r="I459" s="12"/>
      <c r="J459" s="12">
        <v>15</v>
      </c>
    </row>
    <row r="460" spans="1:10" ht="30">
      <c r="A460" s="24" t="s">
        <v>148</v>
      </c>
      <c r="B460" s="2">
        <v>389</v>
      </c>
      <c r="C460" s="17" t="s">
        <v>797</v>
      </c>
      <c r="D460" s="2" t="s">
        <v>798</v>
      </c>
      <c r="E460" s="17" t="s">
        <v>151</v>
      </c>
      <c r="F460" s="12">
        <v>10</v>
      </c>
      <c r="G460" s="13">
        <v>690.75</v>
      </c>
      <c r="H460" s="13">
        <v>4799.2700000000004</v>
      </c>
      <c r="I460" s="12"/>
      <c r="J460" s="12">
        <v>10</v>
      </c>
    </row>
    <row r="461" spans="1:10" ht="30">
      <c r="A461" s="24" t="s">
        <v>148</v>
      </c>
      <c r="B461" s="2">
        <v>390</v>
      </c>
      <c r="C461" s="17" t="s">
        <v>799</v>
      </c>
      <c r="D461" s="2" t="s">
        <v>800</v>
      </c>
      <c r="E461" s="17" t="s">
        <v>151</v>
      </c>
      <c r="F461" s="12">
        <v>40</v>
      </c>
      <c r="G461" s="13">
        <v>4799.2700000000004</v>
      </c>
      <c r="H461" s="13">
        <v>4799.2700000000004</v>
      </c>
      <c r="I461" s="12"/>
      <c r="J461" s="12">
        <v>40</v>
      </c>
    </row>
    <row r="462" spans="1:10" ht="30">
      <c r="A462" s="24" t="s">
        <v>148</v>
      </c>
      <c r="B462" s="2">
        <v>391</v>
      </c>
      <c r="C462" s="17" t="s">
        <v>801</v>
      </c>
      <c r="D462" s="2" t="s">
        <v>802</v>
      </c>
      <c r="E462" s="17" t="s">
        <v>151</v>
      </c>
      <c r="F462" s="12">
        <v>40</v>
      </c>
      <c r="G462" s="13">
        <v>4799.2700000000004</v>
      </c>
      <c r="H462" s="13">
        <v>0</v>
      </c>
      <c r="I462" s="12"/>
      <c r="J462" s="12">
        <v>40</v>
      </c>
    </row>
    <row r="463" spans="1:10">
      <c r="A463" s="24" t="s">
        <v>148</v>
      </c>
      <c r="B463" s="2">
        <v>392</v>
      </c>
      <c r="C463" s="17"/>
      <c r="D463" s="2"/>
      <c r="E463" s="17" t="s">
        <v>151</v>
      </c>
      <c r="F463" s="12"/>
      <c r="G463" s="13">
        <v>0</v>
      </c>
      <c r="H463" s="13">
        <v>0</v>
      </c>
      <c r="I463" s="12"/>
      <c r="J463" s="12">
        <v>0</v>
      </c>
    </row>
    <row r="464" spans="1:10">
      <c r="A464" s="24" t="s">
        <v>148</v>
      </c>
      <c r="B464" s="2">
        <v>393</v>
      </c>
      <c r="C464" s="17"/>
      <c r="D464" s="2"/>
      <c r="E464" s="17" t="s">
        <v>151</v>
      </c>
      <c r="F464" s="12"/>
      <c r="G464" s="13">
        <v>0</v>
      </c>
      <c r="H464" s="13">
        <v>0</v>
      </c>
      <c r="I464" s="12"/>
      <c r="J464" s="12">
        <v>0</v>
      </c>
    </row>
    <row r="465" spans="1:10">
      <c r="A465" s="24" t="s">
        <v>148</v>
      </c>
      <c r="B465" s="2">
        <v>394</v>
      </c>
      <c r="C465" s="17"/>
      <c r="D465" s="2"/>
      <c r="E465" s="17" t="s">
        <v>151</v>
      </c>
      <c r="F465" s="12"/>
      <c r="G465" s="13">
        <v>0</v>
      </c>
      <c r="H465" s="13">
        <v>1173.3399999999999</v>
      </c>
      <c r="I465" s="12"/>
      <c r="J465" s="12">
        <v>0</v>
      </c>
    </row>
    <row r="466" spans="1:10" ht="30">
      <c r="A466" s="24" t="s">
        <v>148</v>
      </c>
      <c r="B466" s="2">
        <v>395</v>
      </c>
      <c r="C466" s="17" t="s">
        <v>803</v>
      </c>
      <c r="D466" s="2" t="s">
        <v>804</v>
      </c>
      <c r="E466" s="17" t="s">
        <v>151</v>
      </c>
      <c r="F466" s="12">
        <v>100</v>
      </c>
      <c r="G466" s="13">
        <v>1173.3399999999999</v>
      </c>
      <c r="H466" s="13">
        <v>1173.3399999999999</v>
      </c>
      <c r="I466" s="12"/>
      <c r="J466" s="12">
        <v>100</v>
      </c>
    </row>
    <row r="467" spans="1:10" ht="30">
      <c r="A467" s="24" t="s">
        <v>148</v>
      </c>
      <c r="B467" s="2">
        <v>396</v>
      </c>
      <c r="C467" s="17" t="s">
        <v>805</v>
      </c>
      <c r="D467" s="2" t="s">
        <v>806</v>
      </c>
      <c r="E467" s="17" t="s">
        <v>151</v>
      </c>
      <c r="F467" s="12">
        <v>100</v>
      </c>
      <c r="G467" s="13">
        <v>1173.3399999999999</v>
      </c>
      <c r="H467" s="13">
        <v>1173.3399999999999</v>
      </c>
      <c r="I467" s="12"/>
      <c r="J467" s="12">
        <v>100</v>
      </c>
    </row>
    <row r="468" spans="1:10" ht="30">
      <c r="A468" s="24" t="s">
        <v>148</v>
      </c>
      <c r="B468" s="2">
        <v>397</v>
      </c>
      <c r="C468" s="17" t="s">
        <v>807</v>
      </c>
      <c r="D468" s="2" t="s">
        <v>808</v>
      </c>
      <c r="E468" s="17" t="s">
        <v>151</v>
      </c>
      <c r="F468" s="12">
        <v>50</v>
      </c>
      <c r="G468" s="13">
        <v>1173.3399999999999</v>
      </c>
      <c r="H468" s="13">
        <v>1173.3399999999999</v>
      </c>
      <c r="I468" s="12"/>
      <c r="J468" s="12">
        <v>50</v>
      </c>
    </row>
    <row r="469" spans="1:10" ht="30">
      <c r="A469" s="24" t="s">
        <v>148</v>
      </c>
      <c r="B469" s="2">
        <v>398</v>
      </c>
      <c r="C469" s="17" t="s">
        <v>809</v>
      </c>
      <c r="D469" s="2" t="s">
        <v>810</v>
      </c>
      <c r="E469" s="17" t="s">
        <v>151</v>
      </c>
      <c r="F469" s="12">
        <v>50</v>
      </c>
      <c r="G469" s="13">
        <v>1173.3399999999999</v>
      </c>
      <c r="H469" s="13">
        <v>1173.3399999999999</v>
      </c>
      <c r="I469" s="12"/>
      <c r="J469" s="12">
        <v>50</v>
      </c>
    </row>
    <row r="470" spans="1:10" ht="30">
      <c r="A470" s="24" t="s">
        <v>148</v>
      </c>
      <c r="B470" s="2">
        <v>399</v>
      </c>
      <c r="C470" s="17" t="s">
        <v>811</v>
      </c>
      <c r="D470" s="2" t="s">
        <v>812</v>
      </c>
      <c r="E470" s="17" t="s">
        <v>151</v>
      </c>
      <c r="F470" s="12">
        <v>30</v>
      </c>
      <c r="G470" s="13">
        <v>1173.3399999999999</v>
      </c>
      <c r="H470" s="13">
        <v>1173.3399999999999</v>
      </c>
      <c r="I470" s="12"/>
      <c r="J470" s="12">
        <v>30</v>
      </c>
    </row>
    <row r="471" spans="1:10" ht="30">
      <c r="A471" s="24" t="s">
        <v>148</v>
      </c>
      <c r="B471" s="2">
        <v>400</v>
      </c>
      <c r="C471" s="17" t="s">
        <v>813</v>
      </c>
      <c r="D471" s="2" t="s">
        <v>814</v>
      </c>
      <c r="E471" s="17" t="s">
        <v>151</v>
      </c>
      <c r="F471" s="12">
        <v>100</v>
      </c>
      <c r="G471" s="13">
        <v>1173.3399999999999</v>
      </c>
      <c r="H471" s="13">
        <v>1173.3399999999999</v>
      </c>
      <c r="I471" s="12"/>
      <c r="J471" s="12">
        <v>100</v>
      </c>
    </row>
    <row r="472" spans="1:10" ht="30">
      <c r="A472" s="24" t="s">
        <v>148</v>
      </c>
      <c r="B472" s="2">
        <v>401</v>
      </c>
      <c r="C472" s="17" t="s">
        <v>815</v>
      </c>
      <c r="D472" s="2" t="s">
        <v>816</v>
      </c>
      <c r="E472" s="17" t="s">
        <v>151</v>
      </c>
      <c r="F472" s="12">
        <v>100</v>
      </c>
      <c r="G472" s="13">
        <v>1173.3399999999999</v>
      </c>
      <c r="H472" s="13">
        <v>1173.3399999999999</v>
      </c>
      <c r="I472" s="12"/>
      <c r="J472" s="12">
        <v>100</v>
      </c>
    </row>
    <row r="473" spans="1:10" ht="30">
      <c r="A473" s="24" t="s">
        <v>148</v>
      </c>
      <c r="B473" s="2">
        <v>402</v>
      </c>
      <c r="C473" s="17" t="s">
        <v>817</v>
      </c>
      <c r="D473" s="2" t="s">
        <v>818</v>
      </c>
      <c r="E473" s="17" t="s">
        <v>151</v>
      </c>
      <c r="F473" s="12">
        <v>30</v>
      </c>
      <c r="G473" s="13">
        <v>1173.3399999999999</v>
      </c>
      <c r="H473" s="13">
        <v>1173.3399999999999</v>
      </c>
      <c r="I473" s="12"/>
      <c r="J473" s="12">
        <v>30</v>
      </c>
    </row>
    <row r="474" spans="1:10" ht="30">
      <c r="A474" s="24" t="s">
        <v>148</v>
      </c>
      <c r="B474" s="2">
        <v>403</v>
      </c>
      <c r="C474" s="17" t="s">
        <v>819</v>
      </c>
      <c r="D474" s="2" t="s">
        <v>820</v>
      </c>
      <c r="E474" s="17" t="s">
        <v>151</v>
      </c>
      <c r="F474" s="12">
        <v>100</v>
      </c>
      <c r="G474" s="13">
        <v>1173.3399999999999</v>
      </c>
      <c r="H474" s="13">
        <v>998.41</v>
      </c>
      <c r="I474" s="12"/>
      <c r="J474" s="12">
        <v>100</v>
      </c>
    </row>
    <row r="475" spans="1:10" ht="30">
      <c r="A475" s="24" t="s">
        <v>148</v>
      </c>
      <c r="B475" s="2">
        <v>404</v>
      </c>
      <c r="C475" s="17" t="s">
        <v>821</v>
      </c>
      <c r="D475" s="2" t="s">
        <v>822</v>
      </c>
      <c r="E475" s="17" t="s">
        <v>151</v>
      </c>
      <c r="F475" s="12">
        <v>400</v>
      </c>
      <c r="G475" s="13">
        <v>998.41</v>
      </c>
      <c r="H475" s="13">
        <v>998.41</v>
      </c>
      <c r="I475" s="12"/>
      <c r="J475" s="12">
        <v>400</v>
      </c>
    </row>
    <row r="476" spans="1:10" ht="30">
      <c r="A476" s="24" t="s">
        <v>148</v>
      </c>
      <c r="B476" s="2">
        <v>405</v>
      </c>
      <c r="C476" s="17" t="s">
        <v>823</v>
      </c>
      <c r="D476" s="2" t="s">
        <v>824</v>
      </c>
      <c r="E476" s="17" t="s">
        <v>151</v>
      </c>
      <c r="F476" s="12">
        <v>400</v>
      </c>
      <c r="G476" s="13">
        <v>998.41</v>
      </c>
      <c r="H476" s="13">
        <v>998.41</v>
      </c>
      <c r="I476" s="12"/>
      <c r="J476" s="12">
        <v>400</v>
      </c>
    </row>
    <row r="477" spans="1:10" ht="30">
      <c r="A477" s="24" t="s">
        <v>148</v>
      </c>
      <c r="B477" s="2">
        <v>406</v>
      </c>
      <c r="C477" s="17" t="s">
        <v>825</v>
      </c>
      <c r="D477" s="2" t="s">
        <v>826</v>
      </c>
      <c r="E477" s="17" t="s">
        <v>151</v>
      </c>
      <c r="F477" s="12">
        <v>400</v>
      </c>
      <c r="G477" s="13">
        <v>998.41</v>
      </c>
      <c r="H477" s="13">
        <v>998.41</v>
      </c>
      <c r="I477" s="12"/>
      <c r="J477" s="12">
        <v>400</v>
      </c>
    </row>
    <row r="478" spans="1:10" ht="30">
      <c r="A478" s="24" t="s">
        <v>148</v>
      </c>
      <c r="B478" s="2">
        <v>407</v>
      </c>
      <c r="C478" s="17" t="s">
        <v>827</v>
      </c>
      <c r="D478" s="2" t="s">
        <v>828</v>
      </c>
      <c r="E478" s="17" t="s">
        <v>151</v>
      </c>
      <c r="F478" s="12">
        <v>400</v>
      </c>
      <c r="G478" s="13">
        <v>998.41</v>
      </c>
      <c r="H478" s="13">
        <v>998.41</v>
      </c>
      <c r="I478" s="12"/>
      <c r="J478" s="12">
        <v>400</v>
      </c>
    </row>
    <row r="479" spans="1:10" ht="30">
      <c r="A479" s="24" t="s">
        <v>148</v>
      </c>
      <c r="B479" s="2">
        <v>408</v>
      </c>
      <c r="C479" s="17" t="s">
        <v>829</v>
      </c>
      <c r="D479" s="2" t="s">
        <v>830</v>
      </c>
      <c r="E479" s="17" t="s">
        <v>151</v>
      </c>
      <c r="F479" s="12">
        <v>400</v>
      </c>
      <c r="G479" s="13">
        <v>998.41</v>
      </c>
      <c r="H479" s="13">
        <v>998.41</v>
      </c>
      <c r="I479" s="12"/>
      <c r="J479" s="12">
        <v>400</v>
      </c>
    </row>
    <row r="480" spans="1:10" ht="30">
      <c r="A480" s="24" t="s">
        <v>148</v>
      </c>
      <c r="B480" s="2">
        <v>409</v>
      </c>
      <c r="C480" s="17" t="s">
        <v>831</v>
      </c>
      <c r="D480" s="2" t="s">
        <v>832</v>
      </c>
      <c r="E480" s="17" t="s">
        <v>151</v>
      </c>
      <c r="F480" s="12">
        <v>400</v>
      </c>
      <c r="G480" s="13">
        <v>998.41</v>
      </c>
      <c r="H480" s="13">
        <v>1173.3399999999999</v>
      </c>
      <c r="I480" s="12"/>
      <c r="J480" s="12">
        <v>400</v>
      </c>
    </row>
    <row r="481" spans="1:10" ht="30">
      <c r="A481" s="24" t="s">
        <v>148</v>
      </c>
      <c r="B481" s="2">
        <v>410</v>
      </c>
      <c r="C481" s="17" t="s">
        <v>833</v>
      </c>
      <c r="D481" s="2" t="s">
        <v>834</v>
      </c>
      <c r="E481" s="17" t="s">
        <v>151</v>
      </c>
      <c r="F481" s="12">
        <v>15</v>
      </c>
      <c r="G481" s="13">
        <v>1173.3399999999999</v>
      </c>
      <c r="H481" s="13">
        <v>1173.3399999999999</v>
      </c>
      <c r="I481" s="12"/>
      <c r="J481" s="12">
        <v>15</v>
      </c>
    </row>
    <row r="482" spans="1:10" ht="30">
      <c r="A482" s="24" t="s">
        <v>148</v>
      </c>
      <c r="B482" s="2">
        <v>411</v>
      </c>
      <c r="C482" s="17" t="s">
        <v>835</v>
      </c>
      <c r="D482" s="2" t="s">
        <v>836</v>
      </c>
      <c r="E482" s="17" t="s">
        <v>151</v>
      </c>
      <c r="F482" s="12">
        <v>15</v>
      </c>
      <c r="G482" s="13">
        <v>1173.3399999999999</v>
      </c>
      <c r="H482" s="13">
        <v>1173.3399999999999</v>
      </c>
      <c r="I482" s="12"/>
      <c r="J482" s="12">
        <v>15</v>
      </c>
    </row>
    <row r="483" spans="1:10" ht="30">
      <c r="A483" s="24" t="s">
        <v>148</v>
      </c>
      <c r="B483" s="2">
        <v>412</v>
      </c>
      <c r="C483" s="17" t="s">
        <v>837</v>
      </c>
      <c r="D483" s="2" t="s">
        <v>838</v>
      </c>
      <c r="E483" s="17" t="s">
        <v>151</v>
      </c>
      <c r="F483" s="12">
        <v>50</v>
      </c>
      <c r="G483" s="13">
        <v>1173.3399999999999</v>
      </c>
      <c r="H483" s="13">
        <v>1173.3399999999999</v>
      </c>
      <c r="I483" s="12"/>
      <c r="J483" s="12">
        <v>50</v>
      </c>
    </row>
    <row r="484" spans="1:10" ht="30">
      <c r="A484" s="24" t="s">
        <v>148</v>
      </c>
      <c r="B484" s="2">
        <v>413</v>
      </c>
      <c r="C484" s="17" t="s">
        <v>839</v>
      </c>
      <c r="D484" s="2" t="s">
        <v>840</v>
      </c>
      <c r="E484" s="17" t="s">
        <v>151</v>
      </c>
      <c r="F484" s="12">
        <v>50</v>
      </c>
      <c r="G484" s="13">
        <v>1173.3399999999999</v>
      </c>
      <c r="H484" s="13">
        <v>998.41</v>
      </c>
      <c r="I484" s="12"/>
      <c r="J484" s="12">
        <v>50</v>
      </c>
    </row>
    <row r="485" spans="1:10" ht="30">
      <c r="A485" s="24" t="s">
        <v>148</v>
      </c>
      <c r="B485" s="2">
        <v>414</v>
      </c>
      <c r="C485" s="17" t="s">
        <v>841</v>
      </c>
      <c r="D485" s="2" t="s">
        <v>842</v>
      </c>
      <c r="E485" s="17" t="s">
        <v>151</v>
      </c>
      <c r="F485" s="12">
        <v>30</v>
      </c>
      <c r="G485" s="13">
        <v>998.41</v>
      </c>
      <c r="H485" s="13">
        <v>998.41</v>
      </c>
      <c r="I485" s="12"/>
      <c r="J485" s="12">
        <v>30</v>
      </c>
    </row>
    <row r="486" spans="1:10" ht="30">
      <c r="A486" s="24" t="s">
        <v>148</v>
      </c>
      <c r="B486" s="2">
        <v>415</v>
      </c>
      <c r="C486" s="17" t="s">
        <v>843</v>
      </c>
      <c r="D486" s="2" t="s">
        <v>844</v>
      </c>
      <c r="E486" s="17" t="s">
        <v>151</v>
      </c>
      <c r="F486" s="12">
        <v>30</v>
      </c>
      <c r="G486" s="13">
        <v>998.41</v>
      </c>
      <c r="H486" s="13">
        <v>1173.3399999999999</v>
      </c>
      <c r="I486" s="12"/>
      <c r="J486" s="12">
        <v>30</v>
      </c>
    </row>
    <row r="487" spans="1:10" ht="30">
      <c r="A487" s="24" t="s">
        <v>148</v>
      </c>
      <c r="B487" s="2">
        <v>416</v>
      </c>
      <c r="C487" s="17" t="s">
        <v>845</v>
      </c>
      <c r="D487" s="2" t="s">
        <v>846</v>
      </c>
      <c r="E487" s="17" t="s">
        <v>151</v>
      </c>
      <c r="F487" s="12">
        <v>20</v>
      </c>
      <c r="G487" s="13">
        <v>1173.3399999999999</v>
      </c>
      <c r="H487" s="13">
        <v>998.41</v>
      </c>
      <c r="I487" s="12"/>
      <c r="J487" s="12">
        <v>20</v>
      </c>
    </row>
    <row r="488" spans="1:10">
      <c r="A488" s="24" t="s">
        <v>148</v>
      </c>
      <c r="B488" s="2">
        <v>417</v>
      </c>
      <c r="C488" s="17"/>
      <c r="D488" s="2"/>
      <c r="E488" s="17"/>
      <c r="F488" s="12"/>
      <c r="G488" s="13">
        <v>0</v>
      </c>
      <c r="H488" s="13">
        <v>998.41</v>
      </c>
      <c r="I488" s="12"/>
      <c r="J488" s="12">
        <v>0</v>
      </c>
    </row>
    <row r="489" spans="1:10">
      <c r="A489" s="24" t="s">
        <v>148</v>
      </c>
      <c r="B489" s="2">
        <v>418</v>
      </c>
      <c r="C489" s="17"/>
      <c r="D489" s="2"/>
      <c r="E489" s="17"/>
      <c r="F489" s="12"/>
      <c r="G489" s="13">
        <v>0</v>
      </c>
      <c r="H489" s="13">
        <v>1173.3399999999999</v>
      </c>
      <c r="I489" s="12"/>
      <c r="J489" s="12">
        <v>0</v>
      </c>
    </row>
    <row r="490" spans="1:10">
      <c r="A490" s="24" t="s">
        <v>148</v>
      </c>
      <c r="B490" s="2">
        <v>419</v>
      </c>
      <c r="C490" s="17"/>
      <c r="D490" s="2"/>
      <c r="E490" s="17"/>
      <c r="F490" s="12"/>
      <c r="G490" s="13">
        <v>0</v>
      </c>
      <c r="H490" s="13">
        <v>3844</v>
      </c>
      <c r="I490" s="12"/>
      <c r="J490" s="12">
        <v>0</v>
      </c>
    </row>
    <row r="491" spans="1:10" ht="30">
      <c r="A491" s="24" t="s">
        <v>148</v>
      </c>
      <c r="B491" s="2">
        <v>420</v>
      </c>
      <c r="C491" s="17" t="s">
        <v>847</v>
      </c>
      <c r="D491" s="2" t="s">
        <v>848</v>
      </c>
      <c r="E491" s="17" t="s">
        <v>151</v>
      </c>
      <c r="F491" s="12">
        <v>250</v>
      </c>
      <c r="G491" s="13">
        <v>998.41</v>
      </c>
      <c r="H491" s="13">
        <v>3844</v>
      </c>
      <c r="I491" s="12"/>
      <c r="J491" s="12">
        <v>250</v>
      </c>
    </row>
    <row r="492" spans="1:10" ht="30">
      <c r="A492" s="24" t="s">
        <v>148</v>
      </c>
      <c r="B492" s="2">
        <v>421</v>
      </c>
      <c r="C492" s="17" t="s">
        <v>849</v>
      </c>
      <c r="D492" s="2" t="s">
        <v>850</v>
      </c>
      <c r="E492" s="17" t="s">
        <v>151</v>
      </c>
      <c r="F492" s="12">
        <v>300</v>
      </c>
      <c r="G492" s="13">
        <v>998.41</v>
      </c>
      <c r="H492" s="13">
        <v>3844</v>
      </c>
      <c r="I492" s="12"/>
      <c r="J492" s="12">
        <v>300</v>
      </c>
    </row>
    <row r="493" spans="1:10" ht="30">
      <c r="A493" s="24" t="s">
        <v>148</v>
      </c>
      <c r="B493" s="2">
        <v>422</v>
      </c>
      <c r="C493" s="17" t="s">
        <v>851</v>
      </c>
      <c r="D493" s="2" t="s">
        <v>852</v>
      </c>
      <c r="E493" s="17" t="s">
        <v>151</v>
      </c>
      <c r="F493" s="12">
        <v>100</v>
      </c>
      <c r="G493" s="13">
        <v>1173.3399999999999</v>
      </c>
      <c r="H493" s="13">
        <v>998.41</v>
      </c>
      <c r="I493" s="12"/>
      <c r="J493" s="12">
        <v>100</v>
      </c>
    </row>
    <row r="494" spans="1:10" ht="30">
      <c r="A494" s="24" t="s">
        <v>148</v>
      </c>
      <c r="B494" s="2">
        <v>423</v>
      </c>
      <c r="C494" s="17" t="s">
        <v>853</v>
      </c>
      <c r="D494" s="2" t="s">
        <v>854</v>
      </c>
      <c r="E494" s="17" t="s">
        <v>151</v>
      </c>
      <c r="F494" s="12">
        <v>100</v>
      </c>
      <c r="G494" s="13">
        <v>3844</v>
      </c>
      <c r="H494" s="13">
        <v>998.41</v>
      </c>
      <c r="I494" s="12"/>
      <c r="J494" s="12">
        <v>100</v>
      </c>
    </row>
    <row r="495" spans="1:10" ht="30">
      <c r="A495" s="24" t="s">
        <v>148</v>
      </c>
      <c r="B495" s="2">
        <v>424</v>
      </c>
      <c r="C495" s="17" t="s">
        <v>855</v>
      </c>
      <c r="D495" s="2" t="s">
        <v>856</v>
      </c>
      <c r="E495" s="17" t="s">
        <v>151</v>
      </c>
      <c r="F495" s="12">
        <v>100</v>
      </c>
      <c r="G495" s="13">
        <v>3844</v>
      </c>
      <c r="H495" s="13">
        <v>998.41</v>
      </c>
      <c r="I495" s="12"/>
      <c r="J495" s="12">
        <v>100</v>
      </c>
    </row>
    <row r="496" spans="1:10" ht="30">
      <c r="A496" s="24" t="s">
        <v>148</v>
      </c>
      <c r="B496" s="2">
        <v>425</v>
      </c>
      <c r="C496" s="17" t="s">
        <v>857</v>
      </c>
      <c r="D496" s="2" t="s">
        <v>846</v>
      </c>
      <c r="E496" s="17" t="s">
        <v>151</v>
      </c>
      <c r="F496" s="12">
        <v>100</v>
      </c>
      <c r="G496" s="13">
        <v>3844</v>
      </c>
      <c r="H496" s="13">
        <v>998.41</v>
      </c>
      <c r="I496" s="12"/>
      <c r="J496" s="12">
        <v>100</v>
      </c>
    </row>
    <row r="497" spans="1:10" ht="30">
      <c r="A497" s="24" t="s">
        <v>148</v>
      </c>
      <c r="B497" s="2">
        <v>426</v>
      </c>
      <c r="C497" s="17" t="s">
        <v>858</v>
      </c>
      <c r="D497" s="2" t="s">
        <v>822</v>
      </c>
      <c r="E497" s="17" t="s">
        <v>151</v>
      </c>
      <c r="F497" s="12">
        <v>400</v>
      </c>
      <c r="G497" s="13">
        <v>998.41</v>
      </c>
      <c r="H497" s="13">
        <v>998.41</v>
      </c>
      <c r="I497" s="12"/>
      <c r="J497" s="12">
        <v>400</v>
      </c>
    </row>
    <row r="498" spans="1:10" ht="30">
      <c r="A498" s="24" t="s">
        <v>148</v>
      </c>
      <c r="B498" s="2">
        <v>427</v>
      </c>
      <c r="C498" s="17" t="s">
        <v>859</v>
      </c>
      <c r="D498" s="2" t="s">
        <v>824</v>
      </c>
      <c r="E498" s="17" t="s">
        <v>151</v>
      </c>
      <c r="F498" s="12">
        <v>300</v>
      </c>
      <c r="G498" s="13">
        <v>998.41</v>
      </c>
      <c r="H498" s="13">
        <v>3844</v>
      </c>
      <c r="I498" s="12"/>
      <c r="J498" s="12">
        <v>300</v>
      </c>
    </row>
    <row r="499" spans="1:10" ht="30">
      <c r="A499" s="24" t="s">
        <v>148</v>
      </c>
      <c r="B499" s="2">
        <v>428</v>
      </c>
      <c r="C499" s="17" t="s">
        <v>860</v>
      </c>
      <c r="D499" s="2" t="s">
        <v>828</v>
      </c>
      <c r="E499" s="17" t="s">
        <v>151</v>
      </c>
      <c r="F499" s="12">
        <v>400</v>
      </c>
      <c r="G499" s="13">
        <v>998.41</v>
      </c>
      <c r="H499" s="13">
        <v>3844</v>
      </c>
      <c r="I499" s="12"/>
      <c r="J499" s="12">
        <v>400</v>
      </c>
    </row>
    <row r="500" spans="1:10" ht="30">
      <c r="A500" s="24" t="s">
        <v>148</v>
      </c>
      <c r="B500" s="2">
        <v>429</v>
      </c>
      <c r="C500" s="17" t="s">
        <v>861</v>
      </c>
      <c r="D500" s="2" t="s">
        <v>830</v>
      </c>
      <c r="E500" s="17" t="s">
        <v>151</v>
      </c>
      <c r="F500" s="12">
        <v>300</v>
      </c>
      <c r="G500" s="13">
        <v>998.41</v>
      </c>
      <c r="H500" s="13">
        <v>3844</v>
      </c>
      <c r="I500" s="12"/>
      <c r="J500" s="12">
        <v>300</v>
      </c>
    </row>
    <row r="501" spans="1:10" ht="30">
      <c r="A501" s="24" t="s">
        <v>148</v>
      </c>
      <c r="B501" s="2">
        <v>430</v>
      </c>
      <c r="C501" s="17" t="s">
        <v>862</v>
      </c>
      <c r="D501" s="2" t="s">
        <v>863</v>
      </c>
      <c r="E501" s="17" t="s">
        <v>151</v>
      </c>
      <c r="F501" s="12">
        <v>300</v>
      </c>
      <c r="G501" s="13">
        <v>998.41</v>
      </c>
      <c r="H501" s="13">
        <v>3844</v>
      </c>
      <c r="I501" s="12"/>
      <c r="J501" s="12">
        <v>300</v>
      </c>
    </row>
    <row r="502" spans="1:10" ht="30">
      <c r="A502" s="24" t="s">
        <v>148</v>
      </c>
      <c r="B502" s="2">
        <v>431</v>
      </c>
      <c r="C502" s="17" t="s">
        <v>864</v>
      </c>
      <c r="D502" s="2" t="s">
        <v>865</v>
      </c>
      <c r="E502" s="17" t="s">
        <v>151</v>
      </c>
      <c r="F502" s="12">
        <v>100</v>
      </c>
      <c r="G502" s="13">
        <v>3844</v>
      </c>
      <c r="H502" s="13">
        <v>1350</v>
      </c>
      <c r="I502" s="12"/>
      <c r="J502" s="12">
        <v>100</v>
      </c>
    </row>
    <row r="503" spans="1:10" ht="30">
      <c r="A503" s="24" t="s">
        <v>148</v>
      </c>
      <c r="B503" s="2">
        <v>432</v>
      </c>
      <c r="C503" s="17" t="s">
        <v>866</v>
      </c>
      <c r="D503" s="2" t="s">
        <v>867</v>
      </c>
      <c r="E503" s="17" t="s">
        <v>151</v>
      </c>
      <c r="F503" s="12">
        <v>100</v>
      </c>
      <c r="G503" s="13">
        <v>3844</v>
      </c>
      <c r="H503" s="13">
        <v>1100</v>
      </c>
      <c r="I503" s="12"/>
      <c r="J503" s="12">
        <v>100</v>
      </c>
    </row>
    <row r="504" spans="1:10" ht="30">
      <c r="A504" s="24" t="s">
        <v>148</v>
      </c>
      <c r="B504" s="2">
        <v>433</v>
      </c>
      <c r="C504" s="17" t="s">
        <v>868</v>
      </c>
      <c r="D504" s="2" t="s">
        <v>869</v>
      </c>
      <c r="E504" s="17" t="s">
        <v>151</v>
      </c>
      <c r="F504" s="12">
        <v>50</v>
      </c>
      <c r="G504" s="13">
        <v>3844</v>
      </c>
      <c r="H504" s="13">
        <v>925</v>
      </c>
      <c r="I504" s="12"/>
      <c r="J504" s="12">
        <v>50</v>
      </c>
    </row>
    <row r="505" spans="1:10" ht="30">
      <c r="A505" s="24" t="s">
        <v>148</v>
      </c>
      <c r="B505" s="2">
        <v>434</v>
      </c>
      <c r="C505" s="17" t="s">
        <v>870</v>
      </c>
      <c r="D505" s="2" t="s">
        <v>871</v>
      </c>
      <c r="E505" s="17" t="s">
        <v>151</v>
      </c>
      <c r="F505" s="12">
        <v>50</v>
      </c>
      <c r="G505" s="13">
        <v>3844</v>
      </c>
      <c r="H505" s="13">
        <v>2746.52</v>
      </c>
      <c r="I505" s="12"/>
      <c r="J505" s="12">
        <v>50</v>
      </c>
    </row>
    <row r="506" spans="1:10">
      <c r="A506" s="24" t="s">
        <v>148</v>
      </c>
      <c r="B506" s="2">
        <v>435</v>
      </c>
      <c r="C506" s="17"/>
      <c r="D506" s="2"/>
      <c r="E506" s="17"/>
      <c r="F506" s="12"/>
      <c r="G506" s="13">
        <v>0</v>
      </c>
      <c r="H506" s="13">
        <v>952</v>
      </c>
      <c r="I506" s="12"/>
      <c r="J506" s="12">
        <v>0</v>
      </c>
    </row>
    <row r="507" spans="1:10">
      <c r="A507" s="24" t="s">
        <v>148</v>
      </c>
      <c r="B507" s="2">
        <v>436</v>
      </c>
      <c r="C507" s="17"/>
      <c r="D507" s="2"/>
      <c r="E507" s="17"/>
      <c r="F507" s="12"/>
      <c r="G507" s="13">
        <v>0</v>
      </c>
      <c r="H507" s="13">
        <v>1018.64</v>
      </c>
      <c r="I507" s="12"/>
      <c r="J507" s="12">
        <v>0</v>
      </c>
    </row>
    <row r="508" spans="1:10">
      <c r="A508" s="24" t="s">
        <v>148</v>
      </c>
      <c r="B508" s="2">
        <v>437</v>
      </c>
      <c r="C508" s="17"/>
      <c r="D508" s="2"/>
      <c r="E508" s="17"/>
      <c r="F508" s="12"/>
      <c r="G508" s="13">
        <v>0</v>
      </c>
      <c r="H508" s="13">
        <v>1018.64</v>
      </c>
      <c r="I508" s="12"/>
      <c r="J508" s="12">
        <v>0</v>
      </c>
    </row>
    <row r="509" spans="1:10">
      <c r="A509" s="24" t="s">
        <v>148</v>
      </c>
      <c r="B509" s="2">
        <v>438</v>
      </c>
      <c r="C509" s="17"/>
      <c r="D509" s="2"/>
      <c r="E509" s="17"/>
      <c r="F509" s="12"/>
      <c r="G509" s="13">
        <v>0</v>
      </c>
      <c r="H509" s="13">
        <v>2746.52</v>
      </c>
      <c r="I509" s="12"/>
      <c r="J509" s="12">
        <v>0</v>
      </c>
    </row>
    <row r="510" spans="1:10">
      <c r="A510" s="24" t="s">
        <v>148</v>
      </c>
      <c r="B510" s="2">
        <v>439</v>
      </c>
      <c r="C510" s="17"/>
      <c r="D510" s="2"/>
      <c r="E510" s="17"/>
      <c r="F510" s="12"/>
      <c r="G510" s="13">
        <v>0</v>
      </c>
      <c r="H510" s="13">
        <v>1018.64</v>
      </c>
      <c r="I510" s="12"/>
      <c r="J510" s="12">
        <v>0</v>
      </c>
    </row>
    <row r="511" spans="1:10">
      <c r="A511" s="24" t="s">
        <v>148</v>
      </c>
      <c r="B511" s="2">
        <v>440</v>
      </c>
      <c r="C511" s="17" t="s">
        <v>872</v>
      </c>
      <c r="D511" s="2" t="s">
        <v>873</v>
      </c>
      <c r="E511" s="17" t="s">
        <v>151</v>
      </c>
      <c r="F511" s="12">
        <v>300</v>
      </c>
      <c r="G511" s="13">
        <v>1350</v>
      </c>
      <c r="H511" s="13">
        <v>1018.64</v>
      </c>
      <c r="I511" s="12"/>
      <c r="J511" s="12">
        <v>300</v>
      </c>
    </row>
    <row r="512" spans="1:10">
      <c r="A512" s="24" t="s">
        <v>148</v>
      </c>
      <c r="B512" s="2">
        <v>441</v>
      </c>
      <c r="C512" s="17" t="s">
        <v>874</v>
      </c>
      <c r="D512" s="2" t="s">
        <v>875</v>
      </c>
      <c r="E512" s="17" t="s">
        <v>151</v>
      </c>
      <c r="F512" s="12">
        <v>300</v>
      </c>
      <c r="G512" s="13">
        <v>1100</v>
      </c>
      <c r="H512" s="13">
        <v>1018.64</v>
      </c>
      <c r="I512" s="12"/>
      <c r="J512" s="12">
        <v>300</v>
      </c>
    </row>
    <row r="513" spans="1:10">
      <c r="A513" s="24" t="s">
        <v>148</v>
      </c>
      <c r="B513" s="2">
        <v>442</v>
      </c>
      <c r="C513" s="17" t="s">
        <v>876</v>
      </c>
      <c r="D513" s="2" t="s">
        <v>877</v>
      </c>
      <c r="E513" s="17" t="s">
        <v>151</v>
      </c>
      <c r="F513" s="12">
        <v>150</v>
      </c>
      <c r="G513" s="13">
        <v>925</v>
      </c>
      <c r="H513" s="13">
        <v>1350</v>
      </c>
      <c r="I513" s="12"/>
      <c r="J513" s="12">
        <v>150</v>
      </c>
    </row>
    <row r="514" spans="1:10">
      <c r="A514" s="24" t="s">
        <v>148</v>
      </c>
      <c r="B514" s="2">
        <v>443</v>
      </c>
      <c r="C514" s="17" t="s">
        <v>18</v>
      </c>
      <c r="D514" s="2" t="s">
        <v>873</v>
      </c>
      <c r="E514" s="17" t="s">
        <v>151</v>
      </c>
      <c r="F514" s="12">
        <v>40</v>
      </c>
      <c r="G514" s="13">
        <v>2746.52</v>
      </c>
      <c r="H514" s="13">
        <v>1350</v>
      </c>
      <c r="I514" s="12"/>
      <c r="J514" s="12">
        <v>40</v>
      </c>
    </row>
    <row r="515" spans="1:10">
      <c r="A515" s="24" t="s">
        <v>148</v>
      </c>
      <c r="B515" s="2">
        <v>444</v>
      </c>
      <c r="C515" s="17" t="s">
        <v>878</v>
      </c>
      <c r="D515" s="2" t="s">
        <v>879</v>
      </c>
      <c r="E515" s="17" t="s">
        <v>151</v>
      </c>
      <c r="F515" s="12">
        <v>50</v>
      </c>
      <c r="G515" s="13">
        <v>952</v>
      </c>
      <c r="H515" s="13">
        <v>1100</v>
      </c>
      <c r="I515" s="12"/>
      <c r="J515" s="12">
        <v>50</v>
      </c>
    </row>
    <row r="516" spans="1:10">
      <c r="A516" s="24" t="s">
        <v>148</v>
      </c>
      <c r="B516" s="2">
        <v>445</v>
      </c>
      <c r="C516" s="17" t="s">
        <v>19</v>
      </c>
      <c r="D516" s="2" t="s">
        <v>873</v>
      </c>
      <c r="E516" s="17" t="s">
        <v>151</v>
      </c>
      <c r="F516" s="12">
        <v>600</v>
      </c>
      <c r="G516" s="13">
        <v>1018.64</v>
      </c>
      <c r="H516" s="13">
        <v>925</v>
      </c>
      <c r="I516" s="12"/>
      <c r="J516" s="12">
        <v>600</v>
      </c>
    </row>
    <row r="517" spans="1:10">
      <c r="A517" s="24" t="s">
        <v>148</v>
      </c>
      <c r="B517" s="2">
        <v>446</v>
      </c>
      <c r="C517" s="17" t="s">
        <v>880</v>
      </c>
      <c r="D517" s="2" t="s">
        <v>877</v>
      </c>
      <c r="E517" s="17" t="s">
        <v>151</v>
      </c>
      <c r="F517" s="12">
        <v>300</v>
      </c>
      <c r="G517" s="13">
        <v>1018.64</v>
      </c>
      <c r="H517" s="13">
        <v>1547</v>
      </c>
      <c r="I517" s="12"/>
      <c r="J517" s="12">
        <v>300</v>
      </c>
    </row>
    <row r="518" spans="1:10">
      <c r="A518" s="24" t="s">
        <v>148</v>
      </c>
      <c r="B518" s="2">
        <v>447</v>
      </c>
      <c r="C518" s="17" t="s">
        <v>881</v>
      </c>
      <c r="D518" s="2" t="s">
        <v>882</v>
      </c>
      <c r="E518" s="17" t="s">
        <v>151</v>
      </c>
      <c r="F518" s="12">
        <v>600</v>
      </c>
      <c r="G518" s="13">
        <v>2746.52</v>
      </c>
      <c r="H518" s="13">
        <v>1547</v>
      </c>
      <c r="I518" s="12"/>
      <c r="J518" s="12">
        <v>600</v>
      </c>
    </row>
    <row r="519" spans="1:10">
      <c r="A519" s="24" t="s">
        <v>148</v>
      </c>
      <c r="B519" s="2">
        <v>448</v>
      </c>
      <c r="C519" s="17" t="s">
        <v>883</v>
      </c>
      <c r="D519" s="2" t="s">
        <v>873</v>
      </c>
      <c r="E519" s="17" t="s">
        <v>151</v>
      </c>
      <c r="F519" s="12">
        <v>600</v>
      </c>
      <c r="G519" s="13">
        <v>1018.64</v>
      </c>
      <c r="H519" s="13">
        <v>1547</v>
      </c>
      <c r="I519" s="12"/>
      <c r="J519" s="12">
        <v>600</v>
      </c>
    </row>
    <row r="520" spans="1:10">
      <c r="A520" s="24" t="s">
        <v>148</v>
      </c>
      <c r="B520" s="2">
        <v>449</v>
      </c>
      <c r="C520" s="17" t="s">
        <v>884</v>
      </c>
      <c r="D520" s="2" t="s">
        <v>885</v>
      </c>
      <c r="E520" s="17" t="s">
        <v>151</v>
      </c>
      <c r="F520" s="12">
        <v>1100</v>
      </c>
      <c r="G520" s="13">
        <v>1018.64</v>
      </c>
      <c r="H520" s="13">
        <v>1850</v>
      </c>
      <c r="I520" s="12"/>
      <c r="J520" s="12">
        <v>1100</v>
      </c>
    </row>
    <row r="521" spans="1:10">
      <c r="A521" s="24" t="s">
        <v>148</v>
      </c>
      <c r="B521" s="2">
        <v>450</v>
      </c>
      <c r="C521" s="17" t="s">
        <v>886</v>
      </c>
      <c r="D521" s="2" t="s">
        <v>887</v>
      </c>
      <c r="E521" s="17" t="s">
        <v>151</v>
      </c>
      <c r="F521" s="12">
        <v>800</v>
      </c>
      <c r="G521" s="13">
        <v>1018.64</v>
      </c>
      <c r="H521" s="13">
        <v>1850</v>
      </c>
      <c r="I521" s="12"/>
      <c r="J521" s="12">
        <v>800</v>
      </c>
    </row>
    <row r="522" spans="1:10">
      <c r="A522" s="24" t="s">
        <v>148</v>
      </c>
      <c r="B522" s="2">
        <v>451</v>
      </c>
      <c r="C522" s="17" t="s">
        <v>888</v>
      </c>
      <c r="D522" s="2" t="s">
        <v>882</v>
      </c>
      <c r="E522" s="17" t="s">
        <v>151</v>
      </c>
      <c r="F522" s="12">
        <v>20</v>
      </c>
      <c r="G522" s="13">
        <v>1350</v>
      </c>
      <c r="H522" s="13">
        <v>0</v>
      </c>
      <c r="I522" s="12"/>
      <c r="J522" s="12">
        <v>20</v>
      </c>
    </row>
    <row r="523" spans="1:10" ht="30">
      <c r="A523" s="24" t="s">
        <v>148</v>
      </c>
      <c r="B523" s="2">
        <v>452</v>
      </c>
      <c r="C523" s="17" t="s">
        <v>21</v>
      </c>
      <c r="D523" s="2" t="s">
        <v>873</v>
      </c>
      <c r="E523" s="17" t="s">
        <v>151</v>
      </c>
      <c r="F523" s="12">
        <v>400</v>
      </c>
      <c r="G523" s="13">
        <v>1350</v>
      </c>
      <c r="H523" s="13">
        <v>0</v>
      </c>
      <c r="I523" s="12"/>
      <c r="J523" s="12">
        <v>400</v>
      </c>
    </row>
    <row r="524" spans="1:10" ht="30">
      <c r="A524" s="24" t="s">
        <v>148</v>
      </c>
      <c r="B524" s="2">
        <v>453</v>
      </c>
      <c r="C524" s="17" t="s">
        <v>889</v>
      </c>
      <c r="D524" s="2" t="s">
        <v>885</v>
      </c>
      <c r="E524" s="17" t="s">
        <v>151</v>
      </c>
      <c r="F524" s="12">
        <v>1000</v>
      </c>
      <c r="G524" s="13">
        <v>1100</v>
      </c>
      <c r="H524" s="13">
        <v>343.33</v>
      </c>
      <c r="I524" s="12"/>
      <c r="J524" s="12">
        <v>1000</v>
      </c>
    </row>
    <row r="525" spans="1:10">
      <c r="A525" s="24" t="s">
        <v>148</v>
      </c>
      <c r="B525" s="2">
        <v>454</v>
      </c>
      <c r="C525" s="17" t="s">
        <v>890</v>
      </c>
      <c r="D525" s="2" t="s">
        <v>887</v>
      </c>
      <c r="E525" s="17" t="s">
        <v>151</v>
      </c>
      <c r="F525" s="12">
        <v>900</v>
      </c>
      <c r="G525" s="13">
        <v>925</v>
      </c>
      <c r="H525" s="13">
        <v>343.33</v>
      </c>
      <c r="I525" s="12"/>
      <c r="J525" s="12">
        <v>900</v>
      </c>
    </row>
    <row r="526" spans="1:10" ht="30">
      <c r="A526" s="24" t="s">
        <v>148</v>
      </c>
      <c r="B526" s="2">
        <v>455</v>
      </c>
      <c r="C526" s="17" t="s">
        <v>891</v>
      </c>
      <c r="D526" s="2" t="s">
        <v>892</v>
      </c>
      <c r="E526" s="17" t="s">
        <v>151</v>
      </c>
      <c r="F526" s="12">
        <v>15</v>
      </c>
      <c r="G526" s="13">
        <v>1547</v>
      </c>
      <c r="H526" s="13">
        <v>343.33</v>
      </c>
      <c r="I526" s="12"/>
      <c r="J526" s="12">
        <v>15</v>
      </c>
    </row>
    <row r="527" spans="1:10">
      <c r="A527" s="24" t="s">
        <v>148</v>
      </c>
      <c r="B527" s="2">
        <v>456</v>
      </c>
      <c r="C527" s="17" t="s">
        <v>893</v>
      </c>
      <c r="D527" s="2" t="s">
        <v>894</v>
      </c>
      <c r="E527" s="17" t="s">
        <v>151</v>
      </c>
      <c r="F527" s="12">
        <v>500</v>
      </c>
      <c r="G527" s="13">
        <v>1547</v>
      </c>
      <c r="H527" s="13">
        <v>343.33</v>
      </c>
      <c r="I527" s="12"/>
      <c r="J527" s="12">
        <v>500</v>
      </c>
    </row>
    <row r="528" spans="1:10" ht="30">
      <c r="A528" s="24" t="s">
        <v>148</v>
      </c>
      <c r="B528" s="2">
        <v>457</v>
      </c>
      <c r="C528" s="17" t="s">
        <v>895</v>
      </c>
      <c r="D528" s="2" t="s">
        <v>896</v>
      </c>
      <c r="E528" s="17" t="s">
        <v>151</v>
      </c>
      <c r="F528" s="12">
        <v>500</v>
      </c>
      <c r="G528" s="13">
        <v>1547</v>
      </c>
      <c r="H528" s="13">
        <v>343.33</v>
      </c>
      <c r="I528" s="12"/>
      <c r="J528" s="12">
        <v>500</v>
      </c>
    </row>
    <row r="529" spans="1:10" ht="30">
      <c r="A529" s="24" t="s">
        <v>148</v>
      </c>
      <c r="B529" s="2">
        <v>458</v>
      </c>
      <c r="C529" s="17" t="s">
        <v>897</v>
      </c>
      <c r="D529" s="2" t="s">
        <v>898</v>
      </c>
      <c r="E529" s="17" t="s">
        <v>151</v>
      </c>
      <c r="F529" s="12">
        <v>150</v>
      </c>
      <c r="G529" s="13">
        <v>1850</v>
      </c>
      <c r="H529" s="13">
        <v>343.33</v>
      </c>
      <c r="I529" s="12"/>
      <c r="J529" s="12">
        <v>150</v>
      </c>
    </row>
    <row r="530" spans="1:10">
      <c r="A530" s="24" t="s">
        <v>148</v>
      </c>
      <c r="B530" s="2">
        <v>459</v>
      </c>
      <c r="C530" s="17" t="s">
        <v>899</v>
      </c>
      <c r="D530" s="2" t="s">
        <v>900</v>
      </c>
      <c r="E530" s="17" t="s">
        <v>151</v>
      </c>
      <c r="F530" s="12">
        <v>500</v>
      </c>
      <c r="G530" s="13">
        <v>1850</v>
      </c>
      <c r="H530" s="13">
        <v>343.33</v>
      </c>
      <c r="I530" s="12"/>
      <c r="J530" s="12">
        <v>500</v>
      </c>
    </row>
    <row r="531" spans="1:10">
      <c r="A531" s="24" t="s">
        <v>148</v>
      </c>
      <c r="B531" s="2">
        <v>460</v>
      </c>
      <c r="C531" s="17"/>
      <c r="D531" s="2"/>
      <c r="E531" s="17" t="s">
        <v>151</v>
      </c>
      <c r="F531" s="12"/>
      <c r="G531" s="13">
        <v>0</v>
      </c>
      <c r="H531" s="13">
        <v>343.33</v>
      </c>
      <c r="I531" s="12"/>
      <c r="J531" s="12">
        <v>0</v>
      </c>
    </row>
    <row r="532" spans="1:10">
      <c r="A532" s="24" t="s">
        <v>148</v>
      </c>
      <c r="B532" s="2">
        <v>461</v>
      </c>
      <c r="C532" s="17"/>
      <c r="D532" s="2"/>
      <c r="E532" s="17" t="s">
        <v>151</v>
      </c>
      <c r="F532" s="12"/>
      <c r="G532" s="13">
        <v>0</v>
      </c>
      <c r="H532" s="13">
        <v>343.33</v>
      </c>
      <c r="I532" s="12"/>
      <c r="J532" s="12">
        <v>0</v>
      </c>
    </row>
    <row r="533" spans="1:10">
      <c r="A533" s="25" t="s">
        <v>901</v>
      </c>
      <c r="B533" s="1">
        <v>1</v>
      </c>
      <c r="C533" s="16" t="s">
        <v>902</v>
      </c>
      <c r="D533" s="1" t="s">
        <v>903</v>
      </c>
      <c r="E533" s="16" t="s">
        <v>151</v>
      </c>
      <c r="F533" s="12">
        <v>340</v>
      </c>
      <c r="G533" s="13">
        <v>343.33</v>
      </c>
      <c r="H533" s="13">
        <v>343.33</v>
      </c>
      <c r="I533" s="12"/>
      <c r="J533" s="12">
        <v>340</v>
      </c>
    </row>
    <row r="534" spans="1:10">
      <c r="A534" s="25" t="s">
        <v>901</v>
      </c>
      <c r="B534" s="1">
        <v>2</v>
      </c>
      <c r="C534" s="16" t="s">
        <v>904</v>
      </c>
      <c r="D534" s="1" t="s">
        <v>903</v>
      </c>
      <c r="E534" s="16" t="s">
        <v>151</v>
      </c>
      <c r="F534" s="12">
        <v>530</v>
      </c>
      <c r="G534" s="13">
        <v>343.33</v>
      </c>
      <c r="H534" s="13">
        <v>343.33</v>
      </c>
      <c r="I534" s="12"/>
      <c r="J534" s="12">
        <v>530</v>
      </c>
    </row>
    <row r="535" spans="1:10">
      <c r="A535" s="25" t="s">
        <v>901</v>
      </c>
      <c r="B535" s="1">
        <v>3</v>
      </c>
      <c r="C535" s="16" t="s">
        <v>905</v>
      </c>
      <c r="D535" s="1" t="s">
        <v>903</v>
      </c>
      <c r="E535" s="16" t="s">
        <v>151</v>
      </c>
      <c r="F535" s="12">
        <v>300</v>
      </c>
      <c r="G535" s="13">
        <v>343.33</v>
      </c>
      <c r="H535" s="13">
        <v>343.33</v>
      </c>
      <c r="I535" s="12"/>
      <c r="J535" s="12">
        <v>300</v>
      </c>
    </row>
    <row r="536" spans="1:10">
      <c r="A536" s="25" t="s">
        <v>901</v>
      </c>
      <c r="B536" s="1">
        <v>4</v>
      </c>
      <c r="C536" s="16" t="s">
        <v>906</v>
      </c>
      <c r="D536" s="1" t="s">
        <v>903</v>
      </c>
      <c r="E536" s="16" t="s">
        <v>151</v>
      </c>
      <c r="F536" s="12">
        <v>50</v>
      </c>
      <c r="G536" s="13">
        <v>343.33</v>
      </c>
      <c r="H536" s="13">
        <v>343.33</v>
      </c>
      <c r="I536" s="12"/>
      <c r="J536" s="12">
        <v>50</v>
      </c>
    </row>
    <row r="537" spans="1:10">
      <c r="A537" s="25" t="s">
        <v>901</v>
      </c>
      <c r="B537" s="1">
        <v>5</v>
      </c>
      <c r="C537" s="16" t="s">
        <v>907</v>
      </c>
      <c r="D537" s="1" t="s">
        <v>903</v>
      </c>
      <c r="E537" s="16" t="s">
        <v>151</v>
      </c>
      <c r="F537" s="12">
        <v>220</v>
      </c>
      <c r="G537" s="13">
        <v>343.33</v>
      </c>
      <c r="H537" s="13">
        <v>343.33</v>
      </c>
      <c r="I537" s="12"/>
      <c r="J537" s="12">
        <v>220</v>
      </c>
    </row>
    <row r="538" spans="1:10">
      <c r="A538" s="25" t="s">
        <v>901</v>
      </c>
      <c r="B538" s="1">
        <v>6</v>
      </c>
      <c r="C538" s="16" t="s">
        <v>908</v>
      </c>
      <c r="D538" s="1" t="s">
        <v>903</v>
      </c>
      <c r="E538" s="16" t="s">
        <v>151</v>
      </c>
      <c r="F538" s="12">
        <v>360</v>
      </c>
      <c r="G538" s="13">
        <v>343.33</v>
      </c>
      <c r="H538" s="13">
        <v>343.33</v>
      </c>
      <c r="I538" s="12"/>
      <c r="J538" s="12">
        <v>360</v>
      </c>
    </row>
    <row r="539" spans="1:10">
      <c r="A539" s="25" t="s">
        <v>901</v>
      </c>
      <c r="B539" s="1">
        <v>7</v>
      </c>
      <c r="C539" s="16" t="s">
        <v>909</v>
      </c>
      <c r="D539" s="1" t="s">
        <v>903</v>
      </c>
      <c r="E539" s="16" t="s">
        <v>151</v>
      </c>
      <c r="F539" s="12">
        <v>270</v>
      </c>
      <c r="G539" s="13">
        <v>343.33</v>
      </c>
      <c r="H539" s="13">
        <v>343.33</v>
      </c>
      <c r="I539" s="12"/>
      <c r="J539" s="12">
        <v>270</v>
      </c>
    </row>
    <row r="540" spans="1:10">
      <c r="A540" s="25" t="s">
        <v>901</v>
      </c>
      <c r="B540" s="1">
        <v>8</v>
      </c>
      <c r="C540" s="16" t="s">
        <v>910</v>
      </c>
      <c r="D540" s="1" t="s">
        <v>903</v>
      </c>
      <c r="E540" s="16" t="s">
        <v>151</v>
      </c>
      <c r="F540" s="12">
        <v>650</v>
      </c>
      <c r="G540" s="13">
        <v>343.33</v>
      </c>
      <c r="H540" s="13">
        <v>343.33</v>
      </c>
      <c r="I540" s="12"/>
      <c r="J540" s="12">
        <v>650</v>
      </c>
    </row>
    <row r="541" spans="1:10">
      <c r="A541" s="25" t="s">
        <v>901</v>
      </c>
      <c r="B541" s="1">
        <v>9</v>
      </c>
      <c r="C541" s="16" t="s">
        <v>911</v>
      </c>
      <c r="D541" s="1" t="s">
        <v>903</v>
      </c>
      <c r="E541" s="16" t="s">
        <v>151</v>
      </c>
      <c r="F541" s="12">
        <v>770</v>
      </c>
      <c r="G541" s="13">
        <v>343.33</v>
      </c>
      <c r="H541" s="13">
        <v>343.33</v>
      </c>
      <c r="I541" s="12"/>
      <c r="J541" s="12">
        <v>770</v>
      </c>
    </row>
    <row r="542" spans="1:10">
      <c r="A542" s="25" t="s">
        <v>901</v>
      </c>
      <c r="B542" s="1">
        <v>10</v>
      </c>
      <c r="C542" s="16" t="s">
        <v>912</v>
      </c>
      <c r="D542" s="1" t="s">
        <v>903</v>
      </c>
      <c r="E542" s="16" t="s">
        <v>151</v>
      </c>
      <c r="F542" s="12">
        <v>90</v>
      </c>
      <c r="G542" s="13">
        <v>343.33</v>
      </c>
      <c r="H542" s="13">
        <v>343.33</v>
      </c>
      <c r="I542" s="12"/>
      <c r="J542" s="12">
        <v>90</v>
      </c>
    </row>
    <row r="543" spans="1:10">
      <c r="A543" s="25" t="s">
        <v>901</v>
      </c>
      <c r="B543" s="1">
        <v>11</v>
      </c>
      <c r="C543" s="16" t="s">
        <v>913</v>
      </c>
      <c r="D543" s="1" t="s">
        <v>903</v>
      </c>
      <c r="E543" s="16" t="s">
        <v>151</v>
      </c>
      <c r="F543" s="12">
        <v>200</v>
      </c>
      <c r="G543" s="13">
        <v>343.33</v>
      </c>
      <c r="H543" s="13">
        <v>343.33</v>
      </c>
      <c r="I543" s="12"/>
      <c r="J543" s="12">
        <v>200</v>
      </c>
    </row>
    <row r="544" spans="1:10">
      <c r="A544" s="25" t="s">
        <v>901</v>
      </c>
      <c r="B544" s="1">
        <v>12</v>
      </c>
      <c r="C544" s="16" t="s">
        <v>914</v>
      </c>
      <c r="D544" s="1" t="s">
        <v>903</v>
      </c>
      <c r="E544" s="16" t="s">
        <v>151</v>
      </c>
      <c r="F544" s="12">
        <v>50</v>
      </c>
      <c r="G544" s="13">
        <v>343.33</v>
      </c>
      <c r="H544" s="13">
        <v>308.33</v>
      </c>
      <c r="I544" s="12"/>
      <c r="J544" s="12">
        <v>50</v>
      </c>
    </row>
    <row r="545" spans="1:10">
      <c r="A545" s="25" t="s">
        <v>901</v>
      </c>
      <c r="B545" s="1">
        <v>13</v>
      </c>
      <c r="C545" s="16" t="s">
        <v>915</v>
      </c>
      <c r="D545" s="1" t="s">
        <v>903</v>
      </c>
      <c r="E545" s="16" t="s">
        <v>151</v>
      </c>
      <c r="F545" s="12">
        <v>40</v>
      </c>
      <c r="G545" s="13">
        <v>343.33</v>
      </c>
      <c r="H545" s="13"/>
      <c r="I545" s="12"/>
      <c r="J545" s="12">
        <v>40</v>
      </c>
    </row>
    <row r="546" spans="1:10">
      <c r="A546" s="25" t="s">
        <v>901</v>
      </c>
      <c r="B546" s="1">
        <v>14</v>
      </c>
      <c r="C546" s="16" t="s">
        <v>916</v>
      </c>
      <c r="D546" s="1" t="s">
        <v>903</v>
      </c>
      <c r="E546" s="16" t="s">
        <v>151</v>
      </c>
      <c r="F546" s="12">
        <v>170</v>
      </c>
      <c r="G546" s="13">
        <v>343.33</v>
      </c>
      <c r="H546" s="13"/>
      <c r="I546" s="12"/>
      <c r="J546" s="12">
        <v>170</v>
      </c>
    </row>
    <row r="547" spans="1:10">
      <c r="A547" s="25" t="s">
        <v>901</v>
      </c>
      <c r="B547" s="1">
        <v>15</v>
      </c>
      <c r="C547" s="16" t="s">
        <v>917</v>
      </c>
      <c r="D547" s="1" t="s">
        <v>903</v>
      </c>
      <c r="E547" s="16" t="s">
        <v>151</v>
      </c>
      <c r="F547" s="12">
        <v>0</v>
      </c>
      <c r="G547" s="13">
        <v>343.33</v>
      </c>
      <c r="H547" s="13"/>
      <c r="I547" s="12"/>
      <c r="J547" s="12">
        <v>0</v>
      </c>
    </row>
    <row r="548" spans="1:10">
      <c r="A548" s="25" t="s">
        <v>901</v>
      </c>
      <c r="B548" s="1">
        <v>16</v>
      </c>
      <c r="C548" s="16" t="s">
        <v>918</v>
      </c>
      <c r="D548" s="1" t="s">
        <v>903</v>
      </c>
      <c r="E548" s="16" t="s">
        <v>151</v>
      </c>
      <c r="F548" s="12">
        <v>110</v>
      </c>
      <c r="G548" s="13">
        <v>343.33</v>
      </c>
      <c r="H548" s="13"/>
      <c r="I548" s="12"/>
      <c r="J548" s="12">
        <v>110</v>
      </c>
    </row>
    <row r="549" spans="1:10">
      <c r="A549" s="25" t="s">
        <v>901</v>
      </c>
      <c r="B549" s="1">
        <v>17</v>
      </c>
      <c r="C549" s="16" t="s">
        <v>919</v>
      </c>
      <c r="D549" s="1" t="s">
        <v>903</v>
      </c>
      <c r="E549" s="16" t="s">
        <v>151</v>
      </c>
      <c r="F549" s="12">
        <v>100</v>
      </c>
      <c r="G549" s="13">
        <v>343.33</v>
      </c>
      <c r="H549" s="13"/>
      <c r="I549" s="12"/>
      <c r="J549" s="12">
        <v>100</v>
      </c>
    </row>
    <row r="550" spans="1:10">
      <c r="A550" s="25" t="s">
        <v>901</v>
      </c>
      <c r="B550" s="1">
        <v>18</v>
      </c>
      <c r="C550" s="16" t="s">
        <v>920</v>
      </c>
      <c r="D550" s="1" t="s">
        <v>903</v>
      </c>
      <c r="E550" s="16" t="s">
        <v>151</v>
      </c>
      <c r="F550" s="12">
        <v>7</v>
      </c>
      <c r="G550" s="13">
        <v>343.33</v>
      </c>
      <c r="H550" s="13"/>
      <c r="I550" s="12"/>
      <c r="J550" s="12">
        <v>7</v>
      </c>
    </row>
    <row r="551" spans="1:10">
      <c r="A551" s="25" t="s">
        <v>901</v>
      </c>
      <c r="B551" s="1">
        <v>19</v>
      </c>
      <c r="C551" s="16" t="s">
        <v>921</v>
      </c>
      <c r="D551" s="1" t="s">
        <v>903</v>
      </c>
      <c r="E551" s="16" t="s">
        <v>151</v>
      </c>
      <c r="F551" s="12">
        <v>210</v>
      </c>
      <c r="G551" s="13">
        <v>343.33</v>
      </c>
      <c r="H551" s="13"/>
      <c r="I551" s="12"/>
      <c r="J551" s="12">
        <v>210</v>
      </c>
    </row>
    <row r="552" spans="1:10">
      <c r="A552" s="25" t="s">
        <v>901</v>
      </c>
      <c r="B552" s="1">
        <v>20</v>
      </c>
      <c r="C552" s="16" t="s">
        <v>922</v>
      </c>
      <c r="D552" s="1" t="s">
        <v>903</v>
      </c>
      <c r="E552" s="16" t="s">
        <v>151</v>
      </c>
      <c r="F552" s="12">
        <v>6</v>
      </c>
      <c r="G552" s="13">
        <v>343.33</v>
      </c>
      <c r="H552" s="13"/>
      <c r="I552" s="12"/>
      <c r="J552" s="12">
        <v>6</v>
      </c>
    </row>
    <row r="553" spans="1:10" ht="135">
      <c r="A553" s="25" t="s">
        <v>901</v>
      </c>
      <c r="B553" s="1">
        <v>21</v>
      </c>
      <c r="C553" s="16" t="s">
        <v>923</v>
      </c>
      <c r="D553" s="1" t="s">
        <v>924</v>
      </c>
      <c r="E553" s="16" t="s">
        <v>151</v>
      </c>
      <c r="F553" s="12">
        <v>500</v>
      </c>
      <c r="G553" s="13">
        <v>308.33</v>
      </c>
      <c r="H553" s="13"/>
      <c r="I553" s="12"/>
      <c r="J553" s="12">
        <v>500</v>
      </c>
    </row>
    <row r="554" spans="1:10">
      <c r="A554" s="24"/>
      <c r="B554" s="2"/>
      <c r="C554" s="17"/>
      <c r="D554" s="2"/>
      <c r="E554" s="17" t="s">
        <v>151</v>
      </c>
      <c r="F554" s="12"/>
      <c r="G554" s="13"/>
      <c r="H554" s="13"/>
      <c r="I554" s="12"/>
      <c r="J554" s="12"/>
    </row>
    <row r="555" spans="1:10">
      <c r="A555" s="12"/>
      <c r="B555" s="5"/>
      <c r="C555" s="12"/>
      <c r="D555" s="5"/>
      <c r="E555" s="12"/>
      <c r="F555" s="12"/>
      <c r="G555" s="13"/>
      <c r="H555" s="12"/>
      <c r="I555" s="12"/>
      <c r="J555" s="12"/>
    </row>
    <row r="556" spans="1:10">
      <c r="A556" s="12"/>
      <c r="B556" s="5"/>
      <c r="C556" s="12"/>
      <c r="D556" s="5"/>
      <c r="E556" s="12"/>
      <c r="F556" s="12"/>
      <c r="G556" s="13"/>
      <c r="H556" s="12"/>
      <c r="I556" s="12"/>
      <c r="J556" s="12"/>
    </row>
  </sheetData>
  <autoFilter ref="A1:J1" xr:uid="{C5C6DCF7-ED27-48A9-8FB0-897C42FEE5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1DF-A0F9-4B6C-B2CB-02F621CA78D2}">
  <dimension ref="A1:B10"/>
  <sheetViews>
    <sheetView workbookViewId="0">
      <selection activeCell="G17" sqref="G17"/>
    </sheetView>
  </sheetViews>
  <sheetFormatPr defaultColWidth="11.42578125" defaultRowHeight="15"/>
  <cols>
    <col min="1" max="1" width="26.140625" customWidth="1"/>
  </cols>
  <sheetData>
    <row r="1" spans="1:2">
      <c r="A1" t="s">
        <v>925</v>
      </c>
      <c r="B1" t="s">
        <v>1</v>
      </c>
    </row>
    <row r="2" spans="1:2">
      <c r="A2" t="s">
        <v>926</v>
      </c>
      <c r="B2" s="27">
        <v>71765586</v>
      </c>
    </row>
    <row r="3" spans="1:2">
      <c r="A3" t="s">
        <v>927</v>
      </c>
      <c r="B3" s="27">
        <v>32142539</v>
      </c>
    </row>
    <row r="4" spans="1:2">
      <c r="A4" t="s">
        <v>928</v>
      </c>
      <c r="B4" s="27">
        <v>32184975</v>
      </c>
    </row>
    <row r="5" spans="1:2">
      <c r="A5" s="28" t="s">
        <v>929</v>
      </c>
      <c r="B5" s="28">
        <v>71662031</v>
      </c>
    </row>
    <row r="6" spans="1:2">
      <c r="A6" t="s">
        <v>930</v>
      </c>
    </row>
    <row r="7" spans="1:2">
      <c r="A7" s="28" t="s">
        <v>931</v>
      </c>
      <c r="B7" s="28">
        <v>1128404319</v>
      </c>
    </row>
    <row r="8" spans="1:2">
      <c r="A8" t="s">
        <v>932</v>
      </c>
    </row>
    <row r="9" spans="1:2">
      <c r="A9" s="28" t="s">
        <v>0</v>
      </c>
      <c r="B9" s="27">
        <v>43498846</v>
      </c>
    </row>
    <row r="10" spans="1:2">
      <c r="A10" t="s">
        <v>933</v>
      </c>
      <c r="B10" s="29">
        <v>43498846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98BF-C693-4B80-90E2-4F569C3DB86C}">
  <dimension ref="A1:J514"/>
  <sheetViews>
    <sheetView topLeftCell="A2" workbookViewId="0">
      <selection activeCell="A4" sqref="A4"/>
    </sheetView>
  </sheetViews>
  <sheetFormatPr defaultColWidth="11.42578125" defaultRowHeight="15"/>
  <cols>
    <col min="1" max="1" width="32.28515625" style="31" customWidth="1"/>
    <col min="2" max="2" width="34.85546875" style="40" customWidth="1"/>
    <col min="3" max="3" width="17.28515625" style="21" customWidth="1"/>
    <col min="4" max="4" width="11.42578125" style="21"/>
    <col min="5" max="5" width="11.42578125" style="26"/>
    <col min="6" max="9" width="11.42578125" style="21"/>
    <col min="10" max="16384" width="11.42578125" style="4"/>
  </cols>
  <sheetData>
    <row r="1" spans="1:10" ht="60">
      <c r="A1" s="43" t="s">
        <v>25</v>
      </c>
      <c r="B1" s="57" t="s">
        <v>26</v>
      </c>
      <c r="C1" s="58" t="s">
        <v>27</v>
      </c>
      <c r="D1" s="62" t="s">
        <v>28</v>
      </c>
      <c r="E1" s="63" t="s">
        <v>29</v>
      </c>
      <c r="F1" s="13" t="s">
        <v>30</v>
      </c>
      <c r="G1" s="12" t="s">
        <v>31</v>
      </c>
      <c r="H1" s="12" t="s">
        <v>32</v>
      </c>
      <c r="I1" s="10" t="s">
        <v>23</v>
      </c>
      <c r="J1" s="11" t="s">
        <v>24</v>
      </c>
    </row>
    <row r="2" spans="1:10">
      <c r="A2" s="42" t="s">
        <v>905</v>
      </c>
      <c r="B2" s="32" t="s">
        <v>903</v>
      </c>
      <c r="C2" s="50" t="s">
        <v>151</v>
      </c>
      <c r="D2" s="12">
        <v>300</v>
      </c>
      <c r="E2" s="13">
        <v>343.33</v>
      </c>
      <c r="F2" s="13">
        <v>343.33</v>
      </c>
      <c r="G2" s="12"/>
      <c r="H2" s="12">
        <v>300</v>
      </c>
      <c r="I2" s="25" t="s">
        <v>901</v>
      </c>
      <c r="J2" s="1">
        <v>3</v>
      </c>
    </row>
    <row r="3" spans="1:10">
      <c r="A3" s="42" t="s">
        <v>906</v>
      </c>
      <c r="B3" s="32" t="s">
        <v>903</v>
      </c>
      <c r="C3" s="50" t="s">
        <v>151</v>
      </c>
      <c r="D3" s="12">
        <v>50</v>
      </c>
      <c r="E3" s="13">
        <v>343.33</v>
      </c>
      <c r="F3" s="13">
        <v>343.33</v>
      </c>
      <c r="G3" s="12"/>
      <c r="H3" s="12">
        <v>50</v>
      </c>
      <c r="I3" s="25" t="s">
        <v>901</v>
      </c>
      <c r="J3" s="1">
        <v>4</v>
      </c>
    </row>
    <row r="4" spans="1:10">
      <c r="A4" s="42" t="s">
        <v>907</v>
      </c>
      <c r="B4" s="32" t="s">
        <v>903</v>
      </c>
      <c r="C4" s="50" t="s">
        <v>151</v>
      </c>
      <c r="D4" s="12">
        <v>220</v>
      </c>
      <c r="E4" s="13">
        <v>343.33</v>
      </c>
      <c r="F4" s="13">
        <v>343.33</v>
      </c>
      <c r="G4" s="12"/>
      <c r="H4" s="12">
        <v>220</v>
      </c>
      <c r="I4" s="25" t="s">
        <v>901</v>
      </c>
      <c r="J4" s="1">
        <v>5</v>
      </c>
    </row>
    <row r="5" spans="1:10">
      <c r="A5" s="42" t="s">
        <v>902</v>
      </c>
      <c r="B5" s="32" t="s">
        <v>903</v>
      </c>
      <c r="C5" s="50" t="s">
        <v>151</v>
      </c>
      <c r="D5" s="12">
        <v>340</v>
      </c>
      <c r="E5" s="13">
        <v>343.33</v>
      </c>
      <c r="F5" s="13">
        <v>343.33</v>
      </c>
      <c r="G5" s="12"/>
      <c r="H5" s="12">
        <v>340</v>
      </c>
      <c r="I5" s="25" t="s">
        <v>901</v>
      </c>
      <c r="J5" s="1">
        <v>1</v>
      </c>
    </row>
    <row r="6" spans="1:10">
      <c r="A6" s="42" t="s">
        <v>904</v>
      </c>
      <c r="B6" s="32" t="s">
        <v>903</v>
      </c>
      <c r="C6" s="50" t="s">
        <v>151</v>
      </c>
      <c r="D6" s="12">
        <v>530</v>
      </c>
      <c r="E6" s="13">
        <v>343.33</v>
      </c>
      <c r="F6" s="13">
        <v>343.33</v>
      </c>
      <c r="G6" s="12"/>
      <c r="H6" s="12">
        <v>530</v>
      </c>
      <c r="I6" s="25" t="s">
        <v>901</v>
      </c>
      <c r="J6" s="1">
        <v>2</v>
      </c>
    </row>
    <row r="7" spans="1:10">
      <c r="A7" s="42" t="s">
        <v>910</v>
      </c>
      <c r="B7" s="32" t="s">
        <v>903</v>
      </c>
      <c r="C7" s="50" t="s">
        <v>151</v>
      </c>
      <c r="D7" s="12">
        <v>650</v>
      </c>
      <c r="E7" s="13">
        <v>343.33</v>
      </c>
      <c r="F7" s="13">
        <v>343.33</v>
      </c>
      <c r="G7" s="12"/>
      <c r="H7" s="12">
        <v>650</v>
      </c>
      <c r="I7" s="25" t="s">
        <v>901</v>
      </c>
      <c r="J7" s="1">
        <v>8</v>
      </c>
    </row>
    <row r="8" spans="1:10">
      <c r="A8" s="42" t="s">
        <v>911</v>
      </c>
      <c r="B8" s="32" t="s">
        <v>903</v>
      </c>
      <c r="C8" s="50" t="s">
        <v>151</v>
      </c>
      <c r="D8" s="12">
        <v>770</v>
      </c>
      <c r="E8" s="13">
        <v>343.33</v>
      </c>
      <c r="F8" s="13">
        <v>343.33</v>
      </c>
      <c r="G8" s="12"/>
      <c r="H8" s="12">
        <v>770</v>
      </c>
      <c r="I8" s="25" t="s">
        <v>901</v>
      </c>
      <c r="J8" s="1">
        <v>9</v>
      </c>
    </row>
    <row r="9" spans="1:10">
      <c r="A9" s="42" t="s">
        <v>912</v>
      </c>
      <c r="B9" s="32" t="s">
        <v>903</v>
      </c>
      <c r="C9" s="50" t="s">
        <v>151</v>
      </c>
      <c r="D9" s="12">
        <v>90</v>
      </c>
      <c r="E9" s="13">
        <v>343.33</v>
      </c>
      <c r="F9" s="13">
        <v>343.33</v>
      </c>
      <c r="G9" s="12"/>
      <c r="H9" s="12">
        <v>90</v>
      </c>
      <c r="I9" s="25" t="s">
        <v>901</v>
      </c>
      <c r="J9" s="1">
        <v>10</v>
      </c>
    </row>
    <row r="10" spans="1:10">
      <c r="A10" s="42" t="s">
        <v>913</v>
      </c>
      <c r="B10" s="32" t="s">
        <v>903</v>
      </c>
      <c r="C10" s="50" t="s">
        <v>151</v>
      </c>
      <c r="D10" s="12">
        <v>200</v>
      </c>
      <c r="E10" s="13">
        <v>343.33</v>
      </c>
      <c r="F10" s="13">
        <v>343.33</v>
      </c>
      <c r="G10" s="12"/>
      <c r="H10" s="12">
        <v>200</v>
      </c>
      <c r="I10" s="25" t="s">
        <v>901</v>
      </c>
      <c r="J10" s="1">
        <v>11</v>
      </c>
    </row>
    <row r="11" spans="1:10">
      <c r="A11" s="42" t="s">
        <v>914</v>
      </c>
      <c r="B11" s="32" t="s">
        <v>903</v>
      </c>
      <c r="C11" s="50" t="s">
        <v>151</v>
      </c>
      <c r="D11" s="12">
        <v>50</v>
      </c>
      <c r="E11" s="13">
        <v>343.33</v>
      </c>
      <c r="F11" s="13">
        <v>308.33</v>
      </c>
      <c r="G11" s="12"/>
      <c r="H11" s="12">
        <v>50</v>
      </c>
      <c r="I11" s="25" t="s">
        <v>901</v>
      </c>
      <c r="J11" s="1">
        <v>12</v>
      </c>
    </row>
    <row r="12" spans="1:10">
      <c r="A12" s="42" t="s">
        <v>915</v>
      </c>
      <c r="B12" s="32" t="s">
        <v>903</v>
      </c>
      <c r="C12" s="50" t="s">
        <v>151</v>
      </c>
      <c r="D12" s="12">
        <v>40</v>
      </c>
      <c r="E12" s="13">
        <v>343.33</v>
      </c>
      <c r="F12" s="13">
        <v>343.33</v>
      </c>
      <c r="G12" s="12"/>
      <c r="H12" s="12">
        <v>40</v>
      </c>
      <c r="I12" s="25" t="s">
        <v>901</v>
      </c>
      <c r="J12" s="1">
        <v>13</v>
      </c>
    </row>
    <row r="13" spans="1:10">
      <c r="A13" s="42" t="s">
        <v>908</v>
      </c>
      <c r="B13" s="32" t="s">
        <v>903</v>
      </c>
      <c r="C13" s="50" t="s">
        <v>151</v>
      </c>
      <c r="D13" s="12">
        <v>360</v>
      </c>
      <c r="E13" s="13">
        <v>343.33</v>
      </c>
      <c r="F13" s="13">
        <v>343.33</v>
      </c>
      <c r="G13" s="12"/>
      <c r="H13" s="12">
        <v>360</v>
      </c>
      <c r="I13" s="25" t="s">
        <v>901</v>
      </c>
      <c r="J13" s="1">
        <v>6</v>
      </c>
    </row>
    <row r="14" spans="1:10">
      <c r="A14" s="42" t="s">
        <v>909</v>
      </c>
      <c r="B14" s="32" t="s">
        <v>903</v>
      </c>
      <c r="C14" s="50" t="s">
        <v>151</v>
      </c>
      <c r="D14" s="12">
        <v>270</v>
      </c>
      <c r="E14" s="13">
        <v>343.33</v>
      </c>
      <c r="F14" s="13">
        <v>343.33</v>
      </c>
      <c r="G14" s="12"/>
      <c r="H14" s="12">
        <v>270</v>
      </c>
      <c r="I14" s="25" t="s">
        <v>901</v>
      </c>
      <c r="J14" s="1">
        <v>7</v>
      </c>
    </row>
    <row r="15" spans="1:10">
      <c r="A15" s="42" t="s">
        <v>918</v>
      </c>
      <c r="B15" s="32" t="s">
        <v>903</v>
      </c>
      <c r="C15" s="50" t="s">
        <v>151</v>
      </c>
      <c r="D15" s="12">
        <v>110</v>
      </c>
      <c r="E15" s="13">
        <v>343.33</v>
      </c>
      <c r="F15" s="13">
        <v>343.33</v>
      </c>
      <c r="G15" s="12"/>
      <c r="H15" s="12">
        <v>110</v>
      </c>
      <c r="I15" s="25" t="s">
        <v>901</v>
      </c>
      <c r="J15" s="1">
        <v>16</v>
      </c>
    </row>
    <row r="16" spans="1:10">
      <c r="A16" s="42" t="s">
        <v>919</v>
      </c>
      <c r="B16" s="32" t="s">
        <v>903</v>
      </c>
      <c r="C16" s="50" t="s">
        <v>151</v>
      </c>
      <c r="D16" s="12">
        <v>100</v>
      </c>
      <c r="E16" s="13">
        <v>343.33</v>
      </c>
      <c r="F16" s="13">
        <v>343.33</v>
      </c>
      <c r="G16" s="12"/>
      <c r="H16" s="12">
        <v>100</v>
      </c>
      <c r="I16" s="25" t="s">
        <v>901</v>
      </c>
      <c r="J16" s="1">
        <v>17</v>
      </c>
    </row>
    <row r="17" spans="1:10">
      <c r="A17" s="42" t="s">
        <v>920</v>
      </c>
      <c r="B17" s="32" t="s">
        <v>903</v>
      </c>
      <c r="C17" s="50" t="s">
        <v>151</v>
      </c>
      <c r="D17" s="12">
        <v>7</v>
      </c>
      <c r="E17" s="13">
        <v>343.33</v>
      </c>
      <c r="F17" s="13">
        <v>343.33</v>
      </c>
      <c r="G17" s="12"/>
      <c r="H17" s="12">
        <v>7</v>
      </c>
      <c r="I17" s="25" t="s">
        <v>901</v>
      </c>
      <c r="J17" s="1">
        <v>18</v>
      </c>
    </row>
    <row r="18" spans="1:10">
      <c r="A18" s="42" t="s">
        <v>921</v>
      </c>
      <c r="B18" s="32" t="s">
        <v>903</v>
      </c>
      <c r="C18" s="50" t="s">
        <v>151</v>
      </c>
      <c r="D18" s="12">
        <v>210</v>
      </c>
      <c r="E18" s="13">
        <v>343.33</v>
      </c>
      <c r="F18" s="13">
        <v>343.33</v>
      </c>
      <c r="G18" s="12"/>
      <c r="H18" s="12">
        <v>210</v>
      </c>
      <c r="I18" s="25" t="s">
        <v>901</v>
      </c>
      <c r="J18" s="1">
        <v>19</v>
      </c>
    </row>
    <row r="19" spans="1:10">
      <c r="A19" s="42" t="s">
        <v>922</v>
      </c>
      <c r="B19" s="32" t="s">
        <v>903</v>
      </c>
      <c r="C19" s="50" t="s">
        <v>151</v>
      </c>
      <c r="D19" s="12">
        <v>6</v>
      </c>
      <c r="E19" s="13">
        <v>343.33</v>
      </c>
      <c r="F19" s="13">
        <v>343.33</v>
      </c>
      <c r="G19" s="12"/>
      <c r="H19" s="12">
        <v>6</v>
      </c>
      <c r="I19" s="25" t="s">
        <v>901</v>
      </c>
      <c r="J19" s="1">
        <v>20</v>
      </c>
    </row>
    <row r="20" spans="1:10">
      <c r="A20" s="42" t="s">
        <v>916</v>
      </c>
      <c r="B20" s="32" t="s">
        <v>903</v>
      </c>
      <c r="C20" s="50" t="s">
        <v>151</v>
      </c>
      <c r="D20" s="12">
        <v>170</v>
      </c>
      <c r="E20" s="13">
        <v>343.33</v>
      </c>
      <c r="F20" s="13">
        <v>343.33</v>
      </c>
      <c r="G20" s="12"/>
      <c r="H20" s="12">
        <v>170</v>
      </c>
      <c r="I20" s="25" t="s">
        <v>901</v>
      </c>
      <c r="J20" s="1">
        <v>14</v>
      </c>
    </row>
    <row r="21" spans="1:10">
      <c r="A21" s="42" t="s">
        <v>917</v>
      </c>
      <c r="B21" s="32" t="s">
        <v>903</v>
      </c>
      <c r="C21" s="50" t="s">
        <v>151</v>
      </c>
      <c r="D21" s="12">
        <v>0</v>
      </c>
      <c r="E21" s="13">
        <v>343.33</v>
      </c>
      <c r="F21" s="13">
        <v>343.33</v>
      </c>
      <c r="G21" s="12"/>
      <c r="H21" s="12">
        <v>0</v>
      </c>
      <c r="I21" s="25" t="s">
        <v>901</v>
      </c>
      <c r="J21" s="1">
        <v>15</v>
      </c>
    </row>
    <row r="22" spans="1:10" ht="135">
      <c r="A22" s="42" t="s">
        <v>923</v>
      </c>
      <c r="B22" s="32" t="s">
        <v>924</v>
      </c>
      <c r="C22" s="50" t="s">
        <v>151</v>
      </c>
      <c r="D22" s="12">
        <v>500</v>
      </c>
      <c r="E22" s="13">
        <v>308.33</v>
      </c>
      <c r="F22" s="13">
        <v>308.33</v>
      </c>
      <c r="G22" s="12"/>
      <c r="H22" s="12">
        <v>500</v>
      </c>
      <c r="I22" s="25" t="s">
        <v>901</v>
      </c>
      <c r="J22" s="1">
        <v>21</v>
      </c>
    </row>
    <row r="23" spans="1:10" ht="30">
      <c r="A23" s="44" t="s">
        <v>232</v>
      </c>
      <c r="B23" s="33" t="s">
        <v>233</v>
      </c>
      <c r="C23" s="51" t="s">
        <v>151</v>
      </c>
      <c r="D23" s="12">
        <v>20</v>
      </c>
      <c r="E23" s="13">
        <v>304.64</v>
      </c>
      <c r="F23" s="13">
        <v>304.64</v>
      </c>
      <c r="G23" s="12"/>
      <c r="H23" s="12">
        <v>20</v>
      </c>
      <c r="I23" s="24" t="s">
        <v>148</v>
      </c>
      <c r="J23" s="2">
        <v>71</v>
      </c>
    </row>
    <row r="24" spans="1:10" ht="30">
      <c r="A24" s="44" t="s">
        <v>278</v>
      </c>
      <c r="B24" s="33" t="s">
        <v>279</v>
      </c>
      <c r="C24" s="51" t="s">
        <v>151</v>
      </c>
      <c r="D24" s="12">
        <v>100</v>
      </c>
      <c r="E24" s="13">
        <v>3356</v>
      </c>
      <c r="F24" s="13">
        <v>3356</v>
      </c>
      <c r="G24" s="12"/>
      <c r="H24" s="12">
        <v>100</v>
      </c>
      <c r="I24" s="24" t="s">
        <v>148</v>
      </c>
      <c r="J24" s="2">
        <v>96</v>
      </c>
    </row>
    <row r="25" spans="1:10" ht="30">
      <c r="A25" s="44" t="s">
        <v>276</v>
      </c>
      <c r="B25" s="33" t="s">
        <v>277</v>
      </c>
      <c r="C25" s="51" t="s">
        <v>151</v>
      </c>
      <c r="D25" s="12">
        <v>80</v>
      </c>
      <c r="E25" s="13">
        <v>304.64</v>
      </c>
      <c r="F25" s="13">
        <v>304.64</v>
      </c>
      <c r="G25" s="12"/>
      <c r="H25" s="12">
        <v>80</v>
      </c>
      <c r="I25" s="24" t="s">
        <v>148</v>
      </c>
      <c r="J25" s="2">
        <v>95</v>
      </c>
    </row>
    <row r="26" spans="1:10" ht="30">
      <c r="A26" s="44" t="s">
        <v>264</v>
      </c>
      <c r="B26" s="33" t="s">
        <v>265</v>
      </c>
      <c r="C26" s="51" t="s">
        <v>151</v>
      </c>
      <c r="D26" s="12">
        <v>500</v>
      </c>
      <c r="E26" s="13">
        <v>304.64</v>
      </c>
      <c r="F26" s="13">
        <v>304.64</v>
      </c>
      <c r="G26" s="12"/>
      <c r="H26" s="12">
        <v>500</v>
      </c>
      <c r="I26" s="24" t="s">
        <v>148</v>
      </c>
      <c r="J26" s="2">
        <v>88</v>
      </c>
    </row>
    <row r="27" spans="1:10" ht="30">
      <c r="A27" s="44" t="s">
        <v>274</v>
      </c>
      <c r="B27" s="33" t="s">
        <v>275</v>
      </c>
      <c r="C27" s="51" t="s">
        <v>151</v>
      </c>
      <c r="D27" s="12">
        <v>80</v>
      </c>
      <c r="E27" s="13">
        <v>304.64</v>
      </c>
      <c r="F27" s="13">
        <v>304.64</v>
      </c>
      <c r="G27" s="12"/>
      <c r="H27" s="12">
        <v>80</v>
      </c>
      <c r="I27" s="24" t="s">
        <v>148</v>
      </c>
      <c r="J27" s="2">
        <v>94</v>
      </c>
    </row>
    <row r="28" spans="1:10" ht="30">
      <c r="A28" s="44" t="s">
        <v>269</v>
      </c>
      <c r="B28" s="33" t="s">
        <v>270</v>
      </c>
      <c r="C28" s="51" t="s">
        <v>151</v>
      </c>
      <c r="D28" s="12">
        <v>30</v>
      </c>
      <c r="E28" s="13">
        <v>304.64</v>
      </c>
      <c r="F28" s="13">
        <v>304.64</v>
      </c>
      <c r="G28" s="12"/>
      <c r="H28" s="12">
        <v>30</v>
      </c>
      <c r="I28" s="24" t="s">
        <v>148</v>
      </c>
      <c r="J28" s="2">
        <v>91</v>
      </c>
    </row>
    <row r="29" spans="1:10" ht="30">
      <c r="A29" s="44" t="s">
        <v>271</v>
      </c>
      <c r="B29" s="33" t="s">
        <v>272</v>
      </c>
      <c r="C29" s="51" t="s">
        <v>151</v>
      </c>
      <c r="D29" s="12">
        <v>20</v>
      </c>
      <c r="E29" s="13">
        <v>304.64</v>
      </c>
      <c r="F29" s="13">
        <v>304.64</v>
      </c>
      <c r="G29" s="12"/>
      <c r="H29" s="12">
        <v>20</v>
      </c>
      <c r="I29" s="24" t="s">
        <v>148</v>
      </c>
      <c r="J29" s="2">
        <v>92</v>
      </c>
    </row>
    <row r="30" spans="1:10" ht="30">
      <c r="A30" s="44" t="s">
        <v>266</v>
      </c>
      <c r="B30" s="33" t="s">
        <v>265</v>
      </c>
      <c r="C30" s="51" t="s">
        <v>151</v>
      </c>
      <c r="D30" s="12">
        <v>35</v>
      </c>
      <c r="E30" s="13">
        <v>304.64</v>
      </c>
      <c r="F30" s="13">
        <v>304.64</v>
      </c>
      <c r="G30" s="12"/>
      <c r="H30" s="12">
        <v>35</v>
      </c>
      <c r="I30" s="24" t="s">
        <v>148</v>
      </c>
      <c r="J30" s="2">
        <v>89</v>
      </c>
    </row>
    <row r="31" spans="1:10" ht="30">
      <c r="A31" s="44" t="s">
        <v>267</v>
      </c>
      <c r="B31" s="33" t="s">
        <v>268</v>
      </c>
      <c r="C31" s="51" t="s">
        <v>151</v>
      </c>
      <c r="D31" s="12">
        <v>35</v>
      </c>
      <c r="E31" s="13">
        <v>304.64</v>
      </c>
      <c r="F31" s="13">
        <v>304.64</v>
      </c>
      <c r="G31" s="12"/>
      <c r="H31" s="12">
        <v>35</v>
      </c>
      <c r="I31" s="24" t="s">
        <v>148</v>
      </c>
      <c r="J31" s="2">
        <v>90</v>
      </c>
    </row>
    <row r="32" spans="1:10" ht="30">
      <c r="A32" s="44" t="s">
        <v>273</v>
      </c>
      <c r="B32" s="33" t="s">
        <v>270</v>
      </c>
      <c r="C32" s="51" t="s">
        <v>151</v>
      </c>
      <c r="D32" s="12">
        <v>16</v>
      </c>
      <c r="E32" s="13">
        <v>304.64</v>
      </c>
      <c r="F32" s="13">
        <v>304.64</v>
      </c>
      <c r="G32" s="12"/>
      <c r="H32" s="12">
        <v>16</v>
      </c>
      <c r="I32" s="24" t="s">
        <v>148</v>
      </c>
      <c r="J32" s="2">
        <v>93</v>
      </c>
    </row>
    <row r="33" spans="1:10" ht="60">
      <c r="A33" s="42" t="s">
        <v>204</v>
      </c>
      <c r="B33" s="32" t="s">
        <v>205</v>
      </c>
      <c r="C33" s="50" t="s">
        <v>151</v>
      </c>
      <c r="D33" s="12">
        <v>42</v>
      </c>
      <c r="E33" s="13">
        <v>2400</v>
      </c>
      <c r="F33" s="13">
        <v>2400</v>
      </c>
      <c r="G33" s="12"/>
      <c r="H33" s="12">
        <v>42</v>
      </c>
      <c r="I33" s="24" t="s">
        <v>148</v>
      </c>
      <c r="J33" s="1">
        <v>54</v>
      </c>
    </row>
    <row r="34" spans="1:10">
      <c r="A34" s="42" t="s">
        <v>214</v>
      </c>
      <c r="B34" s="32" t="s">
        <v>215</v>
      </c>
      <c r="C34" s="50" t="s">
        <v>151</v>
      </c>
      <c r="D34" s="12">
        <v>90</v>
      </c>
      <c r="E34" s="13">
        <v>2400</v>
      </c>
      <c r="F34" s="13">
        <v>2400</v>
      </c>
      <c r="G34" s="12"/>
      <c r="H34" s="12">
        <v>90</v>
      </c>
      <c r="I34" s="24" t="s">
        <v>148</v>
      </c>
      <c r="J34" s="1">
        <v>61</v>
      </c>
    </row>
    <row r="35" spans="1:10" ht="30">
      <c r="A35" s="42" t="s">
        <v>208</v>
      </c>
      <c r="B35" s="32" t="s">
        <v>209</v>
      </c>
      <c r="C35" s="50" t="s">
        <v>151</v>
      </c>
      <c r="D35" s="12">
        <v>90</v>
      </c>
      <c r="E35" s="13">
        <v>2400</v>
      </c>
      <c r="F35" s="13">
        <v>2400</v>
      </c>
      <c r="G35" s="12"/>
      <c r="H35" s="12">
        <v>90</v>
      </c>
      <c r="I35" s="24" t="s">
        <v>148</v>
      </c>
      <c r="J35" s="1">
        <v>56</v>
      </c>
    </row>
    <row r="36" spans="1:10" ht="30">
      <c r="A36" s="42" t="s">
        <v>208</v>
      </c>
      <c r="B36" s="32" t="s">
        <v>211</v>
      </c>
      <c r="C36" s="50" t="s">
        <v>151</v>
      </c>
      <c r="D36" s="12">
        <v>74</v>
      </c>
      <c r="E36" s="13">
        <v>2400</v>
      </c>
      <c r="F36" s="13">
        <v>2400</v>
      </c>
      <c r="G36" s="12"/>
      <c r="H36" s="12">
        <v>74</v>
      </c>
      <c r="I36" s="24" t="s">
        <v>148</v>
      </c>
      <c r="J36" s="1">
        <v>60</v>
      </c>
    </row>
    <row r="37" spans="1:10" ht="30">
      <c r="A37" s="42" t="s">
        <v>210</v>
      </c>
      <c r="B37" s="32" t="s">
        <v>211</v>
      </c>
      <c r="C37" s="50" t="s">
        <v>151</v>
      </c>
      <c r="D37" s="12">
        <v>181</v>
      </c>
      <c r="E37" s="13">
        <v>2400</v>
      </c>
      <c r="F37" s="13">
        <v>2400</v>
      </c>
      <c r="G37" s="12"/>
      <c r="H37" s="12">
        <v>181</v>
      </c>
      <c r="I37" s="24" t="s">
        <v>148</v>
      </c>
      <c r="J37" s="1">
        <v>57</v>
      </c>
    </row>
    <row r="38" spans="1:10" ht="30">
      <c r="A38" s="42" t="s">
        <v>210</v>
      </c>
      <c r="B38" s="32" t="s">
        <v>209</v>
      </c>
      <c r="C38" s="50" t="s">
        <v>151</v>
      </c>
      <c r="D38" s="12">
        <v>31</v>
      </c>
      <c r="E38" s="13">
        <v>2400</v>
      </c>
      <c r="F38" s="13">
        <v>2400</v>
      </c>
      <c r="G38" s="12"/>
      <c r="H38" s="12">
        <v>31</v>
      </c>
      <c r="I38" s="24" t="s">
        <v>148</v>
      </c>
      <c r="J38" s="1">
        <v>58</v>
      </c>
    </row>
    <row r="39" spans="1:10" ht="30">
      <c r="A39" s="42" t="s">
        <v>212</v>
      </c>
      <c r="B39" s="32" t="s">
        <v>213</v>
      </c>
      <c r="C39" s="50" t="s">
        <v>151</v>
      </c>
      <c r="D39" s="12">
        <v>33</v>
      </c>
      <c r="E39" s="13">
        <v>2400</v>
      </c>
      <c r="F39" s="13">
        <v>2400</v>
      </c>
      <c r="G39" s="12"/>
      <c r="H39" s="12">
        <v>33</v>
      </c>
      <c r="I39" s="24" t="s">
        <v>148</v>
      </c>
      <c r="J39" s="1">
        <v>59</v>
      </c>
    </row>
    <row r="40" spans="1:10" ht="45">
      <c r="A40" s="42" t="s">
        <v>206</v>
      </c>
      <c r="B40" s="32" t="s">
        <v>207</v>
      </c>
      <c r="C40" s="50" t="s">
        <v>151</v>
      </c>
      <c r="D40" s="12">
        <v>26</v>
      </c>
      <c r="E40" s="13">
        <v>2400</v>
      </c>
      <c r="F40" s="13">
        <v>2400</v>
      </c>
      <c r="G40" s="12"/>
      <c r="H40" s="12">
        <v>26</v>
      </c>
      <c r="I40" s="24" t="s">
        <v>148</v>
      </c>
      <c r="J40" s="1">
        <v>55</v>
      </c>
    </row>
    <row r="41" spans="1:10" ht="45">
      <c r="A41" s="42" t="s">
        <v>206</v>
      </c>
      <c r="B41" s="32" t="s">
        <v>219</v>
      </c>
      <c r="C41" s="50" t="s">
        <v>151</v>
      </c>
      <c r="D41" s="12">
        <v>6</v>
      </c>
      <c r="E41" s="13">
        <v>2400</v>
      </c>
      <c r="F41" s="13">
        <v>2400</v>
      </c>
      <c r="G41" s="12"/>
      <c r="H41" s="12">
        <v>6</v>
      </c>
      <c r="I41" s="24" t="s">
        <v>148</v>
      </c>
      <c r="J41" s="1">
        <v>64</v>
      </c>
    </row>
    <row r="42" spans="1:10" ht="30">
      <c r="A42" s="44" t="s">
        <v>244</v>
      </c>
      <c r="B42" s="33" t="s">
        <v>245</v>
      </c>
      <c r="C42" s="51" t="s">
        <v>151</v>
      </c>
      <c r="D42" s="12">
        <v>300</v>
      </c>
      <c r="E42" s="13">
        <v>304.64</v>
      </c>
      <c r="F42" s="13">
        <v>304.64</v>
      </c>
      <c r="G42" s="12"/>
      <c r="H42" s="12">
        <v>300</v>
      </c>
      <c r="I42" s="24" t="s">
        <v>148</v>
      </c>
      <c r="J42" s="2">
        <v>77</v>
      </c>
    </row>
    <row r="43" spans="1:10" ht="30">
      <c r="A43" s="44" t="s">
        <v>238</v>
      </c>
      <c r="B43" s="33" t="s">
        <v>239</v>
      </c>
      <c r="C43" s="51" t="s">
        <v>151</v>
      </c>
      <c r="D43" s="12">
        <v>30</v>
      </c>
      <c r="E43" s="13">
        <v>304.64</v>
      </c>
      <c r="F43" s="13">
        <v>304.64</v>
      </c>
      <c r="G43" s="12"/>
      <c r="H43" s="12">
        <v>30</v>
      </c>
      <c r="I43" s="24" t="s">
        <v>148</v>
      </c>
      <c r="J43" s="2">
        <v>74</v>
      </c>
    </row>
    <row r="44" spans="1:10" ht="30">
      <c r="A44" s="44" t="s">
        <v>240</v>
      </c>
      <c r="B44" s="33" t="s">
        <v>241</v>
      </c>
      <c r="C44" s="51" t="s">
        <v>151</v>
      </c>
      <c r="D44" s="12">
        <v>30</v>
      </c>
      <c r="E44" s="13">
        <v>304.64</v>
      </c>
      <c r="F44" s="13">
        <v>304.64</v>
      </c>
      <c r="G44" s="12"/>
      <c r="H44" s="12">
        <v>30</v>
      </c>
      <c r="I44" s="24" t="s">
        <v>148</v>
      </c>
      <c r="J44" s="2">
        <v>75</v>
      </c>
    </row>
    <row r="45" spans="1:10" ht="30">
      <c r="A45" s="44" t="s">
        <v>246</v>
      </c>
      <c r="B45" s="33" t="s">
        <v>247</v>
      </c>
      <c r="C45" s="51" t="s">
        <v>151</v>
      </c>
      <c r="D45" s="12">
        <v>100</v>
      </c>
      <c r="E45" s="13">
        <v>304.64</v>
      </c>
      <c r="F45" s="13">
        <v>304.64</v>
      </c>
      <c r="G45" s="12"/>
      <c r="H45" s="12">
        <v>100</v>
      </c>
      <c r="I45" s="24" t="s">
        <v>148</v>
      </c>
      <c r="J45" s="2">
        <v>78</v>
      </c>
    </row>
    <row r="46" spans="1:10" ht="30">
      <c r="A46" s="44" t="s">
        <v>236</v>
      </c>
      <c r="B46" s="33" t="s">
        <v>237</v>
      </c>
      <c r="C46" s="51" t="s">
        <v>151</v>
      </c>
      <c r="D46" s="12">
        <v>40</v>
      </c>
      <c r="E46" s="13">
        <v>304.64</v>
      </c>
      <c r="F46" s="13">
        <v>304.64</v>
      </c>
      <c r="G46" s="12"/>
      <c r="H46" s="12">
        <v>40</v>
      </c>
      <c r="I46" s="24" t="s">
        <v>148</v>
      </c>
      <c r="J46" s="2">
        <v>73</v>
      </c>
    </row>
    <row r="47" spans="1:10" ht="30">
      <c r="A47" s="44" t="s">
        <v>242</v>
      </c>
      <c r="B47" s="33" t="s">
        <v>243</v>
      </c>
      <c r="C47" s="51" t="s">
        <v>151</v>
      </c>
      <c r="D47" s="12">
        <v>12</v>
      </c>
      <c r="E47" s="13">
        <v>304.64</v>
      </c>
      <c r="F47" s="13">
        <v>304.64</v>
      </c>
      <c r="G47" s="12"/>
      <c r="H47" s="12">
        <v>12</v>
      </c>
      <c r="I47" s="24" t="s">
        <v>148</v>
      </c>
      <c r="J47" s="2">
        <v>76</v>
      </c>
    </row>
    <row r="48" spans="1:10" ht="30">
      <c r="A48" s="44" t="s">
        <v>248</v>
      </c>
      <c r="B48" s="33" t="s">
        <v>249</v>
      </c>
      <c r="C48" s="51" t="s">
        <v>151</v>
      </c>
      <c r="D48" s="12">
        <v>90</v>
      </c>
      <c r="E48" s="13">
        <v>304.64</v>
      </c>
      <c r="F48" s="13">
        <v>304.64</v>
      </c>
      <c r="G48" s="12"/>
      <c r="H48" s="12">
        <v>90</v>
      </c>
      <c r="I48" s="24" t="s">
        <v>148</v>
      </c>
      <c r="J48" s="2">
        <v>79</v>
      </c>
    </row>
    <row r="49" spans="1:10" ht="30">
      <c r="A49" s="44" t="s">
        <v>252</v>
      </c>
      <c r="B49" s="33" t="s">
        <v>253</v>
      </c>
      <c r="C49" s="51" t="s">
        <v>151</v>
      </c>
      <c r="D49" s="12">
        <v>100</v>
      </c>
      <c r="E49" s="13">
        <v>304.64</v>
      </c>
      <c r="F49" s="13">
        <v>304.64</v>
      </c>
      <c r="G49" s="12"/>
      <c r="H49" s="12">
        <v>100</v>
      </c>
      <c r="I49" s="24" t="s">
        <v>148</v>
      </c>
      <c r="J49" s="2">
        <v>81</v>
      </c>
    </row>
    <row r="50" spans="1:10" ht="30">
      <c r="A50" s="44" t="s">
        <v>252</v>
      </c>
      <c r="B50" s="33" t="s">
        <v>254</v>
      </c>
      <c r="C50" s="51" t="s">
        <v>151</v>
      </c>
      <c r="D50" s="12">
        <v>70</v>
      </c>
      <c r="E50" s="13">
        <v>304.64</v>
      </c>
      <c r="F50" s="13">
        <v>304.64</v>
      </c>
      <c r="G50" s="12"/>
      <c r="H50" s="12">
        <v>70</v>
      </c>
      <c r="I50" s="24" t="s">
        <v>148</v>
      </c>
      <c r="J50" s="2">
        <v>82</v>
      </c>
    </row>
    <row r="51" spans="1:10" ht="30">
      <c r="A51" s="44" t="s">
        <v>257</v>
      </c>
      <c r="B51" s="33" t="s">
        <v>258</v>
      </c>
      <c r="C51" s="51" t="s">
        <v>151</v>
      </c>
      <c r="D51" s="12">
        <v>200</v>
      </c>
      <c r="E51" s="13">
        <v>304.64</v>
      </c>
      <c r="F51" s="13">
        <v>304.64</v>
      </c>
      <c r="G51" s="12"/>
      <c r="H51" s="12">
        <v>200</v>
      </c>
      <c r="I51" s="24" t="s">
        <v>148</v>
      </c>
      <c r="J51" s="2">
        <v>84</v>
      </c>
    </row>
    <row r="52" spans="1:10" ht="30">
      <c r="A52" s="42" t="s">
        <v>220</v>
      </c>
      <c r="B52" s="32" t="s">
        <v>221</v>
      </c>
      <c r="C52" s="50" t="s">
        <v>151</v>
      </c>
      <c r="D52" s="12">
        <v>460</v>
      </c>
      <c r="E52" s="13">
        <v>304.64</v>
      </c>
      <c r="F52" s="13">
        <v>304.64</v>
      </c>
      <c r="G52" s="12"/>
      <c r="H52" s="12">
        <v>460</v>
      </c>
      <c r="I52" s="24" t="s">
        <v>148</v>
      </c>
      <c r="J52" s="1">
        <v>65</v>
      </c>
    </row>
    <row r="53" spans="1:10" ht="30">
      <c r="A53" s="42" t="s">
        <v>228</v>
      </c>
      <c r="B53" s="32" t="s">
        <v>229</v>
      </c>
      <c r="C53" s="50" t="s">
        <v>151</v>
      </c>
      <c r="D53" s="12">
        <v>20</v>
      </c>
      <c r="E53" s="13">
        <v>304.64</v>
      </c>
      <c r="F53" s="13">
        <v>304.64</v>
      </c>
      <c r="G53" s="12"/>
      <c r="H53" s="12">
        <v>20</v>
      </c>
      <c r="I53" s="24" t="s">
        <v>148</v>
      </c>
      <c r="J53" s="1">
        <v>69</v>
      </c>
    </row>
    <row r="54" spans="1:10" ht="30">
      <c r="A54" s="42" t="s">
        <v>224</v>
      </c>
      <c r="B54" s="32" t="s">
        <v>225</v>
      </c>
      <c r="C54" s="50" t="s">
        <v>151</v>
      </c>
      <c r="D54" s="12">
        <v>417</v>
      </c>
      <c r="E54" s="13">
        <v>304.64</v>
      </c>
      <c r="F54" s="13">
        <v>304.64</v>
      </c>
      <c r="G54" s="12"/>
      <c r="H54" s="12">
        <v>417</v>
      </c>
      <c r="I54" s="24" t="s">
        <v>148</v>
      </c>
      <c r="J54" s="1">
        <v>67</v>
      </c>
    </row>
    <row r="55" spans="1:10" ht="30">
      <c r="A55" s="44" t="s">
        <v>234</v>
      </c>
      <c r="B55" s="33" t="s">
        <v>235</v>
      </c>
      <c r="C55" s="51" t="s">
        <v>151</v>
      </c>
      <c r="D55" s="12">
        <v>90</v>
      </c>
      <c r="E55" s="13">
        <v>304.64</v>
      </c>
      <c r="F55" s="13">
        <v>304.64</v>
      </c>
      <c r="G55" s="12"/>
      <c r="H55" s="12">
        <v>90</v>
      </c>
      <c r="I55" s="24" t="s">
        <v>148</v>
      </c>
      <c r="J55" s="2">
        <v>72</v>
      </c>
    </row>
    <row r="56" spans="1:10" ht="30">
      <c r="A56" s="42" t="s">
        <v>222</v>
      </c>
      <c r="B56" s="32" t="s">
        <v>223</v>
      </c>
      <c r="C56" s="50" t="s">
        <v>151</v>
      </c>
      <c r="D56" s="12">
        <v>70</v>
      </c>
      <c r="E56" s="13">
        <v>304.64</v>
      </c>
      <c r="F56" s="13">
        <v>304.64</v>
      </c>
      <c r="G56" s="12"/>
      <c r="H56" s="12">
        <v>70</v>
      </c>
      <c r="I56" s="24" t="s">
        <v>148</v>
      </c>
      <c r="J56" s="1">
        <v>66</v>
      </c>
    </row>
    <row r="57" spans="1:10" ht="30">
      <c r="A57" s="42" t="s">
        <v>226</v>
      </c>
      <c r="B57" s="32" t="s">
        <v>227</v>
      </c>
      <c r="C57" s="50" t="s">
        <v>151</v>
      </c>
      <c r="D57" s="12">
        <v>28</v>
      </c>
      <c r="E57" s="13">
        <v>304.64</v>
      </c>
      <c r="F57" s="13">
        <v>304.64</v>
      </c>
      <c r="G57" s="12"/>
      <c r="H57" s="12">
        <v>28</v>
      </c>
      <c r="I57" s="24" t="s">
        <v>148</v>
      </c>
      <c r="J57" s="1">
        <v>68</v>
      </c>
    </row>
    <row r="58" spans="1:10" ht="30">
      <c r="A58" s="44" t="s">
        <v>230</v>
      </c>
      <c r="B58" s="33" t="s">
        <v>231</v>
      </c>
      <c r="C58" s="51" t="s">
        <v>151</v>
      </c>
      <c r="D58" s="12">
        <v>60</v>
      </c>
      <c r="E58" s="13">
        <v>304.64</v>
      </c>
      <c r="F58" s="13">
        <v>304.64</v>
      </c>
      <c r="G58" s="12"/>
      <c r="H58" s="12">
        <v>60</v>
      </c>
      <c r="I58" s="24" t="s">
        <v>148</v>
      </c>
      <c r="J58" s="2">
        <v>70</v>
      </c>
    </row>
    <row r="59" spans="1:10" ht="30">
      <c r="A59" s="44" t="s">
        <v>250</v>
      </c>
      <c r="B59" s="33" t="s">
        <v>251</v>
      </c>
      <c r="C59" s="51" t="s">
        <v>151</v>
      </c>
      <c r="D59" s="12">
        <v>70</v>
      </c>
      <c r="E59" s="13">
        <v>3356</v>
      </c>
      <c r="F59" s="13">
        <v>3356</v>
      </c>
      <c r="G59" s="12"/>
      <c r="H59" s="12">
        <v>70</v>
      </c>
      <c r="I59" s="24" t="s">
        <v>148</v>
      </c>
      <c r="J59" s="2">
        <v>80</v>
      </c>
    </row>
    <row r="60" spans="1:10" ht="30">
      <c r="A60" s="44" t="s">
        <v>261</v>
      </c>
      <c r="B60" s="33" t="s">
        <v>260</v>
      </c>
      <c r="C60" s="51" t="s">
        <v>151</v>
      </c>
      <c r="D60" s="12">
        <v>50</v>
      </c>
      <c r="E60" s="13">
        <v>3356</v>
      </c>
      <c r="F60" s="13">
        <v>3356</v>
      </c>
      <c r="G60" s="12"/>
      <c r="H60" s="12">
        <v>50</v>
      </c>
      <c r="I60" s="24" t="s">
        <v>148</v>
      </c>
      <c r="J60" s="2">
        <v>86</v>
      </c>
    </row>
    <row r="61" spans="1:10" ht="30">
      <c r="A61" s="44" t="s">
        <v>291</v>
      </c>
      <c r="B61" s="33" t="s">
        <v>292</v>
      </c>
      <c r="C61" s="51" t="s">
        <v>151</v>
      </c>
      <c r="D61" s="12">
        <v>20</v>
      </c>
      <c r="E61" s="13">
        <v>3356</v>
      </c>
      <c r="F61" s="13">
        <v>3356</v>
      </c>
      <c r="G61" s="12"/>
      <c r="H61" s="12">
        <v>20</v>
      </c>
      <c r="I61" s="24" t="s">
        <v>148</v>
      </c>
      <c r="J61" s="2" t="s">
        <v>290</v>
      </c>
    </row>
    <row r="62" spans="1:10" ht="30">
      <c r="A62" s="44" t="s">
        <v>282</v>
      </c>
      <c r="B62" s="33" t="s">
        <v>283</v>
      </c>
      <c r="C62" s="51" t="s">
        <v>151</v>
      </c>
      <c r="D62" s="12">
        <v>50</v>
      </c>
      <c r="E62" s="13">
        <v>3356</v>
      </c>
      <c r="F62" s="13">
        <v>3356</v>
      </c>
      <c r="G62" s="12"/>
      <c r="H62" s="12">
        <v>50</v>
      </c>
      <c r="I62" s="24" t="s">
        <v>148</v>
      </c>
      <c r="J62" s="2">
        <v>98</v>
      </c>
    </row>
    <row r="63" spans="1:10" ht="30">
      <c r="A63" s="44" t="s">
        <v>284</v>
      </c>
      <c r="B63" s="33" t="s">
        <v>285</v>
      </c>
      <c r="C63" s="51" t="s">
        <v>151</v>
      </c>
      <c r="D63" s="12">
        <v>30</v>
      </c>
      <c r="E63" s="13">
        <v>3356</v>
      </c>
      <c r="F63" s="13">
        <v>3356</v>
      </c>
      <c r="G63" s="12"/>
      <c r="H63" s="12">
        <v>30</v>
      </c>
      <c r="I63" s="24" t="s">
        <v>148</v>
      </c>
      <c r="J63" s="2">
        <v>99</v>
      </c>
    </row>
    <row r="64" spans="1:10" ht="30">
      <c r="A64" s="44" t="s">
        <v>286</v>
      </c>
      <c r="B64" s="33" t="s">
        <v>287</v>
      </c>
      <c r="C64" s="51" t="s">
        <v>151</v>
      </c>
      <c r="D64" s="12">
        <v>50</v>
      </c>
      <c r="E64" s="13">
        <v>3356</v>
      </c>
      <c r="F64" s="13">
        <v>3356</v>
      </c>
      <c r="G64" s="12"/>
      <c r="H64" s="12">
        <v>50</v>
      </c>
      <c r="I64" s="24" t="s">
        <v>148</v>
      </c>
      <c r="J64" s="2">
        <v>100</v>
      </c>
    </row>
    <row r="65" spans="1:10" ht="30">
      <c r="A65" s="44" t="s">
        <v>288</v>
      </c>
      <c r="B65" s="33" t="s">
        <v>289</v>
      </c>
      <c r="C65" s="51" t="s">
        <v>151</v>
      </c>
      <c r="D65" s="12">
        <v>300</v>
      </c>
      <c r="E65" s="13">
        <v>3356</v>
      </c>
      <c r="F65" s="13">
        <v>3356</v>
      </c>
      <c r="G65" s="12"/>
      <c r="H65" s="12">
        <v>300</v>
      </c>
      <c r="I65" s="24" t="s">
        <v>148</v>
      </c>
      <c r="J65" s="2">
        <v>101</v>
      </c>
    </row>
    <row r="66" spans="1:10" ht="30">
      <c r="A66" s="44" t="s">
        <v>262</v>
      </c>
      <c r="B66" s="33" t="s">
        <v>263</v>
      </c>
      <c r="C66" s="51" t="s">
        <v>151</v>
      </c>
      <c r="D66" s="12">
        <v>50</v>
      </c>
      <c r="E66" s="13">
        <v>3356</v>
      </c>
      <c r="F66" s="13">
        <v>3356</v>
      </c>
      <c r="G66" s="12"/>
      <c r="H66" s="12">
        <v>50</v>
      </c>
      <c r="I66" s="24" t="s">
        <v>148</v>
      </c>
      <c r="J66" s="2">
        <v>87</v>
      </c>
    </row>
    <row r="67" spans="1:10" ht="30">
      <c r="A67" s="44" t="s">
        <v>294</v>
      </c>
      <c r="B67" s="33" t="s">
        <v>295</v>
      </c>
      <c r="C67" s="51" t="s">
        <v>151</v>
      </c>
      <c r="D67" s="12">
        <v>20</v>
      </c>
      <c r="E67" s="13">
        <v>3356</v>
      </c>
      <c r="F67" s="13">
        <v>198</v>
      </c>
      <c r="G67" s="12"/>
      <c r="H67" s="12"/>
      <c r="I67" s="24" t="s">
        <v>148</v>
      </c>
      <c r="J67" s="2" t="s">
        <v>293</v>
      </c>
    </row>
    <row r="68" spans="1:10" ht="30">
      <c r="A68" s="44" t="s">
        <v>255</v>
      </c>
      <c r="B68" s="33" t="s">
        <v>256</v>
      </c>
      <c r="C68" s="51" t="s">
        <v>151</v>
      </c>
      <c r="D68" s="12">
        <v>40</v>
      </c>
      <c r="E68" s="13">
        <v>3356</v>
      </c>
      <c r="F68" s="13">
        <v>3356</v>
      </c>
      <c r="G68" s="12"/>
      <c r="H68" s="12">
        <v>40</v>
      </c>
      <c r="I68" s="24" t="s">
        <v>148</v>
      </c>
      <c r="J68" s="2">
        <v>83</v>
      </c>
    </row>
    <row r="69" spans="1:10" ht="30">
      <c r="A69" s="44" t="s">
        <v>259</v>
      </c>
      <c r="B69" s="33" t="s">
        <v>260</v>
      </c>
      <c r="C69" s="51" t="s">
        <v>151</v>
      </c>
      <c r="D69" s="12">
        <v>50</v>
      </c>
      <c r="E69" s="13">
        <v>3356</v>
      </c>
      <c r="F69" s="13">
        <v>3356</v>
      </c>
      <c r="G69" s="12"/>
      <c r="H69" s="12">
        <v>50</v>
      </c>
      <c r="I69" s="24" t="s">
        <v>148</v>
      </c>
      <c r="J69" s="2">
        <v>85</v>
      </c>
    </row>
    <row r="70" spans="1:10" ht="150">
      <c r="A70" s="70" t="s">
        <v>73</v>
      </c>
      <c r="B70" s="71" t="s">
        <v>74</v>
      </c>
      <c r="C70" s="72" t="s">
        <v>68</v>
      </c>
      <c r="D70" s="12">
        <v>30</v>
      </c>
      <c r="E70" s="13">
        <v>0.62645238095238098</v>
      </c>
      <c r="F70" s="13">
        <v>8770.3333333333339</v>
      </c>
      <c r="G70" s="12"/>
      <c r="H70" s="12">
        <v>30</v>
      </c>
      <c r="I70" s="23" t="s">
        <v>65</v>
      </c>
      <c r="J70" s="68">
        <v>4</v>
      </c>
    </row>
    <row r="71" spans="1:10" ht="30">
      <c r="A71" s="44" t="s">
        <v>361</v>
      </c>
      <c r="B71" s="33" t="s">
        <v>358</v>
      </c>
      <c r="C71" s="51" t="s">
        <v>151</v>
      </c>
      <c r="D71" s="12">
        <v>8</v>
      </c>
      <c r="E71" s="13">
        <v>1537.48</v>
      </c>
      <c r="F71" s="13">
        <v>1537.48</v>
      </c>
      <c r="G71" s="12"/>
      <c r="H71" s="12">
        <v>8</v>
      </c>
      <c r="I71" s="24" t="s">
        <v>148</v>
      </c>
      <c r="J71" s="2">
        <v>139</v>
      </c>
    </row>
    <row r="72" spans="1:10" ht="30">
      <c r="A72" s="44" t="s">
        <v>362</v>
      </c>
      <c r="B72" s="33" t="s">
        <v>363</v>
      </c>
      <c r="C72" s="51" t="s">
        <v>151</v>
      </c>
      <c r="D72" s="12">
        <v>24</v>
      </c>
      <c r="E72" s="13">
        <v>1537.48</v>
      </c>
      <c r="F72" s="13">
        <v>23075.289999999997</v>
      </c>
      <c r="G72" s="12"/>
      <c r="H72" s="12">
        <v>24</v>
      </c>
      <c r="I72" s="24" t="s">
        <v>148</v>
      </c>
      <c r="J72" s="2">
        <v>140</v>
      </c>
    </row>
    <row r="73" spans="1:10" ht="30">
      <c r="A73" s="44" t="s">
        <v>359</v>
      </c>
      <c r="B73" s="33" t="s">
        <v>360</v>
      </c>
      <c r="C73" s="51" t="s">
        <v>151</v>
      </c>
      <c r="D73" s="12">
        <v>50</v>
      </c>
      <c r="E73" s="13">
        <v>1537.48</v>
      </c>
      <c r="F73" s="13">
        <v>1537.48</v>
      </c>
      <c r="G73" s="12"/>
      <c r="H73" s="12">
        <v>50</v>
      </c>
      <c r="I73" s="24" t="s">
        <v>148</v>
      </c>
      <c r="J73" s="2">
        <v>138</v>
      </c>
    </row>
    <row r="74" spans="1:10">
      <c r="A74" s="44" t="s">
        <v>357</v>
      </c>
      <c r="B74" s="33" t="s">
        <v>358</v>
      </c>
      <c r="C74" s="51" t="s">
        <v>151</v>
      </c>
      <c r="D74" s="12">
        <v>50</v>
      </c>
      <c r="E74" s="13">
        <v>1537.48</v>
      </c>
      <c r="F74" s="13">
        <v>1537.48</v>
      </c>
      <c r="G74" s="12"/>
      <c r="H74" s="12">
        <v>50</v>
      </c>
      <c r="I74" s="24" t="s">
        <v>148</v>
      </c>
      <c r="J74" s="2">
        <v>137</v>
      </c>
    </row>
    <row r="75" spans="1:10" ht="30">
      <c r="A75" s="45" t="s">
        <v>374</v>
      </c>
      <c r="B75" s="34" t="s">
        <v>375</v>
      </c>
      <c r="C75" s="52" t="s">
        <v>151</v>
      </c>
      <c r="D75" s="12">
        <v>12</v>
      </c>
      <c r="E75" s="13">
        <v>1537.48</v>
      </c>
      <c r="F75" s="13">
        <v>11057</v>
      </c>
      <c r="G75" s="12"/>
      <c r="H75" s="12">
        <v>12</v>
      </c>
      <c r="I75" s="24" t="s">
        <v>148</v>
      </c>
      <c r="J75" s="9">
        <v>146</v>
      </c>
    </row>
    <row r="76" spans="1:10" ht="30">
      <c r="A76" s="44" t="s">
        <v>366</v>
      </c>
      <c r="B76" s="33" t="s">
        <v>367</v>
      </c>
      <c r="C76" s="51" t="s">
        <v>151</v>
      </c>
      <c r="D76" s="12">
        <v>16</v>
      </c>
      <c r="E76" s="13">
        <v>2727.48</v>
      </c>
      <c r="F76" s="13">
        <v>23075</v>
      </c>
      <c r="G76" s="12"/>
      <c r="H76" s="12">
        <v>16</v>
      </c>
      <c r="I76" s="24" t="s">
        <v>148</v>
      </c>
      <c r="J76" s="2">
        <v>142</v>
      </c>
    </row>
    <row r="77" spans="1:10" ht="30">
      <c r="A77" s="44" t="s">
        <v>372</v>
      </c>
      <c r="B77" s="33" t="s">
        <v>373</v>
      </c>
      <c r="C77" s="51" t="s">
        <v>151</v>
      </c>
      <c r="D77" s="12">
        <v>15</v>
      </c>
      <c r="E77" s="13">
        <v>1537.48</v>
      </c>
      <c r="F77" s="13">
        <v>1537.48</v>
      </c>
      <c r="G77" s="12"/>
      <c r="H77" s="12">
        <v>15</v>
      </c>
      <c r="I77" s="24" t="s">
        <v>148</v>
      </c>
      <c r="J77" s="2">
        <v>145</v>
      </c>
    </row>
    <row r="78" spans="1:10" ht="30">
      <c r="A78" s="44" t="s">
        <v>370</v>
      </c>
      <c r="B78" s="33" t="s">
        <v>371</v>
      </c>
      <c r="C78" s="51" t="s">
        <v>151</v>
      </c>
      <c r="D78" s="12">
        <v>15</v>
      </c>
      <c r="E78" s="13">
        <v>11057</v>
      </c>
      <c r="F78" s="13">
        <v>1537.48</v>
      </c>
      <c r="G78" s="12"/>
      <c r="H78" s="12">
        <v>15</v>
      </c>
      <c r="I78" s="24" t="s">
        <v>148</v>
      </c>
      <c r="J78" s="2">
        <v>144</v>
      </c>
    </row>
    <row r="79" spans="1:10" ht="45">
      <c r="A79" s="45" t="s">
        <v>376</v>
      </c>
      <c r="B79" s="34" t="s">
        <v>377</v>
      </c>
      <c r="C79" s="52" t="s">
        <v>151</v>
      </c>
      <c r="D79" s="12">
        <v>20</v>
      </c>
      <c r="E79" s="13">
        <v>11057</v>
      </c>
      <c r="F79" s="13">
        <v>2727.48</v>
      </c>
      <c r="G79" s="12"/>
      <c r="H79" s="12">
        <v>20</v>
      </c>
      <c r="I79" s="24" t="s">
        <v>148</v>
      </c>
      <c r="J79" s="9">
        <v>147</v>
      </c>
    </row>
    <row r="80" spans="1:10" ht="30">
      <c r="A80" s="44" t="s">
        <v>592</v>
      </c>
      <c r="B80" s="33" t="s">
        <v>593</v>
      </c>
      <c r="C80" s="51" t="s">
        <v>151</v>
      </c>
      <c r="D80" s="12">
        <v>2000</v>
      </c>
      <c r="E80" s="13">
        <v>375</v>
      </c>
      <c r="F80" s="13">
        <v>375</v>
      </c>
      <c r="G80" s="12"/>
      <c r="H80" s="12">
        <v>2000</v>
      </c>
      <c r="I80" s="24" t="s">
        <v>148</v>
      </c>
      <c r="J80" s="2">
        <v>265</v>
      </c>
    </row>
    <row r="81" spans="1:10" ht="30">
      <c r="A81" s="44" t="s">
        <v>596</v>
      </c>
      <c r="B81" s="33" t="s">
        <v>595</v>
      </c>
      <c r="C81" s="51" t="s">
        <v>151</v>
      </c>
      <c r="D81" s="12">
        <v>300</v>
      </c>
      <c r="E81" s="13">
        <v>1006.6666666666666</v>
      </c>
      <c r="F81" s="13">
        <v>375</v>
      </c>
      <c r="G81" s="12"/>
      <c r="H81" s="12">
        <v>300</v>
      </c>
      <c r="I81" s="24" t="s">
        <v>148</v>
      </c>
      <c r="J81" s="2">
        <v>267</v>
      </c>
    </row>
    <row r="82" spans="1:10">
      <c r="A82" s="44" t="s">
        <v>594</v>
      </c>
      <c r="B82" s="33" t="s">
        <v>595</v>
      </c>
      <c r="C82" s="51" t="s">
        <v>151</v>
      </c>
      <c r="D82" s="12">
        <v>100</v>
      </c>
      <c r="E82" s="13">
        <v>375</v>
      </c>
      <c r="F82" s="13">
        <v>1006.6666666666666</v>
      </c>
      <c r="G82" s="12"/>
      <c r="H82" s="12">
        <v>100</v>
      </c>
      <c r="I82" s="24" t="s">
        <v>148</v>
      </c>
      <c r="J82" s="2">
        <v>266</v>
      </c>
    </row>
    <row r="83" spans="1:10" ht="30">
      <c r="A83" s="44" t="s">
        <v>597</v>
      </c>
      <c r="B83" s="33" t="s">
        <v>598</v>
      </c>
      <c r="C83" s="51" t="s">
        <v>151</v>
      </c>
      <c r="D83" s="12">
        <v>200</v>
      </c>
      <c r="E83" s="13">
        <v>375</v>
      </c>
      <c r="F83" s="13">
        <v>375</v>
      </c>
      <c r="G83" s="12"/>
      <c r="H83" s="12">
        <v>200</v>
      </c>
      <c r="I83" s="24" t="s">
        <v>148</v>
      </c>
      <c r="J83" s="2">
        <v>268</v>
      </c>
    </row>
    <row r="84" spans="1:10" ht="30">
      <c r="A84" s="44" t="s">
        <v>597</v>
      </c>
      <c r="B84" s="33" t="s">
        <v>598</v>
      </c>
      <c r="C84" s="51" t="s">
        <v>151</v>
      </c>
      <c r="D84" s="12">
        <v>50</v>
      </c>
      <c r="E84" s="13">
        <v>375</v>
      </c>
      <c r="F84" s="13">
        <v>455.66624999999999</v>
      </c>
      <c r="G84" s="12"/>
      <c r="H84" s="12">
        <v>50</v>
      </c>
      <c r="I84" s="24" t="s">
        <v>148</v>
      </c>
      <c r="J84" s="2">
        <v>269</v>
      </c>
    </row>
    <row r="85" spans="1:10">
      <c r="A85" s="44" t="s">
        <v>499</v>
      </c>
      <c r="B85" s="33" t="s">
        <v>500</v>
      </c>
      <c r="C85" s="51" t="s">
        <v>151</v>
      </c>
      <c r="D85" s="12">
        <v>1000</v>
      </c>
      <c r="E85" s="13">
        <v>177.31</v>
      </c>
      <c r="F85" s="13">
        <v>177.31</v>
      </c>
      <c r="G85" s="12"/>
      <c r="H85" s="12">
        <v>1000</v>
      </c>
      <c r="I85" s="24" t="s">
        <v>148</v>
      </c>
      <c r="J85" s="2">
        <v>198</v>
      </c>
    </row>
    <row r="86" spans="1:10">
      <c r="A86" s="44" t="s">
        <v>505</v>
      </c>
      <c r="B86" s="33" t="s">
        <v>506</v>
      </c>
      <c r="C86" s="51" t="s">
        <v>151</v>
      </c>
      <c r="D86" s="12">
        <v>2500</v>
      </c>
      <c r="E86" s="13">
        <v>177.31</v>
      </c>
      <c r="F86" s="13">
        <v>2885.5</v>
      </c>
      <c r="G86" s="12"/>
      <c r="H86" s="12">
        <v>2500</v>
      </c>
      <c r="I86" s="24" t="s">
        <v>148</v>
      </c>
      <c r="J86" s="2">
        <v>201</v>
      </c>
    </row>
    <row r="87" spans="1:10">
      <c r="A87" s="44" t="s">
        <v>501</v>
      </c>
      <c r="B87" s="33" t="s">
        <v>502</v>
      </c>
      <c r="C87" s="51" t="s">
        <v>151</v>
      </c>
      <c r="D87" s="12">
        <v>500</v>
      </c>
      <c r="E87" s="13">
        <v>177.31</v>
      </c>
      <c r="F87" s="13">
        <v>177.31</v>
      </c>
      <c r="G87" s="12"/>
      <c r="H87" s="12">
        <v>500</v>
      </c>
      <c r="I87" s="24" t="s">
        <v>148</v>
      </c>
      <c r="J87" s="2">
        <v>199</v>
      </c>
    </row>
    <row r="88" spans="1:10">
      <c r="A88" s="44" t="s">
        <v>503</v>
      </c>
      <c r="B88" s="33" t="s">
        <v>504</v>
      </c>
      <c r="C88" s="51" t="s">
        <v>151</v>
      </c>
      <c r="D88" s="12">
        <v>3500</v>
      </c>
      <c r="E88" s="13">
        <v>177.31</v>
      </c>
      <c r="F88" s="13">
        <v>177.31</v>
      </c>
      <c r="G88" s="12"/>
      <c r="H88" s="12">
        <v>3500</v>
      </c>
      <c r="I88" s="24" t="s">
        <v>148</v>
      </c>
      <c r="J88" s="2">
        <v>200</v>
      </c>
    </row>
    <row r="89" spans="1:10" ht="30">
      <c r="A89" s="46" t="s">
        <v>178</v>
      </c>
      <c r="B89" s="35" t="s">
        <v>150</v>
      </c>
      <c r="C89" s="53" t="s">
        <v>151</v>
      </c>
      <c r="D89" s="12">
        <v>192</v>
      </c>
      <c r="E89" s="13">
        <v>1280.44</v>
      </c>
      <c r="F89" s="13">
        <v>1280.44</v>
      </c>
      <c r="G89" s="12"/>
      <c r="H89" s="12">
        <v>192</v>
      </c>
      <c r="I89" s="24" t="s">
        <v>148</v>
      </c>
      <c r="J89" s="6">
        <v>26</v>
      </c>
    </row>
    <row r="90" spans="1:10">
      <c r="A90" s="47" t="s">
        <v>182</v>
      </c>
      <c r="B90" s="36" t="s">
        <v>150</v>
      </c>
      <c r="C90" s="54" t="s">
        <v>151</v>
      </c>
      <c r="D90" s="12">
        <v>400</v>
      </c>
      <c r="E90" s="13">
        <v>1280.44</v>
      </c>
      <c r="F90" s="13">
        <v>1280.44</v>
      </c>
      <c r="G90" s="12"/>
      <c r="H90" s="12">
        <v>400</v>
      </c>
      <c r="I90" s="24" t="s">
        <v>148</v>
      </c>
      <c r="J90" s="7">
        <v>30</v>
      </c>
    </row>
    <row r="91" spans="1:10">
      <c r="A91" s="46" t="s">
        <v>181</v>
      </c>
      <c r="B91" s="35" t="s">
        <v>150</v>
      </c>
      <c r="C91" s="53" t="s">
        <v>151</v>
      </c>
      <c r="D91" s="12">
        <v>20</v>
      </c>
      <c r="E91" s="13">
        <v>1280.44</v>
      </c>
      <c r="F91" s="13">
        <v>1280.44</v>
      </c>
      <c r="G91" s="12"/>
      <c r="H91" s="12">
        <v>20</v>
      </c>
      <c r="I91" s="24" t="s">
        <v>148</v>
      </c>
      <c r="J91" s="6">
        <v>29</v>
      </c>
    </row>
    <row r="92" spans="1:10" ht="30">
      <c r="A92" s="46" t="s">
        <v>180</v>
      </c>
      <c r="B92" s="35" t="s">
        <v>150</v>
      </c>
      <c r="C92" s="53" t="s">
        <v>151</v>
      </c>
      <c r="D92" s="12">
        <v>46</v>
      </c>
      <c r="E92" s="13">
        <v>1280.44</v>
      </c>
      <c r="F92" s="13">
        <v>1280.44</v>
      </c>
      <c r="G92" s="12"/>
      <c r="H92" s="12">
        <v>46</v>
      </c>
      <c r="I92" s="24" t="s">
        <v>148</v>
      </c>
      <c r="J92" s="6">
        <v>28</v>
      </c>
    </row>
    <row r="93" spans="1:10" ht="30">
      <c r="A93" s="46" t="s">
        <v>179</v>
      </c>
      <c r="B93" s="35" t="s">
        <v>150</v>
      </c>
      <c r="C93" s="53" t="s">
        <v>151</v>
      </c>
      <c r="D93" s="12">
        <v>20</v>
      </c>
      <c r="E93" s="13">
        <v>1280.44</v>
      </c>
      <c r="F93" s="13">
        <v>1280.44</v>
      </c>
      <c r="G93" s="12"/>
      <c r="H93" s="12">
        <v>20</v>
      </c>
      <c r="I93" s="24" t="s">
        <v>148</v>
      </c>
      <c r="J93" s="6">
        <v>27</v>
      </c>
    </row>
    <row r="94" spans="1:10" ht="30">
      <c r="A94" s="46" t="s">
        <v>183</v>
      </c>
      <c r="B94" s="35" t="s">
        <v>150</v>
      </c>
      <c r="C94" s="53" t="s">
        <v>151</v>
      </c>
      <c r="D94" s="12">
        <v>20</v>
      </c>
      <c r="E94" s="13">
        <v>1280.44</v>
      </c>
      <c r="F94" s="13">
        <v>1280.44</v>
      </c>
      <c r="G94" s="12"/>
      <c r="H94" s="12">
        <v>20</v>
      </c>
      <c r="I94" s="24" t="s">
        <v>148</v>
      </c>
      <c r="J94" s="6">
        <v>31</v>
      </c>
    </row>
    <row r="95" spans="1:10">
      <c r="A95" s="47" t="s">
        <v>177</v>
      </c>
      <c r="B95" s="36" t="s">
        <v>150</v>
      </c>
      <c r="C95" s="54" t="s">
        <v>151</v>
      </c>
      <c r="D95" s="12">
        <v>0</v>
      </c>
      <c r="E95" s="13">
        <v>1280.44</v>
      </c>
      <c r="F95" s="13">
        <v>1280.44</v>
      </c>
      <c r="G95" s="12"/>
      <c r="H95" s="12">
        <v>0</v>
      </c>
      <c r="I95" s="24" t="s">
        <v>148</v>
      </c>
      <c r="J95" s="7">
        <v>25</v>
      </c>
    </row>
    <row r="96" spans="1:10" ht="30">
      <c r="A96" s="45" t="s">
        <v>391</v>
      </c>
      <c r="B96" s="34" t="s">
        <v>392</v>
      </c>
      <c r="C96" s="52" t="s">
        <v>151</v>
      </c>
      <c r="D96" s="12">
        <v>8</v>
      </c>
      <c r="E96" s="13">
        <v>14750</v>
      </c>
      <c r="F96" s="13">
        <v>14750</v>
      </c>
      <c r="G96" s="12"/>
      <c r="H96" s="12">
        <v>8</v>
      </c>
      <c r="I96" s="24" t="s">
        <v>148</v>
      </c>
      <c r="J96" s="9">
        <v>148</v>
      </c>
    </row>
    <row r="97" spans="1:10">
      <c r="A97" s="45" t="s">
        <v>393</v>
      </c>
      <c r="B97" s="34" t="s">
        <v>394</v>
      </c>
      <c r="C97" s="52" t="s">
        <v>151</v>
      </c>
      <c r="D97" s="12">
        <v>20</v>
      </c>
      <c r="E97" s="13">
        <v>14750</v>
      </c>
      <c r="F97" s="13">
        <v>1900</v>
      </c>
      <c r="G97" s="12"/>
      <c r="H97" s="12">
        <v>20</v>
      </c>
      <c r="I97" s="24" t="s">
        <v>148</v>
      </c>
      <c r="J97" s="9">
        <v>149</v>
      </c>
    </row>
    <row r="98" spans="1:10" ht="30">
      <c r="A98" s="70" t="s">
        <v>63</v>
      </c>
      <c r="B98" s="71" t="s">
        <v>64</v>
      </c>
      <c r="C98" s="72" t="s">
        <v>36</v>
      </c>
      <c r="D98" s="12"/>
      <c r="E98" s="13">
        <v>1</v>
      </c>
      <c r="F98" s="13">
        <v>1</v>
      </c>
      <c r="G98" s="12"/>
      <c r="H98" s="12">
        <v>0</v>
      </c>
      <c r="I98" s="22" t="s">
        <v>33</v>
      </c>
      <c r="J98" s="68">
        <v>16</v>
      </c>
    </row>
    <row r="99" spans="1:10" ht="30">
      <c r="A99" s="44" t="s">
        <v>801</v>
      </c>
      <c r="B99" s="33" t="s">
        <v>802</v>
      </c>
      <c r="C99" s="51" t="s">
        <v>151</v>
      </c>
      <c r="D99" s="12">
        <v>40</v>
      </c>
      <c r="E99" s="13">
        <v>4799.2700000000004</v>
      </c>
      <c r="F99" s="13">
        <v>0</v>
      </c>
      <c r="G99" s="12"/>
      <c r="H99" s="12">
        <v>40</v>
      </c>
      <c r="I99" s="24" t="s">
        <v>148</v>
      </c>
      <c r="J99" s="2">
        <v>391</v>
      </c>
    </row>
    <row r="100" spans="1:10" ht="30">
      <c r="A100" s="44" t="s">
        <v>799</v>
      </c>
      <c r="B100" s="33" t="s">
        <v>800</v>
      </c>
      <c r="C100" s="51" t="s">
        <v>151</v>
      </c>
      <c r="D100" s="12">
        <v>40</v>
      </c>
      <c r="E100" s="13">
        <v>4799.2700000000004</v>
      </c>
      <c r="F100" s="13">
        <v>4799.2700000000004</v>
      </c>
      <c r="G100" s="12"/>
      <c r="H100" s="12">
        <v>40</v>
      </c>
      <c r="I100" s="24" t="s">
        <v>148</v>
      </c>
      <c r="J100" s="2">
        <v>390</v>
      </c>
    </row>
    <row r="101" spans="1:10" ht="30">
      <c r="A101" s="44" t="s">
        <v>416</v>
      </c>
      <c r="B101" s="33" t="s">
        <v>417</v>
      </c>
      <c r="C101" s="51" t="s">
        <v>151</v>
      </c>
      <c r="D101" s="12">
        <v>40</v>
      </c>
      <c r="E101" s="13">
        <v>1000</v>
      </c>
      <c r="F101" s="13">
        <v>6957.9299999999994</v>
      </c>
      <c r="G101" s="12"/>
      <c r="H101" s="12">
        <v>40</v>
      </c>
      <c r="I101" s="24" t="s">
        <v>148</v>
      </c>
      <c r="J101" s="2">
        <v>158</v>
      </c>
    </row>
    <row r="102" spans="1:10" ht="30">
      <c r="A102" s="44" t="s">
        <v>414</v>
      </c>
      <c r="B102" s="33" t="s">
        <v>415</v>
      </c>
      <c r="C102" s="51" t="s">
        <v>151</v>
      </c>
      <c r="D102" s="12">
        <v>40</v>
      </c>
      <c r="E102" s="13">
        <v>1000</v>
      </c>
      <c r="F102" s="13">
        <v>1000</v>
      </c>
      <c r="G102" s="12"/>
      <c r="H102" s="12">
        <v>40</v>
      </c>
      <c r="I102" s="24" t="s">
        <v>148</v>
      </c>
      <c r="J102" s="2">
        <v>157</v>
      </c>
    </row>
    <row r="103" spans="1:10" ht="30">
      <c r="A103" s="44" t="s">
        <v>426</v>
      </c>
      <c r="B103" s="33" t="s">
        <v>427</v>
      </c>
      <c r="C103" s="51" t="s">
        <v>151</v>
      </c>
      <c r="D103" s="12">
        <v>12</v>
      </c>
      <c r="E103" s="13">
        <v>6957.9299999999994</v>
      </c>
      <c r="F103" s="13">
        <v>6957.9299999999994</v>
      </c>
      <c r="G103" s="12"/>
      <c r="H103" s="12">
        <v>12</v>
      </c>
      <c r="I103" s="24" t="s">
        <v>148</v>
      </c>
      <c r="J103" s="2">
        <v>164</v>
      </c>
    </row>
    <row r="104" spans="1:10" ht="30">
      <c r="A104" s="44" t="s">
        <v>408</v>
      </c>
      <c r="B104" s="33" t="s">
        <v>409</v>
      </c>
      <c r="C104" s="51" t="s">
        <v>151</v>
      </c>
      <c r="D104" s="12">
        <v>40</v>
      </c>
      <c r="E104" s="13">
        <v>6957.9299999999994</v>
      </c>
      <c r="F104" s="13">
        <v>6957.9299999999994</v>
      </c>
      <c r="G104" s="12"/>
      <c r="H104" s="12">
        <v>40</v>
      </c>
      <c r="I104" s="24" t="s">
        <v>148</v>
      </c>
      <c r="J104" s="2">
        <v>154</v>
      </c>
    </row>
    <row r="105" spans="1:10" ht="30">
      <c r="A105" s="44" t="s">
        <v>410</v>
      </c>
      <c r="B105" s="33" t="s">
        <v>411</v>
      </c>
      <c r="C105" s="51" t="s">
        <v>151</v>
      </c>
      <c r="D105" s="12">
        <v>50</v>
      </c>
      <c r="E105" s="13">
        <v>6957.9299999999994</v>
      </c>
      <c r="F105" s="13">
        <v>6957.9299999999994</v>
      </c>
      <c r="G105" s="12"/>
      <c r="H105" s="12">
        <v>50</v>
      </c>
      <c r="I105" s="24" t="s">
        <v>148</v>
      </c>
      <c r="J105" s="2">
        <v>155</v>
      </c>
    </row>
    <row r="106" spans="1:10" ht="30">
      <c r="A106" s="44" t="s">
        <v>412</v>
      </c>
      <c r="B106" s="33" t="s">
        <v>413</v>
      </c>
      <c r="C106" s="51" t="s">
        <v>151</v>
      </c>
      <c r="D106" s="12">
        <v>20</v>
      </c>
      <c r="E106" s="13">
        <v>6957.9299999999994</v>
      </c>
      <c r="F106" s="13">
        <v>1000</v>
      </c>
      <c r="G106" s="12"/>
      <c r="H106" s="12">
        <v>20</v>
      </c>
      <c r="I106" s="24" t="s">
        <v>148</v>
      </c>
      <c r="J106" s="2">
        <v>156</v>
      </c>
    </row>
    <row r="107" spans="1:10" ht="30">
      <c r="A107" s="44" t="s">
        <v>422</v>
      </c>
      <c r="B107" s="33" t="s">
        <v>423</v>
      </c>
      <c r="C107" s="51" t="s">
        <v>151</v>
      </c>
      <c r="D107" s="12">
        <v>20</v>
      </c>
      <c r="E107" s="13">
        <v>6957.9299999999994</v>
      </c>
      <c r="F107" s="13">
        <v>6957.9299999999994</v>
      </c>
      <c r="G107" s="12"/>
      <c r="H107" s="12">
        <v>20</v>
      </c>
      <c r="I107" s="24" t="s">
        <v>148</v>
      </c>
      <c r="J107" s="2">
        <v>162</v>
      </c>
    </row>
    <row r="108" spans="1:10" ht="30">
      <c r="A108" s="44" t="s">
        <v>420</v>
      </c>
      <c r="B108" s="33" t="s">
        <v>421</v>
      </c>
      <c r="C108" s="51" t="s">
        <v>151</v>
      </c>
      <c r="D108" s="12">
        <v>20</v>
      </c>
      <c r="E108" s="13">
        <v>6957.9299999999994</v>
      </c>
      <c r="F108" s="13">
        <v>6957.9299999999994</v>
      </c>
      <c r="G108" s="12"/>
      <c r="H108" s="12">
        <v>20</v>
      </c>
      <c r="I108" s="24" t="s">
        <v>148</v>
      </c>
      <c r="J108" s="2">
        <v>160</v>
      </c>
    </row>
    <row r="109" spans="1:10" ht="30">
      <c r="A109" s="44" t="s">
        <v>420</v>
      </c>
      <c r="B109" s="33" t="s">
        <v>421</v>
      </c>
      <c r="C109" s="51" t="s">
        <v>151</v>
      </c>
      <c r="D109" s="12">
        <v>20</v>
      </c>
      <c r="E109" s="13">
        <v>6957.9299999999994</v>
      </c>
      <c r="F109" s="13">
        <v>6957.9299999999994</v>
      </c>
      <c r="G109" s="12"/>
      <c r="H109" s="12">
        <v>20</v>
      </c>
      <c r="I109" s="24" t="s">
        <v>148</v>
      </c>
      <c r="J109" s="2">
        <v>161</v>
      </c>
    </row>
    <row r="110" spans="1:10" ht="30">
      <c r="A110" s="45" t="s">
        <v>402</v>
      </c>
      <c r="B110" s="34" t="s">
        <v>403</v>
      </c>
      <c r="C110" s="52" t="s">
        <v>151</v>
      </c>
      <c r="D110" s="12">
        <v>30</v>
      </c>
      <c r="E110" s="13">
        <v>6957.9299999999994</v>
      </c>
      <c r="F110" s="13">
        <v>6957.9299999999994</v>
      </c>
      <c r="G110" s="12"/>
      <c r="H110" s="12">
        <v>30</v>
      </c>
      <c r="I110" s="24" t="s">
        <v>148</v>
      </c>
      <c r="J110" s="9">
        <v>151</v>
      </c>
    </row>
    <row r="111" spans="1:10" ht="30">
      <c r="A111" s="45" t="s">
        <v>400</v>
      </c>
      <c r="B111" s="34" t="s">
        <v>401</v>
      </c>
      <c r="C111" s="52" t="s">
        <v>151</v>
      </c>
      <c r="D111" s="12">
        <v>20</v>
      </c>
      <c r="E111" s="13">
        <v>6957.9299999999994</v>
      </c>
      <c r="F111" s="13">
        <v>6957.9299999999994</v>
      </c>
      <c r="G111" s="12"/>
      <c r="H111" s="12">
        <v>20</v>
      </c>
      <c r="I111" s="24" t="s">
        <v>148</v>
      </c>
      <c r="J111" s="9">
        <v>150</v>
      </c>
    </row>
    <row r="112" spans="1:10" ht="30">
      <c r="A112" s="44" t="s">
        <v>424</v>
      </c>
      <c r="B112" s="33" t="s">
        <v>425</v>
      </c>
      <c r="C112" s="51" t="s">
        <v>151</v>
      </c>
      <c r="D112" s="12">
        <v>10</v>
      </c>
      <c r="E112" s="13">
        <v>6957.9299999999994</v>
      </c>
      <c r="F112" s="13">
        <v>6957.9299999999994</v>
      </c>
      <c r="G112" s="12"/>
      <c r="H112" s="12">
        <v>10</v>
      </c>
      <c r="I112" s="24" t="s">
        <v>148</v>
      </c>
      <c r="J112" s="2">
        <v>163</v>
      </c>
    </row>
    <row r="113" spans="1:10" ht="30">
      <c r="A113" s="44" t="s">
        <v>418</v>
      </c>
      <c r="B113" s="33" t="s">
        <v>419</v>
      </c>
      <c r="C113" s="51" t="s">
        <v>151</v>
      </c>
      <c r="D113" s="12">
        <v>15</v>
      </c>
      <c r="E113" s="13">
        <v>6957.9299999999994</v>
      </c>
      <c r="F113" s="13">
        <v>6957.9299999999994</v>
      </c>
      <c r="G113" s="12"/>
      <c r="H113" s="12">
        <v>15</v>
      </c>
      <c r="I113" s="24" t="s">
        <v>148</v>
      </c>
      <c r="J113" s="2">
        <v>159</v>
      </c>
    </row>
    <row r="114" spans="1:10" ht="30">
      <c r="A114" s="44" t="s">
        <v>404</v>
      </c>
      <c r="B114" s="33" t="s">
        <v>405</v>
      </c>
      <c r="C114" s="51" t="s">
        <v>151</v>
      </c>
      <c r="D114" s="12">
        <v>10</v>
      </c>
      <c r="E114" s="13">
        <v>6957.9299999999994</v>
      </c>
      <c r="F114" s="13">
        <v>6957.9299999999994</v>
      </c>
      <c r="G114" s="12"/>
      <c r="H114" s="12">
        <v>10</v>
      </c>
      <c r="I114" s="24" t="s">
        <v>148</v>
      </c>
      <c r="J114" s="2">
        <v>152</v>
      </c>
    </row>
    <row r="115" spans="1:10" ht="30">
      <c r="A115" s="44" t="s">
        <v>406</v>
      </c>
      <c r="B115" s="33" t="s">
        <v>407</v>
      </c>
      <c r="C115" s="51" t="s">
        <v>151</v>
      </c>
      <c r="D115" s="12">
        <v>15</v>
      </c>
      <c r="E115" s="13">
        <v>6957.9299999999994</v>
      </c>
      <c r="F115" s="13">
        <v>6957.9299999999994</v>
      </c>
      <c r="G115" s="12"/>
      <c r="H115" s="12">
        <v>15</v>
      </c>
      <c r="I115" s="24" t="s">
        <v>148</v>
      </c>
      <c r="J115" s="2">
        <v>153</v>
      </c>
    </row>
    <row r="116" spans="1:10">
      <c r="A116" s="44" t="s">
        <v>349</v>
      </c>
      <c r="B116" s="33" t="s">
        <v>350</v>
      </c>
      <c r="C116" s="51" t="s">
        <v>151</v>
      </c>
      <c r="D116" s="12">
        <v>100</v>
      </c>
      <c r="E116" s="13">
        <v>3700</v>
      </c>
      <c r="F116" s="13">
        <v>3700</v>
      </c>
      <c r="G116" s="12"/>
      <c r="H116" s="12">
        <v>100</v>
      </c>
      <c r="I116" s="24" t="s">
        <v>148</v>
      </c>
      <c r="J116" s="2">
        <v>133</v>
      </c>
    </row>
    <row r="117" spans="1:10">
      <c r="A117" s="44" t="s">
        <v>351</v>
      </c>
      <c r="B117" s="33" t="s">
        <v>352</v>
      </c>
      <c r="C117" s="51" t="s">
        <v>151</v>
      </c>
      <c r="D117" s="12">
        <v>30</v>
      </c>
      <c r="E117" s="13">
        <v>3700</v>
      </c>
      <c r="F117" s="13">
        <v>2727.48</v>
      </c>
      <c r="G117" s="12"/>
      <c r="H117" s="12">
        <v>30</v>
      </c>
      <c r="I117" s="24" t="s">
        <v>148</v>
      </c>
      <c r="J117" s="2">
        <v>134</v>
      </c>
    </row>
    <row r="118" spans="1:10" ht="63">
      <c r="A118" s="48" t="s">
        <v>107</v>
      </c>
      <c r="B118" s="37" t="s">
        <v>108</v>
      </c>
      <c r="C118" s="55" t="s">
        <v>68</v>
      </c>
      <c r="D118" s="12">
        <v>3</v>
      </c>
      <c r="E118" s="13">
        <v>1.2735714285714286</v>
      </c>
      <c r="F118" s="13">
        <v>17830</v>
      </c>
      <c r="G118" s="12"/>
      <c r="H118" s="12">
        <v>3</v>
      </c>
      <c r="I118" s="23" t="s">
        <v>106</v>
      </c>
      <c r="J118" s="8"/>
    </row>
    <row r="119" spans="1:10" ht="30">
      <c r="A119" s="44" t="s">
        <v>456</v>
      </c>
      <c r="B119" s="33" t="s">
        <v>457</v>
      </c>
      <c r="C119" s="51" t="s">
        <v>151</v>
      </c>
      <c r="D119" s="12">
        <v>20</v>
      </c>
      <c r="E119" s="13">
        <v>1200</v>
      </c>
      <c r="F119" s="13">
        <v>1200</v>
      </c>
      <c r="G119" s="12"/>
      <c r="H119" s="12">
        <v>20</v>
      </c>
      <c r="I119" s="24" t="s">
        <v>148</v>
      </c>
      <c r="J119" s="2">
        <v>179</v>
      </c>
    </row>
    <row r="120" spans="1:10" ht="30">
      <c r="A120" s="44" t="s">
        <v>454</v>
      </c>
      <c r="B120" s="33" t="s">
        <v>455</v>
      </c>
      <c r="C120" s="51" t="s">
        <v>151</v>
      </c>
      <c r="D120" s="12">
        <v>20</v>
      </c>
      <c r="E120" s="13">
        <v>1200</v>
      </c>
      <c r="F120" s="13">
        <v>1200</v>
      </c>
      <c r="G120" s="12"/>
      <c r="H120" s="12">
        <v>20</v>
      </c>
      <c r="I120" s="24" t="s">
        <v>148</v>
      </c>
      <c r="J120" s="2">
        <v>178</v>
      </c>
    </row>
    <row r="121" spans="1:10" ht="30">
      <c r="A121" s="44" t="s">
        <v>464</v>
      </c>
      <c r="B121" s="33" t="s">
        <v>465</v>
      </c>
      <c r="C121" s="51" t="s">
        <v>151</v>
      </c>
      <c r="D121" s="12">
        <v>30</v>
      </c>
      <c r="E121" s="13">
        <v>1200</v>
      </c>
      <c r="F121" s="13">
        <v>0</v>
      </c>
      <c r="G121" s="12"/>
      <c r="H121" s="12">
        <v>30</v>
      </c>
      <c r="I121" s="24" t="s">
        <v>148</v>
      </c>
      <c r="J121" s="2" t="s">
        <v>463</v>
      </c>
    </row>
    <row r="122" spans="1:10" ht="30">
      <c r="A122" s="44" t="s">
        <v>461</v>
      </c>
      <c r="B122" s="33" t="s">
        <v>462</v>
      </c>
      <c r="C122" s="51" t="s">
        <v>151</v>
      </c>
      <c r="D122" s="12">
        <v>30</v>
      </c>
      <c r="E122" s="13">
        <v>1200</v>
      </c>
      <c r="F122" s="13">
        <v>1200</v>
      </c>
      <c r="G122" s="12"/>
      <c r="H122" s="12">
        <v>30</v>
      </c>
      <c r="I122" s="24" t="s">
        <v>148</v>
      </c>
      <c r="J122" s="2" t="s">
        <v>460</v>
      </c>
    </row>
    <row r="123" spans="1:10" ht="30">
      <c r="A123" s="44" t="s">
        <v>466</v>
      </c>
      <c r="B123" s="33" t="s">
        <v>467</v>
      </c>
      <c r="C123" s="51" t="s">
        <v>151</v>
      </c>
      <c r="D123" s="12">
        <v>100</v>
      </c>
      <c r="E123" s="13">
        <v>1200</v>
      </c>
      <c r="F123" s="13">
        <v>1200</v>
      </c>
      <c r="G123" s="12"/>
      <c r="H123" s="12">
        <v>100</v>
      </c>
      <c r="I123" s="24" t="s">
        <v>148</v>
      </c>
      <c r="J123" s="2">
        <v>181</v>
      </c>
    </row>
    <row r="124" spans="1:10" ht="45">
      <c r="A124" s="44" t="s">
        <v>452</v>
      </c>
      <c r="B124" s="33" t="s">
        <v>453</v>
      </c>
      <c r="C124" s="51" t="s">
        <v>151</v>
      </c>
      <c r="D124" s="12">
        <v>20</v>
      </c>
      <c r="E124" s="13">
        <v>873.94</v>
      </c>
      <c r="F124" s="13">
        <v>1200</v>
      </c>
      <c r="G124" s="12"/>
      <c r="H124" s="12">
        <v>20</v>
      </c>
      <c r="I124" s="24" t="s">
        <v>148</v>
      </c>
      <c r="J124" s="2">
        <v>177</v>
      </c>
    </row>
    <row r="125" spans="1:10" ht="45">
      <c r="A125" s="44" t="s">
        <v>450</v>
      </c>
      <c r="B125" s="33" t="s">
        <v>451</v>
      </c>
      <c r="C125" s="51" t="s">
        <v>151</v>
      </c>
      <c r="D125" s="12">
        <v>20</v>
      </c>
      <c r="E125" s="13">
        <v>873.94</v>
      </c>
      <c r="F125" s="13">
        <v>873.94</v>
      </c>
      <c r="G125" s="12"/>
      <c r="H125" s="12">
        <v>20</v>
      </c>
      <c r="I125" s="24" t="s">
        <v>148</v>
      </c>
      <c r="J125" s="2">
        <v>176</v>
      </c>
    </row>
    <row r="126" spans="1:10" ht="45">
      <c r="A126" s="44" t="s">
        <v>448</v>
      </c>
      <c r="B126" s="33" t="s">
        <v>449</v>
      </c>
      <c r="C126" s="51" t="s">
        <v>151</v>
      </c>
      <c r="D126" s="12">
        <v>30</v>
      </c>
      <c r="E126" s="13">
        <v>873.94</v>
      </c>
      <c r="F126" s="13">
        <v>873.94</v>
      </c>
      <c r="G126" s="12"/>
      <c r="H126" s="12">
        <v>30</v>
      </c>
      <c r="I126" s="24" t="s">
        <v>148</v>
      </c>
      <c r="J126" s="2">
        <v>175</v>
      </c>
    </row>
    <row r="127" spans="1:10" ht="105">
      <c r="A127" s="70" t="s">
        <v>143</v>
      </c>
      <c r="B127" s="71" t="s">
        <v>144</v>
      </c>
      <c r="C127" s="72" t="s">
        <v>122</v>
      </c>
      <c r="D127" s="12">
        <v>100</v>
      </c>
      <c r="E127" s="13">
        <v>98</v>
      </c>
      <c r="F127" s="13">
        <v>9800</v>
      </c>
      <c r="G127" s="12"/>
      <c r="H127" s="12">
        <v>100</v>
      </c>
      <c r="I127" s="22" t="s">
        <v>138</v>
      </c>
      <c r="J127" s="68"/>
    </row>
    <row r="128" spans="1:10" ht="120">
      <c r="A128" s="70" t="s">
        <v>145</v>
      </c>
      <c r="B128" s="71" t="s">
        <v>146</v>
      </c>
      <c r="C128" s="72" t="s">
        <v>122</v>
      </c>
      <c r="D128" s="12">
        <v>80</v>
      </c>
      <c r="E128" s="13">
        <v>98</v>
      </c>
      <c r="F128" s="13">
        <v>9800</v>
      </c>
      <c r="G128" s="12"/>
      <c r="H128" s="12">
        <v>80</v>
      </c>
      <c r="I128" s="22" t="s">
        <v>138</v>
      </c>
      <c r="J128" s="68"/>
    </row>
    <row r="129" spans="1:10" ht="105">
      <c r="A129" s="70" t="s">
        <v>145</v>
      </c>
      <c r="B129" s="71" t="s">
        <v>147</v>
      </c>
      <c r="C129" s="72" t="s">
        <v>122</v>
      </c>
      <c r="D129" s="12">
        <v>100</v>
      </c>
      <c r="E129" s="13">
        <v>98</v>
      </c>
      <c r="F129" s="13">
        <v>9800</v>
      </c>
      <c r="G129" s="12"/>
      <c r="H129" s="12">
        <v>100</v>
      </c>
      <c r="I129" s="22" t="s">
        <v>138</v>
      </c>
      <c r="J129" s="68"/>
    </row>
    <row r="130" spans="1:10" ht="150">
      <c r="A130" s="70" t="s">
        <v>139</v>
      </c>
      <c r="B130" s="71" t="s">
        <v>140</v>
      </c>
      <c r="C130" s="72" t="s">
        <v>122</v>
      </c>
      <c r="D130" s="12">
        <v>800</v>
      </c>
      <c r="E130" s="13">
        <v>9.4350000000000005</v>
      </c>
      <c r="F130" s="13">
        <v>943.5</v>
      </c>
      <c r="G130" s="12"/>
      <c r="H130" s="12">
        <v>800</v>
      </c>
      <c r="I130" s="22" t="s">
        <v>138</v>
      </c>
      <c r="J130" s="68"/>
    </row>
    <row r="131" spans="1:10" ht="150">
      <c r="A131" s="70" t="s">
        <v>141</v>
      </c>
      <c r="B131" s="71" t="s">
        <v>140</v>
      </c>
      <c r="C131" s="72" t="s">
        <v>122</v>
      </c>
      <c r="D131" s="12">
        <v>0</v>
      </c>
      <c r="E131" s="13">
        <v>9.4350000000000005</v>
      </c>
      <c r="F131" s="13">
        <v>943.5</v>
      </c>
      <c r="G131" s="12"/>
      <c r="H131" s="12">
        <v>0</v>
      </c>
      <c r="I131" s="22" t="s">
        <v>138</v>
      </c>
      <c r="J131" s="68"/>
    </row>
    <row r="132" spans="1:10" ht="150">
      <c r="A132" s="70" t="s">
        <v>16</v>
      </c>
      <c r="B132" s="71" t="s">
        <v>142</v>
      </c>
      <c r="C132" s="72" t="s">
        <v>122</v>
      </c>
      <c r="D132" s="12">
        <v>3000</v>
      </c>
      <c r="E132" s="13">
        <v>12.23</v>
      </c>
      <c r="F132" s="13">
        <v>1223</v>
      </c>
      <c r="G132" s="12"/>
      <c r="H132" s="12">
        <v>3000</v>
      </c>
      <c r="I132" s="22" t="s">
        <v>138</v>
      </c>
      <c r="J132" s="68"/>
    </row>
    <row r="133" spans="1:10" ht="30">
      <c r="A133" s="44" t="s">
        <v>845</v>
      </c>
      <c r="B133" s="33" t="s">
        <v>846</v>
      </c>
      <c r="C133" s="51" t="s">
        <v>151</v>
      </c>
      <c r="D133" s="12">
        <v>20</v>
      </c>
      <c r="E133" s="13">
        <v>1173.3399999999999</v>
      </c>
      <c r="F133" s="13">
        <v>998.41</v>
      </c>
      <c r="G133" s="12"/>
      <c r="H133" s="12">
        <v>20</v>
      </c>
      <c r="I133" s="24" t="s">
        <v>148</v>
      </c>
      <c r="J133" s="2">
        <v>416</v>
      </c>
    </row>
    <row r="134" spans="1:10" ht="30">
      <c r="A134" s="44" t="s">
        <v>841</v>
      </c>
      <c r="B134" s="33" t="s">
        <v>842</v>
      </c>
      <c r="C134" s="51" t="s">
        <v>151</v>
      </c>
      <c r="D134" s="12">
        <v>30</v>
      </c>
      <c r="E134" s="13">
        <v>998.41</v>
      </c>
      <c r="F134" s="13">
        <v>998.41</v>
      </c>
      <c r="G134" s="12"/>
      <c r="H134" s="12">
        <v>30</v>
      </c>
      <c r="I134" s="24" t="s">
        <v>148</v>
      </c>
      <c r="J134" s="2">
        <v>414</v>
      </c>
    </row>
    <row r="135" spans="1:10" ht="30">
      <c r="A135" s="44" t="s">
        <v>829</v>
      </c>
      <c r="B135" s="33" t="s">
        <v>830</v>
      </c>
      <c r="C135" s="51" t="s">
        <v>151</v>
      </c>
      <c r="D135" s="12">
        <v>400</v>
      </c>
      <c r="E135" s="13">
        <v>998.41</v>
      </c>
      <c r="F135" s="13">
        <v>998.41</v>
      </c>
      <c r="G135" s="12"/>
      <c r="H135" s="12">
        <v>400</v>
      </c>
      <c r="I135" s="24" t="s">
        <v>148</v>
      </c>
      <c r="J135" s="2">
        <v>408</v>
      </c>
    </row>
    <row r="136" spans="1:10" ht="30">
      <c r="A136" s="44" t="s">
        <v>823</v>
      </c>
      <c r="B136" s="33" t="s">
        <v>824</v>
      </c>
      <c r="C136" s="51" t="s">
        <v>151</v>
      </c>
      <c r="D136" s="12">
        <v>400</v>
      </c>
      <c r="E136" s="13">
        <v>998.41</v>
      </c>
      <c r="F136" s="13">
        <v>998.41</v>
      </c>
      <c r="G136" s="12"/>
      <c r="H136" s="12">
        <v>400</v>
      </c>
      <c r="I136" s="24" t="s">
        <v>148</v>
      </c>
      <c r="J136" s="2">
        <v>405</v>
      </c>
    </row>
    <row r="137" spans="1:10" ht="30">
      <c r="A137" s="44" t="s">
        <v>843</v>
      </c>
      <c r="B137" s="33" t="s">
        <v>844</v>
      </c>
      <c r="C137" s="51" t="s">
        <v>151</v>
      </c>
      <c r="D137" s="12">
        <v>30</v>
      </c>
      <c r="E137" s="13">
        <v>998.41</v>
      </c>
      <c r="F137" s="13">
        <v>1173.3399999999999</v>
      </c>
      <c r="G137" s="12"/>
      <c r="H137" s="12">
        <v>30</v>
      </c>
      <c r="I137" s="24" t="s">
        <v>148</v>
      </c>
      <c r="J137" s="2">
        <v>415</v>
      </c>
    </row>
    <row r="138" spans="1:10" ht="30">
      <c r="A138" s="44" t="s">
        <v>839</v>
      </c>
      <c r="B138" s="33" t="s">
        <v>840</v>
      </c>
      <c r="C138" s="51" t="s">
        <v>151</v>
      </c>
      <c r="D138" s="12">
        <v>50</v>
      </c>
      <c r="E138" s="13">
        <v>1173.3399999999999</v>
      </c>
      <c r="F138" s="13">
        <v>998.41</v>
      </c>
      <c r="G138" s="12"/>
      <c r="H138" s="12">
        <v>50</v>
      </c>
      <c r="I138" s="24" t="s">
        <v>148</v>
      </c>
      <c r="J138" s="2">
        <v>413</v>
      </c>
    </row>
    <row r="139" spans="1:10" ht="30">
      <c r="A139" s="44" t="s">
        <v>827</v>
      </c>
      <c r="B139" s="33" t="s">
        <v>828</v>
      </c>
      <c r="C139" s="51" t="s">
        <v>151</v>
      </c>
      <c r="D139" s="12">
        <v>400</v>
      </c>
      <c r="E139" s="13">
        <v>998.41</v>
      </c>
      <c r="F139" s="13">
        <v>998.41</v>
      </c>
      <c r="G139" s="12"/>
      <c r="H139" s="12">
        <v>400</v>
      </c>
      <c r="I139" s="24" t="s">
        <v>148</v>
      </c>
      <c r="J139" s="2">
        <v>407</v>
      </c>
    </row>
    <row r="140" spans="1:10" ht="30">
      <c r="A140" s="44" t="s">
        <v>821</v>
      </c>
      <c r="B140" s="33" t="s">
        <v>822</v>
      </c>
      <c r="C140" s="51" t="s">
        <v>151</v>
      </c>
      <c r="D140" s="12">
        <v>400</v>
      </c>
      <c r="E140" s="13">
        <v>998.41</v>
      </c>
      <c r="F140" s="13">
        <v>998.41</v>
      </c>
      <c r="G140" s="12"/>
      <c r="H140" s="12">
        <v>400</v>
      </c>
      <c r="I140" s="24" t="s">
        <v>148</v>
      </c>
      <c r="J140" s="2">
        <v>404</v>
      </c>
    </row>
    <row r="141" spans="1:10" ht="30">
      <c r="A141" s="44" t="s">
        <v>837</v>
      </c>
      <c r="B141" s="33" t="s">
        <v>838</v>
      </c>
      <c r="C141" s="51" t="s">
        <v>151</v>
      </c>
      <c r="D141" s="12">
        <v>50</v>
      </c>
      <c r="E141" s="13">
        <v>1173.3399999999999</v>
      </c>
      <c r="F141" s="13">
        <v>1173.3399999999999</v>
      </c>
      <c r="G141" s="12"/>
      <c r="H141" s="12">
        <v>50</v>
      </c>
      <c r="I141" s="24" t="s">
        <v>148</v>
      </c>
      <c r="J141" s="2">
        <v>412</v>
      </c>
    </row>
    <row r="142" spans="1:10" ht="30">
      <c r="A142" s="44" t="s">
        <v>831</v>
      </c>
      <c r="B142" s="33" t="s">
        <v>832</v>
      </c>
      <c r="C142" s="51" t="s">
        <v>151</v>
      </c>
      <c r="D142" s="12">
        <v>400</v>
      </c>
      <c r="E142" s="13">
        <v>998.41</v>
      </c>
      <c r="F142" s="13">
        <v>1173.3399999999999</v>
      </c>
      <c r="G142" s="12"/>
      <c r="H142" s="12">
        <v>400</v>
      </c>
      <c r="I142" s="24" t="s">
        <v>148</v>
      </c>
      <c r="J142" s="2">
        <v>409</v>
      </c>
    </row>
    <row r="143" spans="1:10" ht="30">
      <c r="A143" s="44" t="s">
        <v>825</v>
      </c>
      <c r="B143" s="33" t="s">
        <v>826</v>
      </c>
      <c r="C143" s="51" t="s">
        <v>151</v>
      </c>
      <c r="D143" s="12">
        <v>400</v>
      </c>
      <c r="E143" s="13">
        <v>998.41</v>
      </c>
      <c r="F143" s="13">
        <v>998.41</v>
      </c>
      <c r="G143" s="12"/>
      <c r="H143" s="12">
        <v>400</v>
      </c>
      <c r="I143" s="24" t="s">
        <v>148</v>
      </c>
      <c r="J143" s="2">
        <v>406</v>
      </c>
    </row>
    <row r="144" spans="1:10">
      <c r="A144" s="44" t="s">
        <v>886</v>
      </c>
      <c r="B144" s="33" t="s">
        <v>887</v>
      </c>
      <c r="C144" s="51" t="s">
        <v>151</v>
      </c>
      <c r="D144" s="12">
        <v>800</v>
      </c>
      <c r="E144" s="13">
        <v>1018.64</v>
      </c>
      <c r="F144" s="13">
        <v>1850</v>
      </c>
      <c r="G144" s="12"/>
      <c r="H144" s="12">
        <v>800</v>
      </c>
      <c r="I144" s="24" t="s">
        <v>148</v>
      </c>
      <c r="J144" s="2">
        <v>450</v>
      </c>
    </row>
    <row r="145" spans="1:10" ht="30">
      <c r="A145" s="44" t="s">
        <v>835</v>
      </c>
      <c r="B145" s="33" t="s">
        <v>836</v>
      </c>
      <c r="C145" s="51" t="s">
        <v>151</v>
      </c>
      <c r="D145" s="12">
        <v>15</v>
      </c>
      <c r="E145" s="13">
        <v>1173.3399999999999</v>
      </c>
      <c r="F145" s="13">
        <v>1173.3399999999999</v>
      </c>
      <c r="G145" s="12"/>
      <c r="H145" s="12">
        <v>15</v>
      </c>
      <c r="I145" s="24" t="s">
        <v>148</v>
      </c>
      <c r="J145" s="2">
        <v>411</v>
      </c>
    </row>
    <row r="146" spans="1:10" ht="30">
      <c r="A146" s="44" t="s">
        <v>833</v>
      </c>
      <c r="B146" s="33" t="s">
        <v>834</v>
      </c>
      <c r="C146" s="51" t="s">
        <v>151</v>
      </c>
      <c r="D146" s="12">
        <v>15</v>
      </c>
      <c r="E146" s="13">
        <v>1173.3399999999999</v>
      </c>
      <c r="F146" s="13">
        <v>1173.3399999999999</v>
      </c>
      <c r="G146" s="12"/>
      <c r="H146" s="12">
        <v>15</v>
      </c>
      <c r="I146" s="24" t="s">
        <v>148</v>
      </c>
      <c r="J146" s="2">
        <v>410</v>
      </c>
    </row>
    <row r="147" spans="1:10">
      <c r="A147" s="44" t="s">
        <v>884</v>
      </c>
      <c r="B147" s="33" t="s">
        <v>885</v>
      </c>
      <c r="C147" s="51" t="s">
        <v>151</v>
      </c>
      <c r="D147" s="12">
        <v>1100</v>
      </c>
      <c r="E147" s="13">
        <v>1018.64</v>
      </c>
      <c r="F147" s="13">
        <v>1850</v>
      </c>
      <c r="G147" s="12"/>
      <c r="H147" s="12">
        <v>1100</v>
      </c>
      <c r="I147" s="24" t="s">
        <v>148</v>
      </c>
      <c r="J147" s="2">
        <v>449</v>
      </c>
    </row>
    <row r="148" spans="1:10">
      <c r="A148" s="44" t="s">
        <v>883</v>
      </c>
      <c r="B148" s="33" t="s">
        <v>873</v>
      </c>
      <c r="C148" s="51" t="s">
        <v>151</v>
      </c>
      <c r="D148" s="12">
        <v>600</v>
      </c>
      <c r="E148" s="13">
        <v>1018.64</v>
      </c>
      <c r="F148" s="13">
        <v>1547</v>
      </c>
      <c r="G148" s="12"/>
      <c r="H148" s="12">
        <v>600</v>
      </c>
      <c r="I148" s="24" t="s">
        <v>148</v>
      </c>
      <c r="J148" s="2">
        <v>448</v>
      </c>
    </row>
    <row r="149" spans="1:10">
      <c r="A149" s="44" t="s">
        <v>881</v>
      </c>
      <c r="B149" s="33" t="s">
        <v>882</v>
      </c>
      <c r="C149" s="51" t="s">
        <v>151</v>
      </c>
      <c r="D149" s="12">
        <v>600</v>
      </c>
      <c r="E149" s="13">
        <v>2746.52</v>
      </c>
      <c r="F149" s="13">
        <v>1547</v>
      </c>
      <c r="G149" s="12"/>
      <c r="H149" s="12">
        <v>600</v>
      </c>
      <c r="I149" s="24" t="s">
        <v>148</v>
      </c>
      <c r="J149" s="2">
        <v>447</v>
      </c>
    </row>
    <row r="150" spans="1:10" ht="30">
      <c r="A150" s="44" t="s">
        <v>815</v>
      </c>
      <c r="B150" s="33" t="s">
        <v>816</v>
      </c>
      <c r="C150" s="51" t="s">
        <v>151</v>
      </c>
      <c r="D150" s="12">
        <v>100</v>
      </c>
      <c r="E150" s="13">
        <v>1173.3399999999999</v>
      </c>
      <c r="F150" s="13">
        <v>1173.3399999999999</v>
      </c>
      <c r="G150" s="12"/>
      <c r="H150" s="12">
        <v>100</v>
      </c>
      <c r="I150" s="24" t="s">
        <v>148</v>
      </c>
      <c r="J150" s="2">
        <v>401</v>
      </c>
    </row>
    <row r="151" spans="1:10" ht="30">
      <c r="A151" s="44" t="s">
        <v>813</v>
      </c>
      <c r="B151" s="33" t="s">
        <v>814</v>
      </c>
      <c r="C151" s="51" t="s">
        <v>151</v>
      </c>
      <c r="D151" s="12">
        <v>100</v>
      </c>
      <c r="E151" s="13">
        <v>1173.3399999999999</v>
      </c>
      <c r="F151" s="13">
        <v>1173.3399999999999</v>
      </c>
      <c r="G151" s="12"/>
      <c r="H151" s="12">
        <v>100</v>
      </c>
      <c r="I151" s="24" t="s">
        <v>148</v>
      </c>
      <c r="J151" s="2">
        <v>400</v>
      </c>
    </row>
    <row r="152" spans="1:10" ht="30">
      <c r="A152" s="44" t="s">
        <v>803</v>
      </c>
      <c r="B152" s="33" t="s">
        <v>804</v>
      </c>
      <c r="C152" s="51" t="s">
        <v>151</v>
      </c>
      <c r="D152" s="12">
        <v>100</v>
      </c>
      <c r="E152" s="13">
        <v>1173.3399999999999</v>
      </c>
      <c r="F152" s="13">
        <v>1173.3399999999999</v>
      </c>
      <c r="G152" s="12"/>
      <c r="H152" s="12">
        <v>100</v>
      </c>
      <c r="I152" s="24" t="s">
        <v>148</v>
      </c>
      <c r="J152" s="2">
        <v>395</v>
      </c>
    </row>
    <row r="153" spans="1:10" ht="30">
      <c r="A153" s="44" t="s">
        <v>805</v>
      </c>
      <c r="B153" s="33" t="s">
        <v>806</v>
      </c>
      <c r="C153" s="51" t="s">
        <v>151</v>
      </c>
      <c r="D153" s="12">
        <v>100</v>
      </c>
      <c r="E153" s="13">
        <v>1173.3399999999999</v>
      </c>
      <c r="F153" s="13">
        <v>1173.3399999999999</v>
      </c>
      <c r="G153" s="12"/>
      <c r="H153" s="12">
        <v>100</v>
      </c>
      <c r="I153" s="24" t="s">
        <v>148</v>
      </c>
      <c r="J153" s="2">
        <v>396</v>
      </c>
    </row>
    <row r="154" spans="1:10" ht="30">
      <c r="A154" s="44" t="s">
        <v>817</v>
      </c>
      <c r="B154" s="33" t="s">
        <v>818</v>
      </c>
      <c r="C154" s="51" t="s">
        <v>151</v>
      </c>
      <c r="D154" s="12">
        <v>30</v>
      </c>
      <c r="E154" s="13">
        <v>1173.3399999999999</v>
      </c>
      <c r="F154" s="13">
        <v>1173.3399999999999</v>
      </c>
      <c r="G154" s="12"/>
      <c r="H154" s="12">
        <v>30</v>
      </c>
      <c r="I154" s="24" t="s">
        <v>148</v>
      </c>
      <c r="J154" s="2">
        <v>402</v>
      </c>
    </row>
    <row r="155" spans="1:10" ht="30">
      <c r="A155" s="44" t="s">
        <v>811</v>
      </c>
      <c r="B155" s="33" t="s">
        <v>812</v>
      </c>
      <c r="C155" s="51" t="s">
        <v>151</v>
      </c>
      <c r="D155" s="12">
        <v>30</v>
      </c>
      <c r="E155" s="13">
        <v>1173.3399999999999</v>
      </c>
      <c r="F155" s="13">
        <v>1173.3399999999999</v>
      </c>
      <c r="G155" s="12"/>
      <c r="H155" s="12">
        <v>30</v>
      </c>
      <c r="I155" s="24" t="s">
        <v>148</v>
      </c>
      <c r="J155" s="2">
        <v>399</v>
      </c>
    </row>
    <row r="156" spans="1:10" ht="30">
      <c r="A156" s="44" t="s">
        <v>807</v>
      </c>
      <c r="B156" s="33" t="s">
        <v>808</v>
      </c>
      <c r="C156" s="51" t="s">
        <v>151</v>
      </c>
      <c r="D156" s="12">
        <v>50</v>
      </c>
      <c r="E156" s="13">
        <v>1173.3399999999999</v>
      </c>
      <c r="F156" s="13">
        <v>1173.3399999999999</v>
      </c>
      <c r="G156" s="12"/>
      <c r="H156" s="12">
        <v>50</v>
      </c>
      <c r="I156" s="24" t="s">
        <v>148</v>
      </c>
      <c r="J156" s="2">
        <v>397</v>
      </c>
    </row>
    <row r="157" spans="1:10" ht="30">
      <c r="A157" s="44" t="s">
        <v>819</v>
      </c>
      <c r="B157" s="33" t="s">
        <v>820</v>
      </c>
      <c r="C157" s="51" t="s">
        <v>151</v>
      </c>
      <c r="D157" s="12">
        <v>100</v>
      </c>
      <c r="E157" s="13">
        <v>1173.3399999999999</v>
      </c>
      <c r="F157" s="13">
        <v>998.41</v>
      </c>
      <c r="G157" s="12"/>
      <c r="H157" s="12">
        <v>100</v>
      </c>
      <c r="I157" s="24" t="s">
        <v>148</v>
      </c>
      <c r="J157" s="2">
        <v>403</v>
      </c>
    </row>
    <row r="158" spans="1:10" ht="30">
      <c r="A158" s="44" t="s">
        <v>809</v>
      </c>
      <c r="B158" s="33" t="s">
        <v>810</v>
      </c>
      <c r="C158" s="51" t="s">
        <v>151</v>
      </c>
      <c r="D158" s="12">
        <v>50</v>
      </c>
      <c r="E158" s="13">
        <v>1173.3399999999999</v>
      </c>
      <c r="F158" s="13">
        <v>1173.3399999999999</v>
      </c>
      <c r="G158" s="12"/>
      <c r="H158" s="12">
        <v>50</v>
      </c>
      <c r="I158" s="24" t="s">
        <v>148</v>
      </c>
      <c r="J158" s="2">
        <v>398</v>
      </c>
    </row>
    <row r="159" spans="1:10" ht="195">
      <c r="A159" s="70" t="s">
        <v>41</v>
      </c>
      <c r="B159" s="71" t="s">
        <v>42</v>
      </c>
      <c r="C159" s="72" t="s">
        <v>36</v>
      </c>
      <c r="D159" s="12">
        <v>4000</v>
      </c>
      <c r="E159" s="13">
        <v>815</v>
      </c>
      <c r="F159" s="13">
        <v>815</v>
      </c>
      <c r="G159" s="12"/>
      <c r="H159" s="12">
        <v>4000</v>
      </c>
      <c r="I159" s="22" t="s">
        <v>33</v>
      </c>
      <c r="J159" s="68">
        <v>4</v>
      </c>
    </row>
    <row r="160" spans="1:10" ht="75">
      <c r="A160" s="70" t="s">
        <v>49</v>
      </c>
      <c r="B160" s="71" t="s">
        <v>50</v>
      </c>
      <c r="C160" s="72" t="s">
        <v>36</v>
      </c>
      <c r="D160" s="12"/>
      <c r="E160" s="13">
        <v>848.46999999999991</v>
      </c>
      <c r="F160" s="13">
        <v>848.46999999999991</v>
      </c>
      <c r="G160" s="12"/>
      <c r="H160" s="12">
        <v>0</v>
      </c>
      <c r="I160" s="22" t="s">
        <v>33</v>
      </c>
      <c r="J160" s="68">
        <v>8</v>
      </c>
    </row>
    <row r="161" spans="1:10" ht="60">
      <c r="A161" s="70" t="s">
        <v>34</v>
      </c>
      <c r="B161" s="71" t="s">
        <v>35</v>
      </c>
      <c r="C161" s="72" t="s">
        <v>36</v>
      </c>
      <c r="D161" s="12">
        <v>3000</v>
      </c>
      <c r="E161" s="13">
        <v>623.66666666666663</v>
      </c>
      <c r="F161" s="13">
        <v>623.66666666666663</v>
      </c>
      <c r="G161" s="12"/>
      <c r="H161" s="12">
        <v>3000</v>
      </c>
      <c r="I161" s="22" t="s">
        <v>33</v>
      </c>
      <c r="J161" s="68">
        <v>1</v>
      </c>
    </row>
    <row r="162" spans="1:10" ht="60">
      <c r="A162" s="70" t="s">
        <v>51</v>
      </c>
      <c r="B162" s="71" t="s">
        <v>52</v>
      </c>
      <c r="C162" s="72" t="s">
        <v>36</v>
      </c>
      <c r="D162" s="12"/>
      <c r="E162" s="13">
        <v>698.53</v>
      </c>
      <c r="F162" s="13">
        <v>698.53</v>
      </c>
      <c r="G162" s="12"/>
      <c r="H162" s="12">
        <v>0</v>
      </c>
      <c r="I162" s="22" t="s">
        <v>33</v>
      </c>
      <c r="J162" s="68">
        <v>9</v>
      </c>
    </row>
    <row r="163" spans="1:10" ht="15.75">
      <c r="A163" s="70" t="s">
        <v>61</v>
      </c>
      <c r="B163" s="71"/>
      <c r="C163" s="72" t="s">
        <v>36</v>
      </c>
      <c r="D163" s="12"/>
      <c r="E163" s="13">
        <v>1713.6</v>
      </c>
      <c r="F163" s="13">
        <v>1713.6</v>
      </c>
      <c r="G163" s="12"/>
      <c r="H163" s="12">
        <v>0</v>
      </c>
      <c r="I163" s="22" t="s">
        <v>33</v>
      </c>
      <c r="J163" s="68">
        <v>14</v>
      </c>
    </row>
    <row r="164" spans="1:10" ht="90">
      <c r="A164" s="70" t="s">
        <v>37</v>
      </c>
      <c r="B164" s="71" t="s">
        <v>38</v>
      </c>
      <c r="C164" s="72" t="s">
        <v>36</v>
      </c>
      <c r="D164" s="12">
        <v>1500</v>
      </c>
      <c r="E164" s="13">
        <v>390.66666666666669</v>
      </c>
      <c r="F164" s="13">
        <v>390.66666666666669</v>
      </c>
      <c r="G164" s="12"/>
      <c r="H164" s="12">
        <v>1500</v>
      </c>
      <c r="I164" s="22" t="s">
        <v>33</v>
      </c>
      <c r="J164" s="68">
        <v>2</v>
      </c>
    </row>
    <row r="165" spans="1:10" ht="60">
      <c r="A165" s="70" t="s">
        <v>53</v>
      </c>
      <c r="B165" s="71" t="s">
        <v>54</v>
      </c>
      <c r="C165" s="72" t="s">
        <v>36</v>
      </c>
      <c r="D165" s="12"/>
      <c r="E165" s="13">
        <v>477.19</v>
      </c>
      <c r="F165" s="13">
        <v>477.19</v>
      </c>
      <c r="G165" s="12"/>
      <c r="H165" s="12">
        <v>0</v>
      </c>
      <c r="I165" s="22" t="s">
        <v>33</v>
      </c>
      <c r="J165" s="68">
        <v>10</v>
      </c>
    </row>
    <row r="166" spans="1:10" ht="45">
      <c r="A166" s="70" t="s">
        <v>55</v>
      </c>
      <c r="B166" s="71" t="s">
        <v>56</v>
      </c>
      <c r="C166" s="72" t="s">
        <v>36</v>
      </c>
      <c r="D166" s="12"/>
      <c r="E166" s="13">
        <v>998.41</v>
      </c>
      <c r="F166" s="13">
        <v>998.41</v>
      </c>
      <c r="G166" s="12"/>
      <c r="H166" s="12">
        <v>0</v>
      </c>
      <c r="I166" s="22" t="s">
        <v>33</v>
      </c>
      <c r="J166" s="68">
        <v>11</v>
      </c>
    </row>
    <row r="167" spans="1:10" ht="135">
      <c r="A167" s="70" t="s">
        <v>45</v>
      </c>
      <c r="B167" s="71" t="s">
        <v>46</v>
      </c>
      <c r="C167" s="72" t="s">
        <v>36</v>
      </c>
      <c r="D167" s="12"/>
      <c r="E167" s="13">
        <v>898.44999999999993</v>
      </c>
      <c r="F167" s="13">
        <v>898.44999999999993</v>
      </c>
      <c r="G167" s="12"/>
      <c r="H167" s="12">
        <v>0</v>
      </c>
      <c r="I167" s="22" t="s">
        <v>33</v>
      </c>
      <c r="J167" s="68">
        <v>6</v>
      </c>
    </row>
    <row r="168" spans="1:10" ht="15.75">
      <c r="A168" s="70" t="s">
        <v>62</v>
      </c>
      <c r="B168" s="71"/>
      <c r="C168" s="72" t="s">
        <v>36</v>
      </c>
      <c r="D168" s="12"/>
      <c r="E168" s="13">
        <v>1</v>
      </c>
      <c r="F168" s="13">
        <v>1</v>
      </c>
      <c r="G168" s="12"/>
      <c r="H168" s="12">
        <v>0</v>
      </c>
      <c r="I168" s="22" t="s">
        <v>33</v>
      </c>
      <c r="J168" s="68">
        <v>15</v>
      </c>
    </row>
    <row r="169" spans="1:10" ht="210">
      <c r="A169" s="70" t="s">
        <v>57</v>
      </c>
      <c r="B169" s="71" t="s">
        <v>58</v>
      </c>
      <c r="C169" s="72" t="s">
        <v>36</v>
      </c>
      <c r="D169" s="12"/>
      <c r="E169" s="13">
        <v>53371.5</v>
      </c>
      <c r="F169" s="13">
        <v>53371.5</v>
      </c>
      <c r="G169" s="12"/>
      <c r="H169" s="12">
        <v>0</v>
      </c>
      <c r="I169" s="22" t="s">
        <v>33</v>
      </c>
      <c r="J169" s="68">
        <v>12</v>
      </c>
    </row>
    <row r="170" spans="1:10" ht="135">
      <c r="A170" s="70" t="s">
        <v>43</v>
      </c>
      <c r="B170" s="71" t="s">
        <v>44</v>
      </c>
      <c r="C170" s="72" t="s">
        <v>36</v>
      </c>
      <c r="D170" s="12">
        <v>1200</v>
      </c>
      <c r="E170" s="13">
        <v>1217</v>
      </c>
      <c r="F170" s="13">
        <v>1217</v>
      </c>
      <c r="G170" s="12"/>
      <c r="H170" s="12">
        <v>1200</v>
      </c>
      <c r="I170" s="22" t="s">
        <v>33</v>
      </c>
      <c r="J170" s="68">
        <v>5</v>
      </c>
    </row>
    <row r="171" spans="1:10" ht="165">
      <c r="A171" s="70" t="s">
        <v>59</v>
      </c>
      <c r="B171" s="71" t="s">
        <v>60</v>
      </c>
      <c r="C171" s="72" t="s">
        <v>36</v>
      </c>
      <c r="D171" s="12"/>
      <c r="E171" s="13">
        <v>897.26</v>
      </c>
      <c r="F171" s="13">
        <v>897.26</v>
      </c>
      <c r="G171" s="12"/>
      <c r="H171" s="12">
        <v>0</v>
      </c>
      <c r="I171" s="22" t="s">
        <v>33</v>
      </c>
      <c r="J171" s="68">
        <v>13</v>
      </c>
    </row>
    <row r="172" spans="1:10" ht="75">
      <c r="A172" s="70" t="s">
        <v>47</v>
      </c>
      <c r="B172" s="71" t="s">
        <v>48</v>
      </c>
      <c r="C172" s="72" t="s">
        <v>36</v>
      </c>
      <c r="D172" s="12">
        <v>2000</v>
      </c>
      <c r="E172" s="13">
        <v>1673.3335</v>
      </c>
      <c r="F172" s="13">
        <v>1673.3335</v>
      </c>
      <c r="G172" s="12"/>
      <c r="H172" s="12">
        <v>2000</v>
      </c>
      <c r="I172" s="22" t="s">
        <v>33</v>
      </c>
      <c r="J172" s="68">
        <v>7</v>
      </c>
    </row>
    <row r="173" spans="1:10" ht="210">
      <c r="A173" s="70" t="s">
        <v>39</v>
      </c>
      <c r="B173" s="71" t="s">
        <v>40</v>
      </c>
      <c r="C173" s="72" t="s">
        <v>36</v>
      </c>
      <c r="D173" s="12">
        <v>2000</v>
      </c>
      <c r="E173" s="13">
        <v>1550</v>
      </c>
      <c r="F173" s="13">
        <v>1550</v>
      </c>
      <c r="G173" s="12"/>
      <c r="H173" s="12">
        <v>2000</v>
      </c>
      <c r="I173" s="22" t="s">
        <v>33</v>
      </c>
      <c r="J173" s="68">
        <v>3</v>
      </c>
    </row>
    <row r="174" spans="1:10" ht="45">
      <c r="A174" s="44" t="s">
        <v>332</v>
      </c>
      <c r="B174" s="33" t="s">
        <v>333</v>
      </c>
      <c r="C174" s="51" t="s">
        <v>151</v>
      </c>
      <c r="D174" s="12">
        <v>30</v>
      </c>
      <c r="E174" s="13">
        <v>2563</v>
      </c>
      <c r="F174" s="13">
        <v>2563</v>
      </c>
      <c r="G174" s="12"/>
      <c r="H174" s="12">
        <v>30</v>
      </c>
      <c r="I174" s="24" t="s">
        <v>148</v>
      </c>
      <c r="J174" s="2">
        <v>124</v>
      </c>
    </row>
    <row r="175" spans="1:10" ht="45">
      <c r="A175" s="44" t="s">
        <v>332</v>
      </c>
      <c r="B175" s="33" t="s">
        <v>334</v>
      </c>
      <c r="C175" s="51" t="s">
        <v>151</v>
      </c>
      <c r="D175" s="12">
        <v>100</v>
      </c>
      <c r="E175" s="13">
        <v>2563</v>
      </c>
      <c r="F175" s="13">
        <v>2563</v>
      </c>
      <c r="G175" s="12"/>
      <c r="H175" s="12">
        <v>100</v>
      </c>
      <c r="I175" s="24" t="s">
        <v>148</v>
      </c>
      <c r="J175" s="2">
        <v>125</v>
      </c>
    </row>
    <row r="176" spans="1:10" ht="45">
      <c r="A176" s="44" t="s">
        <v>341</v>
      </c>
      <c r="B176" s="33" t="s">
        <v>342</v>
      </c>
      <c r="C176" s="51" t="s">
        <v>151</v>
      </c>
      <c r="D176" s="12">
        <v>100</v>
      </c>
      <c r="E176" s="13">
        <v>2364.5299999999997</v>
      </c>
      <c r="F176" s="13">
        <v>2364.5299999999997</v>
      </c>
      <c r="G176" s="12"/>
      <c r="H176" s="12">
        <v>100</v>
      </c>
      <c r="I176" s="24" t="s">
        <v>148</v>
      </c>
      <c r="J176" s="2">
        <v>129</v>
      </c>
    </row>
    <row r="177" spans="1:10" ht="45">
      <c r="A177" s="44" t="s">
        <v>343</v>
      </c>
      <c r="B177" s="33" t="s">
        <v>344</v>
      </c>
      <c r="C177" s="51" t="s">
        <v>151</v>
      </c>
      <c r="D177" s="12">
        <v>50</v>
      </c>
      <c r="E177" s="13">
        <v>2364.5299999999997</v>
      </c>
      <c r="F177" s="13">
        <v>2440.69</v>
      </c>
      <c r="G177" s="12"/>
      <c r="H177" s="12">
        <v>50</v>
      </c>
      <c r="I177" s="24" t="s">
        <v>148</v>
      </c>
      <c r="J177" s="2">
        <v>130</v>
      </c>
    </row>
    <row r="178" spans="1:10" ht="45">
      <c r="A178" s="44" t="s">
        <v>339</v>
      </c>
      <c r="B178" s="33" t="s">
        <v>340</v>
      </c>
      <c r="C178" s="51" t="s">
        <v>151</v>
      </c>
      <c r="D178" s="12">
        <v>100</v>
      </c>
      <c r="E178" s="13">
        <v>2563</v>
      </c>
      <c r="F178" s="13">
        <v>2364.5299999999997</v>
      </c>
      <c r="G178" s="12"/>
      <c r="H178" s="12">
        <v>100</v>
      </c>
      <c r="I178" s="24" t="s">
        <v>148</v>
      </c>
      <c r="J178" s="2">
        <v>128</v>
      </c>
    </row>
    <row r="179" spans="1:10" ht="45">
      <c r="A179" s="44" t="s">
        <v>335</v>
      </c>
      <c r="B179" s="33" t="s">
        <v>336</v>
      </c>
      <c r="C179" s="51" t="s">
        <v>151</v>
      </c>
      <c r="D179" s="12">
        <v>100</v>
      </c>
      <c r="E179" s="13">
        <v>2563</v>
      </c>
      <c r="F179" s="13">
        <v>2563</v>
      </c>
      <c r="G179" s="12"/>
      <c r="H179" s="12">
        <v>100</v>
      </c>
      <c r="I179" s="24" t="s">
        <v>148</v>
      </c>
      <c r="J179" s="2">
        <v>126</v>
      </c>
    </row>
    <row r="180" spans="1:10" ht="45">
      <c r="A180" s="44" t="s">
        <v>337</v>
      </c>
      <c r="B180" s="33" t="s">
        <v>338</v>
      </c>
      <c r="C180" s="51" t="s">
        <v>151</v>
      </c>
      <c r="D180" s="12">
        <v>100</v>
      </c>
      <c r="E180" s="13">
        <v>2563</v>
      </c>
      <c r="F180" s="13">
        <v>2563</v>
      </c>
      <c r="G180" s="12"/>
      <c r="H180" s="12">
        <v>100</v>
      </c>
      <c r="I180" s="24" t="s">
        <v>148</v>
      </c>
      <c r="J180" s="2">
        <v>127</v>
      </c>
    </row>
    <row r="181" spans="1:10" ht="30">
      <c r="A181" s="44" t="s">
        <v>347</v>
      </c>
      <c r="B181" s="33" t="s">
        <v>348</v>
      </c>
      <c r="C181" s="51" t="s">
        <v>151</v>
      </c>
      <c r="D181" s="12">
        <v>150</v>
      </c>
      <c r="E181" s="13">
        <v>2440.69</v>
      </c>
      <c r="F181" s="13">
        <v>3700</v>
      </c>
      <c r="G181" s="12"/>
      <c r="H181" s="12">
        <v>150</v>
      </c>
      <c r="I181" s="24" t="s">
        <v>148</v>
      </c>
      <c r="J181" s="2">
        <v>132</v>
      </c>
    </row>
    <row r="182" spans="1:10" ht="30">
      <c r="A182" s="44" t="s">
        <v>345</v>
      </c>
      <c r="B182" s="33" t="s">
        <v>346</v>
      </c>
      <c r="C182" s="51" t="s">
        <v>151</v>
      </c>
      <c r="D182" s="12">
        <v>100</v>
      </c>
      <c r="E182" s="13">
        <v>2440.69</v>
      </c>
      <c r="F182" s="13">
        <v>2440.69</v>
      </c>
      <c r="G182" s="12"/>
      <c r="H182" s="12">
        <v>100</v>
      </c>
      <c r="I182" s="24" t="s">
        <v>148</v>
      </c>
      <c r="J182" s="2">
        <v>131</v>
      </c>
    </row>
    <row r="183" spans="1:10" ht="110.25">
      <c r="A183" s="48" t="s">
        <v>111</v>
      </c>
      <c r="B183" s="37" t="s">
        <v>112</v>
      </c>
      <c r="C183" s="55" t="s">
        <v>68</v>
      </c>
      <c r="D183" s="12"/>
      <c r="E183" s="13">
        <v>0.61369999999999991</v>
      </c>
      <c r="F183" s="13">
        <v>8591.7999999999993</v>
      </c>
      <c r="G183" s="12"/>
      <c r="H183" s="12">
        <v>0</v>
      </c>
      <c r="I183" s="23" t="s">
        <v>106</v>
      </c>
      <c r="J183" s="8"/>
    </row>
    <row r="184" spans="1:10" ht="285">
      <c r="A184" s="49" t="s">
        <v>15</v>
      </c>
      <c r="B184" s="38" t="s">
        <v>113</v>
      </c>
      <c r="C184" s="56" t="s">
        <v>68</v>
      </c>
      <c r="D184" s="12"/>
      <c r="E184" s="13">
        <v>0.7671929999999999</v>
      </c>
      <c r="F184" s="13">
        <v>10740.701999999999</v>
      </c>
      <c r="G184" s="12"/>
      <c r="H184" s="12">
        <v>0</v>
      </c>
      <c r="I184" s="23" t="s">
        <v>106</v>
      </c>
      <c r="J184" s="3"/>
    </row>
    <row r="185" spans="1:10" ht="105">
      <c r="A185" s="70" t="s">
        <v>93</v>
      </c>
      <c r="B185" s="71" t="s">
        <v>94</v>
      </c>
      <c r="C185" s="72" t="s">
        <v>68</v>
      </c>
      <c r="D185" s="12">
        <v>10</v>
      </c>
      <c r="E185" s="13">
        <v>2.0011428571428573</v>
      </c>
      <c r="F185" s="13">
        <v>28016.000000000004</v>
      </c>
      <c r="G185" s="12"/>
      <c r="H185" s="12">
        <v>10</v>
      </c>
      <c r="I185" s="23" t="s">
        <v>87</v>
      </c>
      <c r="J185" s="68"/>
    </row>
    <row r="186" spans="1:10" ht="30">
      <c r="A186" s="44" t="s">
        <v>438</v>
      </c>
      <c r="B186" s="33" t="s">
        <v>439</v>
      </c>
      <c r="C186" s="51" t="s">
        <v>151</v>
      </c>
      <c r="D186" s="12">
        <v>300</v>
      </c>
      <c r="E186" s="13">
        <v>873.94</v>
      </c>
      <c r="F186" s="13">
        <v>873.94</v>
      </c>
      <c r="G186" s="12"/>
      <c r="H186" s="12">
        <v>300</v>
      </c>
      <c r="I186" s="24" t="s">
        <v>148</v>
      </c>
      <c r="J186" s="2">
        <v>170</v>
      </c>
    </row>
    <row r="187" spans="1:10" ht="45">
      <c r="A187" s="44" t="s">
        <v>442</v>
      </c>
      <c r="B187" s="33" t="s">
        <v>443</v>
      </c>
      <c r="C187" s="51" t="s">
        <v>151</v>
      </c>
      <c r="D187" s="12">
        <v>300</v>
      </c>
      <c r="E187" s="13">
        <v>873.94</v>
      </c>
      <c r="F187" s="13">
        <v>873.94</v>
      </c>
      <c r="G187" s="12"/>
      <c r="H187" s="12">
        <v>300</v>
      </c>
      <c r="I187" s="24" t="s">
        <v>148</v>
      </c>
      <c r="J187" s="2">
        <v>172</v>
      </c>
    </row>
    <row r="188" spans="1:10" ht="45">
      <c r="A188" s="44" t="s">
        <v>446</v>
      </c>
      <c r="B188" s="33" t="s">
        <v>447</v>
      </c>
      <c r="C188" s="51" t="s">
        <v>151</v>
      </c>
      <c r="D188" s="12">
        <v>300</v>
      </c>
      <c r="E188" s="13">
        <v>873.94</v>
      </c>
      <c r="F188" s="13">
        <v>873.94</v>
      </c>
      <c r="G188" s="12"/>
      <c r="H188" s="12">
        <v>300</v>
      </c>
      <c r="I188" s="24" t="s">
        <v>148</v>
      </c>
      <c r="J188" s="2">
        <v>174</v>
      </c>
    </row>
    <row r="189" spans="1:10" ht="45">
      <c r="A189" s="44" t="s">
        <v>440</v>
      </c>
      <c r="B189" s="33" t="s">
        <v>441</v>
      </c>
      <c r="C189" s="51" t="s">
        <v>151</v>
      </c>
      <c r="D189" s="12">
        <v>300</v>
      </c>
      <c r="E189" s="13">
        <v>873.94</v>
      </c>
      <c r="F189" s="13">
        <v>873.94</v>
      </c>
      <c r="G189" s="12"/>
      <c r="H189" s="12">
        <v>300</v>
      </c>
      <c r="I189" s="24" t="s">
        <v>148</v>
      </c>
      <c r="J189" s="2">
        <v>171</v>
      </c>
    </row>
    <row r="190" spans="1:10" ht="45">
      <c r="A190" s="44" t="s">
        <v>444</v>
      </c>
      <c r="B190" s="33" t="s">
        <v>445</v>
      </c>
      <c r="C190" s="51" t="s">
        <v>151</v>
      </c>
      <c r="D190" s="12">
        <v>300</v>
      </c>
      <c r="E190" s="13">
        <v>873.94</v>
      </c>
      <c r="F190" s="13">
        <v>873.94</v>
      </c>
      <c r="G190" s="12"/>
      <c r="H190" s="12">
        <v>300</v>
      </c>
      <c r="I190" s="24" t="s">
        <v>148</v>
      </c>
      <c r="J190" s="2">
        <v>173</v>
      </c>
    </row>
    <row r="191" spans="1:10" ht="30">
      <c r="A191" s="44" t="s">
        <v>891</v>
      </c>
      <c r="B191" s="33" t="s">
        <v>892</v>
      </c>
      <c r="C191" s="51" t="s">
        <v>151</v>
      </c>
      <c r="D191" s="12">
        <v>15</v>
      </c>
      <c r="E191" s="13">
        <v>1547</v>
      </c>
      <c r="F191" s="13">
        <v>343.33</v>
      </c>
      <c r="G191" s="12"/>
      <c r="H191" s="12">
        <v>15</v>
      </c>
      <c r="I191" s="24" t="s">
        <v>148</v>
      </c>
      <c r="J191" s="2">
        <v>455</v>
      </c>
    </row>
    <row r="192" spans="1:10">
      <c r="A192" s="44" t="s">
        <v>893</v>
      </c>
      <c r="B192" s="33" t="s">
        <v>894</v>
      </c>
      <c r="C192" s="51" t="s">
        <v>151</v>
      </c>
      <c r="D192" s="12">
        <v>500</v>
      </c>
      <c r="E192" s="13">
        <v>1547</v>
      </c>
      <c r="F192" s="13">
        <v>343.33</v>
      </c>
      <c r="G192" s="12"/>
      <c r="H192" s="12">
        <v>500</v>
      </c>
      <c r="I192" s="24" t="s">
        <v>148</v>
      </c>
      <c r="J192" s="2">
        <v>456</v>
      </c>
    </row>
    <row r="193" spans="1:10" ht="30">
      <c r="A193" s="44" t="s">
        <v>895</v>
      </c>
      <c r="B193" s="33" t="s">
        <v>896</v>
      </c>
      <c r="C193" s="51" t="s">
        <v>151</v>
      </c>
      <c r="D193" s="12">
        <v>500</v>
      </c>
      <c r="E193" s="13">
        <v>1547</v>
      </c>
      <c r="F193" s="13">
        <v>343.33</v>
      </c>
      <c r="G193" s="12"/>
      <c r="H193" s="12">
        <v>500</v>
      </c>
      <c r="I193" s="24" t="s">
        <v>148</v>
      </c>
      <c r="J193" s="2">
        <v>457</v>
      </c>
    </row>
    <row r="194" spans="1:10" ht="30">
      <c r="A194" s="44" t="s">
        <v>897</v>
      </c>
      <c r="B194" s="33" t="s">
        <v>898</v>
      </c>
      <c r="C194" s="51" t="s">
        <v>151</v>
      </c>
      <c r="D194" s="12">
        <v>150</v>
      </c>
      <c r="E194" s="13">
        <v>1850</v>
      </c>
      <c r="F194" s="13">
        <v>343.33</v>
      </c>
      <c r="G194" s="12"/>
      <c r="H194" s="12">
        <v>150</v>
      </c>
      <c r="I194" s="24" t="s">
        <v>148</v>
      </c>
      <c r="J194" s="2">
        <v>458</v>
      </c>
    </row>
    <row r="195" spans="1:10">
      <c r="A195" s="44" t="s">
        <v>899</v>
      </c>
      <c r="B195" s="33" t="s">
        <v>900</v>
      </c>
      <c r="C195" s="51" t="s">
        <v>151</v>
      </c>
      <c r="D195" s="12">
        <v>500</v>
      </c>
      <c r="E195" s="13">
        <v>1850</v>
      </c>
      <c r="F195" s="13">
        <v>343.33</v>
      </c>
      <c r="G195" s="12"/>
      <c r="H195" s="12">
        <v>500</v>
      </c>
      <c r="I195" s="24" t="s">
        <v>148</v>
      </c>
      <c r="J195" s="2">
        <v>459</v>
      </c>
    </row>
    <row r="196" spans="1:10" ht="30">
      <c r="A196" s="44" t="s">
        <v>657</v>
      </c>
      <c r="B196" s="33" t="s">
        <v>658</v>
      </c>
      <c r="C196" s="51" t="s">
        <v>151</v>
      </c>
      <c r="D196" s="12">
        <v>80</v>
      </c>
      <c r="E196" s="13">
        <v>4799.2700000000004</v>
      </c>
      <c r="F196" s="13">
        <v>4799.2700000000004</v>
      </c>
      <c r="G196" s="12"/>
      <c r="H196" s="12">
        <v>80</v>
      </c>
      <c r="I196" s="24" t="s">
        <v>148</v>
      </c>
      <c r="J196" s="2">
        <v>311</v>
      </c>
    </row>
    <row r="197" spans="1:10" ht="30">
      <c r="A197" s="44" t="s">
        <v>655</v>
      </c>
      <c r="B197" s="33" t="s">
        <v>656</v>
      </c>
      <c r="C197" s="51" t="s">
        <v>151</v>
      </c>
      <c r="D197" s="12">
        <v>15</v>
      </c>
      <c r="E197" s="13">
        <v>4799.2700000000004</v>
      </c>
      <c r="F197" s="13">
        <v>4799.2700000000004</v>
      </c>
      <c r="G197" s="12"/>
      <c r="H197" s="12">
        <v>15</v>
      </c>
      <c r="I197" s="24" t="s">
        <v>148</v>
      </c>
      <c r="J197" s="2">
        <v>310</v>
      </c>
    </row>
    <row r="198" spans="1:10" ht="30">
      <c r="A198" s="44" t="s">
        <v>661</v>
      </c>
      <c r="B198" s="33" t="s">
        <v>662</v>
      </c>
      <c r="C198" s="51" t="s">
        <v>151</v>
      </c>
      <c r="D198" s="12">
        <v>50</v>
      </c>
      <c r="E198" s="13">
        <v>4799.2700000000004</v>
      </c>
      <c r="F198" s="13">
        <v>4799.2700000000004</v>
      </c>
      <c r="G198" s="12"/>
      <c r="H198" s="12">
        <v>50</v>
      </c>
      <c r="I198" s="24" t="s">
        <v>148</v>
      </c>
      <c r="J198" s="2">
        <v>313</v>
      </c>
    </row>
    <row r="199" spans="1:10" ht="30">
      <c r="A199" s="44" t="s">
        <v>659</v>
      </c>
      <c r="B199" s="33" t="s">
        <v>660</v>
      </c>
      <c r="C199" s="51" t="s">
        <v>151</v>
      </c>
      <c r="D199" s="12">
        <v>50</v>
      </c>
      <c r="E199" s="13">
        <v>4799.2700000000004</v>
      </c>
      <c r="F199" s="13">
        <v>4799.2700000000004</v>
      </c>
      <c r="G199" s="12"/>
      <c r="H199" s="12">
        <v>50</v>
      </c>
      <c r="I199" s="24" t="s">
        <v>148</v>
      </c>
      <c r="J199" s="2">
        <v>312</v>
      </c>
    </row>
    <row r="200" spans="1:10" ht="30">
      <c r="A200" s="44" t="s">
        <v>663</v>
      </c>
      <c r="B200" s="33" t="s">
        <v>664</v>
      </c>
      <c r="C200" s="51" t="s">
        <v>151</v>
      </c>
      <c r="D200" s="12">
        <v>90</v>
      </c>
      <c r="E200" s="13">
        <v>4799.2700000000004</v>
      </c>
      <c r="F200" s="13">
        <v>4799.2700000000004</v>
      </c>
      <c r="G200" s="12"/>
      <c r="H200" s="12">
        <v>90</v>
      </c>
      <c r="I200" s="24" t="s">
        <v>148</v>
      </c>
      <c r="J200" s="2">
        <v>314</v>
      </c>
    </row>
    <row r="201" spans="1:10" ht="30">
      <c r="A201" s="44" t="s">
        <v>667</v>
      </c>
      <c r="B201" s="33" t="s">
        <v>668</v>
      </c>
      <c r="C201" s="51" t="s">
        <v>151</v>
      </c>
      <c r="D201" s="12">
        <v>30</v>
      </c>
      <c r="E201" s="13">
        <v>4799.2700000000004</v>
      </c>
      <c r="F201" s="13">
        <v>4799.2700000000004</v>
      </c>
      <c r="G201" s="12"/>
      <c r="H201" s="12">
        <v>30</v>
      </c>
      <c r="I201" s="24" t="s">
        <v>148</v>
      </c>
      <c r="J201" s="2">
        <v>316</v>
      </c>
    </row>
    <row r="202" spans="1:10" ht="30">
      <c r="A202" s="44" t="s">
        <v>665</v>
      </c>
      <c r="B202" s="33" t="s">
        <v>666</v>
      </c>
      <c r="C202" s="51" t="s">
        <v>151</v>
      </c>
      <c r="D202" s="12">
        <v>20</v>
      </c>
      <c r="E202" s="13">
        <v>4799.2700000000004</v>
      </c>
      <c r="F202" s="13">
        <v>4799.2700000000004</v>
      </c>
      <c r="G202" s="12"/>
      <c r="H202" s="12">
        <v>20</v>
      </c>
      <c r="I202" s="24" t="s">
        <v>148</v>
      </c>
      <c r="J202" s="2">
        <v>315</v>
      </c>
    </row>
    <row r="203" spans="1:10" ht="30">
      <c r="A203" s="44" t="s">
        <v>669</v>
      </c>
      <c r="B203" s="33" t="s">
        <v>670</v>
      </c>
      <c r="C203" s="51" t="s">
        <v>151</v>
      </c>
      <c r="D203" s="12">
        <v>15</v>
      </c>
      <c r="E203" s="13">
        <v>4799.2700000000004</v>
      </c>
      <c r="F203" s="13">
        <v>3844.89</v>
      </c>
      <c r="G203" s="12"/>
      <c r="H203" s="12">
        <v>15</v>
      </c>
      <c r="I203" s="24" t="s">
        <v>148</v>
      </c>
      <c r="J203" s="2">
        <v>317</v>
      </c>
    </row>
    <row r="204" spans="1:10" ht="30">
      <c r="A204" s="44" t="s">
        <v>694</v>
      </c>
      <c r="B204" s="33" t="s">
        <v>695</v>
      </c>
      <c r="C204" s="51" t="s">
        <v>151</v>
      </c>
      <c r="D204" s="12">
        <v>50</v>
      </c>
      <c r="E204" s="13">
        <v>1000</v>
      </c>
      <c r="F204" s="13">
        <v>1661.24</v>
      </c>
      <c r="G204" s="12"/>
      <c r="H204" s="12">
        <v>50</v>
      </c>
      <c r="I204" s="24" t="s">
        <v>148</v>
      </c>
      <c r="J204" s="2">
        <v>331</v>
      </c>
    </row>
    <row r="205" spans="1:10" ht="30">
      <c r="A205" s="44" t="s">
        <v>686</v>
      </c>
      <c r="B205" s="33" t="s">
        <v>687</v>
      </c>
      <c r="C205" s="51" t="s">
        <v>151</v>
      </c>
      <c r="D205" s="12">
        <v>6</v>
      </c>
      <c r="E205" s="13">
        <v>8973.7900000000009</v>
      </c>
      <c r="F205" s="13">
        <v>8973.7900000000009</v>
      </c>
      <c r="G205" s="12"/>
      <c r="H205" s="12">
        <v>6</v>
      </c>
      <c r="I205" s="24" t="s">
        <v>148</v>
      </c>
      <c r="J205" s="2">
        <v>327</v>
      </c>
    </row>
    <row r="206" spans="1:10" ht="30">
      <c r="A206" s="44" t="s">
        <v>688</v>
      </c>
      <c r="B206" s="33" t="s">
        <v>689</v>
      </c>
      <c r="C206" s="51" t="s">
        <v>151</v>
      </c>
      <c r="D206" s="12">
        <v>8</v>
      </c>
      <c r="E206" s="13">
        <v>8973.7900000000009</v>
      </c>
      <c r="F206" s="13">
        <v>8973.7900000000009</v>
      </c>
      <c r="G206" s="12"/>
      <c r="H206" s="12">
        <v>8</v>
      </c>
      <c r="I206" s="24" t="s">
        <v>148</v>
      </c>
      <c r="J206" s="2">
        <v>328</v>
      </c>
    </row>
    <row r="207" spans="1:10" ht="30">
      <c r="A207" s="44" t="s">
        <v>690</v>
      </c>
      <c r="B207" s="33" t="s">
        <v>691</v>
      </c>
      <c r="C207" s="51" t="s">
        <v>151</v>
      </c>
      <c r="D207" s="12">
        <v>8</v>
      </c>
      <c r="E207" s="13">
        <v>8973.7900000000009</v>
      </c>
      <c r="F207" s="13">
        <v>8973.7900000000009</v>
      </c>
      <c r="G207" s="12"/>
      <c r="H207" s="12">
        <v>8</v>
      </c>
      <c r="I207" s="24" t="s">
        <v>148</v>
      </c>
      <c r="J207" s="2">
        <v>329</v>
      </c>
    </row>
    <row r="208" spans="1:10" ht="30">
      <c r="A208" s="44" t="s">
        <v>692</v>
      </c>
      <c r="B208" s="33" t="s">
        <v>693</v>
      </c>
      <c r="C208" s="51" t="s">
        <v>151</v>
      </c>
      <c r="D208" s="12">
        <v>8</v>
      </c>
      <c r="E208" s="13">
        <v>8973.7900000000009</v>
      </c>
      <c r="F208" s="13">
        <v>1000</v>
      </c>
      <c r="G208" s="12"/>
      <c r="H208" s="12">
        <v>8</v>
      </c>
      <c r="I208" s="24" t="s">
        <v>148</v>
      </c>
      <c r="J208" s="2">
        <v>330</v>
      </c>
    </row>
    <row r="209" spans="1:10" ht="30">
      <c r="A209" s="44" t="s">
        <v>671</v>
      </c>
      <c r="B209" s="33" t="s">
        <v>672</v>
      </c>
      <c r="C209" s="51" t="s">
        <v>151</v>
      </c>
      <c r="D209" s="12">
        <v>30</v>
      </c>
      <c r="E209" s="13">
        <v>3844.89</v>
      </c>
      <c r="F209" s="13">
        <v>3844.89</v>
      </c>
      <c r="G209" s="12"/>
      <c r="H209" s="12">
        <v>30</v>
      </c>
      <c r="I209" s="24" t="s">
        <v>148</v>
      </c>
      <c r="J209" s="2">
        <v>318</v>
      </c>
    </row>
    <row r="210" spans="1:10" ht="30">
      <c r="A210" s="44" t="s">
        <v>681</v>
      </c>
      <c r="B210" s="33" t="s">
        <v>682</v>
      </c>
      <c r="C210" s="51" t="s">
        <v>151</v>
      </c>
      <c r="D210" s="12">
        <v>30</v>
      </c>
      <c r="E210" s="13">
        <v>3844.89</v>
      </c>
      <c r="F210" s="13">
        <v>3844.89</v>
      </c>
      <c r="G210" s="12"/>
      <c r="H210" s="12">
        <v>30</v>
      </c>
      <c r="I210" s="24" t="s">
        <v>148</v>
      </c>
      <c r="J210" s="2">
        <v>323</v>
      </c>
    </row>
    <row r="211" spans="1:10" ht="30">
      <c r="A211" s="44" t="s">
        <v>683</v>
      </c>
      <c r="B211" s="33" t="s">
        <v>682</v>
      </c>
      <c r="C211" s="51" t="s">
        <v>151</v>
      </c>
      <c r="D211" s="12">
        <v>30</v>
      </c>
      <c r="E211" s="13">
        <v>3844.89</v>
      </c>
      <c r="F211" s="13">
        <v>3844.89</v>
      </c>
      <c r="G211" s="12"/>
      <c r="H211" s="12">
        <v>30</v>
      </c>
      <c r="I211" s="24" t="s">
        <v>148</v>
      </c>
      <c r="J211" s="2">
        <v>324</v>
      </c>
    </row>
    <row r="212" spans="1:10" ht="30">
      <c r="A212" s="44" t="s">
        <v>677</v>
      </c>
      <c r="B212" s="33" t="s">
        <v>678</v>
      </c>
      <c r="C212" s="51" t="s">
        <v>151</v>
      </c>
      <c r="D212" s="12">
        <v>9</v>
      </c>
      <c r="E212" s="13">
        <v>3844.89</v>
      </c>
      <c r="F212" s="13">
        <v>3844.89</v>
      </c>
      <c r="G212" s="12"/>
      <c r="H212" s="12">
        <v>9</v>
      </c>
      <c r="I212" s="24" t="s">
        <v>148</v>
      </c>
      <c r="J212" s="2">
        <v>321</v>
      </c>
    </row>
    <row r="213" spans="1:10" ht="30">
      <c r="A213" s="44" t="s">
        <v>675</v>
      </c>
      <c r="B213" s="33" t="s">
        <v>676</v>
      </c>
      <c r="C213" s="51" t="s">
        <v>151</v>
      </c>
      <c r="D213" s="12">
        <v>20</v>
      </c>
      <c r="E213" s="13">
        <v>3844.89</v>
      </c>
      <c r="F213" s="13">
        <v>3844.89</v>
      </c>
      <c r="G213" s="12"/>
      <c r="H213" s="12">
        <v>20</v>
      </c>
      <c r="I213" s="24" t="s">
        <v>148</v>
      </c>
      <c r="J213" s="2">
        <v>320</v>
      </c>
    </row>
    <row r="214" spans="1:10" ht="30">
      <c r="A214" s="44" t="s">
        <v>673</v>
      </c>
      <c r="B214" s="33" t="s">
        <v>674</v>
      </c>
      <c r="C214" s="51" t="s">
        <v>151</v>
      </c>
      <c r="D214" s="12">
        <v>20</v>
      </c>
      <c r="E214" s="13">
        <v>3844.89</v>
      </c>
      <c r="F214" s="13">
        <v>3844.89</v>
      </c>
      <c r="G214" s="12"/>
      <c r="H214" s="12">
        <v>20</v>
      </c>
      <c r="I214" s="24" t="s">
        <v>148</v>
      </c>
      <c r="J214" s="2">
        <v>319</v>
      </c>
    </row>
    <row r="215" spans="1:10" ht="30">
      <c r="A215" s="44" t="s">
        <v>684</v>
      </c>
      <c r="B215" s="33" t="s">
        <v>685</v>
      </c>
      <c r="C215" s="51" t="s">
        <v>151</v>
      </c>
      <c r="D215" s="12">
        <v>50</v>
      </c>
      <c r="E215" s="13">
        <v>3844.89</v>
      </c>
      <c r="F215" s="13">
        <v>0</v>
      </c>
      <c r="G215" s="12"/>
      <c r="H215" s="12">
        <v>50</v>
      </c>
      <c r="I215" s="24" t="s">
        <v>148</v>
      </c>
      <c r="J215" s="2">
        <v>325</v>
      </c>
    </row>
    <row r="216" spans="1:10" ht="30">
      <c r="A216" s="44" t="s">
        <v>679</v>
      </c>
      <c r="B216" s="33" t="s">
        <v>680</v>
      </c>
      <c r="C216" s="51" t="s">
        <v>151</v>
      </c>
      <c r="D216" s="12">
        <v>20</v>
      </c>
      <c r="E216" s="13">
        <v>3844.89</v>
      </c>
      <c r="F216" s="13">
        <v>3844.89</v>
      </c>
      <c r="G216" s="12"/>
      <c r="H216" s="12">
        <v>20</v>
      </c>
      <c r="I216" s="24" t="s">
        <v>148</v>
      </c>
      <c r="J216" s="2">
        <v>322</v>
      </c>
    </row>
    <row r="217" spans="1:10" ht="45">
      <c r="A217" s="44" t="s">
        <v>704</v>
      </c>
      <c r="B217" s="33" t="s">
        <v>705</v>
      </c>
      <c r="C217" s="51" t="s">
        <v>151</v>
      </c>
      <c r="D217" s="12">
        <v>30</v>
      </c>
      <c r="E217" s="13">
        <v>1661.24</v>
      </c>
      <c r="F217" s="13">
        <v>8973.7900000000009</v>
      </c>
      <c r="G217" s="12"/>
      <c r="H217" s="12">
        <v>30</v>
      </c>
      <c r="I217" s="24" t="s">
        <v>148</v>
      </c>
      <c r="J217" s="2">
        <v>336</v>
      </c>
    </row>
    <row r="218" spans="1:10" ht="30">
      <c r="A218" s="44" t="s">
        <v>698</v>
      </c>
      <c r="B218" s="33" t="s">
        <v>699</v>
      </c>
      <c r="C218" s="51" t="s">
        <v>151</v>
      </c>
      <c r="D218" s="12">
        <v>50</v>
      </c>
      <c r="E218" s="13">
        <v>1661.24</v>
      </c>
      <c r="F218" s="13">
        <v>1661.24</v>
      </c>
      <c r="G218" s="12"/>
      <c r="H218" s="12">
        <v>50</v>
      </c>
      <c r="I218" s="24" t="s">
        <v>148</v>
      </c>
      <c r="J218" s="2">
        <v>333</v>
      </c>
    </row>
    <row r="219" spans="1:10" ht="45">
      <c r="A219" s="44" t="s">
        <v>702</v>
      </c>
      <c r="B219" s="33" t="s">
        <v>703</v>
      </c>
      <c r="C219" s="51" t="s">
        <v>151</v>
      </c>
      <c r="D219" s="12">
        <v>50</v>
      </c>
      <c r="E219" s="13">
        <v>1661.24</v>
      </c>
      <c r="F219" s="13">
        <v>1661.24</v>
      </c>
      <c r="G219" s="12"/>
      <c r="H219" s="12">
        <v>50</v>
      </c>
      <c r="I219" s="24" t="s">
        <v>148</v>
      </c>
      <c r="J219" s="2">
        <v>335</v>
      </c>
    </row>
    <row r="220" spans="1:10" ht="45">
      <c r="A220" s="44" t="s">
        <v>700</v>
      </c>
      <c r="B220" s="33" t="s">
        <v>701</v>
      </c>
      <c r="C220" s="51" t="s">
        <v>151</v>
      </c>
      <c r="D220" s="12">
        <v>50</v>
      </c>
      <c r="E220" s="13">
        <v>1661.24</v>
      </c>
      <c r="F220" s="13">
        <v>1661.24</v>
      </c>
      <c r="G220" s="12"/>
      <c r="H220" s="12">
        <v>50</v>
      </c>
      <c r="I220" s="24" t="s">
        <v>148</v>
      </c>
      <c r="J220" s="2">
        <v>334</v>
      </c>
    </row>
    <row r="221" spans="1:10" ht="45">
      <c r="A221" s="44" t="s">
        <v>696</v>
      </c>
      <c r="B221" s="33" t="s">
        <v>697</v>
      </c>
      <c r="C221" s="51" t="s">
        <v>151</v>
      </c>
      <c r="D221" s="12">
        <v>6</v>
      </c>
      <c r="E221" s="13">
        <v>1661.24</v>
      </c>
      <c r="F221" s="13">
        <v>1661.24</v>
      </c>
      <c r="G221" s="12"/>
      <c r="H221" s="12">
        <v>6</v>
      </c>
      <c r="I221" s="24" t="s">
        <v>148</v>
      </c>
      <c r="J221" s="2">
        <v>332</v>
      </c>
    </row>
    <row r="222" spans="1:10" ht="30">
      <c r="A222" s="44" t="s">
        <v>793</v>
      </c>
      <c r="B222" s="33" t="s">
        <v>794</v>
      </c>
      <c r="C222" s="51" t="s">
        <v>151</v>
      </c>
      <c r="D222" s="12">
        <v>30</v>
      </c>
      <c r="E222" s="13">
        <v>690.75</v>
      </c>
      <c r="F222" s="13">
        <v>690.75</v>
      </c>
      <c r="G222" s="12"/>
      <c r="H222" s="12">
        <v>30</v>
      </c>
      <c r="I222" s="24" t="s">
        <v>148</v>
      </c>
      <c r="J222" s="2">
        <v>387</v>
      </c>
    </row>
    <row r="223" spans="1:10" ht="30">
      <c r="A223" s="44" t="s">
        <v>791</v>
      </c>
      <c r="B223" s="33" t="s">
        <v>792</v>
      </c>
      <c r="C223" s="51" t="s">
        <v>151</v>
      </c>
      <c r="D223" s="12">
        <v>30</v>
      </c>
      <c r="E223" s="13">
        <v>690.75</v>
      </c>
      <c r="F223" s="13">
        <v>690.75</v>
      </c>
      <c r="G223" s="12"/>
      <c r="H223" s="12">
        <v>30</v>
      </c>
      <c r="I223" s="24" t="s">
        <v>148</v>
      </c>
      <c r="J223" s="2">
        <v>386</v>
      </c>
    </row>
    <row r="224" spans="1:10" ht="30">
      <c r="A224" s="44" t="s">
        <v>749</v>
      </c>
      <c r="B224" s="33" t="s">
        <v>739</v>
      </c>
      <c r="C224" s="51" t="s">
        <v>151</v>
      </c>
      <c r="D224" s="12">
        <v>80</v>
      </c>
      <c r="E224" s="13">
        <v>690.75</v>
      </c>
      <c r="F224" s="13">
        <v>690.75</v>
      </c>
      <c r="G224" s="12"/>
      <c r="H224" s="12">
        <v>80</v>
      </c>
      <c r="I224" s="24" t="s">
        <v>148</v>
      </c>
      <c r="J224" s="2">
        <v>364</v>
      </c>
    </row>
    <row r="225" spans="1:10">
      <c r="A225" s="44" t="s">
        <v>772</v>
      </c>
      <c r="B225" s="33" t="s">
        <v>773</v>
      </c>
      <c r="C225" s="51" t="s">
        <v>151</v>
      </c>
      <c r="D225" s="12">
        <v>80</v>
      </c>
      <c r="E225" s="13">
        <v>690.75</v>
      </c>
      <c r="F225" s="13">
        <v>690.75</v>
      </c>
      <c r="G225" s="12"/>
      <c r="H225" s="12">
        <v>80</v>
      </c>
      <c r="I225" s="24" t="s">
        <v>148</v>
      </c>
      <c r="J225" s="2">
        <v>376</v>
      </c>
    </row>
    <row r="226" spans="1:10" ht="30">
      <c r="A226" s="44" t="s">
        <v>762</v>
      </c>
      <c r="B226" s="33" t="s">
        <v>763</v>
      </c>
      <c r="C226" s="51" t="s">
        <v>151</v>
      </c>
      <c r="D226" s="12">
        <v>80</v>
      </c>
      <c r="E226" s="13">
        <v>690.75</v>
      </c>
      <c r="F226" s="13">
        <v>690.75</v>
      </c>
      <c r="G226" s="12"/>
      <c r="H226" s="12">
        <v>80</v>
      </c>
      <c r="I226" s="24" t="s">
        <v>148</v>
      </c>
      <c r="J226" s="2">
        <v>371</v>
      </c>
    </row>
    <row r="227" spans="1:10" ht="30">
      <c r="A227" s="44" t="s">
        <v>752</v>
      </c>
      <c r="B227" s="33" t="s">
        <v>753</v>
      </c>
      <c r="C227" s="51" t="s">
        <v>151</v>
      </c>
      <c r="D227" s="12">
        <v>84</v>
      </c>
      <c r="E227" s="13">
        <v>690.75</v>
      </c>
      <c r="F227" s="13">
        <v>690.75</v>
      </c>
      <c r="G227" s="12"/>
      <c r="H227" s="12">
        <v>84</v>
      </c>
      <c r="I227" s="24" t="s">
        <v>148</v>
      </c>
      <c r="J227" s="2">
        <v>366</v>
      </c>
    </row>
    <row r="228" spans="1:10" ht="30">
      <c r="A228" s="44" t="s">
        <v>776</v>
      </c>
      <c r="B228" s="33" t="s">
        <v>726</v>
      </c>
      <c r="C228" s="51" t="s">
        <v>151</v>
      </c>
      <c r="D228" s="12">
        <v>84</v>
      </c>
      <c r="E228" s="13">
        <v>690.75</v>
      </c>
      <c r="F228" s="13">
        <v>690.75</v>
      </c>
      <c r="G228" s="12"/>
      <c r="H228" s="12">
        <v>84</v>
      </c>
      <c r="I228" s="24" t="s">
        <v>148</v>
      </c>
      <c r="J228" s="2">
        <v>378</v>
      </c>
    </row>
    <row r="229" spans="1:10" ht="30">
      <c r="A229" s="44" t="s">
        <v>766</v>
      </c>
      <c r="B229" s="33" t="s">
        <v>767</v>
      </c>
      <c r="C229" s="51" t="s">
        <v>151</v>
      </c>
      <c r="D229" s="12">
        <v>84</v>
      </c>
      <c r="E229" s="13">
        <v>690.75</v>
      </c>
      <c r="F229" s="13">
        <v>690.75</v>
      </c>
      <c r="G229" s="12"/>
      <c r="H229" s="12">
        <v>84</v>
      </c>
      <c r="I229" s="24" t="s">
        <v>148</v>
      </c>
      <c r="J229" s="2">
        <v>373</v>
      </c>
    </row>
    <row r="230" spans="1:10" ht="30">
      <c r="A230" s="44" t="s">
        <v>756</v>
      </c>
      <c r="B230" s="33" t="s">
        <v>757</v>
      </c>
      <c r="C230" s="51" t="s">
        <v>151</v>
      </c>
      <c r="D230" s="12">
        <v>15</v>
      </c>
      <c r="E230" s="13">
        <v>690.75</v>
      </c>
      <c r="F230" s="13">
        <v>690.75</v>
      </c>
      <c r="G230" s="12"/>
      <c r="H230" s="12">
        <v>15</v>
      </c>
      <c r="I230" s="24" t="s">
        <v>148</v>
      </c>
      <c r="J230" s="2">
        <v>368</v>
      </c>
    </row>
    <row r="231" spans="1:10" ht="30">
      <c r="A231" s="44" t="s">
        <v>783</v>
      </c>
      <c r="B231" s="33" t="s">
        <v>784</v>
      </c>
      <c r="C231" s="51" t="s">
        <v>151</v>
      </c>
      <c r="D231" s="12">
        <v>50</v>
      </c>
      <c r="E231" s="13">
        <v>690.75</v>
      </c>
      <c r="F231" s="13">
        <v>690.75</v>
      </c>
      <c r="G231" s="12"/>
      <c r="H231" s="12">
        <v>50</v>
      </c>
      <c r="I231" s="24" t="s">
        <v>148</v>
      </c>
      <c r="J231" s="2">
        <v>382</v>
      </c>
    </row>
    <row r="232" spans="1:10" ht="30">
      <c r="A232" s="44" t="s">
        <v>781</v>
      </c>
      <c r="B232" s="33" t="s">
        <v>782</v>
      </c>
      <c r="C232" s="51" t="s">
        <v>151</v>
      </c>
      <c r="D232" s="12">
        <v>30</v>
      </c>
      <c r="E232" s="13">
        <v>690.75</v>
      </c>
      <c r="F232" s="13">
        <v>690.75</v>
      </c>
      <c r="G232" s="12"/>
      <c r="H232" s="12">
        <v>30</v>
      </c>
      <c r="I232" s="24" t="s">
        <v>148</v>
      </c>
      <c r="J232" s="2">
        <v>381</v>
      </c>
    </row>
    <row r="233" spans="1:10" ht="30">
      <c r="A233" s="44" t="s">
        <v>750</v>
      </c>
      <c r="B233" s="33" t="s">
        <v>751</v>
      </c>
      <c r="C233" s="51" t="s">
        <v>151</v>
      </c>
      <c r="D233" s="12">
        <v>80</v>
      </c>
      <c r="E233" s="13">
        <v>690.75</v>
      </c>
      <c r="F233" s="13">
        <v>690.75</v>
      </c>
      <c r="G233" s="12"/>
      <c r="H233" s="12">
        <v>80</v>
      </c>
      <c r="I233" s="24" t="s">
        <v>148</v>
      </c>
      <c r="J233" s="2">
        <v>365</v>
      </c>
    </row>
    <row r="234" spans="1:10" ht="30">
      <c r="A234" s="44" t="s">
        <v>774</v>
      </c>
      <c r="B234" s="33" t="s">
        <v>775</v>
      </c>
      <c r="C234" s="51" t="s">
        <v>151</v>
      </c>
      <c r="D234" s="12">
        <v>80</v>
      </c>
      <c r="E234" s="13">
        <v>690.75</v>
      </c>
      <c r="F234" s="13">
        <v>690.75</v>
      </c>
      <c r="G234" s="12"/>
      <c r="H234" s="12">
        <v>80</v>
      </c>
      <c r="I234" s="24" t="s">
        <v>148</v>
      </c>
      <c r="J234" s="2">
        <v>377</v>
      </c>
    </row>
    <row r="235" spans="1:10" ht="30">
      <c r="A235" s="44" t="s">
        <v>764</v>
      </c>
      <c r="B235" s="33" t="s">
        <v>765</v>
      </c>
      <c r="C235" s="51" t="s">
        <v>151</v>
      </c>
      <c r="D235" s="12">
        <v>80</v>
      </c>
      <c r="E235" s="13">
        <v>690.75</v>
      </c>
      <c r="F235" s="13">
        <v>690.75</v>
      </c>
      <c r="G235" s="12"/>
      <c r="H235" s="12">
        <v>80</v>
      </c>
      <c r="I235" s="24" t="s">
        <v>148</v>
      </c>
      <c r="J235" s="2">
        <v>372</v>
      </c>
    </row>
    <row r="236" spans="1:10" ht="30">
      <c r="A236" s="44" t="s">
        <v>758</v>
      </c>
      <c r="B236" s="33" t="s">
        <v>759</v>
      </c>
      <c r="C236" s="51" t="s">
        <v>151</v>
      </c>
      <c r="D236" s="12">
        <v>15</v>
      </c>
      <c r="E236" s="13">
        <v>690.75</v>
      </c>
      <c r="F236" s="13">
        <v>690.75</v>
      </c>
      <c r="G236" s="12"/>
      <c r="H236" s="12">
        <v>15</v>
      </c>
      <c r="I236" s="24" t="s">
        <v>148</v>
      </c>
      <c r="J236" s="2">
        <v>369</v>
      </c>
    </row>
    <row r="237" spans="1:10" ht="30">
      <c r="A237" s="44" t="s">
        <v>760</v>
      </c>
      <c r="B237" s="33" t="s">
        <v>761</v>
      </c>
      <c r="C237" s="51" t="s">
        <v>151</v>
      </c>
      <c r="D237" s="12">
        <v>20</v>
      </c>
      <c r="E237" s="13">
        <v>690.75</v>
      </c>
      <c r="F237" s="13">
        <v>690.75</v>
      </c>
      <c r="G237" s="12"/>
      <c r="H237" s="12">
        <v>20</v>
      </c>
      <c r="I237" s="24" t="s">
        <v>148</v>
      </c>
      <c r="J237" s="2">
        <v>370</v>
      </c>
    </row>
    <row r="238" spans="1:10" ht="30">
      <c r="A238" s="44" t="s">
        <v>754</v>
      </c>
      <c r="B238" s="33" t="s">
        <v>755</v>
      </c>
      <c r="C238" s="51" t="s">
        <v>151</v>
      </c>
      <c r="D238" s="12">
        <v>50</v>
      </c>
      <c r="E238" s="13">
        <v>690.75</v>
      </c>
      <c r="F238" s="13">
        <v>690.75</v>
      </c>
      <c r="G238" s="12"/>
      <c r="H238" s="12">
        <v>50</v>
      </c>
      <c r="I238" s="24" t="s">
        <v>148</v>
      </c>
      <c r="J238" s="2">
        <v>367</v>
      </c>
    </row>
    <row r="239" spans="1:10" ht="30">
      <c r="A239" s="44" t="s">
        <v>777</v>
      </c>
      <c r="B239" s="33" t="s">
        <v>778</v>
      </c>
      <c r="C239" s="51" t="s">
        <v>151</v>
      </c>
      <c r="D239" s="12">
        <v>50</v>
      </c>
      <c r="E239" s="13">
        <v>690.75</v>
      </c>
      <c r="F239" s="13">
        <v>690.75</v>
      </c>
      <c r="G239" s="12"/>
      <c r="H239" s="12">
        <v>50</v>
      </c>
      <c r="I239" s="24" t="s">
        <v>148</v>
      </c>
      <c r="J239" s="2">
        <v>379</v>
      </c>
    </row>
    <row r="240" spans="1:10" ht="30">
      <c r="A240" s="44" t="s">
        <v>768</v>
      </c>
      <c r="B240" s="33" t="s">
        <v>769</v>
      </c>
      <c r="C240" s="51" t="s">
        <v>151</v>
      </c>
      <c r="D240" s="12">
        <v>50</v>
      </c>
      <c r="E240" s="13">
        <v>690.75</v>
      </c>
      <c r="F240" s="13">
        <v>690.75</v>
      </c>
      <c r="G240" s="12"/>
      <c r="H240" s="12">
        <v>50</v>
      </c>
      <c r="I240" s="24" t="s">
        <v>148</v>
      </c>
      <c r="J240" s="2">
        <v>374</v>
      </c>
    </row>
    <row r="241" spans="1:10" ht="30">
      <c r="A241" s="44" t="s">
        <v>785</v>
      </c>
      <c r="B241" s="33" t="s">
        <v>786</v>
      </c>
      <c r="C241" s="51" t="s">
        <v>151</v>
      </c>
      <c r="D241" s="12">
        <v>20</v>
      </c>
      <c r="E241" s="13">
        <v>690.75</v>
      </c>
      <c r="F241" s="13">
        <v>690.75</v>
      </c>
      <c r="G241" s="12"/>
      <c r="H241" s="12">
        <v>20</v>
      </c>
      <c r="I241" s="24" t="s">
        <v>148</v>
      </c>
      <c r="J241" s="2">
        <v>383</v>
      </c>
    </row>
    <row r="242" spans="1:10" ht="30">
      <c r="A242" s="44" t="s">
        <v>789</v>
      </c>
      <c r="B242" s="33" t="s">
        <v>790</v>
      </c>
      <c r="C242" s="51" t="s">
        <v>151</v>
      </c>
      <c r="D242" s="12">
        <v>30</v>
      </c>
      <c r="E242" s="13">
        <v>690.75</v>
      </c>
      <c r="F242" s="13">
        <v>690.75</v>
      </c>
      <c r="G242" s="12"/>
      <c r="H242" s="12">
        <v>30</v>
      </c>
      <c r="I242" s="24" t="s">
        <v>148</v>
      </c>
      <c r="J242" s="2">
        <v>385</v>
      </c>
    </row>
    <row r="243" spans="1:10" ht="30">
      <c r="A243" s="44" t="s">
        <v>787</v>
      </c>
      <c r="B243" s="33" t="s">
        <v>788</v>
      </c>
      <c r="C243" s="51" t="s">
        <v>151</v>
      </c>
      <c r="D243" s="12">
        <v>200</v>
      </c>
      <c r="E243" s="13">
        <v>690.75</v>
      </c>
      <c r="F243" s="13">
        <v>690.75</v>
      </c>
      <c r="G243" s="12"/>
      <c r="H243" s="12">
        <v>200</v>
      </c>
      <c r="I243" s="24" t="s">
        <v>148</v>
      </c>
      <c r="J243" s="2">
        <v>384</v>
      </c>
    </row>
    <row r="244" spans="1:10" ht="30">
      <c r="A244" s="44" t="s">
        <v>779</v>
      </c>
      <c r="B244" s="33" t="s">
        <v>780</v>
      </c>
      <c r="C244" s="51" t="s">
        <v>151</v>
      </c>
      <c r="D244" s="12">
        <v>10</v>
      </c>
      <c r="E244" s="13">
        <v>690.75</v>
      </c>
      <c r="F244" s="13">
        <v>690.75</v>
      </c>
      <c r="G244" s="12"/>
      <c r="H244" s="12">
        <v>10</v>
      </c>
      <c r="I244" s="24" t="s">
        <v>148</v>
      </c>
      <c r="J244" s="2">
        <v>380</v>
      </c>
    </row>
    <row r="245" spans="1:10" ht="30">
      <c r="A245" s="44" t="s">
        <v>770</v>
      </c>
      <c r="B245" s="33" t="s">
        <v>771</v>
      </c>
      <c r="C245" s="51" t="s">
        <v>151</v>
      </c>
      <c r="D245" s="12">
        <v>10</v>
      </c>
      <c r="E245" s="13">
        <v>690.75</v>
      </c>
      <c r="F245" s="13">
        <v>690.75</v>
      </c>
      <c r="G245" s="12"/>
      <c r="H245" s="12">
        <v>10</v>
      </c>
      <c r="I245" s="24" t="s">
        <v>148</v>
      </c>
      <c r="J245" s="2">
        <v>375</v>
      </c>
    </row>
    <row r="246" spans="1:10" ht="30">
      <c r="A246" s="44" t="s">
        <v>795</v>
      </c>
      <c r="B246" s="33" t="s">
        <v>796</v>
      </c>
      <c r="C246" s="51" t="s">
        <v>151</v>
      </c>
      <c r="D246" s="12">
        <v>15</v>
      </c>
      <c r="E246" s="13">
        <v>690.75</v>
      </c>
      <c r="F246" s="13">
        <v>690.75</v>
      </c>
      <c r="G246" s="12"/>
      <c r="H246" s="12">
        <v>15</v>
      </c>
      <c r="I246" s="24" t="s">
        <v>148</v>
      </c>
      <c r="J246" s="2">
        <v>388</v>
      </c>
    </row>
    <row r="247" spans="1:10" ht="45">
      <c r="A247" s="44" t="s">
        <v>731</v>
      </c>
      <c r="B247" s="33" t="s">
        <v>732</v>
      </c>
      <c r="C247" s="51" t="s">
        <v>151</v>
      </c>
      <c r="D247" s="12">
        <v>50</v>
      </c>
      <c r="E247" s="13">
        <v>3850</v>
      </c>
      <c r="F247" s="13">
        <v>3850</v>
      </c>
      <c r="G247" s="12"/>
      <c r="H247" s="12">
        <v>50</v>
      </c>
      <c r="I247" s="24" t="s">
        <v>148</v>
      </c>
      <c r="J247" s="2">
        <v>352</v>
      </c>
    </row>
    <row r="248" spans="1:10" ht="45">
      <c r="A248" s="44" t="s">
        <v>735</v>
      </c>
      <c r="B248" s="33" t="s">
        <v>724</v>
      </c>
      <c r="C248" s="51" t="s">
        <v>151</v>
      </c>
      <c r="D248" s="12">
        <v>50</v>
      </c>
      <c r="E248" s="13">
        <v>3850</v>
      </c>
      <c r="F248" s="13">
        <v>3850</v>
      </c>
      <c r="G248" s="12"/>
      <c r="H248" s="12">
        <v>50</v>
      </c>
      <c r="I248" s="24" t="s">
        <v>148</v>
      </c>
      <c r="J248" s="2">
        <v>354</v>
      </c>
    </row>
    <row r="249" spans="1:10" ht="45">
      <c r="A249" s="44" t="s">
        <v>733</v>
      </c>
      <c r="B249" s="33" t="s">
        <v>734</v>
      </c>
      <c r="C249" s="51" t="s">
        <v>151</v>
      </c>
      <c r="D249" s="12">
        <v>50</v>
      </c>
      <c r="E249" s="13">
        <v>3850</v>
      </c>
      <c r="F249" s="13">
        <v>3850</v>
      </c>
      <c r="G249" s="12"/>
      <c r="H249" s="12">
        <v>50</v>
      </c>
      <c r="I249" s="24" t="s">
        <v>148</v>
      </c>
      <c r="J249" s="2">
        <v>353</v>
      </c>
    </row>
    <row r="250" spans="1:10" ht="45">
      <c r="A250" s="44" t="s">
        <v>729</v>
      </c>
      <c r="B250" s="33" t="s">
        <v>722</v>
      </c>
      <c r="C250" s="51" t="s">
        <v>151</v>
      </c>
      <c r="D250" s="12">
        <v>50</v>
      </c>
      <c r="E250" s="13">
        <v>3850</v>
      </c>
      <c r="F250" s="13">
        <v>3850</v>
      </c>
      <c r="G250" s="12"/>
      <c r="H250" s="12">
        <v>50</v>
      </c>
      <c r="I250" s="24" t="s">
        <v>148</v>
      </c>
      <c r="J250" s="2">
        <v>350</v>
      </c>
    </row>
    <row r="251" spans="1:10" ht="30">
      <c r="A251" s="44" t="s">
        <v>727</v>
      </c>
      <c r="B251" s="33" t="s">
        <v>728</v>
      </c>
      <c r="C251" s="51" t="s">
        <v>151</v>
      </c>
      <c r="D251" s="12">
        <v>10</v>
      </c>
      <c r="E251" s="13">
        <v>3850</v>
      </c>
      <c r="F251" s="13">
        <v>3850</v>
      </c>
      <c r="G251" s="12"/>
      <c r="H251" s="12">
        <v>10</v>
      </c>
      <c r="I251" s="24" t="s">
        <v>148</v>
      </c>
      <c r="J251" s="2">
        <v>349</v>
      </c>
    </row>
    <row r="252" spans="1:10" ht="45">
      <c r="A252" s="44" t="s">
        <v>736</v>
      </c>
      <c r="B252" s="33" t="s">
        <v>724</v>
      </c>
      <c r="C252" s="51" t="s">
        <v>151</v>
      </c>
      <c r="D252" s="12">
        <v>100</v>
      </c>
      <c r="E252" s="13">
        <v>3850</v>
      </c>
      <c r="F252" s="13">
        <v>3850</v>
      </c>
      <c r="G252" s="12"/>
      <c r="H252" s="12">
        <v>100</v>
      </c>
      <c r="I252" s="24" t="s">
        <v>148</v>
      </c>
      <c r="J252" s="2">
        <v>355</v>
      </c>
    </row>
    <row r="253" spans="1:10" ht="30">
      <c r="A253" s="44" t="s">
        <v>717</v>
      </c>
      <c r="B253" s="33" t="s">
        <v>718</v>
      </c>
      <c r="C253" s="51" t="s">
        <v>151</v>
      </c>
      <c r="D253" s="12">
        <v>8</v>
      </c>
      <c r="E253" s="13">
        <v>3850</v>
      </c>
      <c r="F253" s="13">
        <v>3850</v>
      </c>
      <c r="G253" s="12"/>
      <c r="H253" s="12">
        <v>8</v>
      </c>
      <c r="I253" s="24" t="s">
        <v>148</v>
      </c>
      <c r="J253" s="2">
        <v>344</v>
      </c>
    </row>
    <row r="254" spans="1:10" ht="30">
      <c r="A254" s="44" t="s">
        <v>719</v>
      </c>
      <c r="B254" s="33" t="s">
        <v>720</v>
      </c>
      <c r="C254" s="51" t="s">
        <v>151</v>
      </c>
      <c r="D254" s="12">
        <v>8</v>
      </c>
      <c r="E254" s="13">
        <v>3850</v>
      </c>
      <c r="F254" s="13">
        <v>3850</v>
      </c>
      <c r="G254" s="12"/>
      <c r="H254" s="12">
        <v>8</v>
      </c>
      <c r="I254" s="24" t="s">
        <v>148</v>
      </c>
      <c r="J254" s="2">
        <v>345</v>
      </c>
    </row>
    <row r="255" spans="1:10" ht="45">
      <c r="A255" s="44" t="s">
        <v>730</v>
      </c>
      <c r="B255" s="33" t="s">
        <v>710</v>
      </c>
      <c r="C255" s="51" t="s">
        <v>151</v>
      </c>
      <c r="D255" s="12">
        <v>20</v>
      </c>
      <c r="E255" s="13">
        <v>3850</v>
      </c>
      <c r="F255" s="13">
        <v>3850</v>
      </c>
      <c r="G255" s="12"/>
      <c r="H255" s="12">
        <v>20</v>
      </c>
      <c r="I255" s="24" t="s">
        <v>148</v>
      </c>
      <c r="J255" s="2">
        <v>351</v>
      </c>
    </row>
    <row r="256" spans="1:10" ht="45">
      <c r="A256" s="44" t="s">
        <v>721</v>
      </c>
      <c r="B256" s="33" t="s">
        <v>722</v>
      </c>
      <c r="C256" s="51" t="s">
        <v>151</v>
      </c>
      <c r="D256" s="12">
        <v>15</v>
      </c>
      <c r="E256" s="13">
        <v>3850</v>
      </c>
      <c r="F256" s="13">
        <v>3850</v>
      </c>
      <c r="G256" s="12"/>
      <c r="H256" s="12">
        <v>15</v>
      </c>
      <c r="I256" s="24" t="s">
        <v>148</v>
      </c>
      <c r="J256" s="2">
        <v>346</v>
      </c>
    </row>
    <row r="257" spans="1:10" ht="45">
      <c r="A257" s="44" t="s">
        <v>725</v>
      </c>
      <c r="B257" s="33" t="s">
        <v>726</v>
      </c>
      <c r="C257" s="51" t="s">
        <v>151</v>
      </c>
      <c r="D257" s="12">
        <v>40</v>
      </c>
      <c r="E257" s="13">
        <v>3850</v>
      </c>
      <c r="F257" s="13">
        <v>3850</v>
      </c>
      <c r="G257" s="12"/>
      <c r="H257" s="12">
        <v>40</v>
      </c>
      <c r="I257" s="24" t="s">
        <v>148</v>
      </c>
      <c r="J257" s="2">
        <v>348</v>
      </c>
    </row>
    <row r="258" spans="1:10" ht="45">
      <c r="A258" s="44" t="s">
        <v>723</v>
      </c>
      <c r="B258" s="33" t="s">
        <v>724</v>
      </c>
      <c r="C258" s="51" t="s">
        <v>151</v>
      </c>
      <c r="D258" s="12">
        <v>80</v>
      </c>
      <c r="E258" s="13">
        <v>3850</v>
      </c>
      <c r="F258" s="13">
        <v>3850</v>
      </c>
      <c r="G258" s="12"/>
      <c r="H258" s="12">
        <v>80</v>
      </c>
      <c r="I258" s="24" t="s">
        <v>148</v>
      </c>
      <c r="J258" s="2">
        <v>347</v>
      </c>
    </row>
    <row r="259" spans="1:10" ht="45">
      <c r="A259" s="44" t="s">
        <v>715</v>
      </c>
      <c r="B259" s="33" t="s">
        <v>716</v>
      </c>
      <c r="C259" s="51" t="s">
        <v>151</v>
      </c>
      <c r="D259" s="12">
        <v>10</v>
      </c>
      <c r="E259" s="13">
        <v>3850</v>
      </c>
      <c r="F259" s="13">
        <v>3850</v>
      </c>
      <c r="G259" s="12"/>
      <c r="H259" s="12">
        <v>10</v>
      </c>
      <c r="I259" s="24" t="s">
        <v>148</v>
      </c>
      <c r="J259" s="2">
        <v>343</v>
      </c>
    </row>
    <row r="260" spans="1:10" ht="30">
      <c r="A260" s="44" t="s">
        <v>740</v>
      </c>
      <c r="B260" s="33" t="s">
        <v>741</v>
      </c>
      <c r="C260" s="51" t="s">
        <v>151</v>
      </c>
      <c r="D260" s="12">
        <v>30</v>
      </c>
      <c r="E260" s="13">
        <v>3850</v>
      </c>
      <c r="F260" s="13">
        <v>3850</v>
      </c>
      <c r="G260" s="12"/>
      <c r="H260" s="12">
        <v>30</v>
      </c>
      <c r="I260" s="24" t="s">
        <v>148</v>
      </c>
      <c r="J260" s="2">
        <v>358</v>
      </c>
    </row>
    <row r="261" spans="1:10" ht="30">
      <c r="A261" s="44" t="s">
        <v>742</v>
      </c>
      <c r="B261" s="33" t="s">
        <v>741</v>
      </c>
      <c r="C261" s="51" t="s">
        <v>151</v>
      </c>
      <c r="D261" s="12">
        <v>30</v>
      </c>
      <c r="E261" s="13">
        <v>3850</v>
      </c>
      <c r="F261" s="13">
        <v>3850</v>
      </c>
      <c r="G261" s="12"/>
      <c r="H261" s="12">
        <v>30</v>
      </c>
      <c r="I261" s="24" t="s">
        <v>148</v>
      </c>
      <c r="J261" s="2">
        <v>359</v>
      </c>
    </row>
    <row r="262" spans="1:10" ht="30">
      <c r="A262" s="44" t="s">
        <v>743</v>
      </c>
      <c r="B262" s="33" t="s">
        <v>744</v>
      </c>
      <c r="C262" s="51" t="s">
        <v>151</v>
      </c>
      <c r="D262" s="12">
        <v>30</v>
      </c>
      <c r="E262" s="13">
        <v>3850</v>
      </c>
      <c r="F262" s="13">
        <v>3850</v>
      </c>
      <c r="G262" s="12"/>
      <c r="H262" s="12">
        <v>30</v>
      </c>
      <c r="I262" s="24" t="s">
        <v>148</v>
      </c>
      <c r="J262" s="2">
        <v>360</v>
      </c>
    </row>
    <row r="263" spans="1:10" ht="45">
      <c r="A263" s="44" t="s">
        <v>745</v>
      </c>
      <c r="B263" s="33" t="s">
        <v>744</v>
      </c>
      <c r="C263" s="51" t="s">
        <v>151</v>
      </c>
      <c r="D263" s="12">
        <v>30</v>
      </c>
      <c r="E263" s="13">
        <v>3850</v>
      </c>
      <c r="F263" s="13">
        <v>3850</v>
      </c>
      <c r="G263" s="12"/>
      <c r="H263" s="12">
        <v>30</v>
      </c>
      <c r="I263" s="24" t="s">
        <v>148</v>
      </c>
      <c r="J263" s="2">
        <v>361</v>
      </c>
    </row>
    <row r="264" spans="1:10" ht="30">
      <c r="A264" s="44" t="s">
        <v>737</v>
      </c>
      <c r="B264" s="33" t="s">
        <v>710</v>
      </c>
      <c r="C264" s="51" t="s">
        <v>151</v>
      </c>
      <c r="D264" s="12">
        <v>50</v>
      </c>
      <c r="E264" s="13">
        <v>3850</v>
      </c>
      <c r="F264" s="13">
        <v>3850</v>
      </c>
      <c r="G264" s="12"/>
      <c r="H264" s="12">
        <v>50</v>
      </c>
      <c r="I264" s="24" t="s">
        <v>148</v>
      </c>
      <c r="J264" s="2">
        <v>356</v>
      </c>
    </row>
    <row r="265" spans="1:10" ht="30">
      <c r="A265" s="44" t="s">
        <v>738</v>
      </c>
      <c r="B265" s="33" t="s">
        <v>739</v>
      </c>
      <c r="C265" s="51" t="s">
        <v>151</v>
      </c>
      <c r="D265" s="12">
        <v>5</v>
      </c>
      <c r="E265" s="13">
        <v>3850</v>
      </c>
      <c r="F265" s="13">
        <v>3850</v>
      </c>
      <c r="G265" s="12"/>
      <c r="H265" s="12">
        <v>5</v>
      </c>
      <c r="I265" s="24" t="s">
        <v>148</v>
      </c>
      <c r="J265" s="2">
        <v>357</v>
      </c>
    </row>
    <row r="266" spans="1:10" ht="30">
      <c r="A266" s="44" t="s">
        <v>746</v>
      </c>
      <c r="B266" s="33" t="s">
        <v>747</v>
      </c>
      <c r="C266" s="51" t="s">
        <v>151</v>
      </c>
      <c r="D266" s="12">
        <v>30</v>
      </c>
      <c r="E266" s="13">
        <v>3850</v>
      </c>
      <c r="F266" s="13">
        <v>3850</v>
      </c>
      <c r="G266" s="12"/>
      <c r="H266" s="12">
        <v>30</v>
      </c>
      <c r="I266" s="24" t="s">
        <v>148</v>
      </c>
      <c r="J266" s="2">
        <v>362</v>
      </c>
    </row>
    <row r="267" spans="1:10" ht="30">
      <c r="A267" s="44" t="s">
        <v>748</v>
      </c>
      <c r="B267" s="33" t="s">
        <v>744</v>
      </c>
      <c r="C267" s="51" t="s">
        <v>151</v>
      </c>
      <c r="D267" s="12">
        <v>30</v>
      </c>
      <c r="E267" s="13">
        <v>3850</v>
      </c>
      <c r="F267" s="13">
        <v>690.75</v>
      </c>
      <c r="G267" s="12"/>
      <c r="H267" s="12">
        <v>30</v>
      </c>
      <c r="I267" s="24" t="s">
        <v>148</v>
      </c>
      <c r="J267" s="2">
        <v>363</v>
      </c>
    </row>
    <row r="268" spans="1:10" ht="30">
      <c r="A268" s="44" t="s">
        <v>706</v>
      </c>
      <c r="B268" s="33" t="s">
        <v>707</v>
      </c>
      <c r="C268" s="51" t="s">
        <v>151</v>
      </c>
      <c r="D268" s="12">
        <v>110</v>
      </c>
      <c r="E268" s="13">
        <v>8973.7900000000009</v>
      </c>
      <c r="F268" s="13">
        <v>8973.7900000000009</v>
      </c>
      <c r="G268" s="12"/>
      <c r="H268" s="12">
        <v>110</v>
      </c>
      <c r="I268" s="24" t="s">
        <v>148</v>
      </c>
      <c r="J268" s="2">
        <v>337</v>
      </c>
    </row>
    <row r="269" spans="1:10" ht="30">
      <c r="A269" s="44" t="s">
        <v>708</v>
      </c>
      <c r="B269" s="33" t="s">
        <v>707</v>
      </c>
      <c r="C269" s="51" t="s">
        <v>151</v>
      </c>
      <c r="D269" s="12">
        <v>40</v>
      </c>
      <c r="E269" s="13">
        <v>8973.7900000000009</v>
      </c>
      <c r="F269" s="13">
        <v>8973.7900000000009</v>
      </c>
      <c r="G269" s="12"/>
      <c r="H269" s="12">
        <v>40</v>
      </c>
      <c r="I269" s="24" t="s">
        <v>148</v>
      </c>
      <c r="J269" s="2">
        <v>338</v>
      </c>
    </row>
    <row r="270" spans="1:10" ht="30">
      <c r="A270" s="44" t="s">
        <v>709</v>
      </c>
      <c r="B270" s="33" t="s">
        <v>710</v>
      </c>
      <c r="C270" s="51" t="s">
        <v>151</v>
      </c>
      <c r="D270" s="12">
        <v>4</v>
      </c>
      <c r="E270" s="13">
        <v>8973.7900000000009</v>
      </c>
      <c r="F270" s="13">
        <v>1661.24</v>
      </c>
      <c r="G270" s="12"/>
      <c r="H270" s="12">
        <v>4</v>
      </c>
      <c r="I270" s="24" t="s">
        <v>148</v>
      </c>
      <c r="J270" s="2">
        <v>339</v>
      </c>
    </row>
    <row r="271" spans="1:10" ht="30">
      <c r="A271" s="44" t="s">
        <v>711</v>
      </c>
      <c r="B271" s="33" t="s">
        <v>712</v>
      </c>
      <c r="C271" s="51" t="s">
        <v>151</v>
      </c>
      <c r="D271" s="12">
        <v>4</v>
      </c>
      <c r="E271" s="13">
        <v>1661.24</v>
      </c>
      <c r="F271" s="13">
        <v>1661.24</v>
      </c>
      <c r="G271" s="12"/>
      <c r="H271" s="12">
        <v>4</v>
      </c>
      <c r="I271" s="24" t="s">
        <v>148</v>
      </c>
      <c r="J271" s="2">
        <v>340</v>
      </c>
    </row>
    <row r="272" spans="1:10" ht="30">
      <c r="A272" s="44" t="s">
        <v>713</v>
      </c>
      <c r="B272" s="33" t="s">
        <v>714</v>
      </c>
      <c r="C272" s="51" t="s">
        <v>151</v>
      </c>
      <c r="D272" s="12">
        <v>70</v>
      </c>
      <c r="E272" s="13">
        <v>1661.24</v>
      </c>
      <c r="F272" s="13">
        <v>3850</v>
      </c>
      <c r="G272" s="12"/>
      <c r="H272" s="12">
        <v>70</v>
      </c>
      <c r="I272" s="24" t="s">
        <v>148</v>
      </c>
      <c r="J272" s="2">
        <v>341</v>
      </c>
    </row>
    <row r="273" spans="1:10" ht="30">
      <c r="A273" s="44" t="s">
        <v>797</v>
      </c>
      <c r="B273" s="33" t="s">
        <v>798</v>
      </c>
      <c r="C273" s="51" t="s">
        <v>151</v>
      </c>
      <c r="D273" s="12">
        <v>10</v>
      </c>
      <c r="E273" s="13">
        <v>690.75</v>
      </c>
      <c r="F273" s="13">
        <v>4799.2700000000004</v>
      </c>
      <c r="G273" s="12"/>
      <c r="H273" s="12">
        <v>10</v>
      </c>
      <c r="I273" s="24" t="s">
        <v>148</v>
      </c>
      <c r="J273" s="2">
        <v>389</v>
      </c>
    </row>
    <row r="274" spans="1:10">
      <c r="A274" s="42" t="s">
        <v>186</v>
      </c>
      <c r="B274" s="32" t="s">
        <v>185</v>
      </c>
      <c r="C274" s="50" t="s">
        <v>151</v>
      </c>
      <c r="D274" s="12">
        <v>50</v>
      </c>
      <c r="E274" s="13">
        <v>1505.04</v>
      </c>
      <c r="F274" s="13">
        <v>1505.04</v>
      </c>
      <c r="G274" s="12"/>
      <c r="H274" s="12">
        <v>50</v>
      </c>
      <c r="I274" s="24" t="s">
        <v>148</v>
      </c>
      <c r="J274" s="1">
        <v>33</v>
      </c>
    </row>
    <row r="275" spans="1:10">
      <c r="A275" s="42" t="s">
        <v>187</v>
      </c>
      <c r="B275" s="32" t="s">
        <v>185</v>
      </c>
      <c r="C275" s="50" t="s">
        <v>151</v>
      </c>
      <c r="D275" s="12">
        <v>241</v>
      </c>
      <c r="E275" s="13">
        <v>3628.57</v>
      </c>
      <c r="F275" s="13">
        <v>3628.57</v>
      </c>
      <c r="G275" s="12"/>
      <c r="H275" s="12">
        <v>241</v>
      </c>
      <c r="I275" s="24" t="s">
        <v>148</v>
      </c>
      <c r="J275" s="1">
        <v>34</v>
      </c>
    </row>
    <row r="276" spans="1:10">
      <c r="A276" s="42" t="s">
        <v>184</v>
      </c>
      <c r="B276" s="32" t="s">
        <v>185</v>
      </c>
      <c r="C276" s="50" t="s">
        <v>151</v>
      </c>
      <c r="D276" s="12">
        <v>114</v>
      </c>
      <c r="E276" s="13">
        <v>1505.04</v>
      </c>
      <c r="F276" s="13">
        <v>1505.04</v>
      </c>
      <c r="G276" s="12"/>
      <c r="H276" s="12">
        <v>114</v>
      </c>
      <c r="I276" s="24" t="s">
        <v>148</v>
      </c>
      <c r="J276" s="1">
        <v>32</v>
      </c>
    </row>
    <row r="277" spans="1:10" ht="141.75">
      <c r="A277" s="48" t="s">
        <v>934</v>
      </c>
      <c r="B277" s="37" t="s">
        <v>105</v>
      </c>
      <c r="C277" s="55" t="s">
        <v>68</v>
      </c>
      <c r="D277" s="12">
        <v>200</v>
      </c>
      <c r="E277" s="13">
        <v>0.73692857142857138</v>
      </c>
      <c r="F277" s="13">
        <v>10317</v>
      </c>
      <c r="G277" s="12"/>
      <c r="H277" s="12">
        <v>200</v>
      </c>
      <c r="I277" s="22" t="s">
        <v>101</v>
      </c>
      <c r="J277" s="8"/>
    </row>
    <row r="278" spans="1:10" ht="135">
      <c r="A278" s="70" t="s">
        <v>71</v>
      </c>
      <c r="B278" s="71" t="s">
        <v>72</v>
      </c>
      <c r="C278" s="72" t="s">
        <v>68</v>
      </c>
      <c r="D278" s="12">
        <v>30</v>
      </c>
      <c r="E278" s="13">
        <v>0.72857142857142854</v>
      </c>
      <c r="F278" s="13">
        <v>10200</v>
      </c>
      <c r="G278" s="12"/>
      <c r="H278" s="12">
        <v>30</v>
      </c>
      <c r="I278" s="23" t="s">
        <v>65</v>
      </c>
      <c r="J278" s="68">
        <v>3</v>
      </c>
    </row>
    <row r="279" spans="1:10" ht="45">
      <c r="A279" s="44" t="s">
        <v>642</v>
      </c>
      <c r="B279" s="33" t="s">
        <v>643</v>
      </c>
      <c r="C279" s="51" t="s">
        <v>151</v>
      </c>
      <c r="D279" s="12">
        <v>100</v>
      </c>
      <c r="E279" s="13">
        <v>2898.84</v>
      </c>
      <c r="F279" s="13">
        <v>2898.84</v>
      </c>
      <c r="G279" s="12"/>
      <c r="H279" s="12">
        <v>100</v>
      </c>
      <c r="I279" s="24" t="s">
        <v>148</v>
      </c>
      <c r="J279" s="2">
        <v>298</v>
      </c>
    </row>
    <row r="280" spans="1:10" ht="60">
      <c r="A280" s="44" t="s">
        <v>644</v>
      </c>
      <c r="B280" s="33" t="s">
        <v>645</v>
      </c>
      <c r="C280" s="51" t="s">
        <v>151</v>
      </c>
      <c r="D280" s="12">
        <v>70</v>
      </c>
      <c r="E280" s="13">
        <v>2898.84</v>
      </c>
      <c r="F280" s="13">
        <v>2898.84</v>
      </c>
      <c r="G280" s="12"/>
      <c r="H280" s="12">
        <v>70</v>
      </c>
      <c r="I280" s="24" t="s">
        <v>148</v>
      </c>
      <c r="J280" s="2">
        <v>299</v>
      </c>
    </row>
    <row r="281" spans="1:10" ht="45">
      <c r="A281" s="44" t="s">
        <v>646</v>
      </c>
      <c r="B281" s="33" t="s">
        <v>647</v>
      </c>
      <c r="C281" s="51" t="s">
        <v>151</v>
      </c>
      <c r="D281" s="12">
        <v>1500</v>
      </c>
      <c r="E281" s="13">
        <v>2898.84</v>
      </c>
      <c r="F281" s="13">
        <v>0</v>
      </c>
      <c r="G281" s="12"/>
      <c r="H281" s="12">
        <v>1500</v>
      </c>
      <c r="I281" s="24" t="s">
        <v>148</v>
      </c>
      <c r="J281" s="2">
        <v>300</v>
      </c>
    </row>
    <row r="282" spans="1:10" ht="45">
      <c r="A282" s="44" t="s">
        <v>620</v>
      </c>
      <c r="B282" s="33" t="s">
        <v>621</v>
      </c>
      <c r="C282" s="51" t="s">
        <v>151</v>
      </c>
      <c r="D282" s="12">
        <v>50</v>
      </c>
      <c r="E282" s="13">
        <v>833</v>
      </c>
      <c r="F282" s="13">
        <v>455.66624999999999</v>
      </c>
      <c r="G282" s="12"/>
      <c r="H282" s="12">
        <v>50</v>
      </c>
      <c r="I282" s="24" t="s">
        <v>148</v>
      </c>
      <c r="J282" s="2">
        <v>284</v>
      </c>
    </row>
    <row r="283" spans="1:10" ht="45">
      <c r="A283" s="44" t="s">
        <v>637</v>
      </c>
      <c r="B283" s="33" t="s">
        <v>621</v>
      </c>
      <c r="C283" s="51" t="s">
        <v>151</v>
      </c>
      <c r="D283" s="12">
        <v>50</v>
      </c>
      <c r="E283" s="13">
        <v>833</v>
      </c>
      <c r="F283" s="13">
        <v>1266.6666666666667</v>
      </c>
      <c r="G283" s="12"/>
      <c r="H283" s="12">
        <v>50</v>
      </c>
      <c r="I283" s="24" t="s">
        <v>148</v>
      </c>
      <c r="J283" s="2">
        <v>295</v>
      </c>
    </row>
    <row r="284" spans="1:10" ht="45">
      <c r="A284" s="44" t="s">
        <v>640</v>
      </c>
      <c r="B284" s="33" t="s">
        <v>641</v>
      </c>
      <c r="C284" s="51" t="s">
        <v>151</v>
      </c>
      <c r="D284" s="12">
        <v>20</v>
      </c>
      <c r="E284" s="13">
        <v>1266.6666666666667</v>
      </c>
      <c r="F284" s="13">
        <v>2898.84</v>
      </c>
      <c r="G284" s="12"/>
      <c r="H284" s="12">
        <v>20</v>
      </c>
      <c r="I284" s="24" t="s">
        <v>148</v>
      </c>
      <c r="J284" s="2">
        <v>297</v>
      </c>
    </row>
    <row r="285" spans="1:10" ht="30">
      <c r="A285" s="44" t="s">
        <v>630</v>
      </c>
      <c r="B285" s="33" t="s">
        <v>623</v>
      </c>
      <c r="C285" s="51" t="s">
        <v>151</v>
      </c>
      <c r="D285" s="12">
        <v>50</v>
      </c>
      <c r="E285" s="13">
        <v>1266.6666666666667</v>
      </c>
      <c r="F285" s="13">
        <v>1266.6666666666667</v>
      </c>
      <c r="G285" s="12"/>
      <c r="H285" s="12">
        <v>50</v>
      </c>
      <c r="I285" s="24" t="s">
        <v>148</v>
      </c>
      <c r="J285" s="2">
        <v>289</v>
      </c>
    </row>
    <row r="286" spans="1:10" ht="30">
      <c r="A286" s="44" t="s">
        <v>632</v>
      </c>
      <c r="B286" s="33" t="s">
        <v>627</v>
      </c>
      <c r="C286" s="51" t="s">
        <v>151</v>
      </c>
      <c r="D286" s="12">
        <v>500</v>
      </c>
      <c r="E286" s="13">
        <v>1266.6666666666667</v>
      </c>
      <c r="F286" s="13">
        <v>1266.6666666666667</v>
      </c>
      <c r="G286" s="12"/>
      <c r="H286" s="12">
        <v>500</v>
      </c>
      <c r="I286" s="24" t="s">
        <v>148</v>
      </c>
      <c r="J286" s="2">
        <v>291</v>
      </c>
    </row>
    <row r="287" spans="1:10" ht="45">
      <c r="A287" s="44" t="s">
        <v>638</v>
      </c>
      <c r="B287" s="33" t="s">
        <v>639</v>
      </c>
      <c r="C287" s="51" t="s">
        <v>151</v>
      </c>
      <c r="D287" s="12">
        <v>20</v>
      </c>
      <c r="E287" s="13">
        <v>1266.6666666666667</v>
      </c>
      <c r="F287" s="13">
        <v>1266.6666666666667</v>
      </c>
      <c r="G287" s="12"/>
      <c r="H287" s="12">
        <v>20</v>
      </c>
      <c r="I287" s="24" t="s">
        <v>148</v>
      </c>
      <c r="J287" s="2">
        <v>296</v>
      </c>
    </row>
    <row r="288" spans="1:10" ht="30">
      <c r="A288" s="44" t="s">
        <v>631</v>
      </c>
      <c r="B288" s="33" t="s">
        <v>625</v>
      </c>
      <c r="C288" s="51" t="s">
        <v>151</v>
      </c>
      <c r="D288" s="12">
        <v>50</v>
      </c>
      <c r="E288" s="13">
        <v>1266.6666666666667</v>
      </c>
      <c r="F288" s="13">
        <v>1266.6666666666667</v>
      </c>
      <c r="G288" s="12"/>
      <c r="H288" s="12">
        <v>50</v>
      </c>
      <c r="I288" s="24" t="s">
        <v>148</v>
      </c>
      <c r="J288" s="2">
        <v>290</v>
      </c>
    </row>
    <row r="289" spans="1:10" ht="30">
      <c r="A289" s="44" t="s">
        <v>618</v>
      </c>
      <c r="B289" s="33" t="s">
        <v>619</v>
      </c>
      <c r="C289" s="51" t="s">
        <v>151</v>
      </c>
      <c r="D289" s="12">
        <v>200</v>
      </c>
      <c r="E289" s="13">
        <v>1266.6666666666667</v>
      </c>
      <c r="F289" s="13">
        <v>833</v>
      </c>
      <c r="G289" s="12"/>
      <c r="H289" s="12">
        <v>200</v>
      </c>
      <c r="I289" s="24" t="s">
        <v>148</v>
      </c>
      <c r="J289" s="2">
        <v>283</v>
      </c>
    </row>
    <row r="290" spans="1:10" ht="30">
      <c r="A290" s="44" t="s">
        <v>606</v>
      </c>
      <c r="B290" s="33" t="s">
        <v>601</v>
      </c>
      <c r="C290" s="51" t="s">
        <v>151</v>
      </c>
      <c r="D290" s="12">
        <v>200</v>
      </c>
      <c r="E290" s="13">
        <v>1266.6666666666667</v>
      </c>
      <c r="F290" s="13">
        <v>1266.6666666666667</v>
      </c>
      <c r="G290" s="12"/>
      <c r="H290" s="12">
        <v>200</v>
      </c>
      <c r="I290" s="24" t="s">
        <v>148</v>
      </c>
      <c r="J290" s="2">
        <v>274</v>
      </c>
    </row>
    <row r="291" spans="1:10" ht="30">
      <c r="A291" s="44" t="s">
        <v>608</v>
      </c>
      <c r="B291" s="33" t="s">
        <v>605</v>
      </c>
      <c r="C291" s="51" t="s">
        <v>151</v>
      </c>
      <c r="D291" s="12">
        <v>200</v>
      </c>
      <c r="E291" s="13">
        <v>1266.6666666666667</v>
      </c>
      <c r="F291" s="13">
        <v>1266.6666666666667</v>
      </c>
      <c r="G291" s="12"/>
      <c r="H291" s="12">
        <v>200</v>
      </c>
      <c r="I291" s="24" t="s">
        <v>148</v>
      </c>
      <c r="J291" s="2">
        <v>276</v>
      </c>
    </row>
    <row r="292" spans="1:10" ht="30">
      <c r="A292" s="44" t="s">
        <v>607</v>
      </c>
      <c r="B292" s="33" t="s">
        <v>603</v>
      </c>
      <c r="C292" s="51" t="s">
        <v>151</v>
      </c>
      <c r="D292" s="12">
        <v>200</v>
      </c>
      <c r="E292" s="13">
        <v>1266.6666666666667</v>
      </c>
      <c r="F292" s="13">
        <v>1266.6666666666667</v>
      </c>
      <c r="G292" s="12"/>
      <c r="H292" s="12">
        <v>200</v>
      </c>
      <c r="I292" s="24" t="s">
        <v>148</v>
      </c>
      <c r="J292" s="2">
        <v>275</v>
      </c>
    </row>
    <row r="293" spans="1:10" ht="45">
      <c r="A293" s="44" t="s">
        <v>634</v>
      </c>
      <c r="B293" s="33" t="s">
        <v>625</v>
      </c>
      <c r="C293" s="51" t="s">
        <v>151</v>
      </c>
      <c r="D293" s="12">
        <v>100</v>
      </c>
      <c r="E293" s="13">
        <v>1266.6666666666667</v>
      </c>
      <c r="F293" s="13">
        <v>455.66624999999999</v>
      </c>
      <c r="G293" s="12"/>
      <c r="H293" s="12">
        <v>100</v>
      </c>
      <c r="I293" s="24" t="s">
        <v>148</v>
      </c>
      <c r="J293" s="2">
        <v>293</v>
      </c>
    </row>
    <row r="294" spans="1:10" ht="45">
      <c r="A294" s="44" t="s">
        <v>609</v>
      </c>
      <c r="B294" s="33" t="s">
        <v>601</v>
      </c>
      <c r="C294" s="51" t="s">
        <v>151</v>
      </c>
      <c r="D294" s="12">
        <v>50</v>
      </c>
      <c r="E294" s="13">
        <v>1266.6666666666667</v>
      </c>
      <c r="F294" s="13">
        <v>455.66624999999999</v>
      </c>
      <c r="G294" s="12"/>
      <c r="H294" s="12">
        <v>50</v>
      </c>
      <c r="I294" s="24" t="s">
        <v>148</v>
      </c>
      <c r="J294" s="2">
        <v>277</v>
      </c>
    </row>
    <row r="295" spans="1:10" ht="45">
      <c r="A295" s="44" t="s">
        <v>633</v>
      </c>
      <c r="B295" s="33" t="s">
        <v>623</v>
      </c>
      <c r="C295" s="51" t="s">
        <v>151</v>
      </c>
      <c r="D295" s="12">
        <v>300</v>
      </c>
      <c r="E295" s="13">
        <v>1266.6666666666667</v>
      </c>
      <c r="F295" s="13">
        <v>1266.6666666666667</v>
      </c>
      <c r="G295" s="12"/>
      <c r="H295" s="12">
        <v>300</v>
      </c>
      <c r="I295" s="24" t="s">
        <v>148</v>
      </c>
      <c r="J295" s="2">
        <v>292</v>
      </c>
    </row>
    <row r="296" spans="1:10" ht="30">
      <c r="A296" s="44" t="s">
        <v>622</v>
      </c>
      <c r="B296" s="33" t="s">
        <v>623</v>
      </c>
      <c r="C296" s="51" t="s">
        <v>151</v>
      </c>
      <c r="D296" s="12">
        <v>250</v>
      </c>
      <c r="E296" s="13">
        <v>455.66624999999999</v>
      </c>
      <c r="F296" s="13">
        <v>455.66624999999999</v>
      </c>
      <c r="G296" s="12"/>
      <c r="H296" s="12">
        <v>250</v>
      </c>
      <c r="I296" s="24" t="s">
        <v>148</v>
      </c>
      <c r="J296" s="2">
        <v>285</v>
      </c>
    </row>
    <row r="297" spans="1:10" ht="30">
      <c r="A297" s="44" t="s">
        <v>626</v>
      </c>
      <c r="B297" s="33" t="s">
        <v>627</v>
      </c>
      <c r="C297" s="51" t="s">
        <v>151</v>
      </c>
      <c r="D297" s="12">
        <v>200</v>
      </c>
      <c r="E297" s="13">
        <v>455.66624999999999</v>
      </c>
      <c r="F297" s="13">
        <v>455.66624999999999</v>
      </c>
      <c r="G297" s="12"/>
      <c r="H297" s="12">
        <v>200</v>
      </c>
      <c r="I297" s="24" t="s">
        <v>148</v>
      </c>
      <c r="J297" s="2">
        <v>287</v>
      </c>
    </row>
    <row r="298" spans="1:10" ht="30">
      <c r="A298" s="44" t="s">
        <v>624</v>
      </c>
      <c r="B298" s="33" t="s">
        <v>625</v>
      </c>
      <c r="C298" s="51" t="s">
        <v>151</v>
      </c>
      <c r="D298" s="12">
        <v>700</v>
      </c>
      <c r="E298" s="13">
        <v>455.66624999999999</v>
      </c>
      <c r="F298" s="13">
        <v>455.66624999999999</v>
      </c>
      <c r="G298" s="12"/>
      <c r="H298" s="12">
        <v>700</v>
      </c>
      <c r="I298" s="24" t="s">
        <v>148</v>
      </c>
      <c r="J298" s="2">
        <v>286</v>
      </c>
    </row>
    <row r="299" spans="1:10" ht="30">
      <c r="A299" s="44" t="s">
        <v>616</v>
      </c>
      <c r="B299" s="33" t="s">
        <v>617</v>
      </c>
      <c r="C299" s="51" t="s">
        <v>151</v>
      </c>
      <c r="D299" s="12">
        <v>200</v>
      </c>
      <c r="E299" s="13">
        <v>455.66624999999999</v>
      </c>
      <c r="F299" s="13">
        <v>1266.6666666666667</v>
      </c>
      <c r="G299" s="12"/>
      <c r="H299" s="12">
        <v>200</v>
      </c>
      <c r="I299" s="24" t="s">
        <v>148</v>
      </c>
      <c r="J299" s="2">
        <v>282</v>
      </c>
    </row>
    <row r="300" spans="1:10" ht="30">
      <c r="A300" s="44" t="s">
        <v>614</v>
      </c>
      <c r="B300" s="33" t="s">
        <v>615</v>
      </c>
      <c r="C300" s="51" t="s">
        <v>151</v>
      </c>
      <c r="D300" s="12">
        <v>30</v>
      </c>
      <c r="E300" s="13">
        <v>455.66624999999999</v>
      </c>
      <c r="F300" s="13">
        <v>455.66624999999999</v>
      </c>
      <c r="G300" s="12"/>
      <c r="H300" s="12">
        <v>30</v>
      </c>
      <c r="I300" s="24" t="s">
        <v>148</v>
      </c>
      <c r="J300" s="2">
        <v>281</v>
      </c>
    </row>
    <row r="301" spans="1:10" ht="30">
      <c r="A301" s="44" t="s">
        <v>17</v>
      </c>
      <c r="B301" s="33" t="s">
        <v>601</v>
      </c>
      <c r="C301" s="51" t="s">
        <v>151</v>
      </c>
      <c r="D301" s="12">
        <v>600</v>
      </c>
      <c r="E301" s="13">
        <v>455.66624999999999</v>
      </c>
      <c r="F301" s="13">
        <v>455.66624999999999</v>
      </c>
      <c r="G301" s="12"/>
      <c r="H301" s="12">
        <v>600</v>
      </c>
      <c r="I301" s="24" t="s">
        <v>148</v>
      </c>
      <c r="J301" s="2">
        <v>271</v>
      </c>
    </row>
    <row r="302" spans="1:10" ht="30">
      <c r="A302" s="44" t="s">
        <v>604</v>
      </c>
      <c r="B302" s="33" t="s">
        <v>605</v>
      </c>
      <c r="C302" s="51" t="s">
        <v>151</v>
      </c>
      <c r="D302" s="12">
        <v>1000</v>
      </c>
      <c r="E302" s="13">
        <v>455.66624999999999</v>
      </c>
      <c r="F302" s="13">
        <v>1266.6666666666667</v>
      </c>
      <c r="G302" s="12"/>
      <c r="H302" s="12">
        <v>1000</v>
      </c>
      <c r="I302" s="24" t="s">
        <v>148</v>
      </c>
      <c r="J302" s="2">
        <v>273</v>
      </c>
    </row>
    <row r="303" spans="1:10" ht="30">
      <c r="A303" s="44" t="s">
        <v>602</v>
      </c>
      <c r="B303" s="33" t="s">
        <v>603</v>
      </c>
      <c r="C303" s="51" t="s">
        <v>151</v>
      </c>
      <c r="D303" s="12">
        <v>700</v>
      </c>
      <c r="E303" s="13">
        <v>455.66624999999999</v>
      </c>
      <c r="F303" s="13">
        <v>455.66624999999999</v>
      </c>
      <c r="G303" s="12"/>
      <c r="H303" s="12">
        <v>700</v>
      </c>
      <c r="I303" s="24" t="s">
        <v>148</v>
      </c>
      <c r="J303" s="2">
        <v>272</v>
      </c>
    </row>
    <row r="304" spans="1:10" ht="45">
      <c r="A304" s="44" t="s">
        <v>599</v>
      </c>
      <c r="B304" s="33" t="s">
        <v>600</v>
      </c>
      <c r="C304" s="51" t="s">
        <v>151</v>
      </c>
      <c r="D304" s="12">
        <v>800</v>
      </c>
      <c r="E304" s="13">
        <v>455.66624999999999</v>
      </c>
      <c r="F304" s="13">
        <v>455.66624999999999</v>
      </c>
      <c r="G304" s="12"/>
      <c r="H304" s="12">
        <v>800</v>
      </c>
      <c r="I304" s="24" t="s">
        <v>148</v>
      </c>
      <c r="J304" s="2">
        <v>270</v>
      </c>
    </row>
    <row r="305" spans="1:10" ht="30">
      <c r="A305" s="44" t="s">
        <v>612</v>
      </c>
      <c r="B305" s="33" t="s">
        <v>613</v>
      </c>
      <c r="C305" s="51" t="s">
        <v>151</v>
      </c>
      <c r="D305" s="12">
        <v>50</v>
      </c>
      <c r="E305" s="13">
        <v>455.66624999999999</v>
      </c>
      <c r="F305" s="13">
        <v>455.66624999999999</v>
      </c>
      <c r="G305" s="12"/>
      <c r="H305" s="12">
        <v>50</v>
      </c>
      <c r="I305" s="24" t="s">
        <v>148</v>
      </c>
      <c r="J305" s="2">
        <v>280</v>
      </c>
    </row>
    <row r="306" spans="1:10" ht="30">
      <c r="A306" s="44" t="s">
        <v>610</v>
      </c>
      <c r="B306" s="33" t="s">
        <v>601</v>
      </c>
      <c r="C306" s="51" t="s">
        <v>151</v>
      </c>
      <c r="D306" s="12">
        <v>40</v>
      </c>
      <c r="E306" s="13">
        <v>455.66624999999999</v>
      </c>
      <c r="F306" s="13">
        <v>455.66624999999999</v>
      </c>
      <c r="G306" s="12"/>
      <c r="H306" s="12">
        <v>40</v>
      </c>
      <c r="I306" s="24" t="s">
        <v>148</v>
      </c>
      <c r="J306" s="2">
        <v>278</v>
      </c>
    </row>
    <row r="307" spans="1:10" ht="30">
      <c r="A307" s="44" t="s">
        <v>635</v>
      </c>
      <c r="B307" s="33" t="s">
        <v>636</v>
      </c>
      <c r="C307" s="51" t="s">
        <v>151</v>
      </c>
      <c r="D307" s="12">
        <v>80</v>
      </c>
      <c r="E307" s="13">
        <v>455.66624999999999</v>
      </c>
      <c r="F307" s="13">
        <v>833</v>
      </c>
      <c r="G307" s="12"/>
      <c r="H307" s="12">
        <v>80</v>
      </c>
      <c r="I307" s="24" t="s">
        <v>148</v>
      </c>
      <c r="J307" s="2">
        <v>294</v>
      </c>
    </row>
    <row r="308" spans="1:10" ht="30">
      <c r="A308" s="44" t="s">
        <v>628</v>
      </c>
      <c r="B308" s="33" t="s">
        <v>629</v>
      </c>
      <c r="C308" s="51" t="s">
        <v>151</v>
      </c>
      <c r="D308" s="12">
        <v>40</v>
      </c>
      <c r="E308" s="13">
        <v>455.66624999999999</v>
      </c>
      <c r="F308" s="13">
        <v>1266.6666666666667</v>
      </c>
      <c r="G308" s="12"/>
      <c r="H308" s="12">
        <v>40</v>
      </c>
      <c r="I308" s="24" t="s">
        <v>148</v>
      </c>
      <c r="J308" s="2">
        <v>288</v>
      </c>
    </row>
    <row r="309" spans="1:10" ht="30">
      <c r="A309" s="44" t="s">
        <v>611</v>
      </c>
      <c r="B309" s="33" t="s">
        <v>603</v>
      </c>
      <c r="C309" s="51" t="s">
        <v>151</v>
      </c>
      <c r="D309" s="12">
        <v>40</v>
      </c>
      <c r="E309" s="13">
        <v>455.66624999999999</v>
      </c>
      <c r="F309" s="13">
        <v>455.66624999999999</v>
      </c>
      <c r="G309" s="12"/>
      <c r="H309" s="12">
        <v>40</v>
      </c>
      <c r="I309" s="24" t="s">
        <v>148</v>
      </c>
      <c r="J309" s="2">
        <v>279</v>
      </c>
    </row>
    <row r="310" spans="1:10" ht="30">
      <c r="A310" s="44" t="s">
        <v>280</v>
      </c>
      <c r="B310" s="33" t="s">
        <v>281</v>
      </c>
      <c r="C310" s="51" t="s">
        <v>151</v>
      </c>
      <c r="D310" s="12">
        <v>10</v>
      </c>
      <c r="E310" s="13">
        <v>3356</v>
      </c>
      <c r="F310" s="13">
        <v>3356</v>
      </c>
      <c r="G310" s="12"/>
      <c r="H310" s="12">
        <v>10</v>
      </c>
      <c r="I310" s="24" t="s">
        <v>148</v>
      </c>
      <c r="J310" s="2">
        <v>97</v>
      </c>
    </row>
    <row r="311" spans="1:10">
      <c r="A311" s="46" t="s">
        <v>399</v>
      </c>
      <c r="B311" s="35" t="s">
        <v>397</v>
      </c>
      <c r="C311" s="53" t="s">
        <v>151</v>
      </c>
      <c r="D311" s="12">
        <v>10</v>
      </c>
      <c r="E311" s="13">
        <v>1900</v>
      </c>
      <c r="F311" s="13">
        <v>6957.9299999999994</v>
      </c>
      <c r="G311" s="12"/>
      <c r="H311" s="12">
        <v>10</v>
      </c>
      <c r="I311" s="24" t="s">
        <v>148</v>
      </c>
      <c r="J311" s="6" t="s">
        <v>398</v>
      </c>
    </row>
    <row r="312" spans="1:10">
      <c r="A312" s="46" t="s">
        <v>396</v>
      </c>
      <c r="B312" s="35" t="s">
        <v>397</v>
      </c>
      <c r="C312" s="53" t="s">
        <v>151</v>
      </c>
      <c r="D312" s="12">
        <v>20</v>
      </c>
      <c r="E312" s="13">
        <v>1900</v>
      </c>
      <c r="F312" s="13">
        <v>1900</v>
      </c>
      <c r="G312" s="12"/>
      <c r="H312" s="12">
        <v>20</v>
      </c>
      <c r="I312" s="24" t="s">
        <v>148</v>
      </c>
      <c r="J312" s="6" t="s">
        <v>395</v>
      </c>
    </row>
    <row r="313" spans="1:10" ht="195">
      <c r="A313" s="70" t="s">
        <v>75</v>
      </c>
      <c r="B313" s="71" t="s">
        <v>76</v>
      </c>
      <c r="C313" s="72" t="s">
        <v>68</v>
      </c>
      <c r="D313" s="12"/>
      <c r="E313" s="13">
        <v>2.8571050000000002</v>
      </c>
      <c r="F313" s="13">
        <v>39999.47</v>
      </c>
      <c r="G313" s="12"/>
      <c r="H313" s="12">
        <v>0</v>
      </c>
      <c r="I313" s="23" t="s">
        <v>65</v>
      </c>
      <c r="J313" s="68">
        <v>7</v>
      </c>
    </row>
    <row r="314" spans="1:10" ht="195">
      <c r="A314" s="70" t="s">
        <v>13</v>
      </c>
      <c r="B314" s="71" t="s">
        <v>77</v>
      </c>
      <c r="C314" s="72" t="s">
        <v>78</v>
      </c>
      <c r="D314" s="12"/>
      <c r="E314" s="13">
        <v>2.4999349999999998</v>
      </c>
      <c r="F314" s="13">
        <v>34999.089999999997</v>
      </c>
      <c r="G314" s="12"/>
      <c r="H314" s="12">
        <v>0</v>
      </c>
      <c r="I314" s="23" t="s">
        <v>65</v>
      </c>
      <c r="J314" s="68">
        <v>8</v>
      </c>
    </row>
    <row r="315" spans="1:10" ht="135">
      <c r="A315" s="70" t="s">
        <v>66</v>
      </c>
      <c r="B315" s="71" t="s">
        <v>67</v>
      </c>
      <c r="C315" s="72" t="s">
        <v>68</v>
      </c>
      <c r="D315" s="12">
        <v>50</v>
      </c>
      <c r="E315" s="13">
        <v>2.0392857142857141</v>
      </c>
      <c r="F315" s="13">
        <v>28549.999999999996</v>
      </c>
      <c r="G315" s="12"/>
      <c r="H315" s="12">
        <v>50</v>
      </c>
      <c r="I315" s="23" t="s">
        <v>65</v>
      </c>
      <c r="J315" s="68">
        <v>1</v>
      </c>
    </row>
    <row r="316" spans="1:10" ht="135">
      <c r="A316" s="70" t="s">
        <v>69</v>
      </c>
      <c r="B316" s="71" t="s">
        <v>70</v>
      </c>
      <c r="C316" s="72" t="s">
        <v>68</v>
      </c>
      <c r="D316" s="12">
        <v>50</v>
      </c>
      <c r="E316" s="13">
        <v>1.1785714285714286</v>
      </c>
      <c r="F316" s="13">
        <v>16500</v>
      </c>
      <c r="G316" s="12"/>
      <c r="H316" s="12">
        <v>50</v>
      </c>
      <c r="I316" s="23" t="s">
        <v>65</v>
      </c>
      <c r="J316" s="68">
        <v>2</v>
      </c>
    </row>
    <row r="317" spans="1:10" ht="270">
      <c r="A317" s="70" t="s">
        <v>69</v>
      </c>
      <c r="B317" s="71" t="s">
        <v>79</v>
      </c>
      <c r="C317" s="72" t="s">
        <v>68</v>
      </c>
      <c r="D317" s="12"/>
      <c r="E317" s="13">
        <v>1.7856799999999999</v>
      </c>
      <c r="F317" s="13">
        <v>24999.52</v>
      </c>
      <c r="G317" s="12"/>
      <c r="H317" s="12">
        <v>0</v>
      </c>
      <c r="I317" s="23" t="s">
        <v>65</v>
      </c>
      <c r="J317" s="68">
        <v>9</v>
      </c>
    </row>
    <row r="318" spans="1:10" ht="180">
      <c r="A318" s="49" t="s">
        <v>134</v>
      </c>
      <c r="B318" s="38" t="s">
        <v>135</v>
      </c>
      <c r="C318" s="56" t="s">
        <v>132</v>
      </c>
      <c r="D318" s="12"/>
      <c r="E318" s="13">
        <v>0.94778571428571423</v>
      </c>
      <c r="F318" s="13">
        <v>13269</v>
      </c>
      <c r="G318" s="12"/>
      <c r="H318" s="12"/>
      <c r="I318" s="23" t="s">
        <v>106</v>
      </c>
      <c r="J318" s="3"/>
    </row>
    <row r="319" spans="1:10" ht="30">
      <c r="A319" s="44" t="s">
        <v>368</v>
      </c>
      <c r="B319" s="33" t="s">
        <v>369</v>
      </c>
      <c r="C319" s="51" t="s">
        <v>151</v>
      </c>
      <c r="D319" s="12">
        <v>15</v>
      </c>
      <c r="E319" s="13">
        <v>23075</v>
      </c>
      <c r="F319" s="13">
        <v>11057</v>
      </c>
      <c r="G319" s="12"/>
      <c r="H319" s="12">
        <v>15</v>
      </c>
      <c r="I319" s="24" t="s">
        <v>148</v>
      </c>
      <c r="J319" s="2">
        <v>143</v>
      </c>
    </row>
    <row r="320" spans="1:10" ht="30">
      <c r="A320" s="44" t="s">
        <v>364</v>
      </c>
      <c r="B320" s="33" t="s">
        <v>365</v>
      </c>
      <c r="C320" s="51" t="s">
        <v>151</v>
      </c>
      <c r="D320" s="12">
        <v>15</v>
      </c>
      <c r="E320" s="13">
        <v>23075.289999999997</v>
      </c>
      <c r="F320" s="13">
        <v>0</v>
      </c>
      <c r="G320" s="12"/>
      <c r="H320" s="12">
        <v>15</v>
      </c>
      <c r="I320" s="24" t="s">
        <v>148</v>
      </c>
      <c r="J320" s="2">
        <v>141</v>
      </c>
    </row>
    <row r="321" spans="1:10">
      <c r="A321" s="44" t="s">
        <v>880</v>
      </c>
      <c r="B321" s="33" t="s">
        <v>877</v>
      </c>
      <c r="C321" s="51" t="s">
        <v>151</v>
      </c>
      <c r="D321" s="12">
        <v>300</v>
      </c>
      <c r="E321" s="13">
        <v>1018.64</v>
      </c>
      <c r="F321" s="13">
        <v>1547</v>
      </c>
      <c r="G321" s="12"/>
      <c r="H321" s="12">
        <v>300</v>
      </c>
      <c r="I321" s="24" t="s">
        <v>148</v>
      </c>
      <c r="J321" s="2">
        <v>446</v>
      </c>
    </row>
    <row r="322" spans="1:10">
      <c r="A322" s="44" t="s">
        <v>19</v>
      </c>
      <c r="B322" s="33" t="s">
        <v>873</v>
      </c>
      <c r="C322" s="51" t="s">
        <v>151</v>
      </c>
      <c r="D322" s="12">
        <v>600</v>
      </c>
      <c r="E322" s="13">
        <v>1018.64</v>
      </c>
      <c r="F322" s="13">
        <v>925</v>
      </c>
      <c r="G322" s="12"/>
      <c r="H322" s="12">
        <v>600</v>
      </c>
      <c r="I322" s="24" t="s">
        <v>148</v>
      </c>
      <c r="J322" s="2">
        <v>445</v>
      </c>
    </row>
    <row r="323" spans="1:10" ht="30">
      <c r="A323" s="44" t="s">
        <v>324</v>
      </c>
      <c r="B323" s="33" t="s">
        <v>325</v>
      </c>
      <c r="C323" s="51" t="s">
        <v>151</v>
      </c>
      <c r="D323" s="12">
        <v>200</v>
      </c>
      <c r="E323" s="13">
        <v>3356</v>
      </c>
      <c r="F323" s="13">
        <v>3356</v>
      </c>
      <c r="G323" s="12"/>
      <c r="H323" s="12">
        <v>200</v>
      </c>
      <c r="I323" s="24" t="s">
        <v>148</v>
      </c>
      <c r="J323" s="2">
        <v>118</v>
      </c>
    </row>
    <row r="324" spans="1:10" ht="30">
      <c r="A324" s="44" t="s">
        <v>320</v>
      </c>
      <c r="B324" s="33" t="s">
        <v>321</v>
      </c>
      <c r="C324" s="51" t="s">
        <v>151</v>
      </c>
      <c r="D324" s="12">
        <v>190</v>
      </c>
      <c r="E324" s="13">
        <v>3356</v>
      </c>
      <c r="F324" s="13">
        <v>3356</v>
      </c>
      <c r="G324" s="12"/>
      <c r="H324" s="12">
        <v>190</v>
      </c>
      <c r="I324" s="24" t="s">
        <v>148</v>
      </c>
      <c r="J324" s="2">
        <v>116</v>
      </c>
    </row>
    <row r="325" spans="1:10" ht="30">
      <c r="A325" s="44" t="s">
        <v>322</v>
      </c>
      <c r="B325" s="33" t="s">
        <v>323</v>
      </c>
      <c r="C325" s="51" t="s">
        <v>151</v>
      </c>
      <c r="D325" s="12">
        <v>100</v>
      </c>
      <c r="E325" s="13">
        <v>3356</v>
      </c>
      <c r="F325" s="13">
        <v>3356</v>
      </c>
      <c r="G325" s="12"/>
      <c r="H325" s="12">
        <v>100</v>
      </c>
      <c r="I325" s="24" t="s">
        <v>148</v>
      </c>
      <c r="J325" s="2">
        <v>117</v>
      </c>
    </row>
    <row r="326" spans="1:10" ht="30">
      <c r="A326" s="44" t="s">
        <v>318</v>
      </c>
      <c r="B326" s="33" t="s">
        <v>319</v>
      </c>
      <c r="C326" s="51" t="s">
        <v>151</v>
      </c>
      <c r="D326" s="12">
        <v>329</v>
      </c>
      <c r="E326" s="13">
        <v>3356</v>
      </c>
      <c r="F326" s="13">
        <v>3356</v>
      </c>
      <c r="G326" s="12"/>
      <c r="H326" s="12">
        <v>329</v>
      </c>
      <c r="I326" s="24" t="s">
        <v>148</v>
      </c>
      <c r="J326" s="2">
        <v>115</v>
      </c>
    </row>
    <row r="327" spans="1:10" ht="30">
      <c r="A327" s="44" t="s">
        <v>316</v>
      </c>
      <c r="B327" s="33" t="s">
        <v>317</v>
      </c>
      <c r="C327" s="51" t="s">
        <v>151</v>
      </c>
      <c r="D327" s="12">
        <v>329</v>
      </c>
      <c r="E327" s="13">
        <v>3356</v>
      </c>
      <c r="F327" s="13">
        <v>3356</v>
      </c>
      <c r="G327" s="12"/>
      <c r="H327" s="12">
        <v>329</v>
      </c>
      <c r="I327" s="24" t="s">
        <v>148</v>
      </c>
      <c r="J327" s="2">
        <v>114</v>
      </c>
    </row>
    <row r="328" spans="1:10" ht="30">
      <c r="A328" s="44" t="s">
        <v>326</v>
      </c>
      <c r="B328" s="33" t="s">
        <v>327</v>
      </c>
      <c r="C328" s="51" t="s">
        <v>151</v>
      </c>
      <c r="D328" s="12">
        <v>200</v>
      </c>
      <c r="E328" s="13">
        <v>3356</v>
      </c>
      <c r="F328" s="13">
        <v>3356</v>
      </c>
      <c r="G328" s="12"/>
      <c r="H328" s="12">
        <v>200</v>
      </c>
      <c r="I328" s="24" t="s">
        <v>148</v>
      </c>
      <c r="J328" s="2">
        <v>119</v>
      </c>
    </row>
    <row r="329" spans="1:10" ht="30">
      <c r="A329" s="44" t="s">
        <v>328</v>
      </c>
      <c r="B329" s="33" t="s">
        <v>329</v>
      </c>
      <c r="C329" s="51" t="s">
        <v>151</v>
      </c>
      <c r="D329" s="12">
        <v>93</v>
      </c>
      <c r="E329" s="13">
        <v>3356</v>
      </c>
      <c r="F329" s="13">
        <v>3356</v>
      </c>
      <c r="G329" s="12"/>
      <c r="H329" s="12">
        <v>93</v>
      </c>
      <c r="I329" s="24" t="s">
        <v>148</v>
      </c>
      <c r="J329" s="2">
        <v>120</v>
      </c>
    </row>
    <row r="330" spans="1:10" ht="30">
      <c r="A330" s="44" t="s">
        <v>330</v>
      </c>
      <c r="B330" s="33" t="s">
        <v>331</v>
      </c>
      <c r="C330" s="51" t="s">
        <v>151</v>
      </c>
      <c r="D330" s="12">
        <v>9</v>
      </c>
      <c r="E330" s="13">
        <v>3356</v>
      </c>
      <c r="F330" s="13">
        <v>2563</v>
      </c>
      <c r="G330" s="12"/>
      <c r="H330" s="12">
        <v>9</v>
      </c>
      <c r="I330" s="24" t="s">
        <v>148</v>
      </c>
      <c r="J330" s="2">
        <v>121</v>
      </c>
    </row>
    <row r="331" spans="1:10" ht="30">
      <c r="A331" s="44" t="s">
        <v>304</v>
      </c>
      <c r="B331" s="33" t="s">
        <v>305</v>
      </c>
      <c r="C331" s="51" t="s">
        <v>151</v>
      </c>
      <c r="D331" s="12">
        <v>168</v>
      </c>
      <c r="E331" s="13">
        <v>198</v>
      </c>
      <c r="F331" s="13">
        <v>198</v>
      </c>
      <c r="G331" s="12"/>
      <c r="H331" s="12">
        <v>168</v>
      </c>
      <c r="I331" s="24" t="s">
        <v>148</v>
      </c>
      <c r="J331" s="2">
        <v>106</v>
      </c>
    </row>
    <row r="332" spans="1:10" ht="30">
      <c r="A332" s="44" t="s">
        <v>310</v>
      </c>
      <c r="B332" s="33" t="s">
        <v>311</v>
      </c>
      <c r="C332" s="51" t="s">
        <v>151</v>
      </c>
      <c r="D332" s="12">
        <v>417</v>
      </c>
      <c r="E332" s="13">
        <v>3356</v>
      </c>
      <c r="F332" s="13">
        <v>3356</v>
      </c>
      <c r="G332" s="12"/>
      <c r="H332" s="12">
        <v>417</v>
      </c>
      <c r="I332" s="24" t="s">
        <v>148</v>
      </c>
      <c r="J332" s="2">
        <v>111</v>
      </c>
    </row>
    <row r="333" spans="1:10" ht="30">
      <c r="A333" s="44" t="s">
        <v>307</v>
      </c>
      <c r="B333" s="33" t="s">
        <v>308</v>
      </c>
      <c r="C333" s="51" t="s">
        <v>151</v>
      </c>
      <c r="D333" s="12">
        <v>500</v>
      </c>
      <c r="E333" s="13">
        <v>198</v>
      </c>
      <c r="F333" s="13">
        <v>3356</v>
      </c>
      <c r="G333" s="12"/>
      <c r="H333" s="12">
        <v>500</v>
      </c>
      <c r="I333" s="24" t="s">
        <v>148</v>
      </c>
      <c r="J333" s="2">
        <v>109</v>
      </c>
    </row>
    <row r="334" spans="1:10" ht="30">
      <c r="A334" s="44" t="s">
        <v>312</v>
      </c>
      <c r="B334" s="33" t="s">
        <v>313</v>
      </c>
      <c r="C334" s="51" t="s">
        <v>151</v>
      </c>
      <c r="D334" s="12">
        <v>300</v>
      </c>
      <c r="E334" s="13">
        <v>3356</v>
      </c>
      <c r="F334" s="13">
        <v>3356</v>
      </c>
      <c r="G334" s="12"/>
      <c r="H334" s="12">
        <v>300</v>
      </c>
      <c r="I334" s="24" t="s">
        <v>148</v>
      </c>
      <c r="J334" s="2">
        <v>112</v>
      </c>
    </row>
    <row r="335" spans="1:10" ht="30">
      <c r="A335" s="44" t="s">
        <v>314</v>
      </c>
      <c r="B335" s="33" t="s">
        <v>315</v>
      </c>
      <c r="C335" s="51" t="s">
        <v>151</v>
      </c>
      <c r="D335" s="12">
        <v>47</v>
      </c>
      <c r="E335" s="13">
        <v>3356</v>
      </c>
      <c r="F335" s="13">
        <v>3356</v>
      </c>
      <c r="G335" s="12"/>
      <c r="H335" s="12">
        <v>47</v>
      </c>
      <c r="I335" s="24" t="s">
        <v>148</v>
      </c>
      <c r="J335" s="2">
        <v>113</v>
      </c>
    </row>
    <row r="336" spans="1:10" ht="30">
      <c r="A336" s="44" t="s">
        <v>296</v>
      </c>
      <c r="B336" s="33" t="s">
        <v>297</v>
      </c>
      <c r="C336" s="51" t="s">
        <v>151</v>
      </c>
      <c r="D336" s="12">
        <v>100</v>
      </c>
      <c r="E336" s="13">
        <v>198</v>
      </c>
      <c r="F336" s="13">
        <v>198</v>
      </c>
      <c r="G336" s="12"/>
      <c r="H336" s="12">
        <v>100</v>
      </c>
      <c r="I336" s="24" t="s">
        <v>148</v>
      </c>
      <c r="J336" s="2">
        <v>102</v>
      </c>
    </row>
    <row r="337" spans="1:10" ht="30">
      <c r="A337" s="44" t="s">
        <v>306</v>
      </c>
      <c r="B337" s="33" t="s">
        <v>299</v>
      </c>
      <c r="C337" s="51" t="s">
        <v>151</v>
      </c>
      <c r="D337" s="12">
        <v>100</v>
      </c>
      <c r="E337" s="13">
        <v>198</v>
      </c>
      <c r="F337" s="13">
        <v>198</v>
      </c>
      <c r="G337" s="12"/>
      <c r="H337" s="12">
        <v>100</v>
      </c>
      <c r="I337" s="24" t="s">
        <v>148</v>
      </c>
      <c r="J337" s="2">
        <v>107</v>
      </c>
    </row>
    <row r="338" spans="1:10" ht="30">
      <c r="A338" s="44" t="s">
        <v>298</v>
      </c>
      <c r="B338" s="33" t="s">
        <v>299</v>
      </c>
      <c r="C338" s="51" t="s">
        <v>151</v>
      </c>
      <c r="D338" s="12">
        <v>800</v>
      </c>
      <c r="E338" s="13">
        <v>198</v>
      </c>
      <c r="F338" s="13">
        <v>198</v>
      </c>
      <c r="G338" s="12"/>
      <c r="H338" s="12">
        <v>800</v>
      </c>
      <c r="I338" s="24" t="s">
        <v>148</v>
      </c>
      <c r="J338" s="2">
        <v>103</v>
      </c>
    </row>
    <row r="339" spans="1:10" ht="30">
      <c r="A339" s="44" t="s">
        <v>298</v>
      </c>
      <c r="B339" s="33" t="s">
        <v>299</v>
      </c>
      <c r="C339" s="51" t="s">
        <v>151</v>
      </c>
      <c r="D339" s="12">
        <v>700</v>
      </c>
      <c r="E339" s="13">
        <v>198</v>
      </c>
      <c r="F339" s="13">
        <v>198</v>
      </c>
      <c r="G339" s="12"/>
      <c r="H339" s="12">
        <v>700</v>
      </c>
      <c r="I339" s="24" t="s">
        <v>148</v>
      </c>
      <c r="J339" s="2">
        <v>108</v>
      </c>
    </row>
    <row r="340" spans="1:10" ht="30">
      <c r="A340" s="44" t="s">
        <v>300</v>
      </c>
      <c r="B340" s="33" t="s">
        <v>301</v>
      </c>
      <c r="C340" s="51" t="s">
        <v>151</v>
      </c>
      <c r="D340" s="12">
        <v>50</v>
      </c>
      <c r="E340" s="13">
        <v>198</v>
      </c>
      <c r="F340" s="13">
        <v>198</v>
      </c>
      <c r="G340" s="12"/>
      <c r="H340" s="12">
        <v>50</v>
      </c>
      <c r="I340" s="24" t="s">
        <v>148</v>
      </c>
      <c r="J340" s="2">
        <v>104</v>
      </c>
    </row>
    <row r="341" spans="1:10" ht="30">
      <c r="A341" s="44" t="s">
        <v>302</v>
      </c>
      <c r="B341" s="33" t="s">
        <v>303</v>
      </c>
      <c r="C341" s="51" t="s">
        <v>151</v>
      </c>
      <c r="D341" s="12">
        <v>590</v>
      </c>
      <c r="E341" s="13">
        <v>198</v>
      </c>
      <c r="F341" s="13">
        <v>198</v>
      </c>
      <c r="G341" s="12"/>
      <c r="H341" s="12">
        <v>590</v>
      </c>
      <c r="I341" s="24" t="s">
        <v>148</v>
      </c>
      <c r="J341" s="2">
        <v>105</v>
      </c>
    </row>
    <row r="342" spans="1:10" ht="30">
      <c r="A342" s="44" t="s">
        <v>309</v>
      </c>
      <c r="B342" s="33" t="s">
        <v>281</v>
      </c>
      <c r="C342" s="51" t="s">
        <v>151</v>
      </c>
      <c r="D342" s="12">
        <v>97</v>
      </c>
      <c r="E342" s="13">
        <v>3356</v>
      </c>
      <c r="F342" s="13">
        <v>3356</v>
      </c>
      <c r="G342" s="12"/>
      <c r="H342" s="12">
        <v>97</v>
      </c>
      <c r="I342" s="24" t="s">
        <v>148</v>
      </c>
      <c r="J342" s="2">
        <v>110</v>
      </c>
    </row>
    <row r="343" spans="1:10" ht="360">
      <c r="A343" s="49" t="s">
        <v>116</v>
      </c>
      <c r="B343" s="38" t="s">
        <v>117</v>
      </c>
      <c r="C343" s="56" t="s">
        <v>68</v>
      </c>
      <c r="D343" s="12"/>
      <c r="E343" s="13">
        <v>1.4328449999999999</v>
      </c>
      <c r="F343" s="13">
        <v>20059.829999999998</v>
      </c>
      <c r="G343" s="12"/>
      <c r="H343" s="12">
        <v>0</v>
      </c>
      <c r="I343" s="23" t="s">
        <v>106</v>
      </c>
      <c r="J343" s="3"/>
    </row>
    <row r="344" spans="1:10" ht="31.5">
      <c r="A344" s="49" t="s">
        <v>115</v>
      </c>
      <c r="B344" s="38"/>
      <c r="C344" s="56" t="s">
        <v>68</v>
      </c>
      <c r="D344" s="12">
        <v>10</v>
      </c>
      <c r="E344" s="13">
        <v>1.6365542857142856</v>
      </c>
      <c r="F344" s="13">
        <v>22911.759999999998</v>
      </c>
      <c r="G344" s="12"/>
      <c r="H344" s="12">
        <v>10</v>
      </c>
      <c r="I344" s="23" t="s">
        <v>106</v>
      </c>
      <c r="J344" s="3"/>
    </row>
    <row r="345" spans="1:10">
      <c r="A345" s="44" t="s">
        <v>874</v>
      </c>
      <c r="B345" s="33" t="s">
        <v>875</v>
      </c>
      <c r="C345" s="51" t="s">
        <v>151</v>
      </c>
      <c r="D345" s="12">
        <v>300</v>
      </c>
      <c r="E345" s="13">
        <v>1100</v>
      </c>
      <c r="F345" s="13">
        <v>1018.64</v>
      </c>
      <c r="G345" s="12"/>
      <c r="H345" s="12">
        <v>300</v>
      </c>
      <c r="I345" s="24" t="s">
        <v>148</v>
      </c>
      <c r="J345" s="2">
        <v>441</v>
      </c>
    </row>
    <row r="346" spans="1:10">
      <c r="A346" s="44" t="s">
        <v>872</v>
      </c>
      <c r="B346" s="33" t="s">
        <v>873</v>
      </c>
      <c r="C346" s="51" t="s">
        <v>151</v>
      </c>
      <c r="D346" s="12">
        <v>300</v>
      </c>
      <c r="E346" s="13">
        <v>1350</v>
      </c>
      <c r="F346" s="13">
        <v>1018.64</v>
      </c>
      <c r="G346" s="12"/>
      <c r="H346" s="12">
        <v>300</v>
      </c>
      <c r="I346" s="24" t="s">
        <v>148</v>
      </c>
      <c r="J346" s="2">
        <v>440</v>
      </c>
    </row>
    <row r="347" spans="1:10">
      <c r="A347" s="44" t="s">
        <v>876</v>
      </c>
      <c r="B347" s="33" t="s">
        <v>877</v>
      </c>
      <c r="C347" s="51" t="s">
        <v>151</v>
      </c>
      <c r="D347" s="12">
        <v>150</v>
      </c>
      <c r="E347" s="13">
        <v>925</v>
      </c>
      <c r="F347" s="13">
        <v>1350</v>
      </c>
      <c r="G347" s="12"/>
      <c r="H347" s="12">
        <v>150</v>
      </c>
      <c r="I347" s="24" t="s">
        <v>148</v>
      </c>
      <c r="J347" s="2">
        <v>442</v>
      </c>
    </row>
    <row r="348" spans="1:10">
      <c r="A348" s="42" t="s">
        <v>192</v>
      </c>
      <c r="B348" s="32" t="s">
        <v>189</v>
      </c>
      <c r="C348" s="50" t="s">
        <v>151</v>
      </c>
      <c r="D348" s="12">
        <v>210</v>
      </c>
      <c r="E348" s="13">
        <v>3373</v>
      </c>
      <c r="F348" s="13">
        <v>3373</v>
      </c>
      <c r="G348" s="12"/>
      <c r="H348" s="12">
        <v>210</v>
      </c>
      <c r="I348" s="24" t="s">
        <v>148</v>
      </c>
      <c r="J348" s="1">
        <v>42</v>
      </c>
    </row>
    <row r="349" spans="1:10">
      <c r="A349" s="42" t="s">
        <v>190</v>
      </c>
      <c r="B349" s="32" t="s">
        <v>189</v>
      </c>
      <c r="C349" s="50" t="s">
        <v>151</v>
      </c>
      <c r="D349" s="12">
        <v>133</v>
      </c>
      <c r="E349" s="13">
        <v>1275.68</v>
      </c>
      <c r="F349" s="13">
        <v>1275.68</v>
      </c>
      <c r="G349" s="12"/>
      <c r="H349" s="12">
        <v>133</v>
      </c>
      <c r="I349" s="24" t="s">
        <v>148</v>
      </c>
      <c r="J349" s="1">
        <v>40</v>
      </c>
    </row>
    <row r="350" spans="1:10">
      <c r="A350" s="42" t="s">
        <v>191</v>
      </c>
      <c r="B350" s="32" t="s">
        <v>189</v>
      </c>
      <c r="C350" s="50" t="s">
        <v>151</v>
      </c>
      <c r="D350" s="12">
        <v>378</v>
      </c>
      <c r="E350" s="13">
        <v>3373</v>
      </c>
      <c r="F350" s="13">
        <v>3373</v>
      </c>
      <c r="G350" s="12"/>
      <c r="H350" s="12">
        <v>378</v>
      </c>
      <c r="I350" s="24" t="s">
        <v>148</v>
      </c>
      <c r="J350" s="1">
        <v>41</v>
      </c>
    </row>
    <row r="351" spans="1:10">
      <c r="A351" s="44" t="s">
        <v>188</v>
      </c>
      <c r="B351" s="33" t="s">
        <v>189</v>
      </c>
      <c r="C351" s="51" t="s">
        <v>151</v>
      </c>
      <c r="D351" s="12">
        <v>270</v>
      </c>
      <c r="E351" s="13">
        <v>1275.68</v>
      </c>
      <c r="F351" s="13">
        <v>1275.68</v>
      </c>
      <c r="G351" s="12"/>
      <c r="H351" s="12">
        <v>270</v>
      </c>
      <c r="I351" s="24" t="s">
        <v>148</v>
      </c>
      <c r="J351" s="2">
        <v>39</v>
      </c>
    </row>
    <row r="352" spans="1:10">
      <c r="A352" s="42" t="s">
        <v>199</v>
      </c>
      <c r="B352" s="32" t="s">
        <v>189</v>
      </c>
      <c r="C352" s="50" t="s">
        <v>151</v>
      </c>
      <c r="D352" s="12">
        <v>25</v>
      </c>
      <c r="E352" s="13">
        <v>1275.68</v>
      </c>
      <c r="F352" s="13">
        <v>1275.68</v>
      </c>
      <c r="G352" s="12"/>
      <c r="H352" s="12">
        <v>25</v>
      </c>
      <c r="I352" s="24" t="s">
        <v>148</v>
      </c>
      <c r="J352" s="1">
        <v>49</v>
      </c>
    </row>
    <row r="353" spans="1:10">
      <c r="A353" s="44" t="s">
        <v>18</v>
      </c>
      <c r="B353" s="33" t="s">
        <v>873</v>
      </c>
      <c r="C353" s="51" t="s">
        <v>151</v>
      </c>
      <c r="D353" s="12">
        <v>40</v>
      </c>
      <c r="E353" s="13">
        <v>2746.52</v>
      </c>
      <c r="F353" s="13">
        <v>1350</v>
      </c>
      <c r="G353" s="12"/>
      <c r="H353" s="12">
        <v>40</v>
      </c>
      <c r="I353" s="24" t="s">
        <v>148</v>
      </c>
      <c r="J353" s="2">
        <v>443</v>
      </c>
    </row>
    <row r="354" spans="1:10">
      <c r="A354" s="44" t="s">
        <v>200</v>
      </c>
      <c r="B354" s="33" t="s">
        <v>189</v>
      </c>
      <c r="C354" s="51" t="s">
        <v>151</v>
      </c>
      <c r="D354" s="12">
        <v>10</v>
      </c>
      <c r="E354" s="13">
        <v>1275.68</v>
      </c>
      <c r="F354" s="13">
        <v>1275.68</v>
      </c>
      <c r="G354" s="12"/>
      <c r="H354" s="12">
        <v>10</v>
      </c>
      <c r="I354" s="24" t="s">
        <v>148</v>
      </c>
      <c r="J354" s="2">
        <v>50</v>
      </c>
    </row>
    <row r="355" spans="1:10">
      <c r="A355" s="42" t="s">
        <v>195</v>
      </c>
      <c r="B355" s="32" t="s">
        <v>189</v>
      </c>
      <c r="C355" s="50" t="s">
        <v>151</v>
      </c>
      <c r="D355" s="12">
        <v>60</v>
      </c>
      <c r="E355" s="13">
        <v>1225.7</v>
      </c>
      <c r="F355" s="13">
        <v>1225.7</v>
      </c>
      <c r="G355" s="12"/>
      <c r="H355" s="12">
        <v>60</v>
      </c>
      <c r="I355" s="24" t="s">
        <v>148</v>
      </c>
      <c r="J355" s="1">
        <v>45</v>
      </c>
    </row>
    <row r="356" spans="1:10">
      <c r="A356" s="42" t="s">
        <v>198</v>
      </c>
      <c r="B356" s="32" t="s">
        <v>189</v>
      </c>
      <c r="C356" s="50" t="s">
        <v>151</v>
      </c>
      <c r="D356" s="12">
        <v>70</v>
      </c>
      <c r="E356" s="13">
        <v>3881.78</v>
      </c>
      <c r="F356" s="13">
        <v>3881.78</v>
      </c>
      <c r="G356" s="12"/>
      <c r="H356" s="12">
        <v>70</v>
      </c>
      <c r="I356" s="24" t="s">
        <v>148</v>
      </c>
      <c r="J356" s="1">
        <v>48</v>
      </c>
    </row>
    <row r="357" spans="1:10">
      <c r="A357" s="44" t="s">
        <v>202</v>
      </c>
      <c r="B357" s="33" t="s">
        <v>189</v>
      </c>
      <c r="C357" s="51" t="s">
        <v>151</v>
      </c>
      <c r="D357" s="12">
        <v>7</v>
      </c>
      <c r="E357" s="13">
        <v>1275.68</v>
      </c>
      <c r="F357" s="13">
        <v>1275.68</v>
      </c>
      <c r="G357" s="12"/>
      <c r="H357" s="12">
        <v>7</v>
      </c>
      <c r="I357" s="24" t="s">
        <v>148</v>
      </c>
      <c r="J357" s="2">
        <v>52</v>
      </c>
    </row>
    <row r="358" spans="1:10">
      <c r="A358" s="42" t="s">
        <v>203</v>
      </c>
      <c r="B358" s="32" t="s">
        <v>189</v>
      </c>
      <c r="C358" s="50" t="s">
        <v>151</v>
      </c>
      <c r="D358" s="12">
        <v>10</v>
      </c>
      <c r="E358" s="13">
        <v>3881.78</v>
      </c>
      <c r="F358" s="13">
        <v>3881.78</v>
      </c>
      <c r="G358" s="12"/>
      <c r="H358" s="12">
        <v>10</v>
      </c>
      <c r="I358" s="24" t="s">
        <v>148</v>
      </c>
      <c r="J358" s="1">
        <v>53</v>
      </c>
    </row>
    <row r="359" spans="1:10" ht="30">
      <c r="A359" s="42" t="s">
        <v>197</v>
      </c>
      <c r="B359" s="32" t="s">
        <v>189</v>
      </c>
      <c r="C359" s="50" t="s">
        <v>151</v>
      </c>
      <c r="D359" s="12">
        <v>12</v>
      </c>
      <c r="E359" s="13">
        <v>1225.7</v>
      </c>
      <c r="F359" s="13">
        <v>1225.7</v>
      </c>
      <c r="G359" s="12"/>
      <c r="H359" s="12">
        <v>12</v>
      </c>
      <c r="I359" s="24" t="s">
        <v>148</v>
      </c>
      <c r="J359" s="1">
        <v>47</v>
      </c>
    </row>
    <row r="360" spans="1:10" ht="30">
      <c r="A360" s="42" t="s">
        <v>196</v>
      </c>
      <c r="B360" s="32" t="s">
        <v>189</v>
      </c>
      <c r="C360" s="50" t="s">
        <v>151</v>
      </c>
      <c r="D360" s="12">
        <v>50</v>
      </c>
      <c r="E360" s="13">
        <v>1225.7</v>
      </c>
      <c r="F360" s="13">
        <v>1225.7</v>
      </c>
      <c r="G360" s="12"/>
      <c r="H360" s="12">
        <v>50</v>
      </c>
      <c r="I360" s="24" t="s">
        <v>148</v>
      </c>
      <c r="J360" s="1">
        <v>46</v>
      </c>
    </row>
    <row r="361" spans="1:10" ht="30">
      <c r="A361" s="42" t="s">
        <v>216</v>
      </c>
      <c r="B361" s="32" t="s">
        <v>217</v>
      </c>
      <c r="C361" s="50" t="s">
        <v>151</v>
      </c>
      <c r="D361" s="12">
        <v>150</v>
      </c>
      <c r="E361" s="13">
        <v>2400</v>
      </c>
      <c r="F361" s="13">
        <v>2400</v>
      </c>
      <c r="G361" s="12"/>
      <c r="H361" s="12">
        <v>150</v>
      </c>
      <c r="I361" s="24" t="s">
        <v>148</v>
      </c>
      <c r="J361" s="1">
        <v>62</v>
      </c>
    </row>
    <row r="362" spans="1:10">
      <c r="A362" s="42" t="s">
        <v>193</v>
      </c>
      <c r="B362" s="32" t="s">
        <v>189</v>
      </c>
      <c r="C362" s="50" t="s">
        <v>151</v>
      </c>
      <c r="D362" s="12">
        <v>18</v>
      </c>
      <c r="E362" s="13">
        <v>1275.68</v>
      </c>
      <c r="F362" s="13">
        <v>1275.68</v>
      </c>
      <c r="G362" s="12"/>
      <c r="H362" s="12">
        <v>18</v>
      </c>
      <c r="I362" s="24" t="s">
        <v>148</v>
      </c>
      <c r="J362" s="1">
        <v>43</v>
      </c>
    </row>
    <row r="363" spans="1:10">
      <c r="A363" s="42" t="s">
        <v>194</v>
      </c>
      <c r="B363" s="32" t="s">
        <v>189</v>
      </c>
      <c r="C363" s="50" t="s">
        <v>151</v>
      </c>
      <c r="D363" s="12">
        <v>100</v>
      </c>
      <c r="E363" s="13">
        <v>1225.7</v>
      </c>
      <c r="F363" s="13">
        <v>1225.7</v>
      </c>
      <c r="G363" s="12"/>
      <c r="H363" s="12">
        <v>100</v>
      </c>
      <c r="I363" s="24" t="s">
        <v>148</v>
      </c>
      <c r="J363" s="1">
        <v>44</v>
      </c>
    </row>
    <row r="364" spans="1:10">
      <c r="A364" s="42" t="s">
        <v>201</v>
      </c>
      <c r="B364" s="32" t="s">
        <v>189</v>
      </c>
      <c r="C364" s="50" t="s">
        <v>151</v>
      </c>
      <c r="D364" s="12">
        <v>168</v>
      </c>
      <c r="E364" s="13">
        <v>1275.68</v>
      </c>
      <c r="F364" s="13">
        <v>1275.68</v>
      </c>
      <c r="G364" s="12"/>
      <c r="H364" s="12">
        <v>168</v>
      </c>
      <c r="I364" s="24" t="s">
        <v>148</v>
      </c>
      <c r="J364" s="1">
        <v>51</v>
      </c>
    </row>
    <row r="365" spans="1:10" ht="30">
      <c r="A365" s="42" t="s">
        <v>218</v>
      </c>
      <c r="B365" s="32" t="s">
        <v>211</v>
      </c>
      <c r="C365" s="50" t="s">
        <v>151</v>
      </c>
      <c r="D365" s="12">
        <v>24</v>
      </c>
      <c r="E365" s="13">
        <v>2400</v>
      </c>
      <c r="F365" s="13">
        <v>2400</v>
      </c>
      <c r="G365" s="12"/>
      <c r="H365" s="12">
        <v>24</v>
      </c>
      <c r="I365" s="24" t="s">
        <v>148</v>
      </c>
      <c r="J365" s="1">
        <v>63</v>
      </c>
    </row>
    <row r="366" spans="1:10" ht="150">
      <c r="A366" s="49" t="s">
        <v>118</v>
      </c>
      <c r="B366" s="38" t="s">
        <v>119</v>
      </c>
      <c r="C366" s="56" t="s">
        <v>68</v>
      </c>
      <c r="D366" s="12">
        <v>5</v>
      </c>
      <c r="E366" s="13">
        <v>3.5</v>
      </c>
      <c r="F366" s="13">
        <v>49000</v>
      </c>
      <c r="G366" s="12"/>
      <c r="H366" s="12">
        <v>5</v>
      </c>
      <c r="I366" s="23" t="s">
        <v>106</v>
      </c>
      <c r="J366" s="3"/>
    </row>
    <row r="367" spans="1:10" ht="173.25">
      <c r="A367" s="48" t="s">
        <v>109</v>
      </c>
      <c r="B367" s="37" t="s">
        <v>110</v>
      </c>
      <c r="C367" s="55" t="s">
        <v>68</v>
      </c>
      <c r="D367" s="12">
        <v>50</v>
      </c>
      <c r="E367" s="13">
        <v>2.4761900000000003</v>
      </c>
      <c r="F367" s="13">
        <v>34666.660000000003</v>
      </c>
      <c r="G367" s="12"/>
      <c r="H367" s="12">
        <v>50</v>
      </c>
      <c r="I367" s="23" t="s">
        <v>106</v>
      </c>
      <c r="J367" s="8"/>
    </row>
    <row r="368" spans="1:10" ht="30">
      <c r="A368" s="44" t="s">
        <v>436</v>
      </c>
      <c r="B368" s="33" t="s">
        <v>437</v>
      </c>
      <c r="C368" s="51" t="s">
        <v>151</v>
      </c>
      <c r="D368" s="12">
        <v>300</v>
      </c>
      <c r="E368" s="13">
        <v>873.94</v>
      </c>
      <c r="F368" s="13">
        <v>873.94</v>
      </c>
      <c r="G368" s="12"/>
      <c r="H368" s="12">
        <v>300</v>
      </c>
      <c r="I368" s="24" t="s">
        <v>148</v>
      </c>
      <c r="J368" s="2">
        <v>169</v>
      </c>
    </row>
    <row r="369" spans="1:10" ht="30">
      <c r="A369" s="44" t="s">
        <v>430</v>
      </c>
      <c r="B369" s="33" t="s">
        <v>431</v>
      </c>
      <c r="C369" s="51" t="s">
        <v>151</v>
      </c>
      <c r="D369" s="12">
        <v>1000</v>
      </c>
      <c r="E369" s="13">
        <v>873.94</v>
      </c>
      <c r="F369" s="13">
        <v>873.94</v>
      </c>
      <c r="G369" s="12"/>
      <c r="H369" s="12">
        <v>1000</v>
      </c>
      <c r="I369" s="24" t="s">
        <v>148</v>
      </c>
      <c r="J369" s="2">
        <v>166</v>
      </c>
    </row>
    <row r="370" spans="1:10">
      <c r="A370" s="44" t="s">
        <v>434</v>
      </c>
      <c r="B370" s="33" t="s">
        <v>435</v>
      </c>
      <c r="C370" s="51" t="s">
        <v>151</v>
      </c>
      <c r="D370" s="12">
        <v>300</v>
      </c>
      <c r="E370" s="13">
        <v>873.94</v>
      </c>
      <c r="F370" s="13">
        <v>873.94</v>
      </c>
      <c r="G370" s="12"/>
      <c r="H370" s="12">
        <v>300</v>
      </c>
      <c r="I370" s="24" t="s">
        <v>148</v>
      </c>
      <c r="J370" s="2">
        <v>168</v>
      </c>
    </row>
    <row r="371" spans="1:10">
      <c r="A371" s="44" t="s">
        <v>432</v>
      </c>
      <c r="B371" s="33" t="s">
        <v>433</v>
      </c>
      <c r="C371" s="51" t="s">
        <v>151</v>
      </c>
      <c r="D371" s="12">
        <v>300</v>
      </c>
      <c r="E371" s="13">
        <v>873.94</v>
      </c>
      <c r="F371" s="13">
        <v>873.94</v>
      </c>
      <c r="G371" s="12"/>
      <c r="H371" s="12">
        <v>300</v>
      </c>
      <c r="I371" s="24" t="s">
        <v>148</v>
      </c>
      <c r="J371" s="2">
        <v>167</v>
      </c>
    </row>
    <row r="372" spans="1:10">
      <c r="A372" s="42" t="s">
        <v>163</v>
      </c>
      <c r="B372" s="32" t="s">
        <v>164</v>
      </c>
      <c r="C372" s="50" t="s">
        <v>151</v>
      </c>
      <c r="D372" s="12">
        <v>1160</v>
      </c>
      <c r="E372" s="13">
        <v>131.97</v>
      </c>
      <c r="F372" s="13">
        <v>131.97</v>
      </c>
      <c r="G372" s="12"/>
      <c r="H372" s="12">
        <v>1160</v>
      </c>
      <c r="I372" s="24" t="s">
        <v>148</v>
      </c>
      <c r="J372" s="1">
        <v>12</v>
      </c>
    </row>
    <row r="373" spans="1:10" ht="30">
      <c r="A373" s="44" t="s">
        <v>484</v>
      </c>
      <c r="B373" s="33" t="s">
        <v>485</v>
      </c>
      <c r="C373" s="51" t="s">
        <v>151</v>
      </c>
      <c r="D373" s="12">
        <v>80</v>
      </c>
      <c r="E373" s="13">
        <v>5450</v>
      </c>
      <c r="F373" s="13">
        <v>5450</v>
      </c>
      <c r="G373" s="12"/>
      <c r="H373" s="12">
        <v>80</v>
      </c>
      <c r="I373" s="24" t="s">
        <v>148</v>
      </c>
      <c r="J373" s="2">
        <v>190</v>
      </c>
    </row>
    <row r="374" spans="1:10" ht="30">
      <c r="A374" s="44" t="s">
        <v>486</v>
      </c>
      <c r="B374" s="33" t="s">
        <v>487</v>
      </c>
      <c r="C374" s="51" t="s">
        <v>151</v>
      </c>
      <c r="D374" s="12">
        <v>80</v>
      </c>
      <c r="E374" s="13">
        <v>5450</v>
      </c>
      <c r="F374" s="13">
        <v>5450</v>
      </c>
      <c r="G374" s="12"/>
      <c r="H374" s="12">
        <v>80</v>
      </c>
      <c r="I374" s="24" t="s">
        <v>148</v>
      </c>
      <c r="J374" s="2">
        <v>191</v>
      </c>
    </row>
    <row r="375" spans="1:10" ht="30">
      <c r="A375" s="44" t="s">
        <v>492</v>
      </c>
      <c r="B375" s="33" t="s">
        <v>493</v>
      </c>
      <c r="C375" s="51" t="s">
        <v>151</v>
      </c>
      <c r="D375" s="12">
        <v>12</v>
      </c>
      <c r="E375" s="13">
        <v>5450</v>
      </c>
      <c r="F375" s="13">
        <v>5450</v>
      </c>
      <c r="G375" s="12"/>
      <c r="H375" s="12">
        <v>12</v>
      </c>
      <c r="I375" s="24" t="s">
        <v>148</v>
      </c>
      <c r="J375" s="2">
        <v>194</v>
      </c>
    </row>
    <row r="376" spans="1:10" ht="30">
      <c r="A376" s="44" t="s">
        <v>490</v>
      </c>
      <c r="B376" s="33" t="s">
        <v>491</v>
      </c>
      <c r="C376" s="51" t="s">
        <v>151</v>
      </c>
      <c r="D376" s="12">
        <v>20</v>
      </c>
      <c r="E376" s="13">
        <v>5450</v>
      </c>
      <c r="F376" s="13">
        <v>5450</v>
      </c>
      <c r="G376" s="12"/>
      <c r="H376" s="12">
        <v>20</v>
      </c>
      <c r="I376" s="24" t="s">
        <v>148</v>
      </c>
      <c r="J376" s="2">
        <v>193</v>
      </c>
    </row>
    <row r="377" spans="1:10" ht="30">
      <c r="A377" s="44" t="s">
        <v>494</v>
      </c>
      <c r="B377" s="33" t="s">
        <v>495</v>
      </c>
      <c r="C377" s="51" t="s">
        <v>151</v>
      </c>
      <c r="D377" s="12">
        <v>12</v>
      </c>
      <c r="E377" s="13">
        <v>5450</v>
      </c>
      <c r="F377" s="13">
        <v>5450</v>
      </c>
      <c r="G377" s="12"/>
      <c r="H377" s="12">
        <v>12</v>
      </c>
      <c r="I377" s="24" t="s">
        <v>148</v>
      </c>
      <c r="J377" s="2">
        <v>195</v>
      </c>
    </row>
    <row r="378" spans="1:10" ht="30">
      <c r="A378" s="44" t="s">
        <v>488</v>
      </c>
      <c r="B378" s="33" t="s">
        <v>489</v>
      </c>
      <c r="C378" s="51" t="s">
        <v>151</v>
      </c>
      <c r="D378" s="12">
        <v>15</v>
      </c>
      <c r="E378" s="13">
        <v>5450</v>
      </c>
      <c r="F378" s="13">
        <v>5450</v>
      </c>
      <c r="G378" s="12"/>
      <c r="H378" s="12">
        <v>15</v>
      </c>
      <c r="I378" s="24" t="s">
        <v>148</v>
      </c>
      <c r="J378" s="2">
        <v>192</v>
      </c>
    </row>
    <row r="379" spans="1:10" ht="45">
      <c r="A379" s="44" t="s">
        <v>498</v>
      </c>
      <c r="B379" s="33" t="s">
        <v>497</v>
      </c>
      <c r="C379" s="51" t="s">
        <v>151</v>
      </c>
      <c r="D379" s="12">
        <v>35</v>
      </c>
      <c r="E379" s="13">
        <v>5450</v>
      </c>
      <c r="F379" s="13">
        <v>177.31</v>
      </c>
      <c r="G379" s="12"/>
      <c r="H379" s="12">
        <v>35</v>
      </c>
      <c r="I379" s="24" t="s">
        <v>148</v>
      </c>
      <c r="J379" s="2">
        <v>197</v>
      </c>
    </row>
    <row r="380" spans="1:10" ht="45">
      <c r="A380" s="44" t="s">
        <v>496</v>
      </c>
      <c r="B380" s="33" t="s">
        <v>497</v>
      </c>
      <c r="C380" s="51" t="s">
        <v>151</v>
      </c>
      <c r="D380" s="12">
        <v>35</v>
      </c>
      <c r="E380" s="13">
        <v>5450</v>
      </c>
      <c r="F380" s="13">
        <v>5450</v>
      </c>
      <c r="G380" s="12"/>
      <c r="H380" s="12">
        <v>35</v>
      </c>
      <c r="I380" s="24" t="s">
        <v>148</v>
      </c>
      <c r="J380" s="2">
        <v>196</v>
      </c>
    </row>
    <row r="381" spans="1:10">
      <c r="A381" s="42" t="s">
        <v>155</v>
      </c>
      <c r="B381" s="32" t="s">
        <v>150</v>
      </c>
      <c r="C381" s="50" t="s">
        <v>151</v>
      </c>
      <c r="D381" s="12">
        <v>20000</v>
      </c>
      <c r="E381" s="13">
        <v>131.97</v>
      </c>
      <c r="F381" s="13">
        <v>131.97</v>
      </c>
      <c r="G381" s="12"/>
      <c r="H381" s="12">
        <v>20000</v>
      </c>
      <c r="I381" s="24" t="s">
        <v>148</v>
      </c>
      <c r="J381" s="1">
        <v>5</v>
      </c>
    </row>
    <row r="382" spans="1:10">
      <c r="A382" s="42" t="s">
        <v>154</v>
      </c>
      <c r="B382" s="32" t="s">
        <v>150</v>
      </c>
      <c r="C382" s="50" t="s">
        <v>151</v>
      </c>
      <c r="D382" s="12">
        <v>13200</v>
      </c>
      <c r="E382" s="13">
        <v>131.97</v>
      </c>
      <c r="F382" s="13">
        <v>131.97</v>
      </c>
      <c r="G382" s="12"/>
      <c r="H382" s="12">
        <v>13200</v>
      </c>
      <c r="I382" s="24" t="s">
        <v>148</v>
      </c>
      <c r="J382" s="1">
        <v>4</v>
      </c>
    </row>
    <row r="383" spans="1:10" ht="30">
      <c r="A383" s="46" t="s">
        <v>175</v>
      </c>
      <c r="B383" s="35" t="s">
        <v>176</v>
      </c>
      <c r="C383" s="53" t="s">
        <v>151</v>
      </c>
      <c r="D383" s="12">
        <v>800</v>
      </c>
      <c r="E383" s="13">
        <v>249.9</v>
      </c>
      <c r="F383" s="13">
        <v>249.9</v>
      </c>
      <c r="G383" s="12"/>
      <c r="H383" s="12">
        <v>800</v>
      </c>
      <c r="I383" s="24" t="s">
        <v>148</v>
      </c>
      <c r="J383" s="6">
        <v>24</v>
      </c>
    </row>
    <row r="384" spans="1:10">
      <c r="A384" s="42" t="s">
        <v>174</v>
      </c>
      <c r="B384" s="32" t="s">
        <v>150</v>
      </c>
      <c r="C384" s="50" t="s">
        <v>151</v>
      </c>
      <c r="D384" s="12">
        <v>44</v>
      </c>
      <c r="E384" s="13">
        <v>131.97</v>
      </c>
      <c r="F384" s="13">
        <v>131.97</v>
      </c>
      <c r="G384" s="12"/>
      <c r="H384" s="12">
        <v>44</v>
      </c>
      <c r="I384" s="24" t="s">
        <v>148</v>
      </c>
      <c r="J384" s="1">
        <v>23</v>
      </c>
    </row>
    <row r="385" spans="1:10">
      <c r="A385" s="42" t="s">
        <v>156</v>
      </c>
      <c r="B385" s="32" t="s">
        <v>150</v>
      </c>
      <c r="C385" s="50" t="s">
        <v>151</v>
      </c>
      <c r="D385" s="12">
        <v>19000</v>
      </c>
      <c r="E385" s="13">
        <v>131.97</v>
      </c>
      <c r="F385" s="13">
        <v>131.97</v>
      </c>
      <c r="G385" s="12"/>
      <c r="H385" s="12">
        <v>19000</v>
      </c>
      <c r="I385" s="24" t="s">
        <v>148</v>
      </c>
      <c r="J385" s="1">
        <v>6</v>
      </c>
    </row>
    <row r="386" spans="1:10">
      <c r="A386" s="42" t="s">
        <v>157</v>
      </c>
      <c r="B386" s="32" t="s">
        <v>150</v>
      </c>
      <c r="C386" s="50" t="s">
        <v>151</v>
      </c>
      <c r="D386" s="12">
        <v>18000</v>
      </c>
      <c r="E386" s="13">
        <v>131.97</v>
      </c>
      <c r="F386" s="13">
        <v>131.97</v>
      </c>
      <c r="G386" s="12"/>
      <c r="H386" s="12">
        <v>18000</v>
      </c>
      <c r="I386" s="24" t="s">
        <v>148</v>
      </c>
      <c r="J386" s="1">
        <v>7</v>
      </c>
    </row>
    <row r="387" spans="1:10">
      <c r="A387" s="42" t="s">
        <v>169</v>
      </c>
      <c r="B387" s="32" t="s">
        <v>150</v>
      </c>
      <c r="C387" s="50" t="s">
        <v>151</v>
      </c>
      <c r="D387" s="12">
        <v>9250</v>
      </c>
      <c r="E387" s="13">
        <v>131.97</v>
      </c>
      <c r="F387" s="13">
        <v>131.97</v>
      </c>
      <c r="G387" s="12"/>
      <c r="H387" s="12">
        <v>9250</v>
      </c>
      <c r="I387" s="24" t="s">
        <v>148</v>
      </c>
      <c r="J387" s="1">
        <v>18</v>
      </c>
    </row>
    <row r="388" spans="1:10">
      <c r="A388" s="42" t="s">
        <v>171</v>
      </c>
      <c r="B388" s="32" t="s">
        <v>150</v>
      </c>
      <c r="C388" s="50" t="s">
        <v>151</v>
      </c>
      <c r="D388" s="12">
        <v>16000</v>
      </c>
      <c r="E388" s="13">
        <v>131.97</v>
      </c>
      <c r="F388" s="13">
        <v>131.97</v>
      </c>
      <c r="G388" s="12"/>
      <c r="H388" s="12">
        <v>16000</v>
      </c>
      <c r="I388" s="24" t="s">
        <v>148</v>
      </c>
      <c r="J388" s="1">
        <v>20</v>
      </c>
    </row>
    <row r="389" spans="1:10">
      <c r="A389" s="42" t="s">
        <v>170</v>
      </c>
      <c r="B389" s="32" t="s">
        <v>150</v>
      </c>
      <c r="C389" s="50" t="s">
        <v>151</v>
      </c>
      <c r="D389" s="12">
        <v>3997</v>
      </c>
      <c r="E389" s="13">
        <v>131.97</v>
      </c>
      <c r="F389" s="13">
        <v>131.97</v>
      </c>
      <c r="G389" s="12"/>
      <c r="H389" s="12">
        <v>3997</v>
      </c>
      <c r="I389" s="24" t="s">
        <v>148</v>
      </c>
      <c r="J389" s="1">
        <v>19</v>
      </c>
    </row>
    <row r="390" spans="1:10">
      <c r="A390" s="42" t="s">
        <v>165</v>
      </c>
      <c r="B390" s="32" t="s">
        <v>150</v>
      </c>
      <c r="C390" s="50" t="s">
        <v>151</v>
      </c>
      <c r="D390" s="12">
        <v>500</v>
      </c>
      <c r="E390" s="13">
        <v>131.97</v>
      </c>
      <c r="F390" s="13">
        <v>131.97</v>
      </c>
      <c r="G390" s="12"/>
      <c r="H390" s="12">
        <v>500</v>
      </c>
      <c r="I390" s="24" t="s">
        <v>148</v>
      </c>
      <c r="J390" s="1">
        <v>13</v>
      </c>
    </row>
    <row r="391" spans="1:10">
      <c r="A391" s="42" t="s">
        <v>168</v>
      </c>
      <c r="B391" s="32" t="s">
        <v>150</v>
      </c>
      <c r="C391" s="50" t="s">
        <v>151</v>
      </c>
      <c r="D391" s="12">
        <v>800</v>
      </c>
      <c r="E391" s="13">
        <v>131.97</v>
      </c>
      <c r="F391" s="13">
        <v>131.97</v>
      </c>
      <c r="G391" s="12"/>
      <c r="H391" s="12">
        <v>800</v>
      </c>
      <c r="I391" s="24" t="s">
        <v>148</v>
      </c>
      <c r="J391" s="1">
        <v>17</v>
      </c>
    </row>
    <row r="392" spans="1:10">
      <c r="A392" s="42" t="s">
        <v>167</v>
      </c>
      <c r="B392" s="32" t="s">
        <v>150</v>
      </c>
      <c r="C392" s="50" t="s">
        <v>151</v>
      </c>
      <c r="D392" s="12">
        <v>2373</v>
      </c>
      <c r="E392" s="13">
        <v>131.97</v>
      </c>
      <c r="F392" s="13">
        <v>131.97</v>
      </c>
      <c r="G392" s="12"/>
      <c r="H392" s="12">
        <v>2373</v>
      </c>
      <c r="I392" s="24" t="s">
        <v>148</v>
      </c>
      <c r="J392" s="1">
        <v>16</v>
      </c>
    </row>
    <row r="393" spans="1:10">
      <c r="A393" s="44" t="s">
        <v>173</v>
      </c>
      <c r="B393" s="33" t="s">
        <v>150</v>
      </c>
      <c r="C393" s="51" t="s">
        <v>151</v>
      </c>
      <c r="D393" s="12">
        <v>2000</v>
      </c>
      <c r="E393" s="13">
        <v>131.97</v>
      </c>
      <c r="F393" s="13">
        <v>131.97</v>
      </c>
      <c r="G393" s="12"/>
      <c r="H393" s="12">
        <v>2000</v>
      </c>
      <c r="I393" s="24" t="s">
        <v>148</v>
      </c>
      <c r="J393" s="2">
        <v>22</v>
      </c>
    </row>
    <row r="394" spans="1:10">
      <c r="A394" s="42" t="s">
        <v>149</v>
      </c>
      <c r="B394" s="32" t="s">
        <v>150</v>
      </c>
      <c r="C394" s="50" t="s">
        <v>151</v>
      </c>
      <c r="D394" s="12">
        <v>2995</v>
      </c>
      <c r="E394" s="13">
        <v>131.97</v>
      </c>
      <c r="F394" s="13">
        <v>131.97</v>
      </c>
      <c r="G394" s="12"/>
      <c r="H394" s="12">
        <v>2995</v>
      </c>
      <c r="I394" s="24" t="s">
        <v>148</v>
      </c>
      <c r="J394" s="1">
        <v>1</v>
      </c>
    </row>
    <row r="395" spans="1:10">
      <c r="A395" s="42" t="s">
        <v>152</v>
      </c>
      <c r="B395" s="32" t="s">
        <v>150</v>
      </c>
      <c r="C395" s="50" t="s">
        <v>151</v>
      </c>
      <c r="D395" s="12">
        <v>300</v>
      </c>
      <c r="E395" s="13">
        <v>131.97</v>
      </c>
      <c r="F395" s="13">
        <v>131.97</v>
      </c>
      <c r="G395" s="12"/>
      <c r="H395" s="12">
        <v>300</v>
      </c>
      <c r="I395" s="24" t="s">
        <v>148</v>
      </c>
      <c r="J395" s="1">
        <v>2</v>
      </c>
    </row>
    <row r="396" spans="1:10">
      <c r="A396" s="42" t="s">
        <v>172</v>
      </c>
      <c r="B396" s="32" t="s">
        <v>150</v>
      </c>
      <c r="C396" s="50" t="s">
        <v>151</v>
      </c>
      <c r="D396" s="12">
        <v>2432</v>
      </c>
      <c r="E396" s="13">
        <v>131.97</v>
      </c>
      <c r="F396" s="13">
        <v>131.97</v>
      </c>
      <c r="G396" s="12"/>
      <c r="H396" s="12">
        <v>2432</v>
      </c>
      <c r="I396" s="24" t="s">
        <v>148</v>
      </c>
      <c r="J396" s="1">
        <v>21</v>
      </c>
    </row>
    <row r="397" spans="1:10">
      <c r="A397" s="42" t="s">
        <v>153</v>
      </c>
      <c r="B397" s="32" t="s">
        <v>150</v>
      </c>
      <c r="C397" s="50" t="s">
        <v>151</v>
      </c>
      <c r="D397" s="12">
        <v>390</v>
      </c>
      <c r="E397" s="13">
        <v>131.97</v>
      </c>
      <c r="F397" s="13">
        <v>131.97</v>
      </c>
      <c r="G397" s="12"/>
      <c r="H397" s="12">
        <v>390</v>
      </c>
      <c r="I397" s="24" t="s">
        <v>148</v>
      </c>
      <c r="J397" s="1">
        <v>3</v>
      </c>
    </row>
    <row r="398" spans="1:10">
      <c r="A398" s="42" t="s">
        <v>158</v>
      </c>
      <c r="B398" s="32" t="s">
        <v>150</v>
      </c>
      <c r="C398" s="50" t="s">
        <v>151</v>
      </c>
      <c r="D398" s="12">
        <v>17000</v>
      </c>
      <c r="E398" s="13">
        <v>131.97</v>
      </c>
      <c r="F398" s="13">
        <v>131.97</v>
      </c>
      <c r="G398" s="12"/>
      <c r="H398" s="12">
        <v>17000</v>
      </c>
      <c r="I398" s="24" t="s">
        <v>148</v>
      </c>
      <c r="J398" s="1">
        <v>8</v>
      </c>
    </row>
    <row r="399" spans="1:10">
      <c r="A399" s="42" t="s">
        <v>161</v>
      </c>
      <c r="B399" s="32" t="s">
        <v>160</v>
      </c>
      <c r="C399" s="50" t="s">
        <v>151</v>
      </c>
      <c r="D399" s="12">
        <v>650</v>
      </c>
      <c r="E399" s="13">
        <v>131.97</v>
      </c>
      <c r="F399" s="13">
        <v>131.97</v>
      </c>
      <c r="G399" s="12"/>
      <c r="H399" s="12">
        <v>650</v>
      </c>
      <c r="I399" s="24" t="s">
        <v>148</v>
      </c>
      <c r="J399" s="1">
        <v>10</v>
      </c>
    </row>
    <row r="400" spans="1:10">
      <c r="A400" s="42" t="s">
        <v>166</v>
      </c>
      <c r="B400" s="32" t="s">
        <v>160</v>
      </c>
      <c r="C400" s="50" t="s">
        <v>151</v>
      </c>
      <c r="D400" s="12">
        <v>179</v>
      </c>
      <c r="E400" s="13">
        <v>131.97</v>
      </c>
      <c r="F400" s="13">
        <v>131.97</v>
      </c>
      <c r="G400" s="12"/>
      <c r="H400" s="12">
        <v>179</v>
      </c>
      <c r="I400" s="24" t="s">
        <v>148</v>
      </c>
      <c r="J400" s="1">
        <v>14</v>
      </c>
    </row>
    <row r="401" spans="1:10">
      <c r="A401" s="42" t="s">
        <v>162</v>
      </c>
      <c r="B401" s="32" t="s">
        <v>160</v>
      </c>
      <c r="C401" s="50" t="s">
        <v>151</v>
      </c>
      <c r="D401" s="12">
        <v>1000</v>
      </c>
      <c r="E401" s="13">
        <v>131.97</v>
      </c>
      <c r="F401" s="13">
        <v>131.97</v>
      </c>
      <c r="G401" s="12"/>
      <c r="H401" s="12">
        <v>1000</v>
      </c>
      <c r="I401" s="24" t="s">
        <v>148</v>
      </c>
      <c r="J401" s="1">
        <v>11</v>
      </c>
    </row>
    <row r="402" spans="1:10">
      <c r="A402" s="42" t="s">
        <v>159</v>
      </c>
      <c r="B402" s="32" t="s">
        <v>160</v>
      </c>
      <c r="C402" s="50" t="s">
        <v>151</v>
      </c>
      <c r="D402" s="12">
        <v>505</v>
      </c>
      <c r="E402" s="13">
        <v>131.97</v>
      </c>
      <c r="F402" s="13">
        <v>131.97</v>
      </c>
      <c r="G402" s="12"/>
      <c r="H402" s="12">
        <v>505</v>
      </c>
      <c r="I402" s="24" t="s">
        <v>148</v>
      </c>
      <c r="J402" s="1">
        <v>9</v>
      </c>
    </row>
    <row r="403" spans="1:10" ht="30">
      <c r="A403" s="44" t="s">
        <v>428</v>
      </c>
      <c r="B403" s="33" t="s">
        <v>429</v>
      </c>
      <c r="C403" s="51" t="s">
        <v>151</v>
      </c>
      <c r="D403" s="12">
        <v>40</v>
      </c>
      <c r="E403" s="13">
        <v>6957.9299999999994</v>
      </c>
      <c r="F403" s="13">
        <v>873.94</v>
      </c>
      <c r="G403" s="12"/>
      <c r="H403" s="12">
        <v>40</v>
      </c>
      <c r="I403" s="24" t="s">
        <v>148</v>
      </c>
      <c r="J403" s="2">
        <v>165</v>
      </c>
    </row>
    <row r="404" spans="1:10" ht="30">
      <c r="A404" s="44" t="s">
        <v>527</v>
      </c>
      <c r="B404" s="33" t="s">
        <v>528</v>
      </c>
      <c r="C404" s="51" t="s">
        <v>151</v>
      </c>
      <c r="D404" s="12">
        <v>20</v>
      </c>
      <c r="E404" s="13">
        <v>2563</v>
      </c>
      <c r="F404" s="13">
        <v>2563</v>
      </c>
      <c r="G404" s="12"/>
      <c r="H404" s="12">
        <v>20</v>
      </c>
      <c r="I404" s="24" t="s">
        <v>148</v>
      </c>
      <c r="J404" s="2">
        <v>213</v>
      </c>
    </row>
    <row r="405" spans="1:10" ht="30">
      <c r="A405" s="44" t="s">
        <v>533</v>
      </c>
      <c r="B405" s="33" t="s">
        <v>532</v>
      </c>
      <c r="C405" s="51" t="s">
        <v>151</v>
      </c>
      <c r="D405" s="12">
        <v>20</v>
      </c>
      <c r="E405" s="13">
        <v>2563</v>
      </c>
      <c r="F405" s="13">
        <v>0</v>
      </c>
      <c r="G405" s="12"/>
      <c r="H405" s="12">
        <v>20</v>
      </c>
      <c r="I405" s="24" t="s">
        <v>148</v>
      </c>
      <c r="J405" s="2">
        <v>216</v>
      </c>
    </row>
    <row r="406" spans="1:10" ht="30">
      <c r="A406" s="44" t="s">
        <v>531</v>
      </c>
      <c r="B406" s="33" t="s">
        <v>532</v>
      </c>
      <c r="C406" s="51" t="s">
        <v>151</v>
      </c>
      <c r="D406" s="12">
        <v>20</v>
      </c>
      <c r="E406" s="13">
        <v>2563</v>
      </c>
      <c r="F406" s="13">
        <v>2563</v>
      </c>
      <c r="G406" s="12"/>
      <c r="H406" s="12">
        <v>20</v>
      </c>
      <c r="I406" s="24" t="s">
        <v>148</v>
      </c>
      <c r="J406" s="2">
        <v>215</v>
      </c>
    </row>
    <row r="407" spans="1:10" ht="30">
      <c r="A407" s="44" t="s">
        <v>529</v>
      </c>
      <c r="B407" s="33" t="s">
        <v>530</v>
      </c>
      <c r="C407" s="51" t="s">
        <v>151</v>
      </c>
      <c r="D407" s="12">
        <v>20</v>
      </c>
      <c r="E407" s="13">
        <v>2563</v>
      </c>
      <c r="F407" s="13">
        <v>2563</v>
      </c>
      <c r="G407" s="12"/>
      <c r="H407" s="12">
        <v>20</v>
      </c>
      <c r="I407" s="24" t="s">
        <v>148</v>
      </c>
      <c r="J407" s="2">
        <v>214</v>
      </c>
    </row>
    <row r="408" spans="1:10" ht="60">
      <c r="A408" s="44" t="s">
        <v>521</v>
      </c>
      <c r="B408" s="33" t="s">
        <v>522</v>
      </c>
      <c r="C408" s="51" t="s">
        <v>151</v>
      </c>
      <c r="D408" s="12">
        <v>150</v>
      </c>
      <c r="E408" s="13">
        <v>2885.5</v>
      </c>
      <c r="F408" s="13">
        <v>2785.5</v>
      </c>
      <c r="G408" s="12"/>
      <c r="H408" s="12">
        <v>150</v>
      </c>
      <c r="I408" s="24" t="s">
        <v>148</v>
      </c>
      <c r="J408" s="2">
        <v>209</v>
      </c>
    </row>
    <row r="409" spans="1:10" ht="60">
      <c r="A409" s="44" t="s">
        <v>519</v>
      </c>
      <c r="B409" s="33" t="s">
        <v>520</v>
      </c>
      <c r="C409" s="51" t="s">
        <v>151</v>
      </c>
      <c r="D409" s="12">
        <v>150</v>
      </c>
      <c r="E409" s="13">
        <v>2885.5</v>
      </c>
      <c r="F409" s="13">
        <v>2885.5</v>
      </c>
      <c r="G409" s="12"/>
      <c r="H409" s="12">
        <v>150</v>
      </c>
      <c r="I409" s="24" t="s">
        <v>148</v>
      </c>
      <c r="J409" s="2">
        <v>208</v>
      </c>
    </row>
    <row r="410" spans="1:10" ht="60">
      <c r="A410" s="44" t="s">
        <v>517</v>
      </c>
      <c r="B410" s="33" t="s">
        <v>518</v>
      </c>
      <c r="C410" s="51" t="s">
        <v>151</v>
      </c>
      <c r="D410" s="12">
        <v>150</v>
      </c>
      <c r="E410" s="13">
        <v>2885.5</v>
      </c>
      <c r="F410" s="13">
        <v>2885.5</v>
      </c>
      <c r="G410" s="12"/>
      <c r="H410" s="12">
        <v>150</v>
      </c>
      <c r="I410" s="24" t="s">
        <v>148</v>
      </c>
      <c r="J410" s="2">
        <v>207</v>
      </c>
    </row>
    <row r="411" spans="1:10" ht="60">
      <c r="A411" s="44" t="s">
        <v>515</v>
      </c>
      <c r="B411" s="33" t="s">
        <v>516</v>
      </c>
      <c r="C411" s="51" t="s">
        <v>151</v>
      </c>
      <c r="D411" s="12">
        <v>150</v>
      </c>
      <c r="E411" s="13">
        <v>2885.5</v>
      </c>
      <c r="F411" s="13">
        <v>2885.5</v>
      </c>
      <c r="G411" s="12"/>
      <c r="H411" s="12">
        <v>150</v>
      </c>
      <c r="I411" s="24" t="s">
        <v>148</v>
      </c>
      <c r="J411" s="2">
        <v>206</v>
      </c>
    </row>
    <row r="412" spans="1:10" ht="60">
      <c r="A412" s="44" t="s">
        <v>509</v>
      </c>
      <c r="B412" s="33" t="s">
        <v>510</v>
      </c>
      <c r="C412" s="51" t="s">
        <v>151</v>
      </c>
      <c r="D412" s="12">
        <v>150</v>
      </c>
      <c r="E412" s="13">
        <v>2885.5</v>
      </c>
      <c r="F412" s="13">
        <v>2885.5</v>
      </c>
      <c r="G412" s="12"/>
      <c r="H412" s="12">
        <v>150</v>
      </c>
      <c r="I412" s="24" t="s">
        <v>148</v>
      </c>
      <c r="J412" s="2">
        <v>203</v>
      </c>
    </row>
    <row r="413" spans="1:10" ht="60">
      <c r="A413" s="44" t="s">
        <v>507</v>
      </c>
      <c r="B413" s="33" t="s">
        <v>508</v>
      </c>
      <c r="C413" s="51" t="s">
        <v>151</v>
      </c>
      <c r="D413" s="12">
        <v>150</v>
      </c>
      <c r="E413" s="13">
        <v>2885.5</v>
      </c>
      <c r="F413" s="13">
        <v>2885.5</v>
      </c>
      <c r="G413" s="12"/>
      <c r="H413" s="12">
        <v>150</v>
      </c>
      <c r="I413" s="24" t="s">
        <v>148</v>
      </c>
      <c r="J413" s="2">
        <v>202</v>
      </c>
    </row>
    <row r="414" spans="1:10" ht="60">
      <c r="A414" s="44" t="s">
        <v>513</v>
      </c>
      <c r="B414" s="33" t="s">
        <v>514</v>
      </c>
      <c r="C414" s="51" t="s">
        <v>151</v>
      </c>
      <c r="D414" s="12">
        <v>150</v>
      </c>
      <c r="E414" s="13">
        <v>2885.5</v>
      </c>
      <c r="F414" s="13">
        <v>2885.5</v>
      </c>
      <c r="G414" s="12"/>
      <c r="H414" s="12">
        <v>150</v>
      </c>
      <c r="I414" s="24" t="s">
        <v>148</v>
      </c>
      <c r="J414" s="2">
        <v>205</v>
      </c>
    </row>
    <row r="415" spans="1:10" ht="60">
      <c r="A415" s="44" t="s">
        <v>511</v>
      </c>
      <c r="B415" s="33" t="s">
        <v>512</v>
      </c>
      <c r="C415" s="51" t="s">
        <v>151</v>
      </c>
      <c r="D415" s="12">
        <v>150</v>
      </c>
      <c r="E415" s="13">
        <v>2885.5</v>
      </c>
      <c r="F415" s="13">
        <v>2885.5</v>
      </c>
      <c r="G415" s="12"/>
      <c r="H415" s="12">
        <v>150</v>
      </c>
      <c r="I415" s="24" t="s">
        <v>148</v>
      </c>
      <c r="J415" s="2">
        <v>204</v>
      </c>
    </row>
    <row r="416" spans="1:10" ht="75">
      <c r="A416" s="44" t="s">
        <v>525</v>
      </c>
      <c r="B416" s="33" t="s">
        <v>526</v>
      </c>
      <c r="C416" s="51" t="s">
        <v>151</v>
      </c>
      <c r="D416" s="12">
        <v>50</v>
      </c>
      <c r="E416" s="13">
        <v>2785.5</v>
      </c>
      <c r="F416" s="13">
        <v>0</v>
      </c>
      <c r="G416" s="12"/>
      <c r="H416" s="12">
        <v>50</v>
      </c>
      <c r="I416" s="24" t="s">
        <v>148</v>
      </c>
      <c r="J416" s="2">
        <v>211</v>
      </c>
    </row>
    <row r="417" spans="1:10" ht="60">
      <c r="A417" s="44" t="s">
        <v>523</v>
      </c>
      <c r="B417" s="33" t="s">
        <v>524</v>
      </c>
      <c r="C417" s="51" t="s">
        <v>151</v>
      </c>
      <c r="D417" s="12">
        <v>50</v>
      </c>
      <c r="E417" s="13">
        <v>2785.5</v>
      </c>
      <c r="F417" s="13">
        <v>2785.5</v>
      </c>
      <c r="G417" s="12"/>
      <c r="H417" s="12">
        <v>50</v>
      </c>
      <c r="I417" s="24" t="s">
        <v>148</v>
      </c>
      <c r="J417" s="2">
        <v>210</v>
      </c>
    </row>
    <row r="418" spans="1:10" ht="30">
      <c r="A418" s="46" t="s">
        <v>384</v>
      </c>
      <c r="B418" s="35" t="s">
        <v>385</v>
      </c>
      <c r="C418" s="53" t="s">
        <v>151</v>
      </c>
      <c r="D418" s="12">
        <v>100</v>
      </c>
      <c r="E418" s="13">
        <v>1</v>
      </c>
      <c r="F418" s="13">
        <v>2727.48</v>
      </c>
      <c r="G418" s="12"/>
      <c r="H418" s="12">
        <v>100</v>
      </c>
      <c r="I418" s="24" t="s">
        <v>148</v>
      </c>
      <c r="J418" s="6" t="s">
        <v>383</v>
      </c>
    </row>
    <row r="419" spans="1:10" ht="141.75">
      <c r="A419" s="48" t="s">
        <v>102</v>
      </c>
      <c r="B419" s="37" t="s">
        <v>103</v>
      </c>
      <c r="C419" s="55" t="s">
        <v>68</v>
      </c>
      <c r="D419" s="12">
        <v>100</v>
      </c>
      <c r="E419" s="13">
        <v>0.25357142857142856</v>
      </c>
      <c r="F419" s="13">
        <v>3550</v>
      </c>
      <c r="G419" s="12"/>
      <c r="H419" s="12">
        <v>100</v>
      </c>
      <c r="I419" s="22" t="s">
        <v>101</v>
      </c>
      <c r="J419" s="8"/>
    </row>
    <row r="420" spans="1:10" ht="30">
      <c r="A420" s="44" t="s">
        <v>458</v>
      </c>
      <c r="B420" s="33" t="s">
        <v>459</v>
      </c>
      <c r="C420" s="51" t="s">
        <v>151</v>
      </c>
      <c r="D420" s="12">
        <v>50</v>
      </c>
      <c r="E420" s="13">
        <v>1200</v>
      </c>
      <c r="F420" s="13">
        <v>1200</v>
      </c>
      <c r="G420" s="12"/>
      <c r="H420" s="12">
        <v>50</v>
      </c>
      <c r="I420" s="24" t="s">
        <v>148</v>
      </c>
      <c r="J420" s="2">
        <v>180</v>
      </c>
    </row>
    <row r="421" spans="1:10" ht="30">
      <c r="A421" s="44" t="s">
        <v>468</v>
      </c>
      <c r="B421" s="33" t="s">
        <v>469</v>
      </c>
      <c r="C421" s="51" t="s">
        <v>151</v>
      </c>
      <c r="D421" s="12">
        <v>50</v>
      </c>
      <c r="E421" s="13">
        <v>1200</v>
      </c>
      <c r="F421" s="13">
        <v>1200</v>
      </c>
      <c r="G421" s="12"/>
      <c r="H421" s="12">
        <v>50</v>
      </c>
      <c r="I421" s="24" t="s">
        <v>148</v>
      </c>
      <c r="J421" s="2">
        <v>182</v>
      </c>
    </row>
    <row r="422" spans="1:10">
      <c r="A422" s="44" t="s">
        <v>470</v>
      </c>
      <c r="B422" s="33" t="s">
        <v>471</v>
      </c>
      <c r="C422" s="51" t="s">
        <v>151</v>
      </c>
      <c r="D422" s="12">
        <v>15</v>
      </c>
      <c r="E422" s="13">
        <v>1200</v>
      </c>
      <c r="F422" s="13">
        <v>500</v>
      </c>
      <c r="G422" s="12"/>
      <c r="H422" s="12">
        <v>15</v>
      </c>
      <c r="I422" s="24" t="s">
        <v>148</v>
      </c>
      <c r="J422" s="2">
        <v>183</v>
      </c>
    </row>
    <row r="423" spans="1:10" ht="30">
      <c r="A423" s="44" t="s">
        <v>472</v>
      </c>
      <c r="B423" s="33" t="s">
        <v>473</v>
      </c>
      <c r="C423" s="51" t="s">
        <v>151</v>
      </c>
      <c r="D423" s="12">
        <v>50</v>
      </c>
      <c r="E423" s="13">
        <v>500</v>
      </c>
      <c r="F423" s="13">
        <v>500</v>
      </c>
      <c r="G423" s="12"/>
      <c r="H423" s="12">
        <v>50</v>
      </c>
      <c r="I423" s="24" t="s">
        <v>148</v>
      </c>
      <c r="J423" s="2">
        <v>184</v>
      </c>
    </row>
    <row r="424" spans="1:10" ht="30">
      <c r="A424" s="44" t="s">
        <v>480</v>
      </c>
      <c r="B424" s="33" t="s">
        <v>481</v>
      </c>
      <c r="C424" s="51" t="s">
        <v>151</v>
      </c>
      <c r="D424" s="12">
        <v>100</v>
      </c>
      <c r="E424" s="13">
        <v>500</v>
      </c>
      <c r="F424" s="13">
        <v>1200</v>
      </c>
      <c r="G424" s="12"/>
      <c r="H424" s="12">
        <v>100</v>
      </c>
      <c r="I424" s="24" t="s">
        <v>148</v>
      </c>
      <c r="J424" s="2">
        <v>188</v>
      </c>
    </row>
    <row r="425" spans="1:10" ht="30">
      <c r="A425" s="44" t="s">
        <v>474</v>
      </c>
      <c r="B425" s="33" t="s">
        <v>475</v>
      </c>
      <c r="C425" s="51" t="s">
        <v>151</v>
      </c>
      <c r="D425" s="12">
        <v>100</v>
      </c>
      <c r="E425" s="13">
        <v>500</v>
      </c>
      <c r="F425" s="13">
        <v>500</v>
      </c>
      <c r="G425" s="12"/>
      <c r="H425" s="12">
        <v>100</v>
      </c>
      <c r="I425" s="24" t="s">
        <v>148</v>
      </c>
      <c r="J425" s="2">
        <v>185</v>
      </c>
    </row>
    <row r="426" spans="1:10" ht="30">
      <c r="A426" s="44" t="s">
        <v>478</v>
      </c>
      <c r="B426" s="33" t="s">
        <v>479</v>
      </c>
      <c r="C426" s="51" t="s">
        <v>151</v>
      </c>
      <c r="D426" s="12">
        <v>100</v>
      </c>
      <c r="E426" s="13">
        <v>500</v>
      </c>
      <c r="F426" s="13">
        <v>500</v>
      </c>
      <c r="G426" s="12"/>
      <c r="H426" s="12">
        <v>100</v>
      </c>
      <c r="I426" s="24" t="s">
        <v>148</v>
      </c>
      <c r="J426" s="2">
        <v>187</v>
      </c>
    </row>
    <row r="427" spans="1:10" ht="30">
      <c r="A427" s="44" t="s">
        <v>476</v>
      </c>
      <c r="B427" s="33" t="s">
        <v>477</v>
      </c>
      <c r="C427" s="51" t="s">
        <v>151</v>
      </c>
      <c r="D427" s="12">
        <v>100</v>
      </c>
      <c r="E427" s="13">
        <v>500</v>
      </c>
      <c r="F427" s="13">
        <v>500</v>
      </c>
      <c r="G427" s="12"/>
      <c r="H427" s="12">
        <v>100</v>
      </c>
      <c r="I427" s="24" t="s">
        <v>148</v>
      </c>
      <c r="J427" s="2">
        <v>186</v>
      </c>
    </row>
    <row r="428" spans="1:10" ht="120">
      <c r="A428" s="49" t="s">
        <v>124</v>
      </c>
      <c r="B428" s="38" t="s">
        <v>125</v>
      </c>
      <c r="C428" s="56" t="s">
        <v>122</v>
      </c>
      <c r="D428" s="12">
        <v>50</v>
      </c>
      <c r="E428" s="13">
        <v>27</v>
      </c>
      <c r="F428" s="13">
        <v>2700</v>
      </c>
      <c r="G428" s="12"/>
      <c r="H428" s="12">
        <v>50</v>
      </c>
      <c r="I428" s="23" t="s">
        <v>106</v>
      </c>
      <c r="J428" s="3"/>
    </row>
    <row r="429" spans="1:10" ht="120">
      <c r="A429" s="49" t="s">
        <v>124</v>
      </c>
      <c r="B429" s="38" t="s">
        <v>126</v>
      </c>
      <c r="C429" s="56" t="s">
        <v>122</v>
      </c>
      <c r="D429" s="12">
        <v>50</v>
      </c>
      <c r="E429" s="13">
        <v>38</v>
      </c>
      <c r="F429" s="13">
        <v>3800</v>
      </c>
      <c r="G429" s="12"/>
      <c r="H429" s="12">
        <v>50</v>
      </c>
      <c r="I429" s="23" t="s">
        <v>106</v>
      </c>
      <c r="J429" s="3"/>
    </row>
    <row r="430" spans="1:10" ht="90">
      <c r="A430" s="49" t="s">
        <v>127</v>
      </c>
      <c r="B430" s="38" t="s">
        <v>128</v>
      </c>
      <c r="C430" s="56" t="s">
        <v>122</v>
      </c>
      <c r="D430" s="12">
        <v>100</v>
      </c>
      <c r="E430" s="13">
        <v>18</v>
      </c>
      <c r="F430" s="13">
        <v>1800</v>
      </c>
      <c r="G430" s="12"/>
      <c r="H430" s="12">
        <v>100</v>
      </c>
      <c r="I430" s="23" t="s">
        <v>106</v>
      </c>
      <c r="J430" s="3"/>
    </row>
    <row r="431" spans="1:10" ht="105">
      <c r="A431" s="49" t="s">
        <v>20</v>
      </c>
      <c r="B431" s="38" t="s">
        <v>129</v>
      </c>
      <c r="C431" s="56" t="s">
        <v>122</v>
      </c>
      <c r="D431" s="12"/>
      <c r="E431" s="13">
        <v>10.57</v>
      </c>
      <c r="F431" s="13">
        <v>1057</v>
      </c>
      <c r="G431" s="12"/>
      <c r="H431" s="12">
        <v>0</v>
      </c>
      <c r="I431" s="23" t="s">
        <v>106</v>
      </c>
      <c r="J431" s="3"/>
    </row>
    <row r="432" spans="1:10" ht="30">
      <c r="A432" s="44" t="s">
        <v>546</v>
      </c>
      <c r="B432" s="33" t="s">
        <v>547</v>
      </c>
      <c r="C432" s="51" t="s">
        <v>151</v>
      </c>
      <c r="D432" s="12">
        <v>1000</v>
      </c>
      <c r="E432" s="13">
        <v>114.24</v>
      </c>
      <c r="F432" s="13">
        <v>114.24</v>
      </c>
      <c r="G432" s="12"/>
      <c r="H432" s="12">
        <v>1000</v>
      </c>
      <c r="I432" s="24" t="s">
        <v>148</v>
      </c>
      <c r="J432" s="2">
        <v>227</v>
      </c>
    </row>
    <row r="433" spans="1:10" ht="30">
      <c r="A433" s="44" t="s">
        <v>557</v>
      </c>
      <c r="B433" s="33" t="s">
        <v>558</v>
      </c>
      <c r="C433" s="51" t="s">
        <v>151</v>
      </c>
      <c r="D433" s="12">
        <v>2000</v>
      </c>
      <c r="E433" s="13">
        <v>114.24</v>
      </c>
      <c r="F433" s="13">
        <v>114.24</v>
      </c>
      <c r="G433" s="12"/>
      <c r="H433" s="12">
        <v>2000</v>
      </c>
      <c r="I433" s="24" t="s">
        <v>148</v>
      </c>
      <c r="J433" s="2">
        <v>233</v>
      </c>
    </row>
    <row r="434" spans="1:10" ht="30">
      <c r="A434" s="44" t="s">
        <v>557</v>
      </c>
      <c r="B434" s="33" t="s">
        <v>559</v>
      </c>
      <c r="C434" s="51" t="s">
        <v>151</v>
      </c>
      <c r="D434" s="12">
        <v>100</v>
      </c>
      <c r="E434" s="13">
        <v>114.24</v>
      </c>
      <c r="F434" s="13">
        <v>114.24</v>
      </c>
      <c r="G434" s="12"/>
      <c r="H434" s="12">
        <v>100</v>
      </c>
      <c r="I434" s="24" t="s">
        <v>148</v>
      </c>
      <c r="J434" s="2">
        <v>234</v>
      </c>
    </row>
    <row r="435" spans="1:10" ht="30">
      <c r="A435" s="44" t="s">
        <v>544</v>
      </c>
      <c r="B435" s="33" t="s">
        <v>545</v>
      </c>
      <c r="C435" s="51" t="s">
        <v>151</v>
      </c>
      <c r="D435" s="12">
        <v>3000</v>
      </c>
      <c r="E435" s="13">
        <v>114.24</v>
      </c>
      <c r="F435" s="13">
        <v>114.24</v>
      </c>
      <c r="G435" s="12"/>
      <c r="H435" s="12">
        <v>3000</v>
      </c>
      <c r="I435" s="24" t="s">
        <v>148</v>
      </c>
      <c r="J435" s="2">
        <v>226</v>
      </c>
    </row>
    <row r="436" spans="1:10" ht="30">
      <c r="A436" s="44" t="s">
        <v>555</v>
      </c>
      <c r="B436" s="33" t="s">
        <v>556</v>
      </c>
      <c r="C436" s="51" t="s">
        <v>151</v>
      </c>
      <c r="D436" s="12">
        <v>1000</v>
      </c>
      <c r="E436" s="13">
        <v>114.24</v>
      </c>
      <c r="F436" s="13">
        <v>114.24</v>
      </c>
      <c r="G436" s="12"/>
      <c r="H436" s="12">
        <v>1000</v>
      </c>
      <c r="I436" s="24" t="s">
        <v>148</v>
      </c>
      <c r="J436" s="2">
        <v>232</v>
      </c>
    </row>
    <row r="437" spans="1:10" ht="30">
      <c r="A437" s="44" t="s">
        <v>543</v>
      </c>
      <c r="B437" s="33" t="s">
        <v>539</v>
      </c>
      <c r="C437" s="51" t="s">
        <v>151</v>
      </c>
      <c r="D437" s="12">
        <v>3000</v>
      </c>
      <c r="E437" s="13">
        <v>114.24</v>
      </c>
      <c r="F437" s="13">
        <v>114.24</v>
      </c>
      <c r="G437" s="12"/>
      <c r="H437" s="12">
        <v>3000</v>
      </c>
      <c r="I437" s="24" t="s">
        <v>148</v>
      </c>
      <c r="J437" s="2">
        <v>225</v>
      </c>
    </row>
    <row r="438" spans="1:10" ht="30">
      <c r="A438" s="44" t="s">
        <v>554</v>
      </c>
      <c r="B438" s="33" t="s">
        <v>549</v>
      </c>
      <c r="C438" s="51" t="s">
        <v>151</v>
      </c>
      <c r="D438" s="12">
        <v>1000</v>
      </c>
      <c r="E438" s="13">
        <v>114.24</v>
      </c>
      <c r="F438" s="13">
        <v>114.24</v>
      </c>
      <c r="G438" s="12"/>
      <c r="H438" s="12">
        <v>1000</v>
      </c>
      <c r="I438" s="24" t="s">
        <v>148</v>
      </c>
      <c r="J438" s="2">
        <v>231</v>
      </c>
    </row>
    <row r="439" spans="1:10" ht="30">
      <c r="A439" s="44" t="s">
        <v>542</v>
      </c>
      <c r="B439" s="33" t="s">
        <v>537</v>
      </c>
      <c r="C439" s="51" t="s">
        <v>151</v>
      </c>
      <c r="D439" s="12">
        <v>3000</v>
      </c>
      <c r="E439" s="13">
        <v>114.24</v>
      </c>
      <c r="F439" s="13">
        <v>114.24</v>
      </c>
      <c r="G439" s="12"/>
      <c r="H439" s="12">
        <v>3000</v>
      </c>
      <c r="I439" s="24" t="s">
        <v>148</v>
      </c>
      <c r="J439" s="2">
        <v>224</v>
      </c>
    </row>
    <row r="440" spans="1:10" ht="30">
      <c r="A440" s="44" t="s">
        <v>534</v>
      </c>
      <c r="B440" s="33" t="s">
        <v>535</v>
      </c>
      <c r="C440" s="51" t="s">
        <v>151</v>
      </c>
      <c r="D440" s="12">
        <v>200</v>
      </c>
      <c r="E440" s="13">
        <v>114.24</v>
      </c>
      <c r="F440" s="13">
        <v>114.24</v>
      </c>
      <c r="G440" s="12"/>
      <c r="H440" s="12">
        <v>200</v>
      </c>
      <c r="I440" s="24" t="s">
        <v>148</v>
      </c>
      <c r="J440" s="2">
        <v>220</v>
      </c>
    </row>
    <row r="441" spans="1:10" ht="30">
      <c r="A441" s="44" t="s">
        <v>552</v>
      </c>
      <c r="B441" s="33" t="s">
        <v>553</v>
      </c>
      <c r="C441" s="51" t="s">
        <v>151</v>
      </c>
      <c r="D441" s="12">
        <v>2000</v>
      </c>
      <c r="E441" s="13">
        <v>114.24</v>
      </c>
      <c r="F441" s="13">
        <v>114.24</v>
      </c>
      <c r="G441" s="12"/>
      <c r="H441" s="12">
        <v>2000</v>
      </c>
      <c r="I441" s="24" t="s">
        <v>148</v>
      </c>
      <c r="J441" s="2">
        <v>230</v>
      </c>
    </row>
    <row r="442" spans="1:10" ht="30">
      <c r="A442" s="44" t="s">
        <v>540</v>
      </c>
      <c r="B442" s="33" t="s">
        <v>541</v>
      </c>
      <c r="C442" s="51" t="s">
        <v>151</v>
      </c>
      <c r="D442" s="12">
        <v>3000</v>
      </c>
      <c r="E442" s="13">
        <v>114.24</v>
      </c>
      <c r="F442" s="13">
        <v>114.24</v>
      </c>
      <c r="G442" s="12"/>
      <c r="H442" s="12">
        <v>3000</v>
      </c>
      <c r="I442" s="24" t="s">
        <v>148</v>
      </c>
      <c r="J442" s="2">
        <v>223</v>
      </c>
    </row>
    <row r="443" spans="1:10" ht="30">
      <c r="A443" s="44" t="s">
        <v>550</v>
      </c>
      <c r="B443" s="33" t="s">
        <v>551</v>
      </c>
      <c r="C443" s="51" t="s">
        <v>151</v>
      </c>
      <c r="D443" s="12">
        <v>1000</v>
      </c>
      <c r="E443" s="13">
        <v>114.24</v>
      </c>
      <c r="F443" s="13">
        <v>114.24</v>
      </c>
      <c r="G443" s="12"/>
      <c r="H443" s="12">
        <v>1000</v>
      </c>
      <c r="I443" s="24" t="s">
        <v>148</v>
      </c>
      <c r="J443" s="2">
        <v>229</v>
      </c>
    </row>
    <row r="444" spans="1:10" ht="30">
      <c r="A444" s="44" t="s">
        <v>538</v>
      </c>
      <c r="B444" s="33" t="s">
        <v>539</v>
      </c>
      <c r="C444" s="51" t="s">
        <v>151</v>
      </c>
      <c r="D444" s="12">
        <v>3000</v>
      </c>
      <c r="E444" s="13">
        <v>114.24</v>
      </c>
      <c r="F444" s="13">
        <v>114.24</v>
      </c>
      <c r="G444" s="12"/>
      <c r="H444" s="12">
        <v>3000</v>
      </c>
      <c r="I444" s="24" t="s">
        <v>148</v>
      </c>
      <c r="J444" s="2">
        <v>222</v>
      </c>
    </row>
    <row r="445" spans="1:10" ht="30">
      <c r="A445" s="44" t="s">
        <v>548</v>
      </c>
      <c r="B445" s="33" t="s">
        <v>549</v>
      </c>
      <c r="C445" s="51" t="s">
        <v>151</v>
      </c>
      <c r="D445" s="12">
        <v>1000</v>
      </c>
      <c r="E445" s="13">
        <v>114.24</v>
      </c>
      <c r="F445" s="13">
        <v>114.24</v>
      </c>
      <c r="G445" s="12"/>
      <c r="H445" s="12">
        <v>1000</v>
      </c>
      <c r="I445" s="24" t="s">
        <v>148</v>
      </c>
      <c r="J445" s="2">
        <v>228</v>
      </c>
    </row>
    <row r="446" spans="1:10" ht="30">
      <c r="A446" s="44" t="s">
        <v>536</v>
      </c>
      <c r="B446" s="33" t="s">
        <v>537</v>
      </c>
      <c r="C446" s="51" t="s">
        <v>151</v>
      </c>
      <c r="D446" s="12">
        <v>3000</v>
      </c>
      <c r="E446" s="13">
        <v>114.24</v>
      </c>
      <c r="F446" s="13">
        <v>114.24</v>
      </c>
      <c r="G446" s="12"/>
      <c r="H446" s="12">
        <v>3000</v>
      </c>
      <c r="I446" s="24" t="s">
        <v>148</v>
      </c>
      <c r="J446" s="2">
        <v>221</v>
      </c>
    </row>
    <row r="447" spans="1:10" ht="30">
      <c r="A447" s="44" t="s">
        <v>577</v>
      </c>
      <c r="B447" s="33" t="s">
        <v>578</v>
      </c>
      <c r="C447" s="51" t="s">
        <v>151</v>
      </c>
      <c r="D447" s="12">
        <v>100</v>
      </c>
      <c r="E447" s="13">
        <v>546</v>
      </c>
      <c r="F447" s="13">
        <v>1800</v>
      </c>
      <c r="G447" s="12"/>
      <c r="H447" s="12">
        <v>100</v>
      </c>
      <c r="I447" s="24" t="s">
        <v>148</v>
      </c>
      <c r="J447" s="2">
        <v>251</v>
      </c>
    </row>
    <row r="448" spans="1:10" ht="30">
      <c r="A448" s="44" t="s">
        <v>577</v>
      </c>
      <c r="B448" s="33" t="s">
        <v>579</v>
      </c>
      <c r="C448" s="51" t="s">
        <v>151</v>
      </c>
      <c r="D448" s="12">
        <v>100</v>
      </c>
      <c r="E448" s="13">
        <v>1800</v>
      </c>
      <c r="F448" s="13">
        <v>1550</v>
      </c>
      <c r="G448" s="12"/>
      <c r="H448" s="12">
        <v>100</v>
      </c>
      <c r="I448" s="24" t="s">
        <v>148</v>
      </c>
      <c r="J448" s="2">
        <v>252</v>
      </c>
    </row>
    <row r="449" spans="1:10" ht="30">
      <c r="A449" s="44" t="s">
        <v>575</v>
      </c>
      <c r="B449" s="33" t="s">
        <v>576</v>
      </c>
      <c r="C449" s="51" t="s">
        <v>151</v>
      </c>
      <c r="D449" s="12">
        <v>100</v>
      </c>
      <c r="E449" s="13">
        <v>546</v>
      </c>
      <c r="F449" s="13">
        <v>546</v>
      </c>
      <c r="G449" s="12"/>
      <c r="H449" s="12">
        <v>100</v>
      </c>
      <c r="I449" s="24" t="s">
        <v>148</v>
      </c>
      <c r="J449" s="2">
        <v>250</v>
      </c>
    </row>
    <row r="450" spans="1:10" ht="30">
      <c r="A450" s="44" t="s">
        <v>565</v>
      </c>
      <c r="B450" s="33" t="s">
        <v>566</v>
      </c>
      <c r="C450" s="51" t="s">
        <v>151</v>
      </c>
      <c r="D450" s="12">
        <v>1000</v>
      </c>
      <c r="E450" s="13">
        <v>114.24</v>
      </c>
      <c r="F450" s="13">
        <v>114.24</v>
      </c>
      <c r="G450" s="12"/>
      <c r="H450" s="12">
        <v>1000</v>
      </c>
      <c r="I450" s="24" t="s">
        <v>148</v>
      </c>
      <c r="J450" s="2">
        <v>240</v>
      </c>
    </row>
    <row r="451" spans="1:10" ht="30">
      <c r="A451" s="44" t="s">
        <v>571</v>
      </c>
      <c r="B451" s="33" t="s">
        <v>572</v>
      </c>
      <c r="C451" s="51" t="s">
        <v>151</v>
      </c>
      <c r="D451" s="12">
        <v>1000</v>
      </c>
      <c r="E451" s="13">
        <v>114.24</v>
      </c>
      <c r="F451" s="13">
        <v>114.24</v>
      </c>
      <c r="G451" s="12"/>
      <c r="H451" s="12">
        <v>1000</v>
      </c>
      <c r="I451" s="24" t="s">
        <v>148</v>
      </c>
      <c r="J451" s="2">
        <v>243</v>
      </c>
    </row>
    <row r="452" spans="1:10" ht="30">
      <c r="A452" s="44" t="s">
        <v>573</v>
      </c>
      <c r="B452" s="33" t="s">
        <v>574</v>
      </c>
      <c r="C452" s="51" t="s">
        <v>151</v>
      </c>
      <c r="D452" s="12">
        <v>1000</v>
      </c>
      <c r="E452" s="13">
        <v>114.24</v>
      </c>
      <c r="F452" s="13">
        <v>0</v>
      </c>
      <c r="G452" s="12"/>
      <c r="H452" s="12">
        <v>1000</v>
      </c>
      <c r="I452" s="24" t="s">
        <v>148</v>
      </c>
      <c r="J452" s="2">
        <v>244</v>
      </c>
    </row>
    <row r="453" spans="1:10" ht="30">
      <c r="A453" s="44" t="s">
        <v>562</v>
      </c>
      <c r="B453" s="33" t="s">
        <v>547</v>
      </c>
      <c r="C453" s="51" t="s">
        <v>151</v>
      </c>
      <c r="D453" s="12">
        <v>1000</v>
      </c>
      <c r="E453" s="13">
        <v>114.24</v>
      </c>
      <c r="F453" s="13">
        <v>114.24</v>
      </c>
      <c r="G453" s="12"/>
      <c r="H453" s="12">
        <v>1000</v>
      </c>
      <c r="I453" s="24" t="s">
        <v>148</v>
      </c>
      <c r="J453" s="2">
        <v>237</v>
      </c>
    </row>
    <row r="454" spans="1:10" ht="30">
      <c r="A454" s="44" t="s">
        <v>564</v>
      </c>
      <c r="B454" s="33" t="s">
        <v>558</v>
      </c>
      <c r="C454" s="51" t="s">
        <v>151</v>
      </c>
      <c r="D454" s="12">
        <v>1000</v>
      </c>
      <c r="E454" s="13">
        <v>114.24</v>
      </c>
      <c r="F454" s="13">
        <v>114.24</v>
      </c>
      <c r="G454" s="12"/>
      <c r="H454" s="12">
        <v>1000</v>
      </c>
      <c r="I454" s="24" t="s">
        <v>148</v>
      </c>
      <c r="J454" s="2">
        <v>239</v>
      </c>
    </row>
    <row r="455" spans="1:10" ht="30">
      <c r="A455" s="44" t="s">
        <v>569</v>
      </c>
      <c r="B455" s="33" t="s">
        <v>570</v>
      </c>
      <c r="C455" s="51" t="s">
        <v>151</v>
      </c>
      <c r="D455" s="12">
        <v>1000</v>
      </c>
      <c r="E455" s="13">
        <v>114.24</v>
      </c>
      <c r="F455" s="13">
        <v>114.24</v>
      </c>
      <c r="G455" s="12"/>
      <c r="H455" s="12">
        <v>1000</v>
      </c>
      <c r="I455" s="24" t="s">
        <v>148</v>
      </c>
      <c r="J455" s="2">
        <v>242</v>
      </c>
    </row>
    <row r="456" spans="1:10" ht="30">
      <c r="A456" s="44" t="s">
        <v>561</v>
      </c>
      <c r="B456" s="33" t="s">
        <v>545</v>
      </c>
      <c r="C456" s="51" t="s">
        <v>151</v>
      </c>
      <c r="D456" s="12">
        <v>1000</v>
      </c>
      <c r="E456" s="13">
        <v>114.24</v>
      </c>
      <c r="F456" s="13">
        <v>114.24</v>
      </c>
      <c r="G456" s="12"/>
      <c r="H456" s="12">
        <v>1000</v>
      </c>
      <c r="I456" s="24" t="s">
        <v>148</v>
      </c>
      <c r="J456" s="2">
        <v>236</v>
      </c>
    </row>
    <row r="457" spans="1:10" ht="30">
      <c r="A457" s="44" t="s">
        <v>563</v>
      </c>
      <c r="B457" s="33" t="s">
        <v>551</v>
      </c>
      <c r="C457" s="51" t="s">
        <v>151</v>
      </c>
      <c r="D457" s="12">
        <v>1000</v>
      </c>
      <c r="E457" s="13">
        <v>114.24</v>
      </c>
      <c r="F457" s="13">
        <v>114.24</v>
      </c>
      <c r="G457" s="12"/>
      <c r="H457" s="12">
        <v>1000</v>
      </c>
      <c r="I457" s="24" t="s">
        <v>148</v>
      </c>
      <c r="J457" s="2">
        <v>238</v>
      </c>
    </row>
    <row r="458" spans="1:10" ht="30">
      <c r="A458" s="44" t="s">
        <v>567</v>
      </c>
      <c r="B458" s="33" t="s">
        <v>568</v>
      </c>
      <c r="C458" s="51" t="s">
        <v>151</v>
      </c>
      <c r="D458" s="12">
        <v>1000</v>
      </c>
      <c r="E458" s="13">
        <v>114.24</v>
      </c>
      <c r="F458" s="13">
        <v>114.24</v>
      </c>
      <c r="G458" s="12"/>
      <c r="H458" s="12">
        <v>1000</v>
      </c>
      <c r="I458" s="24" t="s">
        <v>148</v>
      </c>
      <c r="J458" s="2">
        <v>241</v>
      </c>
    </row>
    <row r="459" spans="1:10" ht="30">
      <c r="A459" s="44" t="s">
        <v>560</v>
      </c>
      <c r="B459" s="33" t="s">
        <v>539</v>
      </c>
      <c r="C459" s="51" t="s">
        <v>151</v>
      </c>
      <c r="D459" s="12">
        <v>1000</v>
      </c>
      <c r="E459" s="13">
        <v>114.24</v>
      </c>
      <c r="F459" s="13">
        <v>114.24</v>
      </c>
      <c r="G459" s="12"/>
      <c r="H459" s="12">
        <v>1000</v>
      </c>
      <c r="I459" s="24" t="s">
        <v>148</v>
      </c>
      <c r="J459" s="2">
        <v>235</v>
      </c>
    </row>
    <row r="460" spans="1:10" ht="30">
      <c r="A460" s="44" t="s">
        <v>588</v>
      </c>
      <c r="B460" s="33" t="s">
        <v>589</v>
      </c>
      <c r="C460" s="51" t="s">
        <v>151</v>
      </c>
      <c r="D460" s="12">
        <v>100</v>
      </c>
      <c r="E460" s="13">
        <v>1550</v>
      </c>
      <c r="F460" s="13">
        <v>1550</v>
      </c>
      <c r="G460" s="12"/>
      <c r="H460" s="12">
        <v>100</v>
      </c>
      <c r="I460" s="24" t="s">
        <v>148</v>
      </c>
      <c r="J460" s="2">
        <v>257</v>
      </c>
    </row>
    <row r="461" spans="1:10" ht="45">
      <c r="A461" s="44" t="s">
        <v>590</v>
      </c>
      <c r="B461" s="33" t="s">
        <v>591</v>
      </c>
      <c r="C461" s="51" t="s">
        <v>151</v>
      </c>
      <c r="D461" s="12">
        <v>20</v>
      </c>
      <c r="E461" s="13">
        <v>1550</v>
      </c>
      <c r="F461" s="13">
        <v>0</v>
      </c>
      <c r="G461" s="12"/>
      <c r="H461" s="12">
        <v>20</v>
      </c>
      <c r="I461" s="24" t="s">
        <v>148</v>
      </c>
      <c r="J461" s="2">
        <v>258</v>
      </c>
    </row>
    <row r="462" spans="1:10" ht="45">
      <c r="A462" s="44" t="s">
        <v>580</v>
      </c>
      <c r="B462" s="33" t="s">
        <v>581</v>
      </c>
      <c r="C462" s="51" t="s">
        <v>151</v>
      </c>
      <c r="D462" s="12">
        <v>30</v>
      </c>
      <c r="E462" s="13">
        <v>1550</v>
      </c>
      <c r="F462" s="13">
        <v>1550</v>
      </c>
      <c r="G462" s="12"/>
      <c r="H462" s="12">
        <v>30</v>
      </c>
      <c r="I462" s="24" t="s">
        <v>148</v>
      </c>
      <c r="J462" s="2">
        <v>253</v>
      </c>
    </row>
    <row r="463" spans="1:10" ht="30">
      <c r="A463" s="44" t="s">
        <v>582</v>
      </c>
      <c r="B463" s="33" t="s">
        <v>583</v>
      </c>
      <c r="C463" s="51" t="s">
        <v>151</v>
      </c>
      <c r="D463" s="12">
        <v>30</v>
      </c>
      <c r="E463" s="13">
        <v>1550</v>
      </c>
      <c r="F463" s="13">
        <v>1550</v>
      </c>
      <c r="G463" s="12"/>
      <c r="H463" s="12">
        <v>30</v>
      </c>
      <c r="I463" s="24" t="s">
        <v>148</v>
      </c>
      <c r="J463" s="2">
        <v>254</v>
      </c>
    </row>
    <row r="464" spans="1:10" ht="30">
      <c r="A464" s="44" t="s">
        <v>586</v>
      </c>
      <c r="B464" s="33" t="s">
        <v>587</v>
      </c>
      <c r="C464" s="51" t="s">
        <v>151</v>
      </c>
      <c r="D464" s="12">
        <v>100</v>
      </c>
      <c r="E464" s="13">
        <v>1550</v>
      </c>
      <c r="F464" s="13">
        <v>1550</v>
      </c>
      <c r="G464" s="12"/>
      <c r="H464" s="12">
        <v>100</v>
      </c>
      <c r="I464" s="24" t="s">
        <v>148</v>
      </c>
      <c r="J464" s="2">
        <v>256</v>
      </c>
    </row>
    <row r="465" spans="1:10" ht="30">
      <c r="A465" s="44" t="s">
        <v>584</v>
      </c>
      <c r="B465" s="33" t="s">
        <v>585</v>
      </c>
      <c r="C465" s="51" t="s">
        <v>151</v>
      </c>
      <c r="D465" s="12">
        <v>100</v>
      </c>
      <c r="E465" s="13">
        <v>1550</v>
      </c>
      <c r="F465" s="13">
        <v>1550</v>
      </c>
      <c r="G465" s="12"/>
      <c r="H465" s="12">
        <v>100</v>
      </c>
      <c r="I465" s="24" t="s">
        <v>148</v>
      </c>
      <c r="J465" s="2">
        <v>255</v>
      </c>
    </row>
    <row r="466" spans="1:10" ht="150">
      <c r="A466" s="49" t="s">
        <v>120</v>
      </c>
      <c r="B466" s="38" t="s">
        <v>121</v>
      </c>
      <c r="C466" s="56" t="s">
        <v>122</v>
      </c>
      <c r="D466" s="12">
        <v>7</v>
      </c>
      <c r="E466" s="13">
        <v>8.1999999999999993</v>
      </c>
      <c r="F466" s="13">
        <v>819.99999999999989</v>
      </c>
      <c r="G466" s="12"/>
      <c r="H466" s="12">
        <v>7</v>
      </c>
      <c r="I466" s="23" t="s">
        <v>106</v>
      </c>
      <c r="J466" s="3"/>
    </row>
    <row r="467" spans="1:10" ht="150">
      <c r="A467" s="49" t="s">
        <v>22</v>
      </c>
      <c r="B467" s="38" t="s">
        <v>123</v>
      </c>
      <c r="C467" s="56" t="s">
        <v>122</v>
      </c>
      <c r="D467" s="12">
        <v>8</v>
      </c>
      <c r="E467" s="13">
        <v>11.7</v>
      </c>
      <c r="F467" s="13">
        <v>1170</v>
      </c>
      <c r="G467" s="12"/>
      <c r="H467" s="12">
        <v>8</v>
      </c>
      <c r="I467" s="23" t="s">
        <v>106</v>
      </c>
      <c r="J467" s="3"/>
    </row>
    <row r="468" spans="1:10" ht="105">
      <c r="A468" s="49" t="s">
        <v>130</v>
      </c>
      <c r="B468" s="38" t="s">
        <v>131</v>
      </c>
      <c r="C468" s="56" t="s">
        <v>132</v>
      </c>
      <c r="D468" s="12"/>
      <c r="E468" s="13">
        <v>0.99994000000000005</v>
      </c>
      <c r="F468" s="13">
        <v>13999.16</v>
      </c>
      <c r="G468" s="12"/>
      <c r="H468" s="12"/>
      <c r="I468" s="23" t="s">
        <v>106</v>
      </c>
      <c r="J468" s="3"/>
    </row>
    <row r="469" spans="1:10" ht="15.75">
      <c r="A469" s="70" t="s">
        <v>90</v>
      </c>
      <c r="B469" s="71"/>
      <c r="C469" s="72" t="s">
        <v>68</v>
      </c>
      <c r="D469" s="12">
        <v>20</v>
      </c>
      <c r="E469" s="13">
        <v>1.1851142857142856</v>
      </c>
      <c r="F469" s="13">
        <v>16591.599999999999</v>
      </c>
      <c r="G469" s="12"/>
      <c r="H469" s="12">
        <v>20</v>
      </c>
      <c r="I469" s="23" t="s">
        <v>87</v>
      </c>
      <c r="J469" s="68"/>
    </row>
    <row r="470" spans="1:10" ht="255">
      <c r="A470" s="70" t="s">
        <v>88</v>
      </c>
      <c r="B470" s="71" t="s">
        <v>89</v>
      </c>
      <c r="C470" s="72" t="s">
        <v>68</v>
      </c>
      <c r="D470" s="12">
        <v>80</v>
      </c>
      <c r="E470" s="13">
        <v>0.6785714285714286</v>
      </c>
      <c r="F470" s="13">
        <v>9500</v>
      </c>
      <c r="G470" s="12"/>
      <c r="H470" s="12">
        <v>80</v>
      </c>
      <c r="I470" s="23" t="s">
        <v>87</v>
      </c>
      <c r="J470" s="68"/>
    </row>
    <row r="471" spans="1:10" ht="30">
      <c r="A471" s="70" t="s">
        <v>14</v>
      </c>
      <c r="B471" s="71"/>
      <c r="C471" s="72" t="s">
        <v>68</v>
      </c>
      <c r="D471" s="12">
        <v>30</v>
      </c>
      <c r="E471" s="13">
        <v>0.49789928571428571</v>
      </c>
      <c r="F471" s="13">
        <v>6970.59</v>
      </c>
      <c r="G471" s="12"/>
      <c r="H471" s="12">
        <v>30</v>
      </c>
      <c r="I471" s="23" t="s">
        <v>87</v>
      </c>
      <c r="J471" s="68"/>
    </row>
    <row r="472" spans="1:10" ht="255">
      <c r="A472" s="70" t="s">
        <v>91</v>
      </c>
      <c r="B472" s="71" t="s">
        <v>92</v>
      </c>
      <c r="C472" s="72" t="s">
        <v>68</v>
      </c>
      <c r="D472" s="12"/>
      <c r="E472" s="13">
        <v>1.8330249999999999</v>
      </c>
      <c r="F472" s="13">
        <v>25662.35</v>
      </c>
      <c r="G472" s="12"/>
      <c r="H472" s="12">
        <v>0</v>
      </c>
      <c r="I472" s="23" t="s">
        <v>87</v>
      </c>
      <c r="J472" s="68"/>
    </row>
    <row r="473" spans="1:10">
      <c r="A473" s="44" t="s">
        <v>878</v>
      </c>
      <c r="B473" s="33" t="s">
        <v>879</v>
      </c>
      <c r="C473" s="51" t="s">
        <v>151</v>
      </c>
      <c r="D473" s="12">
        <v>50</v>
      </c>
      <c r="E473" s="13">
        <v>952</v>
      </c>
      <c r="F473" s="13">
        <v>1100</v>
      </c>
      <c r="G473" s="12"/>
      <c r="H473" s="12">
        <v>50</v>
      </c>
      <c r="I473" s="24" t="s">
        <v>148</v>
      </c>
      <c r="J473" s="2">
        <v>444</v>
      </c>
    </row>
    <row r="474" spans="1:10" ht="240">
      <c r="A474" s="70" t="s">
        <v>83</v>
      </c>
      <c r="B474" s="71" t="s">
        <v>84</v>
      </c>
      <c r="C474" s="72" t="s">
        <v>68</v>
      </c>
      <c r="D474" s="12">
        <v>50</v>
      </c>
      <c r="E474" s="13">
        <v>3.1428571428571428</v>
      </c>
      <c r="F474" s="13">
        <v>44000</v>
      </c>
      <c r="G474" s="12"/>
      <c r="H474" s="12">
        <v>50</v>
      </c>
      <c r="I474" s="22" t="s">
        <v>80</v>
      </c>
      <c r="J474" s="68">
        <v>2</v>
      </c>
    </row>
    <row r="475" spans="1:10" ht="195">
      <c r="A475" s="70" t="s">
        <v>85</v>
      </c>
      <c r="B475" s="71" t="s">
        <v>86</v>
      </c>
      <c r="C475" s="72" t="s">
        <v>68</v>
      </c>
      <c r="D475" s="12">
        <v>50</v>
      </c>
      <c r="E475" s="13">
        <v>1.3214285714285714</v>
      </c>
      <c r="F475" s="13">
        <v>18500</v>
      </c>
      <c r="G475" s="12"/>
      <c r="H475" s="12">
        <v>50</v>
      </c>
      <c r="I475" s="22" t="s">
        <v>80</v>
      </c>
      <c r="J475" s="68">
        <v>3</v>
      </c>
    </row>
    <row r="476" spans="1:10" ht="409.5">
      <c r="A476" s="70" t="s">
        <v>81</v>
      </c>
      <c r="B476" s="71" t="s">
        <v>82</v>
      </c>
      <c r="C476" s="72" t="s">
        <v>68</v>
      </c>
      <c r="D476" s="12">
        <v>130</v>
      </c>
      <c r="E476" s="13">
        <v>2.7928571428571427</v>
      </c>
      <c r="F476" s="13">
        <v>39100</v>
      </c>
      <c r="G476" s="12"/>
      <c r="H476" s="12">
        <v>130</v>
      </c>
      <c r="I476" s="22" t="s">
        <v>80</v>
      </c>
      <c r="J476" s="68">
        <v>1</v>
      </c>
    </row>
    <row r="477" spans="1:10" ht="150">
      <c r="A477" s="49" t="s">
        <v>136</v>
      </c>
      <c r="B477" s="38" t="s">
        <v>137</v>
      </c>
      <c r="C477" s="56" t="s">
        <v>132</v>
      </c>
      <c r="D477" s="12"/>
      <c r="E477" s="13">
        <v>0.371</v>
      </c>
      <c r="F477" s="13">
        <v>5194</v>
      </c>
      <c r="G477" s="12"/>
      <c r="H477" s="12"/>
      <c r="I477" s="23"/>
      <c r="J477" s="3"/>
    </row>
    <row r="478" spans="1:10">
      <c r="A478" s="44" t="s">
        <v>890</v>
      </c>
      <c r="B478" s="33" t="s">
        <v>887</v>
      </c>
      <c r="C478" s="51" t="s">
        <v>151</v>
      </c>
      <c r="D478" s="12">
        <v>900</v>
      </c>
      <c r="E478" s="13">
        <v>925</v>
      </c>
      <c r="F478" s="13">
        <v>343.33</v>
      </c>
      <c r="G478" s="12"/>
      <c r="H478" s="12">
        <v>900</v>
      </c>
      <c r="I478" s="24" t="s">
        <v>148</v>
      </c>
      <c r="J478" s="2">
        <v>454</v>
      </c>
    </row>
    <row r="479" spans="1:10" ht="30">
      <c r="A479" s="44" t="s">
        <v>889</v>
      </c>
      <c r="B479" s="33" t="s">
        <v>885</v>
      </c>
      <c r="C479" s="51" t="s">
        <v>151</v>
      </c>
      <c r="D479" s="12">
        <v>1000</v>
      </c>
      <c r="E479" s="13">
        <v>1100</v>
      </c>
      <c r="F479" s="13">
        <v>343.33</v>
      </c>
      <c r="G479" s="12"/>
      <c r="H479" s="12">
        <v>1000</v>
      </c>
      <c r="I479" s="24" t="s">
        <v>148</v>
      </c>
      <c r="J479" s="2">
        <v>453</v>
      </c>
    </row>
    <row r="480" spans="1:10">
      <c r="A480" s="44" t="s">
        <v>888</v>
      </c>
      <c r="B480" s="33" t="s">
        <v>882</v>
      </c>
      <c r="C480" s="51" t="s">
        <v>151</v>
      </c>
      <c r="D480" s="12">
        <v>20</v>
      </c>
      <c r="E480" s="13">
        <v>1350</v>
      </c>
      <c r="F480" s="13">
        <v>0</v>
      </c>
      <c r="G480" s="12"/>
      <c r="H480" s="12">
        <v>20</v>
      </c>
      <c r="I480" s="24" t="s">
        <v>148</v>
      </c>
      <c r="J480" s="2">
        <v>451</v>
      </c>
    </row>
    <row r="481" spans="1:10" ht="30">
      <c r="A481" s="44" t="s">
        <v>21</v>
      </c>
      <c r="B481" s="33" t="s">
        <v>873</v>
      </c>
      <c r="C481" s="51" t="s">
        <v>151</v>
      </c>
      <c r="D481" s="12">
        <v>400</v>
      </c>
      <c r="E481" s="13">
        <v>1350</v>
      </c>
      <c r="F481" s="13">
        <v>0</v>
      </c>
      <c r="G481" s="12"/>
      <c r="H481" s="12">
        <v>400</v>
      </c>
      <c r="I481" s="24" t="s">
        <v>148</v>
      </c>
      <c r="J481" s="2">
        <v>452</v>
      </c>
    </row>
    <row r="482" spans="1:10" ht="30">
      <c r="A482" s="44" t="s">
        <v>355</v>
      </c>
      <c r="B482" s="33" t="s">
        <v>356</v>
      </c>
      <c r="C482" s="51" t="s">
        <v>151</v>
      </c>
      <c r="D482" s="12">
        <v>24</v>
      </c>
      <c r="E482" s="13">
        <v>2727.48</v>
      </c>
      <c r="F482" s="13">
        <v>1537.48</v>
      </c>
      <c r="G482" s="12"/>
      <c r="H482" s="12">
        <v>24</v>
      </c>
      <c r="I482" s="24" t="s">
        <v>148</v>
      </c>
      <c r="J482" s="2">
        <v>136</v>
      </c>
    </row>
    <row r="483" spans="1:10" ht="30">
      <c r="A483" s="44" t="s">
        <v>353</v>
      </c>
      <c r="B483" s="33" t="s">
        <v>354</v>
      </c>
      <c r="C483" s="51" t="s">
        <v>151</v>
      </c>
      <c r="D483" s="12">
        <v>30</v>
      </c>
      <c r="E483" s="13">
        <v>2727.48</v>
      </c>
      <c r="F483" s="13">
        <v>2727.48</v>
      </c>
      <c r="G483" s="12"/>
      <c r="H483" s="12">
        <v>30</v>
      </c>
      <c r="I483" s="24" t="s">
        <v>148</v>
      </c>
      <c r="J483" s="2">
        <v>135</v>
      </c>
    </row>
    <row r="484" spans="1:10" ht="30">
      <c r="A484" s="46" t="s">
        <v>387</v>
      </c>
      <c r="B484" s="35" t="s">
        <v>388</v>
      </c>
      <c r="C484" s="53" t="s">
        <v>151</v>
      </c>
      <c r="D484" s="12">
        <v>20</v>
      </c>
      <c r="E484" s="13">
        <v>2727.48</v>
      </c>
      <c r="F484" s="13">
        <v>2727.48</v>
      </c>
      <c r="G484" s="12"/>
      <c r="H484" s="12">
        <v>20</v>
      </c>
      <c r="I484" s="24" t="s">
        <v>148</v>
      </c>
      <c r="J484" s="6" t="s">
        <v>386</v>
      </c>
    </row>
    <row r="485" spans="1:10" ht="30">
      <c r="A485" s="46" t="s">
        <v>390</v>
      </c>
      <c r="B485" s="35" t="s">
        <v>279</v>
      </c>
      <c r="C485" s="53" t="s">
        <v>151</v>
      </c>
      <c r="D485" s="12">
        <v>15</v>
      </c>
      <c r="E485" s="13">
        <v>2727.48</v>
      </c>
      <c r="F485" s="13">
        <v>14750</v>
      </c>
      <c r="G485" s="12"/>
      <c r="H485" s="12">
        <v>15</v>
      </c>
      <c r="I485" s="24" t="s">
        <v>148</v>
      </c>
      <c r="J485" s="6" t="s">
        <v>389</v>
      </c>
    </row>
    <row r="486" spans="1:10" ht="30">
      <c r="A486" s="46" t="s">
        <v>379</v>
      </c>
      <c r="B486" s="35" t="s">
        <v>380</v>
      </c>
      <c r="C486" s="53" t="s">
        <v>151</v>
      </c>
      <c r="D486" s="12">
        <v>15</v>
      </c>
      <c r="E486" s="13">
        <v>2727.48</v>
      </c>
      <c r="F486" s="13">
        <v>3111.85</v>
      </c>
      <c r="G486" s="12"/>
      <c r="H486" s="12">
        <v>15</v>
      </c>
      <c r="I486" s="24" t="s">
        <v>148</v>
      </c>
      <c r="J486" s="6" t="s">
        <v>378</v>
      </c>
    </row>
    <row r="487" spans="1:10" ht="30">
      <c r="A487" s="46" t="s">
        <v>382</v>
      </c>
      <c r="B487" s="35" t="s">
        <v>380</v>
      </c>
      <c r="C487" s="53" t="s">
        <v>151</v>
      </c>
      <c r="D487" s="12">
        <v>50</v>
      </c>
      <c r="E487" s="13">
        <v>3111.85</v>
      </c>
      <c r="F487" s="13">
        <v>1</v>
      </c>
      <c r="G487" s="12"/>
      <c r="H487" s="12">
        <v>50</v>
      </c>
      <c r="I487" s="24" t="s">
        <v>148</v>
      </c>
      <c r="J487" s="6" t="s">
        <v>381</v>
      </c>
    </row>
    <row r="488" spans="1:10" ht="150">
      <c r="A488" s="70" t="s">
        <v>95</v>
      </c>
      <c r="B488" s="71" t="s">
        <v>96</v>
      </c>
      <c r="C488" s="72" t="s">
        <v>68</v>
      </c>
      <c r="D488" s="12">
        <v>8</v>
      </c>
      <c r="E488" s="13">
        <v>2.8113214285714285</v>
      </c>
      <c r="F488" s="13">
        <v>39358.5</v>
      </c>
      <c r="G488" s="12"/>
      <c r="H488" s="12">
        <v>8</v>
      </c>
      <c r="I488" s="23" t="s">
        <v>87</v>
      </c>
      <c r="J488" s="68"/>
    </row>
    <row r="489" spans="1:10" ht="405">
      <c r="A489" s="70" t="s">
        <v>97</v>
      </c>
      <c r="B489" s="71" t="s">
        <v>98</v>
      </c>
      <c r="C489" s="72" t="s">
        <v>68</v>
      </c>
      <c r="D489" s="12">
        <v>8</v>
      </c>
      <c r="E489" s="13">
        <v>2.2817857142857143</v>
      </c>
      <c r="F489" s="13">
        <v>31945</v>
      </c>
      <c r="G489" s="12"/>
      <c r="H489" s="12">
        <v>8</v>
      </c>
      <c r="I489" s="23" t="s">
        <v>87</v>
      </c>
      <c r="J489" s="68"/>
    </row>
    <row r="490" spans="1:10" ht="330">
      <c r="A490" s="70" t="s">
        <v>99</v>
      </c>
      <c r="B490" s="71" t="s">
        <v>100</v>
      </c>
      <c r="C490" s="72" t="s">
        <v>68</v>
      </c>
      <c r="D490" s="12">
        <v>8</v>
      </c>
      <c r="E490" s="13">
        <v>4.2363214285714283</v>
      </c>
      <c r="F490" s="13">
        <v>59308.5</v>
      </c>
      <c r="G490" s="12"/>
      <c r="H490" s="12">
        <v>8</v>
      </c>
      <c r="I490" s="23" t="s">
        <v>87</v>
      </c>
      <c r="J490" s="68"/>
    </row>
    <row r="491" spans="1:10" ht="30">
      <c r="A491" s="44" t="s">
        <v>653</v>
      </c>
      <c r="B491" s="33" t="s">
        <v>654</v>
      </c>
      <c r="C491" s="51" t="s">
        <v>151</v>
      </c>
      <c r="D491" s="12">
        <v>100</v>
      </c>
      <c r="E491" s="13">
        <v>1550</v>
      </c>
      <c r="F491" s="13">
        <v>4799.2700000000004</v>
      </c>
      <c r="G491" s="12"/>
      <c r="H491" s="12">
        <v>100</v>
      </c>
      <c r="I491" s="24" t="s">
        <v>148</v>
      </c>
      <c r="J491" s="2">
        <v>309</v>
      </c>
    </row>
    <row r="492" spans="1:10" ht="30">
      <c r="A492" s="44" t="s">
        <v>650</v>
      </c>
      <c r="B492" s="33" t="s">
        <v>385</v>
      </c>
      <c r="C492" s="51" t="s">
        <v>151</v>
      </c>
      <c r="D492" s="12">
        <v>500</v>
      </c>
      <c r="E492" s="13">
        <v>1550</v>
      </c>
      <c r="F492" s="13">
        <v>1550</v>
      </c>
      <c r="G492" s="12"/>
      <c r="H492" s="12">
        <v>500</v>
      </c>
      <c r="I492" s="24" t="s">
        <v>148</v>
      </c>
      <c r="J492" s="2">
        <v>306</v>
      </c>
    </row>
    <row r="493" spans="1:10" ht="30">
      <c r="A493" s="44" t="s">
        <v>651</v>
      </c>
      <c r="B493" s="33" t="s">
        <v>469</v>
      </c>
      <c r="C493" s="51" t="s">
        <v>151</v>
      </c>
      <c r="D493" s="12">
        <v>500</v>
      </c>
      <c r="E493" s="13">
        <v>1550</v>
      </c>
      <c r="F493" s="13">
        <v>1550</v>
      </c>
      <c r="G493" s="12"/>
      <c r="H493" s="12">
        <v>500</v>
      </c>
      <c r="I493" s="24" t="s">
        <v>148</v>
      </c>
      <c r="J493" s="2">
        <v>307</v>
      </c>
    </row>
    <row r="494" spans="1:10" ht="30">
      <c r="A494" s="44" t="s">
        <v>652</v>
      </c>
      <c r="B494" s="33" t="s">
        <v>385</v>
      </c>
      <c r="C494" s="51" t="s">
        <v>151</v>
      </c>
      <c r="D494" s="12">
        <v>500</v>
      </c>
      <c r="E494" s="13">
        <v>1550</v>
      </c>
      <c r="F494" s="13">
        <v>1550</v>
      </c>
      <c r="G494" s="12"/>
      <c r="H494" s="12">
        <v>500</v>
      </c>
      <c r="I494" s="24" t="s">
        <v>148</v>
      </c>
      <c r="J494" s="2">
        <v>308</v>
      </c>
    </row>
    <row r="495" spans="1:10" ht="30">
      <c r="A495" s="44" t="s">
        <v>649</v>
      </c>
      <c r="B495" s="33" t="s">
        <v>469</v>
      </c>
      <c r="C495" s="51" t="s">
        <v>151</v>
      </c>
      <c r="D495" s="12"/>
      <c r="E495" s="13">
        <v>1550</v>
      </c>
      <c r="F495" s="13">
        <v>1550</v>
      </c>
      <c r="G495" s="12"/>
      <c r="H495" s="12">
        <v>0</v>
      </c>
      <c r="I495" s="24" t="s">
        <v>148</v>
      </c>
      <c r="J495" s="2">
        <v>305</v>
      </c>
    </row>
    <row r="496" spans="1:10" ht="30">
      <c r="A496" s="44" t="s">
        <v>870</v>
      </c>
      <c r="B496" s="33" t="s">
        <v>871</v>
      </c>
      <c r="C496" s="51" t="s">
        <v>151</v>
      </c>
      <c r="D496" s="12">
        <v>50</v>
      </c>
      <c r="E496" s="13">
        <v>3844</v>
      </c>
      <c r="F496" s="13">
        <v>2746.52</v>
      </c>
      <c r="G496" s="12"/>
      <c r="H496" s="12">
        <v>50</v>
      </c>
      <c r="I496" s="24" t="s">
        <v>148</v>
      </c>
      <c r="J496" s="2">
        <v>434</v>
      </c>
    </row>
    <row r="497" spans="1:10" ht="30">
      <c r="A497" s="44" t="s">
        <v>868</v>
      </c>
      <c r="B497" s="33" t="s">
        <v>869</v>
      </c>
      <c r="C497" s="51" t="s">
        <v>151</v>
      </c>
      <c r="D497" s="12">
        <v>50</v>
      </c>
      <c r="E497" s="13">
        <v>3844</v>
      </c>
      <c r="F497" s="13">
        <v>925</v>
      </c>
      <c r="G497" s="12"/>
      <c r="H497" s="12">
        <v>50</v>
      </c>
      <c r="I497" s="24" t="s">
        <v>148</v>
      </c>
      <c r="J497" s="2">
        <v>433</v>
      </c>
    </row>
    <row r="498" spans="1:10" ht="30">
      <c r="A498" s="44" t="s">
        <v>861</v>
      </c>
      <c r="B498" s="33" t="s">
        <v>830</v>
      </c>
      <c r="C498" s="51" t="s">
        <v>151</v>
      </c>
      <c r="D498" s="12">
        <v>300</v>
      </c>
      <c r="E498" s="13">
        <v>998.41</v>
      </c>
      <c r="F498" s="13">
        <v>3844</v>
      </c>
      <c r="G498" s="12"/>
      <c r="H498" s="12">
        <v>300</v>
      </c>
      <c r="I498" s="24" t="s">
        <v>148</v>
      </c>
      <c r="J498" s="2">
        <v>429</v>
      </c>
    </row>
    <row r="499" spans="1:10" ht="30">
      <c r="A499" s="44" t="s">
        <v>849</v>
      </c>
      <c r="B499" s="33" t="s">
        <v>850</v>
      </c>
      <c r="C499" s="51" t="s">
        <v>151</v>
      </c>
      <c r="D499" s="12">
        <v>300</v>
      </c>
      <c r="E499" s="13">
        <v>998.41</v>
      </c>
      <c r="F499" s="13">
        <v>3844</v>
      </c>
      <c r="G499" s="12"/>
      <c r="H499" s="12">
        <v>300</v>
      </c>
      <c r="I499" s="24" t="s">
        <v>148</v>
      </c>
      <c r="J499" s="2">
        <v>421</v>
      </c>
    </row>
    <row r="500" spans="1:10" ht="30">
      <c r="A500" s="44" t="s">
        <v>859</v>
      </c>
      <c r="B500" s="33" t="s">
        <v>824</v>
      </c>
      <c r="C500" s="51" t="s">
        <v>151</v>
      </c>
      <c r="D500" s="12">
        <v>300</v>
      </c>
      <c r="E500" s="13">
        <v>998.41</v>
      </c>
      <c r="F500" s="13">
        <v>3844</v>
      </c>
      <c r="G500" s="12"/>
      <c r="H500" s="12">
        <v>300</v>
      </c>
      <c r="I500" s="24" t="s">
        <v>148</v>
      </c>
      <c r="J500" s="2">
        <v>427</v>
      </c>
    </row>
    <row r="501" spans="1:10" ht="30">
      <c r="A501" s="44" t="s">
        <v>860</v>
      </c>
      <c r="B501" s="33" t="s">
        <v>828</v>
      </c>
      <c r="C501" s="51" t="s">
        <v>151</v>
      </c>
      <c r="D501" s="12">
        <v>400</v>
      </c>
      <c r="E501" s="13">
        <v>998.41</v>
      </c>
      <c r="F501" s="13">
        <v>3844</v>
      </c>
      <c r="G501" s="12"/>
      <c r="H501" s="12">
        <v>400</v>
      </c>
      <c r="I501" s="24" t="s">
        <v>148</v>
      </c>
      <c r="J501" s="2">
        <v>428</v>
      </c>
    </row>
    <row r="502" spans="1:10" ht="30">
      <c r="A502" s="44" t="s">
        <v>847</v>
      </c>
      <c r="B502" s="33" t="s">
        <v>848</v>
      </c>
      <c r="C502" s="51" t="s">
        <v>151</v>
      </c>
      <c r="D502" s="12">
        <v>250</v>
      </c>
      <c r="E502" s="13">
        <v>998.41</v>
      </c>
      <c r="F502" s="13">
        <v>3844</v>
      </c>
      <c r="G502" s="12"/>
      <c r="H502" s="12">
        <v>250</v>
      </c>
      <c r="I502" s="24" t="s">
        <v>148</v>
      </c>
      <c r="J502" s="2">
        <v>420</v>
      </c>
    </row>
    <row r="503" spans="1:10" ht="30">
      <c r="A503" s="44" t="s">
        <v>858</v>
      </c>
      <c r="B503" s="33" t="s">
        <v>822</v>
      </c>
      <c r="C503" s="51" t="s">
        <v>151</v>
      </c>
      <c r="D503" s="12">
        <v>400</v>
      </c>
      <c r="E503" s="13">
        <v>998.41</v>
      </c>
      <c r="F503" s="13">
        <v>998.41</v>
      </c>
      <c r="G503" s="12"/>
      <c r="H503" s="12">
        <v>400</v>
      </c>
      <c r="I503" s="24" t="s">
        <v>148</v>
      </c>
      <c r="J503" s="2">
        <v>426</v>
      </c>
    </row>
    <row r="504" spans="1:10" ht="30">
      <c r="A504" s="44" t="s">
        <v>864</v>
      </c>
      <c r="B504" s="33" t="s">
        <v>865</v>
      </c>
      <c r="C504" s="51" t="s">
        <v>151</v>
      </c>
      <c r="D504" s="12">
        <v>100</v>
      </c>
      <c r="E504" s="13">
        <v>3844</v>
      </c>
      <c r="F504" s="13">
        <v>1350</v>
      </c>
      <c r="G504" s="12"/>
      <c r="H504" s="12">
        <v>100</v>
      </c>
      <c r="I504" s="24" t="s">
        <v>148</v>
      </c>
      <c r="J504" s="2">
        <v>431</v>
      </c>
    </row>
    <row r="505" spans="1:10" ht="30">
      <c r="A505" s="44" t="s">
        <v>866</v>
      </c>
      <c r="B505" s="33" t="s">
        <v>867</v>
      </c>
      <c r="C505" s="51" t="s">
        <v>151</v>
      </c>
      <c r="D505" s="12">
        <v>100</v>
      </c>
      <c r="E505" s="13">
        <v>3844</v>
      </c>
      <c r="F505" s="13">
        <v>1100</v>
      </c>
      <c r="G505" s="12"/>
      <c r="H505" s="12">
        <v>100</v>
      </c>
      <c r="I505" s="24" t="s">
        <v>148</v>
      </c>
      <c r="J505" s="2">
        <v>432</v>
      </c>
    </row>
    <row r="506" spans="1:10" ht="30">
      <c r="A506" s="44" t="s">
        <v>862</v>
      </c>
      <c r="B506" s="33" t="s">
        <v>863</v>
      </c>
      <c r="C506" s="51" t="s">
        <v>151</v>
      </c>
      <c r="D506" s="12">
        <v>300</v>
      </c>
      <c r="E506" s="13">
        <v>998.41</v>
      </c>
      <c r="F506" s="13">
        <v>3844</v>
      </c>
      <c r="G506" s="12"/>
      <c r="H506" s="12">
        <v>300</v>
      </c>
      <c r="I506" s="24" t="s">
        <v>148</v>
      </c>
      <c r="J506" s="2">
        <v>430</v>
      </c>
    </row>
    <row r="507" spans="1:10" ht="30">
      <c r="A507" s="44" t="s">
        <v>857</v>
      </c>
      <c r="B507" s="33" t="s">
        <v>846</v>
      </c>
      <c r="C507" s="51" t="s">
        <v>151</v>
      </c>
      <c r="D507" s="12">
        <v>100</v>
      </c>
      <c r="E507" s="13">
        <v>3844</v>
      </c>
      <c r="F507" s="13">
        <v>998.41</v>
      </c>
      <c r="G507" s="12"/>
      <c r="H507" s="12">
        <v>100</v>
      </c>
      <c r="I507" s="24" t="s">
        <v>148</v>
      </c>
      <c r="J507" s="2">
        <v>425</v>
      </c>
    </row>
    <row r="508" spans="1:10" ht="30">
      <c r="A508" s="44" t="s">
        <v>853</v>
      </c>
      <c r="B508" s="33" t="s">
        <v>854</v>
      </c>
      <c r="C508" s="51" t="s">
        <v>151</v>
      </c>
      <c r="D508" s="12">
        <v>100</v>
      </c>
      <c r="E508" s="13">
        <v>3844</v>
      </c>
      <c r="F508" s="13">
        <v>998.41</v>
      </c>
      <c r="G508" s="12"/>
      <c r="H508" s="12">
        <v>100</v>
      </c>
      <c r="I508" s="24" t="s">
        <v>148</v>
      </c>
      <c r="J508" s="2">
        <v>423</v>
      </c>
    </row>
    <row r="509" spans="1:10" ht="30">
      <c r="A509" s="44" t="s">
        <v>851</v>
      </c>
      <c r="B509" s="33" t="s">
        <v>852</v>
      </c>
      <c r="C509" s="51" t="s">
        <v>151</v>
      </c>
      <c r="D509" s="12">
        <v>100</v>
      </c>
      <c r="E509" s="13">
        <v>1173.3399999999999</v>
      </c>
      <c r="F509" s="13">
        <v>998.41</v>
      </c>
      <c r="G509" s="12"/>
      <c r="H509" s="12">
        <v>100</v>
      </c>
      <c r="I509" s="24" t="s">
        <v>148</v>
      </c>
      <c r="J509" s="2">
        <v>422</v>
      </c>
    </row>
    <row r="510" spans="1:10" ht="30">
      <c r="A510" s="44" t="s">
        <v>855</v>
      </c>
      <c r="B510" s="33" t="s">
        <v>856</v>
      </c>
      <c r="C510" s="51" t="s">
        <v>151</v>
      </c>
      <c r="D510" s="12">
        <v>100</v>
      </c>
      <c r="E510" s="13">
        <v>3844</v>
      </c>
      <c r="F510" s="13">
        <v>998.41</v>
      </c>
      <c r="G510" s="12"/>
      <c r="H510" s="12">
        <v>100</v>
      </c>
      <c r="I510" s="24" t="s">
        <v>148</v>
      </c>
      <c r="J510" s="2">
        <v>424</v>
      </c>
    </row>
    <row r="511" spans="1:10">
      <c r="A511" s="44" t="s">
        <v>482</v>
      </c>
      <c r="B511" s="33" t="s">
        <v>483</v>
      </c>
      <c r="C511" s="51" t="s">
        <v>151</v>
      </c>
      <c r="D511" s="12">
        <v>20</v>
      </c>
      <c r="E511" s="13">
        <v>1200</v>
      </c>
      <c r="F511" s="13">
        <v>5450</v>
      </c>
      <c r="G511" s="12"/>
      <c r="H511" s="12">
        <v>20</v>
      </c>
      <c r="I511" s="24" t="s">
        <v>148</v>
      </c>
      <c r="J511" s="2">
        <v>189</v>
      </c>
    </row>
    <row r="512" spans="1:10" ht="31.5">
      <c r="A512" s="49" t="s">
        <v>133</v>
      </c>
      <c r="B512" s="38"/>
      <c r="C512" s="56" t="s">
        <v>935</v>
      </c>
      <c r="D512" s="12">
        <v>200</v>
      </c>
      <c r="E512" s="13">
        <v>10.353</v>
      </c>
      <c r="F512" s="13">
        <v>1035.3</v>
      </c>
      <c r="G512" s="12"/>
      <c r="H512" s="12"/>
      <c r="I512" s="23" t="s">
        <v>106</v>
      </c>
      <c r="J512" s="3"/>
    </row>
    <row r="513" spans="1:10" ht="31.5">
      <c r="A513" s="59" t="s">
        <v>114</v>
      </c>
      <c r="B513" s="60"/>
      <c r="C513" s="61" t="s">
        <v>68</v>
      </c>
      <c r="D513" s="12">
        <v>10</v>
      </c>
      <c r="E513" s="13">
        <v>0.85114071428571425</v>
      </c>
      <c r="F513" s="13">
        <v>11915.97</v>
      </c>
      <c r="G513" s="12"/>
      <c r="H513" s="12">
        <v>10</v>
      </c>
      <c r="I513" s="23" t="s">
        <v>106</v>
      </c>
      <c r="J513" s="3"/>
    </row>
    <row r="514" spans="1:10">
      <c r="A514" s="30"/>
      <c r="B514" s="39"/>
      <c r="C514" s="12"/>
      <c r="D514" s="12"/>
      <c r="E514" s="13"/>
      <c r="F514" s="12"/>
      <c r="G514" s="12"/>
      <c r="H514" s="12"/>
      <c r="I514" s="12"/>
      <c r="J514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Mauricio Alejandro Rivera Restrepo</cp:lastModifiedBy>
  <cp:revision/>
  <dcterms:created xsi:type="dcterms:W3CDTF">2023-02-27T15:26:26Z</dcterms:created>
  <dcterms:modified xsi:type="dcterms:W3CDTF">2023-03-24T15:56:03Z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2023-02-27T16:08:04Z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cd68b377-2573-43e0-b683-2af527276ba6</vt:lpwstr>
  </property>
  <property fmtid="{D5CDD505-2E9C-101B-9397-08002B2CF9AE}" pid="8" name="MSIP_Label_1299739c-ad3d-4908-806e-4d91151a6e13_ContentBits">
    <vt:lpwstr>0</vt:lpwstr>
  </property>
</Properties>
</file>