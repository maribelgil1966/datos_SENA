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4"/>
  <workbookPr/>
  <xr:revisionPtr revIDLastSave="0" documentId="11_43F2F064FB7821F053C0053322AD8191CCC6E15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  <sheet name="Hoja2" sheetId="2" r:id="rId2"/>
  </sheets>
  <calcPr calcId="0" fullCalcOnLoad="1"/>
  <extLst>
    <ext uri="GoogleSheetsCustomDataVersion1">
      <go:sheetsCustomData xmlns:go="http://customooxmlschemas.google.com/" r:id="rId6" roundtripDataSignature="AMtx7miQhpMIO8NmjQxtIKpEJxtu/B1zbw=="/>
    </ext>
  </extLst>
</workbook>
</file>

<file path=xl/calcChain.xml><?xml version="1.0" encoding="utf-8"?>
<calcChain xmlns="http://schemas.openxmlformats.org/spreadsheetml/2006/main">
  <c r="E26" i="2" l="1"/>
  <c r="E25" i="2"/>
  <c r="E24" i="2"/>
  <c r="E23" i="2"/>
  <c r="E22" i="2"/>
  <c r="H21" i="2"/>
  <c r="E21" i="2"/>
  <c r="D21" i="2"/>
  <c r="H20" i="2"/>
  <c r="E20" i="2"/>
  <c r="D20" i="2"/>
  <c r="H19" i="2"/>
  <c r="E19" i="2"/>
  <c r="D19" i="2"/>
  <c r="H18" i="2"/>
  <c r="E18" i="2"/>
  <c r="D18" i="2"/>
  <c r="C18" i="2"/>
  <c r="H17" i="2"/>
  <c r="E17" i="2"/>
  <c r="D17" i="2"/>
  <c r="H16" i="2"/>
  <c r="E16" i="2"/>
  <c r="D16" i="2"/>
  <c r="H15" i="2"/>
  <c r="E15" i="2"/>
  <c r="D15" i="2"/>
  <c r="H14" i="2"/>
  <c r="E14" i="2"/>
  <c r="D14" i="2"/>
  <c r="H13" i="2"/>
  <c r="E13" i="2"/>
  <c r="D13" i="2"/>
  <c r="H12" i="2"/>
  <c r="E12" i="2"/>
  <c r="D12" i="2"/>
  <c r="C12" i="2"/>
  <c r="A12" i="2"/>
  <c r="H11" i="2"/>
  <c r="E11" i="2"/>
  <c r="D11" i="2"/>
  <c r="C11" i="2"/>
  <c r="A11" i="2"/>
  <c r="H10" i="2"/>
  <c r="E10" i="2"/>
  <c r="D10" i="2"/>
  <c r="C10" i="2"/>
  <c r="A10" i="2"/>
  <c r="I9" i="2"/>
  <c r="H9" i="2"/>
  <c r="E9" i="2"/>
  <c r="D9" i="2"/>
  <c r="C9" i="2"/>
  <c r="A9" i="2"/>
  <c r="F5" i="2"/>
  <c r="F4" i="2"/>
  <c r="F3" i="2"/>
  <c r="F2" i="2"/>
  <c r="F1" i="2"/>
  <c r="I43" i="1"/>
  <c r="I42" i="1"/>
  <c r="G42" i="1"/>
  <c r="I41" i="1"/>
  <c r="G41" i="1"/>
  <c r="L38" i="1"/>
  <c r="K38" i="1"/>
  <c r="I38" i="1"/>
  <c r="L37" i="1"/>
  <c r="K37" i="1"/>
  <c r="L36" i="1"/>
  <c r="K36" i="1"/>
  <c r="I36" i="1"/>
  <c r="G36" i="1"/>
  <c r="L35" i="1"/>
  <c r="K35" i="1"/>
  <c r="I35" i="1"/>
  <c r="G35" i="1"/>
  <c r="L34" i="1"/>
  <c r="K34" i="1"/>
  <c r="I34" i="1"/>
  <c r="G34" i="1"/>
  <c r="L33" i="1"/>
  <c r="K33" i="1"/>
  <c r="I33" i="1"/>
  <c r="G33" i="1"/>
  <c r="L32" i="1"/>
  <c r="K32" i="1"/>
  <c r="I32" i="1"/>
  <c r="G32" i="1"/>
  <c r="L31" i="1"/>
  <c r="K31" i="1"/>
  <c r="I31" i="1"/>
  <c r="G31" i="1"/>
  <c r="I30" i="1"/>
  <c r="G30" i="1"/>
  <c r="I27" i="1"/>
  <c r="I26" i="1"/>
  <c r="G26" i="1"/>
  <c r="I25" i="1"/>
  <c r="G25" i="1"/>
  <c r="H22" i="1"/>
  <c r="G22" i="1"/>
  <c r="F22" i="1"/>
  <c r="E22" i="1"/>
  <c r="J21" i="1"/>
  <c r="J20" i="1"/>
  <c r="H20" i="1"/>
  <c r="G20" i="1"/>
  <c r="J19" i="1"/>
  <c r="H19" i="1"/>
  <c r="G19" i="1"/>
  <c r="J18" i="1"/>
  <c r="H18" i="1"/>
  <c r="G18" i="1"/>
  <c r="J17" i="1"/>
  <c r="H17" i="1"/>
  <c r="G17" i="1"/>
  <c r="J16" i="1"/>
  <c r="H16" i="1"/>
  <c r="G16" i="1"/>
  <c r="J15" i="1"/>
  <c r="H15" i="1"/>
  <c r="G15" i="1"/>
  <c r="J14" i="1"/>
  <c r="H14" i="1"/>
  <c r="G14" i="1"/>
  <c r="J13" i="1"/>
  <c r="H13" i="1"/>
  <c r="G13" i="1"/>
  <c r="J12" i="1"/>
  <c r="H12" i="1"/>
  <c r="G12" i="1"/>
  <c r="J11" i="1"/>
  <c r="H11" i="1"/>
  <c r="G11" i="1"/>
  <c r="J10" i="1"/>
  <c r="H10" i="1"/>
  <c r="G10" i="1"/>
  <c r="J9" i="1"/>
  <c r="H9" i="1"/>
  <c r="G9" i="1"/>
</calcChain>
</file>

<file path=xl/sharedStrings.xml><?xml version="1.0" encoding="utf-8"?>
<sst xmlns="http://schemas.openxmlformats.org/spreadsheetml/2006/main" count="123" uniqueCount="82">
  <si>
    <t>Referencia:</t>
  </si>
  <si>
    <t>Maribel Gil
modelista</t>
  </si>
  <si>
    <t>0 a 1.5</t>
  </si>
  <si>
    <t>Tipo:</t>
  </si>
  <si>
    <t>BILLETERA MASCULINA</t>
  </si>
  <si>
    <t>1.51 a 3</t>
  </si>
  <si>
    <t>Fecha:</t>
  </si>
  <si>
    <t>3.01 a 5</t>
  </si>
  <si>
    <t>cliente</t>
  </si>
  <si>
    <t>SENA</t>
  </si>
  <si>
    <t>mas de 5</t>
  </si>
  <si>
    <t>numero de ficha</t>
  </si>
  <si>
    <t>celda de Producción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</si>
  <si>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</si>
  <si>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</si>
  <si>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</si>
  <si>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</si>
  <si>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</si>
  <si>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</si>
  <si>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</si>
  <si>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</si>
  <si>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dm_2</t>
  </si>
  <si>
    <t>% desperdicio</t>
  </si>
  <si>
    <t>Total</t>
  </si>
  <si>
    <t>cuero</t>
  </si>
  <si>
    <t>ESPALDAR</t>
  </si>
  <si>
    <t>TIRA DIVISIÓN</t>
  </si>
  <si>
    <t>CENTRO</t>
  </si>
  <si>
    <t>TARJETERO TOPE</t>
  </si>
  <si>
    <t>TARJETEROS</t>
  </si>
  <si>
    <t>SELLERO</t>
  </si>
  <si>
    <t>total cuero en dm_2</t>
  </si>
  <si>
    <t>perimetros para consumo de hilo en cm</t>
  </si>
  <si>
    <t>atlo x ancho=cm_2</t>
  </si>
  <si>
    <t>FORRO</t>
  </si>
  <si>
    <t>COMPLEMETO ESPALDAR</t>
  </si>
  <si>
    <t>DIVISIÓN</t>
  </si>
  <si>
    <t>BATA</t>
  </si>
  <si>
    <t>total FORRO en cm_2</t>
  </si>
  <si>
    <t>cambre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</si>
  <si>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</si>
  <si>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</si>
  <si>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</si>
  <si>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</si>
  <si>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</si>
  <si>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</si>
  <si>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</si>
  <si>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cm</t>
  </si>
  <si>
    <t>metro</t>
  </si>
  <si>
    <t>hilo x 3000</t>
  </si>
  <si>
    <t>metros</t>
  </si>
  <si>
    <t>cono</t>
  </si>
  <si>
    <t>pegante x 3000</t>
  </si>
  <si>
    <t>gramos</t>
  </si>
  <si>
    <t>galon</t>
  </si>
  <si>
    <t>mano de obra</t>
  </si>
  <si>
    <t>hora/persona</t>
  </si>
  <si>
    <t>empaque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</si>
  <si>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</si>
  <si>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</si>
  <si>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</si>
  <si>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</si>
  <si>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</si>
  <si>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</si>
  <si>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</si>
  <si>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</si>
  <si>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plana</t>
  </si>
  <si>
    <t xml:space="preserve">tipo de aguja </t>
  </si>
  <si>
    <t>cortante</t>
  </si>
  <si>
    <t>numero de aguja</t>
  </si>
  <si>
    <t>calibre hilo</t>
  </si>
  <si>
    <t>color hilo</t>
  </si>
  <si>
    <t>a tono</t>
  </si>
  <si>
    <t>corte</t>
  </si>
  <si>
    <t>Santiago y Janer</t>
  </si>
  <si>
    <t>Personas encargadas de liderar el proceso, pero en cuanto termina este se incorporan a uno de los otros equipos</t>
  </si>
  <si>
    <t>prearme</t>
  </si>
  <si>
    <t>Melissa y Juliana</t>
  </si>
  <si>
    <t xml:space="preserve">armado </t>
  </si>
  <si>
    <t>Nanasury y Cristina</t>
  </si>
  <si>
    <t>costura</t>
  </si>
  <si>
    <t>Sara y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</si>
</sst>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20"/>
      <color theme="1"/>
      <name val="Kunstler script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AEABAB"/>
        <bgColor rgb="FFAEABAB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4" borderId="19" xfId="0" applyFont="1" applyFill="1" applyBorder="1" applyAlignment="1">
      <alignment wrapText="1"/>
    </xf>
    <xf numFmtId="0" fontId="1" fillId="0" borderId="0" xfId="0" applyFont="1" applyAlignment="1">
      <alignment wrapText="1"/>
    </xf>
    <xf numFmtId="2" fontId="1" fillId="0" borderId="19" xfId="0" applyNumberFormat="1" applyFont="1" applyBorder="1"/>
    <xf numFmtId="0" fontId="1" fillId="0" borderId="0" xfId="0" applyFont="1"/>
    <xf numFmtId="2" fontId="1" fillId="0" borderId="31" xfId="0" applyNumberFormat="1" applyFont="1" applyBorder="1"/>
    <xf numFmtId="2" fontId="3" fillId="6" borderId="33" xfId="0" applyNumberFormat="1" applyFont="1" applyFill="1" applyBorder="1"/>
    <xf numFmtId="0" fontId="1" fillId="7" borderId="19" xfId="0" applyFont="1" applyFill="1" applyBorder="1"/>
    <xf numFmtId="2" fontId="3" fillId="0" borderId="0" xfId="0" applyNumberFormat="1" applyFont="1"/>
    <xf numFmtId="0" fontId="3" fillId="6" borderId="33" xfId="0" applyFont="1" applyFill="1" applyBorder="1"/>
    <xf numFmtId="0" fontId="1" fillId="0" borderId="35" xfId="0" applyFont="1" applyBorder="1"/>
    <xf numFmtId="0" fontId="5" fillId="0" borderId="0" xfId="0" applyFont="1"/>
    <xf numFmtId="0" fontId="1" fillId="0" borderId="31" xfId="0" applyFont="1" applyBorder="1"/>
    <xf numFmtId="0" fontId="3" fillId="4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19" xfId="0" applyNumberFormat="1" applyFont="1" applyBorder="1"/>
    <xf numFmtId="0" fontId="1" fillId="8" borderId="19" xfId="0" applyFont="1" applyFill="1" applyBorder="1"/>
    <xf numFmtId="1" fontId="1" fillId="4" borderId="19" xfId="0" applyNumberFormat="1" applyFont="1" applyFill="1" applyBorder="1"/>
    <xf numFmtId="9" fontId="1" fillId="0" borderId="19" xfId="0" applyNumberFormat="1" applyFont="1" applyBorder="1"/>
    <xf numFmtId="1" fontId="1" fillId="8" borderId="19" xfId="0" applyNumberFormat="1" applyFont="1" applyFill="1" applyBorder="1"/>
    <xf numFmtId="0" fontId="1" fillId="0" borderId="19" xfId="0" applyFont="1" applyBorder="1" applyAlignment="1">
      <alignment wrapText="1"/>
    </xf>
    <xf numFmtId="0" fontId="1" fillId="0" borderId="19" xfId="0" applyFont="1" applyBorder="1" applyAlignment="1">
      <alignment horizontal="left"/>
    </xf>
    <xf numFmtId="0" fontId="1" fillId="0" borderId="19" xfId="0" applyFont="1" applyBorder="1" applyAlignment="1">
      <alignment vertical="center" wrapText="1"/>
    </xf>
    <xf numFmtId="0" fontId="3" fillId="2" borderId="1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14" fontId="1" fillId="2" borderId="13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2" borderId="23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/>
    </xf>
    <xf numFmtId="0" fontId="1" fillId="9" borderId="31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7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2" fillId="0" borderId="24" xfId="0" applyFont="1" applyBorder="1" applyAlignment="1"/>
    <xf numFmtId="0" fontId="2" fillId="0" borderId="25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1" fillId="3" borderId="34" xfId="0" applyFont="1" applyFill="1" applyBorder="1"/>
    <xf numFmtId="0" fontId="1" fillId="5" borderId="34" xfId="0" applyFont="1" applyFill="1" applyBorder="1" applyAlignment="1">
      <alignment horizontal="center"/>
    </xf>
    <xf numFmtId="0" fontId="2" fillId="0" borderId="34" xfId="0" applyFont="1" applyBorder="1" applyAlignment="1"/>
    <xf numFmtId="0" fontId="0" fillId="0" borderId="0" xfId="0" applyAlignment="1"/>
    <xf numFmtId="0" fontId="2" fillId="0" borderId="32" xfId="0" applyFont="1" applyBorder="1" applyAlignment="1"/>
    <xf numFmtId="0" fontId="1" fillId="5" borderId="34" xfId="0" applyFont="1" applyFill="1" applyBorder="1" applyAlignment="1">
      <alignment horizontal="center"/>
    </xf>
    <xf numFmtId="0" fontId="2" fillId="0" borderId="37" xfId="0" applyFont="1" applyBorder="1" applyAlignment="1"/>
    <xf numFmtId="0" fontId="2" fillId="0" borderId="38" xfId="0" applyFont="1" applyBorder="1" applyAlignment="1"/>
    <xf numFmtId="0" fontId="2" fillId="0" borderId="35" xfId="0" applyFont="1" applyBorder="1" applyAlignment="1"/>
    <xf numFmtId="0" fontId="2" fillId="0" borderId="39" xfId="0" applyFont="1" applyBorder="1" applyAlignment="1"/>
    <xf numFmtId="0" fontId="2" fillId="0" borderId="40" xfId="0" applyFont="1" applyBorder="1" applyAlignment="1"/>
    <xf numFmtId="0" fontId="2" fillId="0" borderId="41" xfId="0" applyFont="1" applyBorder="1" applyAlignment="1"/>
    <xf numFmtId="0" fontId="2" fillId="0" borderId="4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7</xdr:row>
      <xdr:rowOff>57150</xdr:rowOff>
    </xdr:from>
    <xdr:ext cx="2800350" cy="18478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0</xdr:rowOff>
    </xdr:from>
    <xdr:ext cx="933450" cy="90487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0</xdr:rowOff>
    </xdr:from>
    <xdr:ext cx="885825" cy="8953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/>
  </sheetViews>
  <sheetFormatPr defaultColWidth="14.42578125" defaultRowHeight="15" customHeight="1"/>
  <cols>
    <col min="1" max="1" width="7.7109375" customWidth="1"/>
    <col min="2" max="2" width="10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  <col min="10" max="26" width="10.7109375" customWidth="1"/>
  </cols>
  <sheetData>
    <row r="1" spans="1:15" ht="14.25" customHeight="1">
      <c r="A1" s="33"/>
      <c r="B1" s="48"/>
      <c r="C1" s="34" t="s">
        <v>0</v>
      </c>
      <c r="D1" s="49"/>
      <c r="E1" s="50"/>
      <c r="F1" s="35">
        <v>6</v>
      </c>
      <c r="G1" s="49"/>
      <c r="H1" s="50"/>
      <c r="I1" s="36" t="s">
        <v>1</v>
      </c>
      <c r="J1" s="51"/>
      <c r="L1" s="1" t="s">
        <v>2</v>
      </c>
      <c r="M1" s="2">
        <v>5</v>
      </c>
      <c r="N1" s="3">
        <v>1.05</v>
      </c>
    </row>
    <row r="2" spans="1:15" ht="14.25" customHeight="1">
      <c r="A2" s="52"/>
      <c r="B2" s="53"/>
      <c r="C2" s="32" t="s">
        <v>3</v>
      </c>
      <c r="D2" s="54"/>
      <c r="E2" s="55"/>
      <c r="F2" s="37" t="s">
        <v>4</v>
      </c>
      <c r="G2" s="54"/>
      <c r="H2" s="55"/>
      <c r="I2" s="56"/>
      <c r="J2" s="57"/>
      <c r="L2" s="4" t="s">
        <v>5</v>
      </c>
      <c r="M2" s="5">
        <v>10</v>
      </c>
      <c r="N2" s="6">
        <v>1.1000000000000001</v>
      </c>
    </row>
    <row r="3" spans="1:15" ht="14.25" customHeight="1">
      <c r="A3" s="52"/>
      <c r="B3" s="53"/>
      <c r="C3" s="32" t="s">
        <v>6</v>
      </c>
      <c r="D3" s="54"/>
      <c r="E3" s="55"/>
      <c r="F3" s="38">
        <v>44951</v>
      </c>
      <c r="G3" s="54"/>
      <c r="H3" s="55"/>
      <c r="I3" s="56"/>
      <c r="J3" s="57"/>
      <c r="L3" s="4" t="s">
        <v>7</v>
      </c>
      <c r="M3" s="5">
        <v>15</v>
      </c>
      <c r="N3" s="6">
        <v>1.1499999999999999</v>
      </c>
    </row>
    <row r="4" spans="1:15" ht="14.25" customHeight="1">
      <c r="A4" s="52"/>
      <c r="B4" s="53"/>
      <c r="C4" s="32" t="s">
        <v>8</v>
      </c>
      <c r="D4" s="54"/>
      <c r="E4" s="55"/>
      <c r="F4" s="37" t="s">
        <v>9</v>
      </c>
      <c r="G4" s="54"/>
      <c r="H4" s="55"/>
      <c r="I4" s="56"/>
      <c r="J4" s="57"/>
      <c r="L4" s="4" t="s">
        <v>10</v>
      </c>
      <c r="M4" s="5">
        <v>20</v>
      </c>
      <c r="N4" s="6">
        <v>1.2</v>
      </c>
    </row>
    <row r="5" spans="1:15" ht="14.25" customHeight="1">
      <c r="A5" s="58"/>
      <c r="B5" s="59"/>
      <c r="C5" s="40" t="s">
        <v>11</v>
      </c>
      <c r="D5" s="60"/>
      <c r="E5" s="61"/>
      <c r="F5" s="41" t="s">
        <v>12</v>
      </c>
      <c r="G5" s="60"/>
      <c r="H5" s="61"/>
      <c r="I5" s="62"/>
      <c r="J5" s="63"/>
      <c r="L5" s="7" t="s">
        <v>13</v>
      </c>
      <c r="M5" s="8">
        <v>40</v>
      </c>
      <c r="N5" s="9">
        <v>1.4</v>
      </c>
    </row>
    <row r="6" spans="1:15" ht="3.75" customHeight="1">
      <c r="A6" s="64"/>
      <c r="B6" s="64"/>
      <c r="C6" s="64"/>
      <c r="D6" s="64"/>
      <c r="E6" s="64"/>
      <c r="F6" s="64"/>
      <c r="G6" s="64"/>
      <c r="H6" s="64"/>
      <c r="I6" s="64"/>
      <c r="J6" s="64"/>
    </row>
    <row r="7" spans="1:15" ht="14.25" customHeight="1"/>
    <row r="8" spans="1:15" ht="14.25" customHeight="1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  <c r="J8" s="10" t="s">
        <v>23</v>
      </c>
      <c r="K8" s="11"/>
      <c r="L8" s="65"/>
      <c r="M8" s="66"/>
      <c r="N8" s="66"/>
      <c r="O8" s="66"/>
    </row>
    <row r="9" spans="1:15" ht="14.25" customHeight="1">
      <c r="A9" s="5" t="s">
        <v>24</v>
      </c>
      <c r="B9" s="5">
        <v>1</v>
      </c>
      <c r="C9" s="5" t="s">
        <v>25</v>
      </c>
      <c r="D9" s="5">
        <v>1</v>
      </c>
      <c r="E9" s="5">
        <v>11.1</v>
      </c>
      <c r="F9" s="5">
        <v>26</v>
      </c>
      <c r="G9" s="5">
        <f t="shared" ref="G9:G20" si="0">E9*F9</f>
        <v>288.60000000000002</v>
      </c>
      <c r="H9" s="12">
        <f t="shared" ref="H9:H20" si="1">G9/100</f>
        <v>2.8860000000000001</v>
      </c>
      <c r="I9" s="5">
        <v>1.1000000000000001</v>
      </c>
      <c r="J9" s="12">
        <f t="shared" ref="J9:J20" si="2">D9*H9*I9</f>
        <v>3.1745999999999999</v>
      </c>
      <c r="K9" s="13"/>
      <c r="L9" s="66"/>
      <c r="M9" s="67"/>
      <c r="N9" s="67"/>
      <c r="O9" s="66"/>
    </row>
    <row r="10" spans="1:15" ht="14.25" customHeight="1">
      <c r="A10" s="5"/>
      <c r="B10" s="5">
        <v>5</v>
      </c>
      <c r="C10" s="5" t="s">
        <v>26</v>
      </c>
      <c r="D10" s="5">
        <v>1</v>
      </c>
      <c r="E10" s="5">
        <v>1.8</v>
      </c>
      <c r="F10" s="5">
        <v>23</v>
      </c>
      <c r="G10" s="5">
        <f t="shared" si="0"/>
        <v>41.4</v>
      </c>
      <c r="H10" s="12">
        <f t="shared" si="1"/>
        <v>0.41399999999999998</v>
      </c>
      <c r="I10" s="5">
        <v>1.05</v>
      </c>
      <c r="J10" s="12">
        <f t="shared" si="2"/>
        <v>0.43469999999999998</v>
      </c>
      <c r="K10" s="13"/>
      <c r="L10" s="66"/>
      <c r="M10" s="67"/>
      <c r="N10" s="67"/>
      <c r="O10" s="66"/>
    </row>
    <row r="11" spans="1:15" ht="14.25" customHeight="1">
      <c r="A11" s="5"/>
      <c r="B11" s="5">
        <v>7</v>
      </c>
      <c r="C11" s="5" t="s">
        <v>27</v>
      </c>
      <c r="D11" s="5">
        <v>1</v>
      </c>
      <c r="E11" s="5">
        <v>9.1</v>
      </c>
      <c r="F11" s="5">
        <v>3.6</v>
      </c>
      <c r="G11" s="5">
        <f t="shared" si="0"/>
        <v>32.76</v>
      </c>
      <c r="H11" s="12">
        <f t="shared" si="1"/>
        <v>0.3276</v>
      </c>
      <c r="I11" s="5">
        <v>1.05</v>
      </c>
      <c r="J11" s="12">
        <f t="shared" si="2"/>
        <v>0.34398000000000001</v>
      </c>
      <c r="K11" s="13"/>
      <c r="L11" s="66"/>
      <c r="M11" s="67"/>
      <c r="N11" s="67"/>
      <c r="O11" s="66"/>
    </row>
    <row r="12" spans="1:15" ht="14.25" customHeight="1">
      <c r="A12" s="5"/>
      <c r="B12" s="5">
        <v>8</v>
      </c>
      <c r="C12" s="5" t="s">
        <v>28</v>
      </c>
      <c r="D12" s="5">
        <v>2</v>
      </c>
      <c r="E12" s="5">
        <v>2.7</v>
      </c>
      <c r="F12" s="5">
        <v>11</v>
      </c>
      <c r="G12" s="5">
        <f t="shared" si="0"/>
        <v>29.7</v>
      </c>
      <c r="H12" s="12">
        <f t="shared" si="1"/>
        <v>0.29699999999999999</v>
      </c>
      <c r="I12" s="5">
        <v>1.05</v>
      </c>
      <c r="J12" s="12">
        <f t="shared" si="2"/>
        <v>0.62370000000000003</v>
      </c>
      <c r="K12" s="13"/>
      <c r="L12" s="66"/>
      <c r="M12" s="67"/>
      <c r="N12" s="67"/>
      <c r="O12" s="66"/>
    </row>
    <row r="13" spans="1:15" ht="14.25" customHeight="1">
      <c r="A13" s="5"/>
      <c r="B13" s="5">
        <v>9</v>
      </c>
      <c r="C13" s="5" t="s">
        <v>29</v>
      </c>
      <c r="D13" s="5">
        <v>4</v>
      </c>
      <c r="E13" s="5">
        <v>2.7</v>
      </c>
      <c r="F13" s="5">
        <v>11</v>
      </c>
      <c r="G13" s="5">
        <f t="shared" si="0"/>
        <v>29.7</v>
      </c>
      <c r="H13" s="12">
        <f t="shared" si="1"/>
        <v>0.29699999999999999</v>
      </c>
      <c r="I13" s="5">
        <v>1.1000000000000001</v>
      </c>
      <c r="J13" s="12">
        <f t="shared" si="2"/>
        <v>1.3068</v>
      </c>
      <c r="K13" s="13"/>
      <c r="L13" s="66"/>
      <c r="M13" s="67"/>
      <c r="N13" s="67"/>
      <c r="O13" s="66"/>
    </row>
    <row r="14" spans="1:15" ht="14.25" customHeight="1">
      <c r="A14" s="5"/>
      <c r="B14" s="5">
        <v>10</v>
      </c>
      <c r="C14" s="5" t="s">
        <v>30</v>
      </c>
      <c r="D14" s="5">
        <v>2</v>
      </c>
      <c r="E14" s="5">
        <v>6.1</v>
      </c>
      <c r="F14" s="5">
        <v>11</v>
      </c>
      <c r="G14" s="5">
        <f t="shared" si="0"/>
        <v>67.099999999999994</v>
      </c>
      <c r="H14" s="12">
        <f t="shared" si="1"/>
        <v>0.67100000000000004</v>
      </c>
      <c r="I14" s="5">
        <v>1.05</v>
      </c>
      <c r="J14" s="12">
        <f t="shared" si="2"/>
        <v>1.4091</v>
      </c>
      <c r="K14" s="13"/>
      <c r="L14" s="66"/>
      <c r="M14" s="67"/>
      <c r="N14" s="67"/>
      <c r="O14" s="66"/>
    </row>
    <row r="15" spans="1:15" ht="14.25" customHeight="1">
      <c r="A15" s="5"/>
      <c r="B15" s="5"/>
      <c r="C15" s="5"/>
      <c r="D15" s="5"/>
      <c r="E15" s="5"/>
      <c r="F15" s="5"/>
      <c r="G15" s="5">
        <f t="shared" si="0"/>
        <v>0</v>
      </c>
      <c r="H15" s="12">
        <f t="shared" si="1"/>
        <v>0</v>
      </c>
      <c r="I15" s="5">
        <v>1.05</v>
      </c>
      <c r="J15" s="12">
        <f t="shared" si="2"/>
        <v>0</v>
      </c>
      <c r="K15" s="13"/>
      <c r="L15" s="66"/>
      <c r="M15" s="67"/>
      <c r="N15" s="67"/>
      <c r="O15" s="66"/>
    </row>
    <row r="16" spans="1:15" ht="14.25" customHeight="1">
      <c r="A16" s="5"/>
      <c r="B16" s="5"/>
      <c r="C16" s="5"/>
      <c r="D16" s="5"/>
      <c r="E16" s="5"/>
      <c r="F16" s="5"/>
      <c r="G16" s="5">
        <f t="shared" si="0"/>
        <v>0</v>
      </c>
      <c r="H16" s="12">
        <f t="shared" si="1"/>
        <v>0</v>
      </c>
      <c r="I16" s="5">
        <v>1.05</v>
      </c>
      <c r="J16" s="12">
        <f t="shared" si="2"/>
        <v>0</v>
      </c>
      <c r="K16" s="13"/>
      <c r="L16" s="66"/>
      <c r="M16" s="67"/>
      <c r="N16" s="67"/>
      <c r="O16" s="66"/>
    </row>
    <row r="17" spans="1:15" ht="14.25" customHeight="1">
      <c r="A17" s="5"/>
      <c r="B17" s="5"/>
      <c r="C17" s="5"/>
      <c r="D17" s="5"/>
      <c r="E17" s="5"/>
      <c r="F17" s="5"/>
      <c r="G17" s="5">
        <f t="shared" si="0"/>
        <v>0</v>
      </c>
      <c r="H17" s="12">
        <f t="shared" si="1"/>
        <v>0</v>
      </c>
      <c r="I17" s="5">
        <v>1.05</v>
      </c>
      <c r="J17" s="12">
        <f t="shared" si="2"/>
        <v>0</v>
      </c>
      <c r="K17" s="13"/>
      <c r="L17" s="66"/>
      <c r="M17" s="67"/>
      <c r="N17" s="67"/>
      <c r="O17" s="66"/>
    </row>
    <row r="18" spans="1:15" ht="14.25" customHeight="1">
      <c r="A18" s="5"/>
      <c r="B18" s="5"/>
      <c r="C18" s="5"/>
      <c r="D18" s="5"/>
      <c r="E18" s="5"/>
      <c r="F18" s="5"/>
      <c r="G18" s="5">
        <f t="shared" si="0"/>
        <v>0</v>
      </c>
      <c r="H18" s="12">
        <f t="shared" si="1"/>
        <v>0</v>
      </c>
      <c r="I18" s="5">
        <v>1.05</v>
      </c>
      <c r="J18" s="12">
        <f t="shared" si="2"/>
        <v>0</v>
      </c>
      <c r="K18" s="13"/>
      <c r="L18" s="66"/>
      <c r="M18" s="67"/>
      <c r="N18" s="67"/>
      <c r="O18" s="66"/>
    </row>
    <row r="19" spans="1:15" ht="14.25" customHeight="1">
      <c r="A19" s="5"/>
      <c r="B19" s="5"/>
      <c r="C19" s="5"/>
      <c r="D19" s="5"/>
      <c r="E19" s="5"/>
      <c r="F19" s="5"/>
      <c r="G19" s="5">
        <f t="shared" si="0"/>
        <v>0</v>
      </c>
      <c r="H19" s="12">
        <f t="shared" si="1"/>
        <v>0</v>
      </c>
      <c r="I19" s="5">
        <v>1.1000000000000001</v>
      </c>
      <c r="J19" s="14">
        <f t="shared" si="2"/>
        <v>0</v>
      </c>
      <c r="K19" s="13"/>
      <c r="L19" s="66"/>
      <c r="M19" s="67"/>
      <c r="N19" s="67"/>
      <c r="O19" s="66"/>
    </row>
    <row r="20" spans="1:15" ht="14.25" customHeight="1">
      <c r="A20" s="5"/>
      <c r="B20" s="5"/>
      <c r="C20" s="5"/>
      <c r="D20" s="5"/>
      <c r="E20" s="5"/>
      <c r="F20" s="5"/>
      <c r="G20" s="5">
        <f t="shared" si="0"/>
        <v>0</v>
      </c>
      <c r="H20" s="12">
        <f t="shared" si="1"/>
        <v>0</v>
      </c>
      <c r="I20" s="5">
        <v>1.05</v>
      </c>
      <c r="J20" s="14">
        <f t="shared" si="2"/>
        <v>0</v>
      </c>
      <c r="K20" s="13"/>
      <c r="L20" s="66"/>
      <c r="M20" s="67"/>
      <c r="N20" s="67"/>
      <c r="O20" s="66"/>
    </row>
    <row r="21" spans="1:15" ht="14.25" customHeight="1">
      <c r="B21" s="39" t="s">
        <v>31</v>
      </c>
      <c r="C21" s="54"/>
      <c r="D21" s="54"/>
      <c r="E21" s="54"/>
      <c r="F21" s="54"/>
      <c r="G21" s="54"/>
      <c r="H21" s="54"/>
      <c r="I21" s="68"/>
      <c r="J21" s="15">
        <f>SUM(J9:J20)</f>
        <v>7.2928800000000003</v>
      </c>
      <c r="L21" s="66"/>
      <c r="M21" s="66"/>
      <c r="N21" s="66"/>
      <c r="O21" s="66"/>
    </row>
    <row r="22" spans="1:15" ht="14.25" customHeight="1">
      <c r="A22" s="42" t="s">
        <v>32</v>
      </c>
      <c r="B22" s="67"/>
      <c r="C22" s="67"/>
      <c r="D22" s="53"/>
      <c r="E22" s="16">
        <f t="shared" ref="E22:F22" si="3">SUM(E9:E20)</f>
        <v>33.5</v>
      </c>
      <c r="F22" s="16">
        <f t="shared" si="3"/>
        <v>85.6</v>
      </c>
      <c r="G22" s="16">
        <f>E22+F22</f>
        <v>119.1</v>
      </c>
      <c r="H22" s="16">
        <f>G22*2</f>
        <v>238.2</v>
      </c>
      <c r="I22" s="13"/>
      <c r="J22" s="17"/>
      <c r="L22" s="69"/>
      <c r="M22" s="69"/>
      <c r="N22" s="69"/>
      <c r="O22" s="69"/>
    </row>
    <row r="23" spans="1:15" ht="14.25" customHeight="1"/>
    <row r="24" spans="1:15" ht="14.25" customHeight="1">
      <c r="A24" s="10" t="s">
        <v>14</v>
      </c>
      <c r="B24" s="10" t="s">
        <v>15</v>
      </c>
      <c r="C24" s="10" t="s">
        <v>16</v>
      </c>
      <c r="D24" s="10" t="s">
        <v>17</v>
      </c>
      <c r="E24" s="10" t="s">
        <v>18</v>
      </c>
      <c r="F24" s="10" t="s">
        <v>19</v>
      </c>
      <c r="G24" s="10" t="s">
        <v>33</v>
      </c>
      <c r="H24" s="10" t="s">
        <v>22</v>
      </c>
      <c r="I24" s="10" t="s">
        <v>23</v>
      </c>
      <c r="J24" s="13"/>
      <c r="K24" s="13"/>
    </row>
    <row r="25" spans="1:15" ht="14.25" customHeight="1">
      <c r="A25" s="5"/>
      <c r="B25" s="5"/>
      <c r="C25" s="5"/>
      <c r="D25" s="5"/>
      <c r="E25" s="5"/>
      <c r="F25" s="5">
        <v>21</v>
      </c>
      <c r="G25" s="5">
        <f t="shared" ref="G25:G26" si="4">E25*F25</f>
        <v>0</v>
      </c>
      <c r="H25" s="5">
        <v>1.1000000000000001</v>
      </c>
      <c r="I25" s="5">
        <f t="shared" ref="I25:I26" si="5">D25*G25*H25</f>
        <v>0</v>
      </c>
      <c r="J25" s="13"/>
      <c r="K25" s="13"/>
    </row>
    <row r="26" spans="1:15" ht="14.25" customHeight="1">
      <c r="A26" s="5"/>
      <c r="B26" s="5"/>
      <c r="C26" s="5"/>
      <c r="D26" s="5"/>
      <c r="E26" s="5"/>
      <c r="F26" s="5">
        <v>13</v>
      </c>
      <c r="G26" s="5">
        <f t="shared" si="4"/>
        <v>0</v>
      </c>
      <c r="H26" s="5">
        <v>1.1000000000000001</v>
      </c>
      <c r="I26" s="5">
        <f t="shared" si="5"/>
        <v>0</v>
      </c>
      <c r="J26" s="13"/>
      <c r="K26" s="13"/>
    </row>
    <row r="27" spans="1:15" ht="14.25" customHeight="1">
      <c r="A27" s="5"/>
      <c r="B27" s="39"/>
      <c r="C27" s="54"/>
      <c r="D27" s="54"/>
      <c r="E27" s="54"/>
      <c r="F27" s="54"/>
      <c r="G27" s="54"/>
      <c r="H27" s="54"/>
      <c r="I27" s="18">
        <f>SUM(I25:I26)</f>
        <v>0</v>
      </c>
      <c r="J27" s="13"/>
      <c r="K27" s="13"/>
    </row>
    <row r="28" spans="1:15" ht="14.25" customHeight="1"/>
    <row r="29" spans="1:15" ht="14.25" customHeight="1">
      <c r="A29" s="10" t="s">
        <v>14</v>
      </c>
      <c r="B29" s="10" t="s">
        <v>15</v>
      </c>
      <c r="C29" s="10" t="s">
        <v>16</v>
      </c>
      <c r="D29" s="10" t="s">
        <v>17</v>
      </c>
      <c r="E29" s="10" t="s">
        <v>18</v>
      </c>
      <c r="F29" s="10" t="s">
        <v>19</v>
      </c>
      <c r="G29" s="10" t="s">
        <v>33</v>
      </c>
      <c r="H29" s="10" t="s">
        <v>22</v>
      </c>
      <c r="I29" s="10" t="s">
        <v>23</v>
      </c>
      <c r="J29" s="13"/>
      <c r="K29" s="13"/>
    </row>
    <row r="30" spans="1:15" ht="14.25" customHeight="1">
      <c r="A30" s="5" t="s">
        <v>34</v>
      </c>
      <c r="B30" s="5">
        <v>2</v>
      </c>
      <c r="C30" s="5" t="s">
        <v>25</v>
      </c>
      <c r="D30" s="5">
        <v>1</v>
      </c>
      <c r="E30" s="5">
        <v>8.9</v>
      </c>
      <c r="F30" s="5">
        <v>23.8</v>
      </c>
      <c r="G30" s="5">
        <f t="shared" ref="G30:G36" si="6">E30*F30</f>
        <v>211.82</v>
      </c>
      <c r="H30" s="5">
        <v>1.1000000000000001</v>
      </c>
      <c r="I30" s="12">
        <f t="shared" ref="I30:I36" si="7">D30*G30*H30</f>
        <v>233.00200000000001</v>
      </c>
      <c r="J30" s="19">
        <v>10</v>
      </c>
      <c r="K30" s="13"/>
    </row>
    <row r="31" spans="1:15" ht="14.25" customHeight="1">
      <c r="A31" s="5"/>
      <c r="B31" s="5">
        <v>3</v>
      </c>
      <c r="C31" s="5" t="s">
        <v>35</v>
      </c>
      <c r="D31" s="5">
        <v>1</v>
      </c>
      <c r="E31" s="5">
        <v>8.9</v>
      </c>
      <c r="F31" s="5">
        <v>23.8</v>
      </c>
      <c r="G31" s="5">
        <f t="shared" si="6"/>
        <v>211.82</v>
      </c>
      <c r="H31" s="5">
        <v>1.1000000000000001</v>
      </c>
      <c r="I31" s="12">
        <f t="shared" si="7"/>
        <v>233.00200000000001</v>
      </c>
      <c r="J31" s="19">
        <v>10</v>
      </c>
      <c r="K31" s="13">
        <f t="shared" ref="K31:K38" si="8">I31*J31</f>
        <v>2330.02</v>
      </c>
      <c r="L31" s="20">
        <f t="shared" ref="L31:L38" si="9">K31/140</f>
        <v>16.643000000000001</v>
      </c>
    </row>
    <row r="32" spans="1:15" ht="14.25" customHeight="1">
      <c r="A32" s="5"/>
      <c r="B32" s="5">
        <v>6</v>
      </c>
      <c r="C32" s="5" t="s">
        <v>27</v>
      </c>
      <c r="D32" s="5">
        <v>1</v>
      </c>
      <c r="E32" s="5">
        <v>8.3000000000000007</v>
      </c>
      <c r="F32" s="5">
        <v>22.4</v>
      </c>
      <c r="G32" s="5">
        <f t="shared" si="6"/>
        <v>185.92</v>
      </c>
      <c r="H32" s="5">
        <v>1.1000000000000001</v>
      </c>
      <c r="I32" s="12">
        <f t="shared" si="7"/>
        <v>204.512</v>
      </c>
      <c r="J32" s="19">
        <v>10</v>
      </c>
      <c r="K32" s="13">
        <f t="shared" si="8"/>
        <v>2045.12</v>
      </c>
      <c r="L32" s="20">
        <f t="shared" si="9"/>
        <v>14.608000000000001</v>
      </c>
    </row>
    <row r="33" spans="1:12" ht="14.25" customHeight="1">
      <c r="A33" s="5"/>
      <c r="B33" s="5">
        <v>4</v>
      </c>
      <c r="C33" s="5" t="s">
        <v>36</v>
      </c>
      <c r="D33" s="5">
        <v>1</v>
      </c>
      <c r="E33" s="5">
        <v>8.6</v>
      </c>
      <c r="F33" s="5">
        <v>23</v>
      </c>
      <c r="G33" s="5">
        <f t="shared" si="6"/>
        <v>197.8</v>
      </c>
      <c r="H33" s="5">
        <v>1.1000000000000001</v>
      </c>
      <c r="I33" s="12">
        <f t="shared" si="7"/>
        <v>217.58</v>
      </c>
      <c r="J33" s="19">
        <v>10</v>
      </c>
      <c r="K33" s="13">
        <f t="shared" si="8"/>
        <v>2175.8000000000002</v>
      </c>
      <c r="L33" s="20">
        <f t="shared" si="9"/>
        <v>15.541428570000001</v>
      </c>
    </row>
    <row r="34" spans="1:12" ht="14.25" customHeight="1">
      <c r="A34" s="5"/>
      <c r="B34" s="5">
        <v>11</v>
      </c>
      <c r="C34" s="5" t="s">
        <v>29</v>
      </c>
      <c r="D34" s="5">
        <v>6</v>
      </c>
      <c r="E34" s="5">
        <v>10.199999999999999</v>
      </c>
      <c r="F34" s="5">
        <v>9.8000000000000007</v>
      </c>
      <c r="G34" s="5">
        <f t="shared" si="6"/>
        <v>99.96</v>
      </c>
      <c r="H34" s="5">
        <v>1.1000000000000001</v>
      </c>
      <c r="I34" s="12">
        <f t="shared" si="7"/>
        <v>659.73599999999999</v>
      </c>
      <c r="J34" s="19">
        <v>10</v>
      </c>
      <c r="K34" s="13">
        <f t="shared" si="8"/>
        <v>6597.36</v>
      </c>
      <c r="L34" s="20">
        <f t="shared" si="9"/>
        <v>47.124000000000002</v>
      </c>
    </row>
    <row r="35" spans="1:12" ht="14.25" customHeight="1">
      <c r="A35" s="5"/>
      <c r="B35" s="5">
        <v>12</v>
      </c>
      <c r="C35" s="5" t="s">
        <v>37</v>
      </c>
      <c r="D35" s="5">
        <v>2</v>
      </c>
      <c r="E35" s="5">
        <v>8.3000000000000007</v>
      </c>
      <c r="F35" s="5">
        <v>10.199999999999999</v>
      </c>
      <c r="G35" s="5">
        <f t="shared" si="6"/>
        <v>84.66</v>
      </c>
      <c r="H35" s="5">
        <v>1.1000000000000001</v>
      </c>
      <c r="I35" s="12">
        <f t="shared" si="7"/>
        <v>186.25200000000001</v>
      </c>
      <c r="J35" s="19">
        <v>10</v>
      </c>
      <c r="K35" s="13">
        <f t="shared" si="8"/>
        <v>1862.52</v>
      </c>
      <c r="L35" s="20">
        <f t="shared" si="9"/>
        <v>13.30371429</v>
      </c>
    </row>
    <row r="36" spans="1:12" ht="14.25" customHeight="1">
      <c r="A36" s="5"/>
      <c r="B36" s="5"/>
      <c r="C36" s="5"/>
      <c r="D36" s="5"/>
      <c r="E36" s="5"/>
      <c r="F36" s="5"/>
      <c r="G36" s="5">
        <f t="shared" si="6"/>
        <v>0</v>
      </c>
      <c r="H36" s="5">
        <v>1.1000000000000001</v>
      </c>
      <c r="I36" s="12">
        <f t="shared" si="7"/>
        <v>0</v>
      </c>
      <c r="J36" s="19">
        <v>10</v>
      </c>
      <c r="K36" s="13">
        <f t="shared" si="8"/>
        <v>0</v>
      </c>
      <c r="L36" s="20">
        <f t="shared" si="9"/>
        <v>0</v>
      </c>
    </row>
    <row r="37" spans="1:12" ht="14.25" customHeight="1">
      <c r="A37" s="5"/>
      <c r="B37" s="5"/>
      <c r="C37" s="5"/>
      <c r="D37" s="5"/>
      <c r="E37" s="5"/>
      <c r="F37" s="5"/>
      <c r="G37" s="5"/>
      <c r="H37" s="5"/>
      <c r="I37" s="21"/>
      <c r="J37" s="19">
        <v>10</v>
      </c>
      <c r="K37" s="13">
        <f t="shared" si="8"/>
        <v>0</v>
      </c>
      <c r="L37" s="20">
        <f t="shared" si="9"/>
        <v>0</v>
      </c>
    </row>
    <row r="38" spans="1:12" ht="14.25" customHeight="1">
      <c r="A38" s="5"/>
      <c r="B38" s="39" t="s">
        <v>38</v>
      </c>
      <c r="C38" s="54"/>
      <c r="D38" s="54"/>
      <c r="E38" s="54"/>
      <c r="F38" s="54"/>
      <c r="G38" s="54"/>
      <c r="H38" s="54"/>
      <c r="I38" s="15">
        <f>SUM(I30:I37)</f>
        <v>1734.0840000000001</v>
      </c>
      <c r="J38" s="19">
        <v>10</v>
      </c>
      <c r="K38" s="13">
        <f t="shared" si="8"/>
        <v>17340.84</v>
      </c>
      <c r="L38" s="20">
        <f t="shared" si="9"/>
        <v>123.8631429</v>
      </c>
    </row>
    <row r="39" spans="1:12" ht="14.25" customHeight="1"/>
    <row r="40" spans="1:12" ht="14.25" customHeight="1">
      <c r="A40" s="10" t="s">
        <v>14</v>
      </c>
      <c r="B40" s="10" t="s">
        <v>15</v>
      </c>
      <c r="C40" s="10" t="s">
        <v>16</v>
      </c>
      <c r="D40" s="10" t="s">
        <v>17</v>
      </c>
      <c r="E40" s="10" t="s">
        <v>18</v>
      </c>
      <c r="F40" s="10" t="s">
        <v>19</v>
      </c>
      <c r="G40" s="10" t="s">
        <v>33</v>
      </c>
      <c r="H40" s="10" t="s">
        <v>22</v>
      </c>
      <c r="I40" s="10" t="s">
        <v>23</v>
      </c>
    </row>
    <row r="41" spans="1:12" ht="14.25" customHeight="1">
      <c r="A41" s="5" t="s">
        <v>39</v>
      </c>
      <c r="B41" s="5"/>
      <c r="C41" s="5"/>
      <c r="D41" s="5">
        <v>1</v>
      </c>
      <c r="E41" s="5">
        <v>28</v>
      </c>
      <c r="F41" s="5">
        <v>13</v>
      </c>
      <c r="G41" s="5">
        <f t="shared" ref="G41:G42" si="10">E41*F41</f>
        <v>364</v>
      </c>
      <c r="H41" s="5">
        <v>1.1000000000000001</v>
      </c>
      <c r="I41" s="5">
        <f t="shared" ref="I41:I42" si="11">D41*G41*H41</f>
        <v>400.4</v>
      </c>
    </row>
    <row r="42" spans="1:12" ht="14.25" customHeight="1">
      <c r="A42" s="5"/>
      <c r="B42" s="5"/>
      <c r="C42" s="5"/>
      <c r="D42" s="5"/>
      <c r="E42" s="5"/>
      <c r="F42" s="5"/>
      <c r="G42" s="5">
        <f t="shared" si="10"/>
        <v>0</v>
      </c>
      <c r="H42" s="5">
        <v>1.1000000000000001</v>
      </c>
      <c r="I42" s="5">
        <f t="shared" si="11"/>
        <v>0</v>
      </c>
    </row>
    <row r="43" spans="1:12" ht="14.25" customHeight="1">
      <c r="A43" s="5"/>
      <c r="B43" s="39"/>
      <c r="C43" s="54"/>
      <c r="D43" s="54"/>
      <c r="E43" s="54"/>
      <c r="F43" s="54"/>
      <c r="G43" s="54"/>
      <c r="H43" s="54"/>
      <c r="I43" s="18">
        <f>SUM(I41:I42)</f>
        <v>400.4</v>
      </c>
    </row>
    <row r="44" spans="1:12" ht="14.25" customHeight="1"/>
    <row r="45" spans="1:12" ht="14.25" customHeight="1"/>
    <row r="46" spans="1:12" ht="14.25" customHeight="1"/>
    <row r="47" spans="1:12" ht="14.25" customHeight="1"/>
    <row r="48" spans="1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B43:H43"/>
    <mergeCell ref="F4:H4"/>
    <mergeCell ref="C5:E5"/>
    <mergeCell ref="F5:H5"/>
    <mergeCell ref="L8:O21"/>
    <mergeCell ref="B21:I21"/>
    <mergeCell ref="A22:D22"/>
    <mergeCell ref="B27:H27"/>
    <mergeCell ref="I1:J5"/>
    <mergeCell ref="C2:E2"/>
    <mergeCell ref="F2:H2"/>
    <mergeCell ref="F3:H3"/>
    <mergeCell ref="B38:H38"/>
    <mergeCell ref="C3:E3"/>
    <mergeCell ref="C4:E4"/>
    <mergeCell ref="A1:B5"/>
    <mergeCell ref="C1:E1"/>
    <mergeCell ref="F1:H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/>
  <cols>
    <col min="1" max="1" width="14.7109375" customWidth="1"/>
    <col min="2" max="7" width="10.7109375" customWidth="1"/>
    <col min="8" max="8" width="13.28515625" customWidth="1"/>
    <col min="9" max="26" width="10.7109375" customWidth="1"/>
  </cols>
  <sheetData>
    <row r="1" spans="1:10" ht="14.25" customHeight="1">
      <c r="A1" s="33"/>
      <c r="B1" s="48"/>
      <c r="C1" s="34" t="s">
        <v>0</v>
      </c>
      <c r="D1" s="49"/>
      <c r="E1" s="50"/>
      <c r="F1" s="37">
        <f>Hoja1!F1</f>
        <v>6</v>
      </c>
      <c r="G1" s="54"/>
      <c r="H1" s="55"/>
      <c r="I1" s="36" t="s">
        <v>1</v>
      </c>
      <c r="J1" s="51"/>
    </row>
    <row r="2" spans="1:10" ht="14.25" customHeight="1">
      <c r="A2" s="52"/>
      <c r="B2" s="53"/>
      <c r="C2" s="32" t="s">
        <v>3</v>
      </c>
      <c r="D2" s="54"/>
      <c r="E2" s="55"/>
      <c r="F2" s="37" t="str">
        <f>Hoja1!F2</f>
        <v>BILLETERA MASCULINA</v>
      </c>
      <c r="G2" s="54"/>
      <c r="H2" s="55"/>
      <c r="I2" s="56"/>
      <c r="J2" s="57"/>
    </row>
    <row r="3" spans="1:10" ht="14.25" customHeight="1">
      <c r="A3" s="52"/>
      <c r="B3" s="53"/>
      <c r="C3" s="32" t="s">
        <v>6</v>
      </c>
      <c r="D3" s="54"/>
      <c r="E3" s="55"/>
      <c r="F3" s="43">
        <f>Hoja1!F3</f>
        <v>44951</v>
      </c>
      <c r="G3" s="54"/>
      <c r="H3" s="55"/>
      <c r="I3" s="56"/>
      <c r="J3" s="57"/>
    </row>
    <row r="4" spans="1:10" ht="14.25" customHeight="1">
      <c r="A4" s="52"/>
      <c r="B4" s="53"/>
      <c r="C4" s="32" t="s">
        <v>8</v>
      </c>
      <c r="D4" s="54"/>
      <c r="E4" s="55"/>
      <c r="F4" s="37" t="str">
        <f>Hoja1!F4</f>
        <v>SENA</v>
      </c>
      <c r="G4" s="54"/>
      <c r="H4" s="55"/>
      <c r="I4" s="56"/>
      <c r="J4" s="57"/>
    </row>
    <row r="5" spans="1:10" ht="15" customHeight="1">
      <c r="A5" s="58"/>
      <c r="B5" s="59"/>
      <c r="C5" s="40" t="s">
        <v>11</v>
      </c>
      <c r="D5" s="60"/>
      <c r="E5" s="61"/>
      <c r="F5" s="41" t="str">
        <f>Hoja1!F5</f>
        <v>celda de Producción</v>
      </c>
      <c r="G5" s="60"/>
      <c r="H5" s="61"/>
      <c r="I5" s="62"/>
      <c r="J5" s="63"/>
    </row>
    <row r="6" spans="1:10" ht="6" customHeight="1">
      <c r="A6" s="64"/>
      <c r="B6" s="64"/>
      <c r="C6" s="64"/>
      <c r="D6" s="64"/>
      <c r="E6" s="64"/>
      <c r="F6" s="64"/>
      <c r="G6" s="64"/>
      <c r="H6" s="64"/>
      <c r="I6" s="64"/>
      <c r="J6" s="64"/>
    </row>
    <row r="7" spans="1:10" ht="14.25" customHeight="1"/>
    <row r="8" spans="1:10" ht="14.25" customHeight="1">
      <c r="A8" s="22" t="s">
        <v>40</v>
      </c>
      <c r="B8" s="22" t="s">
        <v>41</v>
      </c>
      <c r="C8" s="22" t="s">
        <v>42</v>
      </c>
      <c r="D8" s="22" t="s">
        <v>43</v>
      </c>
      <c r="E8" s="22" t="s">
        <v>44</v>
      </c>
      <c r="F8" s="23"/>
      <c r="H8" s="22" t="s">
        <v>14</v>
      </c>
      <c r="I8" s="22" t="s">
        <v>45</v>
      </c>
      <c r="J8" s="22" t="s">
        <v>46</v>
      </c>
    </row>
    <row r="9" spans="1:10" ht="14.25" customHeight="1">
      <c r="A9" s="5" t="str">
        <f>Hoja1!A9</f>
        <v>cuero</v>
      </c>
      <c r="B9" s="5" t="s">
        <v>21</v>
      </c>
      <c r="C9" s="12">
        <f>Hoja1!J21</f>
        <v>7.2928800000000003</v>
      </c>
      <c r="D9" s="5">
        <f>J9</f>
        <v>0</v>
      </c>
      <c r="E9" s="24">
        <f t="shared" ref="E9:E21" si="0">C9*D9</f>
        <v>0</v>
      </c>
      <c r="H9" s="25" t="str">
        <f t="shared" ref="H9:I9" si="1">A9</f>
        <v>cuero</v>
      </c>
      <c r="I9" s="25" t="str">
        <f t="shared" si="1"/>
        <v>dm_2</v>
      </c>
      <c r="J9" s="25">
        <v>0</v>
      </c>
    </row>
    <row r="10" spans="1:10" ht="14.25" customHeight="1">
      <c r="A10" s="5" t="str">
        <f>Hoja1!A25</f>
        <v/>
      </c>
      <c r="B10" s="5" t="s">
        <v>47</v>
      </c>
      <c r="C10" s="12">
        <f>Hoja1!I27/140</f>
        <v>0</v>
      </c>
      <c r="D10" s="5">
        <f t="shared" ref="D10:D13" si="2">J10/100</f>
        <v>0</v>
      </c>
      <c r="E10" s="24">
        <f t="shared" si="0"/>
        <v>0</v>
      </c>
      <c r="H10" s="25" t="str">
        <f t="shared" ref="H10:H21" si="3">A10</f>
        <v/>
      </c>
      <c r="I10" s="25">
        <v>0</v>
      </c>
      <c r="J10" s="25">
        <v>0</v>
      </c>
    </row>
    <row r="11" spans="1:10" ht="14.25" customHeight="1">
      <c r="A11" s="5" t="str">
        <f>Hoja1!A30</f>
        <v>FORRO</v>
      </c>
      <c r="B11" s="5" t="s">
        <v>47</v>
      </c>
      <c r="C11" s="12">
        <f>Hoja1!I38/70</f>
        <v>24.772628569999998</v>
      </c>
      <c r="D11" s="5">
        <f t="shared" si="2"/>
        <v>0</v>
      </c>
      <c r="E11" s="24">
        <f t="shared" si="0"/>
        <v>0</v>
      </c>
      <c r="H11" s="25" t="str">
        <f t="shared" si="3"/>
        <v>FORRO</v>
      </c>
      <c r="I11" s="25" t="s">
        <v>48</v>
      </c>
      <c r="J11" s="25">
        <v>0</v>
      </c>
    </row>
    <row r="12" spans="1:10" ht="14.25" customHeight="1">
      <c r="A12" s="5" t="str">
        <f>Hoja1!A41</f>
        <v>cambre</v>
      </c>
      <c r="B12" s="5" t="s">
        <v>47</v>
      </c>
      <c r="C12" s="12">
        <f>Hoja1!I43/140</f>
        <v>2.86</v>
      </c>
      <c r="D12" s="5">
        <f t="shared" si="2"/>
        <v>0</v>
      </c>
      <c r="E12" s="24">
        <f t="shared" si="0"/>
        <v>0</v>
      </c>
      <c r="H12" s="25" t="str">
        <f t="shared" si="3"/>
        <v>cambre</v>
      </c>
      <c r="I12" s="25" t="s">
        <v>48</v>
      </c>
      <c r="J12" s="25">
        <v>0</v>
      </c>
    </row>
    <row r="13" spans="1:10" ht="14.25" customHeight="1">
      <c r="A13" s="5"/>
      <c r="B13" s="5">
        <v>0</v>
      </c>
      <c r="C13" s="5"/>
      <c r="D13" s="5">
        <f t="shared" si="2"/>
        <v>0</v>
      </c>
      <c r="E13" s="24">
        <f t="shared" si="0"/>
        <v>0</v>
      </c>
      <c r="H13" s="25" t="str">
        <f t="shared" si="3"/>
        <v/>
      </c>
      <c r="I13" s="25">
        <v>0</v>
      </c>
      <c r="J13" s="25">
        <v>0</v>
      </c>
    </row>
    <row r="14" spans="1:10" ht="14.25" customHeight="1">
      <c r="A14" s="5"/>
      <c r="B14" s="5">
        <v>0</v>
      </c>
      <c r="C14" s="5"/>
      <c r="D14" s="5">
        <f t="shared" ref="D14:D16" si="4">J14</f>
        <v>0</v>
      </c>
      <c r="E14" s="24">
        <f t="shared" si="0"/>
        <v>0</v>
      </c>
      <c r="H14" s="25" t="str">
        <f t="shared" si="3"/>
        <v/>
      </c>
      <c r="I14" s="25">
        <v>0</v>
      </c>
      <c r="J14" s="25">
        <v>0</v>
      </c>
    </row>
    <row r="15" spans="1:10" ht="14.25" customHeight="1">
      <c r="A15" s="5"/>
      <c r="B15" s="5">
        <v>0</v>
      </c>
      <c r="C15" s="5"/>
      <c r="D15" s="5">
        <f t="shared" si="4"/>
        <v>0</v>
      </c>
      <c r="E15" s="24">
        <f t="shared" si="0"/>
        <v>0</v>
      </c>
      <c r="H15" s="25" t="str">
        <f t="shared" si="3"/>
        <v/>
      </c>
      <c r="I15" s="25">
        <v>0</v>
      </c>
      <c r="J15" s="25">
        <v>0</v>
      </c>
    </row>
    <row r="16" spans="1:10" ht="14.25" customHeight="1">
      <c r="A16" s="5"/>
      <c r="B16" s="5">
        <v>0</v>
      </c>
      <c r="C16" s="5"/>
      <c r="D16" s="5">
        <f t="shared" si="4"/>
        <v>0</v>
      </c>
      <c r="E16" s="24">
        <f t="shared" si="0"/>
        <v>0</v>
      </c>
      <c r="H16" s="25" t="str">
        <f t="shared" si="3"/>
        <v/>
      </c>
      <c r="I16" s="25">
        <v>0</v>
      </c>
      <c r="J16" s="25">
        <v>0</v>
      </c>
    </row>
    <row r="17" spans="1:10" ht="14.25" customHeight="1">
      <c r="A17" s="5"/>
      <c r="B17" s="5">
        <v>0</v>
      </c>
      <c r="C17" s="5"/>
      <c r="D17" s="5">
        <f>J17/100</f>
        <v>0</v>
      </c>
      <c r="E17" s="24">
        <f t="shared" si="0"/>
        <v>0</v>
      </c>
      <c r="H17" s="25" t="str">
        <f t="shared" si="3"/>
        <v/>
      </c>
      <c r="I17" s="25">
        <v>0</v>
      </c>
      <c r="J17" s="25">
        <v>0</v>
      </c>
    </row>
    <row r="18" spans="1:10" ht="14.25" customHeight="1">
      <c r="A18" s="5" t="s">
        <v>49</v>
      </c>
      <c r="B18" s="5" t="s">
        <v>50</v>
      </c>
      <c r="C18" s="12">
        <f>(Hoja1!H22/100)*3</f>
        <v>7.1459999999999999</v>
      </c>
      <c r="D18" s="12">
        <f t="shared" ref="D18:D19" si="5">J18/3000</f>
        <v>0</v>
      </c>
      <c r="E18" s="24">
        <f t="shared" si="0"/>
        <v>0</v>
      </c>
      <c r="H18" s="25" t="str">
        <f t="shared" si="3"/>
        <v>hilo x 3000</v>
      </c>
      <c r="I18" s="25" t="s">
        <v>51</v>
      </c>
      <c r="J18" s="25">
        <v>0</v>
      </c>
    </row>
    <row r="19" spans="1:10" ht="14.25" customHeight="1">
      <c r="A19" s="5" t="s">
        <v>52</v>
      </c>
      <c r="B19" s="5" t="s">
        <v>53</v>
      </c>
      <c r="C19" s="5">
        <v>30</v>
      </c>
      <c r="D19" s="5">
        <f t="shared" si="5"/>
        <v>0</v>
      </c>
      <c r="E19" s="24">
        <f t="shared" si="0"/>
        <v>0</v>
      </c>
      <c r="H19" s="25" t="str">
        <f t="shared" si="3"/>
        <v>pegante x 3000</v>
      </c>
      <c r="I19" s="25" t="s">
        <v>54</v>
      </c>
      <c r="J19" s="25">
        <v>0</v>
      </c>
    </row>
    <row r="20" spans="1:10" ht="14.25" customHeight="1">
      <c r="A20" s="5" t="s">
        <v>55</v>
      </c>
      <c r="B20" s="5"/>
      <c r="C20" s="5">
        <v>1</v>
      </c>
      <c r="D20" s="5">
        <f>J20</f>
        <v>0</v>
      </c>
      <c r="E20" s="24">
        <f t="shared" si="0"/>
        <v>0</v>
      </c>
      <c r="H20" s="25" t="str">
        <f t="shared" si="3"/>
        <v>mano de obra</v>
      </c>
      <c r="I20" s="25" t="s">
        <v>56</v>
      </c>
      <c r="J20" s="25">
        <v>0</v>
      </c>
    </row>
    <row r="21" spans="1:10" ht="14.25" customHeight="1">
      <c r="A21" s="5" t="s">
        <v>57</v>
      </c>
      <c r="B21" s="5"/>
      <c r="C21" s="12"/>
      <c r="D21" s="5">
        <f>J21/100</f>
        <v>0</v>
      </c>
      <c r="E21" s="24">
        <f t="shared" si="0"/>
        <v>0</v>
      </c>
      <c r="H21" s="25" t="str">
        <f t="shared" si="3"/>
        <v>empaque</v>
      </c>
      <c r="I21" s="25" t="s">
        <v>48</v>
      </c>
      <c r="J21" s="25">
        <v>0</v>
      </c>
    </row>
    <row r="22" spans="1:10" ht="14.25" customHeight="1">
      <c r="A22" s="45" t="s">
        <v>58</v>
      </c>
      <c r="B22" s="54"/>
      <c r="C22" s="54"/>
      <c r="D22" s="55"/>
      <c r="E22" s="26">
        <f>SUM(E9:E21)</f>
        <v>0</v>
      </c>
    </row>
    <row r="23" spans="1:10" ht="14.25" customHeight="1">
      <c r="A23" s="39" t="s">
        <v>59</v>
      </c>
      <c r="B23" s="55"/>
      <c r="C23" s="27">
        <v>0</v>
      </c>
      <c r="D23" s="5"/>
      <c r="E23" s="24">
        <f>E22*C23</f>
        <v>0</v>
      </c>
    </row>
    <row r="24" spans="1:10" ht="14.25" customHeight="1">
      <c r="A24" s="39" t="s">
        <v>60</v>
      </c>
      <c r="B24" s="55"/>
      <c r="C24" s="27">
        <v>0</v>
      </c>
      <c r="D24" s="5"/>
      <c r="E24" s="24">
        <f>E22*C24</f>
        <v>0</v>
      </c>
      <c r="G24" s="46" t="s">
        <v>61</v>
      </c>
      <c r="H24" s="47" t="s">
        <v>62</v>
      </c>
      <c r="I24" s="70"/>
      <c r="J24" s="71"/>
    </row>
    <row r="25" spans="1:10" ht="14.25" customHeight="1">
      <c r="A25" s="39" t="s">
        <v>63</v>
      </c>
      <c r="B25" s="55"/>
      <c r="C25" s="27">
        <v>0</v>
      </c>
      <c r="D25" s="5"/>
      <c r="E25" s="24">
        <f>E22*C25</f>
        <v>0</v>
      </c>
      <c r="G25" s="72"/>
      <c r="H25" s="56"/>
      <c r="I25" s="67"/>
      <c r="J25" s="53"/>
    </row>
    <row r="26" spans="1:10" ht="14.25" customHeight="1">
      <c r="A26" s="39" t="s">
        <v>64</v>
      </c>
      <c r="B26" s="54"/>
      <c r="C26" s="54"/>
      <c r="D26" s="55"/>
      <c r="E26" s="28">
        <f>SUM(E22:E25)</f>
        <v>0</v>
      </c>
      <c r="G26" s="73"/>
      <c r="H26" s="74"/>
      <c r="I26" s="75"/>
      <c r="J26" s="76"/>
    </row>
    <row r="27" spans="1:10" ht="14.25" customHeight="1"/>
    <row r="28" spans="1:10" ht="14.25" customHeight="1"/>
    <row r="29" spans="1:10" ht="14.25" customHeight="1">
      <c r="A29" s="29" t="s">
        <v>65</v>
      </c>
      <c r="B29" s="30" t="s">
        <v>66</v>
      </c>
    </row>
    <row r="30" spans="1:10" ht="14.25" customHeight="1">
      <c r="A30" s="29" t="s">
        <v>67</v>
      </c>
      <c r="B30" s="30" t="s">
        <v>68</v>
      </c>
    </row>
    <row r="31" spans="1:10" ht="28.5" customHeight="1">
      <c r="A31" s="29" t="s">
        <v>69</v>
      </c>
      <c r="B31" s="30">
        <v>90</v>
      </c>
    </row>
    <row r="32" spans="1:10" ht="14.25" customHeight="1">
      <c r="A32" s="29" t="s">
        <v>70</v>
      </c>
      <c r="B32" s="30">
        <v>60</v>
      </c>
    </row>
    <row r="33" spans="1:5" ht="14.25" customHeight="1">
      <c r="A33" s="29" t="s">
        <v>71</v>
      </c>
      <c r="B33" s="30" t="s">
        <v>72</v>
      </c>
    </row>
    <row r="34" spans="1:5" ht="14.25" customHeight="1">
      <c r="A34" s="5" t="s">
        <v>73</v>
      </c>
      <c r="B34" s="31" t="s">
        <v>74</v>
      </c>
      <c r="C34" s="44" t="s">
        <v>75</v>
      </c>
      <c r="D34" s="70"/>
      <c r="E34" s="71"/>
    </row>
    <row r="35" spans="1:5" ht="14.25" customHeight="1">
      <c r="A35" s="5" t="s">
        <v>76</v>
      </c>
      <c r="B35" s="31" t="s">
        <v>77</v>
      </c>
      <c r="C35" s="56"/>
      <c r="D35" s="67"/>
      <c r="E35" s="53"/>
    </row>
    <row r="36" spans="1:5" ht="14.25" customHeight="1">
      <c r="A36" s="5" t="s">
        <v>78</v>
      </c>
      <c r="B36" s="31" t="s">
        <v>79</v>
      </c>
      <c r="C36" s="56"/>
      <c r="D36" s="67"/>
      <c r="E36" s="53"/>
    </row>
    <row r="37" spans="1:5" ht="14.25" customHeight="1">
      <c r="A37" s="5" t="s">
        <v>80</v>
      </c>
      <c r="B37" s="31" t="s">
        <v>81</v>
      </c>
      <c r="C37" s="74"/>
      <c r="D37" s="75"/>
      <c r="E37" s="76"/>
    </row>
    <row r="38" spans="1:5" ht="14.25" customHeight="1"/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/>
    <row r="44" spans="1:5" ht="14.25" customHeight="1"/>
    <row r="45" spans="1:5" ht="14.25" customHeight="1"/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26:D26"/>
    <mergeCell ref="C34:E37"/>
    <mergeCell ref="C3:E3"/>
    <mergeCell ref="C4:E4"/>
    <mergeCell ref="A22:D22"/>
    <mergeCell ref="A23:B23"/>
    <mergeCell ref="A24:B24"/>
    <mergeCell ref="I1:J5"/>
    <mergeCell ref="C2:E2"/>
    <mergeCell ref="F2:H2"/>
    <mergeCell ref="F3:H3"/>
    <mergeCell ref="A25:B25"/>
    <mergeCell ref="G24:G26"/>
    <mergeCell ref="H24:J26"/>
    <mergeCell ref="F4:H4"/>
    <mergeCell ref="C5:E5"/>
    <mergeCell ref="F5:H5"/>
    <mergeCell ref="A1:B5"/>
    <mergeCell ref="C1:E1"/>
    <mergeCell ref="F1:H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Mauricio Alejandro Rivera Restrepo</cp:lastModifiedBy>
  <cp:revision/>
  <dcterms:created xsi:type="dcterms:W3CDTF">2022-08-19T12:15:56Z</dcterms:created>
  <dcterms:modified xsi:type="dcterms:W3CDTF">2023-03-29T13:44:12Z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