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JUNIO/lonchera/"/>
    </mc:Choice>
  </mc:AlternateContent>
  <xr:revisionPtr revIDLastSave="9" documentId="8_{7C5444BE-BAC6-40FD-BCF0-DD4A2BF0FC3E}" xr6:coauthVersionLast="47" xr6:coauthVersionMax="47" xr10:uidLastSave="{F1F30C01-AAB8-423F-9EC9-D3DF23125AD7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<sst xmlns="http://schemas.openxmlformats.org/spreadsheetml/2006/main" count="5066" uniqueCount="1394">
  <si>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</si>
  <si>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</si>
  <si>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</si>
  <si>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</si>
  <si>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</si>
  <si>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</si>
  <si>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</si>
  <si>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</si>
  <si>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</si>
  <si>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PRODUCCION MARROQUINERIA</t>
  </si>
  <si>
    <t>FICHA(#)</t>
  </si>
  <si>
    <t>celda de pcc</t>
  </si>
  <si>
    <t>NOMBRE DEL PRODUCTO</t>
  </si>
  <si>
    <t>lonchera 001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</si>
  <si>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</si>
  <si>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</si>
  <si>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</si>
  <si>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</si>
  <si>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</si>
  <si>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</si>
  <si>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</si>
  <si>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</si>
  <si>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</si>
  <si>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</si>
  <si>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</si>
  <si>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</si>
  <si>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</si>
  <si>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</si>
  <si>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</si>
  <si>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SEDA 30-100 O SEDA TIFON</t>
  </si>
  <si>
    <t>SECUNDARIO_MEDULAR</t>
  </si>
  <si>
    <t>YUMBOLON 4mm (CM²)</t>
  </si>
  <si>
    <t>CREMALLERA POLIÉSTER #6</t>
  </si>
  <si>
    <t>HERRAJES</t>
  </si>
  <si>
    <t xml:space="preserve">LLAVE METÁLICA DESLIZADOR   #6 PARA CREMALLERA - NÍQUEL </t>
  </si>
  <si>
    <t xml:space="preserve">TENSOR O TRABILLA PLÁSTICA 32 MM 1 1/4" </t>
  </si>
  <si>
    <t>CUADRANTE 32 MM PLÁSTICO</t>
  </si>
  <si>
    <t>REATA SINTETICA 1 1/4</t>
  </si>
  <si>
    <t>EMBONO PLASTICO GRIS DELGADO</t>
  </si>
  <si>
    <t>CINTA FALLA _RIBETE 24 mm  CON APRESTO #5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</si>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</sst>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314741</xdr:colOff>
      <xdr:row>0</xdr:row>
      <xdr:rowOff>182218</xdr:rowOff>
    </xdr:from>
    <xdr:to>
      <xdr:col>24</xdr:col>
      <xdr:colOff>91109</xdr:colOff>
      <xdr:row>6</xdr:row>
      <xdr:rowOff>159511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6CBEC09-7FF9-A056-2AC7-1F3E1338E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8784" y="182218"/>
          <a:ext cx="1896716" cy="17497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16</xdr:col>
      <xdr:colOff>409575</xdr:colOff>
      <xdr:row>9</xdr:row>
      <xdr:rowOff>95250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91AF796-3C3D-4DBF-BD63-44AABD78FA78}"/>
            </a:ext>
            <a:ext uri="{147F2762-F138-4A5C-976F-8EAC2B608ADB}">
              <a16:predDERef xmlns:a16="http://schemas.microsoft.com/office/drawing/2014/main" pred="{3EF36A56-E380-48B1-AF6D-8B9F35218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0" y="0"/>
          <a:ext cx="1390650" cy="1619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20" activePane="bottomLeft" state="frozen"/>
      <selection pane="bottomLeft" activeCell="Q20" sqref="Q20:R2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MG0706-1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45084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43498846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 t="s">
        <v>11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12</v>
      </c>
      <c r="B4" s="344"/>
      <c r="C4" s="344"/>
      <c r="D4" s="338" t="s">
        <v>13</v>
      </c>
      <c r="E4" s="339"/>
      <c r="F4" s="339"/>
      <c r="G4" s="339"/>
      <c r="H4" s="339"/>
      <c r="I4" s="339"/>
      <c r="J4" s="339"/>
      <c r="K4" s="339"/>
      <c r="L4" s="340" t="s">
        <v>14</v>
      </c>
      <c r="M4" s="340"/>
      <c r="N4" s="340"/>
      <c r="O4" s="341" t="s">
        <v>15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16</v>
      </c>
      <c r="B5" s="365"/>
      <c r="C5" s="365"/>
      <c r="D5" s="366">
        <f ca="1">IF(K5="","",(SUM(W10:Y28)-(SUMIF(U10:V28,"Restar_Pedido",W10:Y28)))/$K$5)</f>
        <v>14050.761071428571</v>
      </c>
      <c r="E5" s="367"/>
      <c r="F5" s="368"/>
      <c r="G5" s="351" t="s">
        <v>17</v>
      </c>
      <c r="H5" s="369"/>
      <c r="I5" s="369"/>
      <c r="J5" s="352"/>
      <c r="K5" s="325">
        <v>16</v>
      </c>
      <c r="L5" s="325"/>
      <c r="M5" s="326" t="s">
        <v>18</v>
      </c>
      <c r="N5" s="326"/>
      <c r="O5" s="379">
        <f ca="1">IFERROR(IF(K5=0,"",D5*K5),"")</f>
        <v>224812.17714285714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19</v>
      </c>
      <c r="B7" s="356"/>
      <c r="C7" s="356"/>
      <c r="D7" s="357" t="s">
        <v>20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21</v>
      </c>
      <c r="P7" s="358"/>
      <c r="Q7" s="359" t="s">
        <v>22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23</v>
      </c>
      <c r="T8" s="371"/>
      <c r="U8" s="371"/>
      <c r="V8" s="372">
        <f>IF(K5="","",1/K5)</f>
        <v>6.25E-2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24</v>
      </c>
      <c r="T9" s="370"/>
      <c r="U9" s="358" t="s">
        <v>25</v>
      </c>
      <c r="V9" s="358"/>
      <c r="W9" s="358" t="s">
        <v>26</v>
      </c>
      <c r="X9" s="358"/>
      <c r="Y9" s="358"/>
    </row>
    <row r="10" spans="1:28" ht="17.25" customHeight="1">
      <c r="A10" s="306" t="s">
        <v>27</v>
      </c>
      <c r="B10" s="306"/>
      <c r="C10" s="307"/>
      <c r="D10" s="319" t="s">
        <v>28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cm2</v>
      </c>
      <c r="P10" s="312"/>
      <c r="Q10" s="313">
        <v>3200</v>
      </c>
      <c r="R10" s="314"/>
      <c r="S10" s="315">
        <f>IFERROR(IF(Q10="Unidad","1",(Q10*$K$5)),"")</f>
        <v>51200</v>
      </c>
      <c r="T10" s="316"/>
      <c r="U10" s="317"/>
      <c r="V10" s="323"/>
      <c r="W10" s="318">
        <f ca="1">IFERROR(IF(D10="","",INDEX(Tabla_Completa,MATCH('Soli_citud '!D10,Materiales,0),7)*S10),"")</f>
        <v>37302.857142857138</v>
      </c>
      <c r="X10" s="318"/>
      <c r="Y10" s="318"/>
      <c r="Z10" s="34"/>
    </row>
    <row r="11" spans="1:28" ht="17.25" customHeight="1">
      <c r="A11" s="305" t="s">
        <v>27</v>
      </c>
      <c r="B11" s="306"/>
      <c r="C11" s="307"/>
      <c r="D11" s="319" t="s">
        <v>29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3500</v>
      </c>
      <c r="R11" s="314"/>
      <c r="S11" s="315">
        <f t="shared" ref="S11:S31" si="1">IFERROR(IF(Q11="Unidad","1",(Q11*$K$5)),"")</f>
        <v>56000</v>
      </c>
      <c r="T11" s="316"/>
      <c r="U11" s="317"/>
      <c r="V11" s="317"/>
      <c r="W11" s="318">
        <f ca="1">IFERROR(IF(D11="","",INDEX(Tabla_Completa,MATCH('Soli_citud '!D11,Materiales,0),7)*S11),"")</f>
        <v>27880</v>
      </c>
      <c r="X11" s="318"/>
      <c r="Y11" s="318"/>
    </row>
    <row r="12" spans="1:28" ht="15.75" customHeight="1">
      <c r="A12" s="305" t="s">
        <v>30</v>
      </c>
      <c r="B12" s="306"/>
      <c r="C12" s="307"/>
      <c r="D12" s="322" t="s">
        <v>31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cm2</v>
      </c>
      <c r="P12" s="312"/>
      <c r="Q12" s="313">
        <v>1300</v>
      </c>
      <c r="R12" s="314"/>
      <c r="S12" s="315">
        <f t="shared" si="1"/>
        <v>20800</v>
      </c>
      <c r="T12" s="316"/>
      <c r="U12" s="317"/>
      <c r="V12" s="317"/>
      <c r="W12" s="318">
        <f ca="1">IFERROR(IF(D12="","",INDEX(Tabla_Completa,MATCH('Soli_citud '!D12,Materiales,0),7)*S12),"")</f>
        <v>16016</v>
      </c>
      <c r="X12" s="318"/>
      <c r="Y12" s="318"/>
    </row>
    <row r="13" spans="1:28" ht="15.75" customHeight="1">
      <c r="A13" s="305" t="s">
        <v>30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cm</v>
      </c>
      <c r="P13" s="312"/>
      <c r="Q13" s="313">
        <v>78</v>
      </c>
      <c r="R13" s="314"/>
      <c r="S13" s="315">
        <f t="shared" si="1"/>
        <v>1248</v>
      </c>
      <c r="T13" s="316"/>
      <c r="U13" s="317"/>
      <c r="V13" s="317"/>
      <c r="W13" s="318">
        <f ca="1">IFERROR(IF(D13="","",INDEX(Tabla_Completa,MATCH('Soli_citud '!D13,Materiales,0),7)*S13),"")</f>
        <v>15263.04</v>
      </c>
      <c r="X13" s="318"/>
      <c r="Y13" s="318"/>
    </row>
    <row r="14" spans="1:28" ht="17.25" customHeight="1">
      <c r="A14" s="305" t="s">
        <v>33</v>
      </c>
      <c r="B14" s="306"/>
      <c r="C14" s="307"/>
      <c r="D14" s="319" t="s">
        <v>34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2</v>
      </c>
      <c r="R14" s="314"/>
      <c r="S14" s="315">
        <f t="shared" si="1"/>
        <v>32</v>
      </c>
      <c r="T14" s="316"/>
      <c r="U14" s="317"/>
      <c r="V14" s="317"/>
      <c r="W14" s="318">
        <f ca="1">IFERROR(IF(D14="","",INDEX(Tabla_Completa,MATCH('Soli_citud '!D14,Materiales,0),7)*S14),"")</f>
        <v>14581.32</v>
      </c>
      <c r="X14" s="318"/>
      <c r="Y14" s="318"/>
    </row>
    <row r="15" spans="1:28" ht="15.75" customHeight="1">
      <c r="A15" s="305" t="s">
        <v>33</v>
      </c>
      <c r="B15" s="306"/>
      <c r="C15" s="307"/>
      <c r="D15" s="319" t="s">
        <v>35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1</v>
      </c>
      <c r="R15" s="314"/>
      <c r="S15" s="315">
        <f t="shared" si="1"/>
        <v>16</v>
      </c>
      <c r="T15" s="316"/>
      <c r="U15" s="317"/>
      <c r="V15" s="317"/>
      <c r="W15" s="318">
        <f ca="1">IFERROR(IF(D15="","",INDEX(Tabla_Completa,MATCH('Soli_citud '!D15,Materiales,0),7)*S15),"")</f>
        <v>17600</v>
      </c>
      <c r="X15" s="318"/>
      <c r="Y15" s="318"/>
    </row>
    <row r="16" spans="1:28" ht="15.75" customHeight="1">
      <c r="A16" s="305" t="s">
        <v>33</v>
      </c>
      <c r="B16" s="306"/>
      <c r="C16" s="307"/>
      <c r="D16" s="319" t="s">
        <v>36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U</v>
      </c>
      <c r="P16" s="312"/>
      <c r="Q16" s="313">
        <v>1</v>
      </c>
      <c r="R16" s="314"/>
      <c r="S16" s="315">
        <f t="shared" si="1"/>
        <v>16</v>
      </c>
      <c r="T16" s="316"/>
      <c r="U16" s="317"/>
      <c r="V16" s="317"/>
      <c r="W16" s="318">
        <f ca="1">IFERROR(IF(D16="","",INDEX(Tabla_Completa,MATCH('Soli_citud '!D16,Materiales,0),7)*S16),"")</f>
        <v>16298.24</v>
      </c>
      <c r="X16" s="318"/>
      <c r="Y16" s="318"/>
    </row>
    <row r="17" spans="1:25" ht="15.75" customHeight="1">
      <c r="A17" s="305" t="s">
        <v>30</v>
      </c>
      <c r="B17" s="306"/>
      <c r="C17" s="307"/>
      <c r="D17" s="319" t="s">
        <v>37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cm</v>
      </c>
      <c r="P17" s="312"/>
      <c r="Q17" s="313">
        <v>222</v>
      </c>
      <c r="R17" s="314"/>
      <c r="S17" s="315">
        <f t="shared" si="1"/>
        <v>3552</v>
      </c>
      <c r="T17" s="316"/>
      <c r="U17" s="317"/>
      <c r="V17" s="317"/>
      <c r="W17" s="318">
        <f ca="1">IFERROR(IF(D17="","",INDEX(Tabla_Completa,MATCH('Soli_citud '!D17,Materiales,0),7)*S17),"")</f>
        <v>65818.559999999998</v>
      </c>
      <c r="X17" s="318"/>
      <c r="Y17" s="318"/>
    </row>
    <row r="18" spans="1:25" ht="15.75" customHeight="1">
      <c r="A18" s="305" t="s">
        <v>30</v>
      </c>
      <c r="B18" s="306"/>
      <c r="C18" s="307"/>
      <c r="D18" s="319" t="s">
        <v>38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m</v>
      </c>
      <c r="P18" s="312"/>
      <c r="Q18" s="313">
        <v>1.28</v>
      </c>
      <c r="R18" s="314"/>
      <c r="S18" s="315">
        <f t="shared" si="1"/>
        <v>20.48</v>
      </c>
      <c r="T18" s="316"/>
      <c r="U18" s="317"/>
      <c r="V18" s="317"/>
      <c r="W18" s="318">
        <f ca="1">IFERROR(IF(D18="","",INDEX(Tabla_Completa,MATCH('Soli_citud '!D18,Materiales,0),7)*S18),"")</f>
        <v>1884.16</v>
      </c>
      <c r="X18" s="318"/>
      <c r="Y18" s="318"/>
    </row>
    <row r="19" spans="1:25" ht="15.75">
      <c r="A19" s="305" t="s">
        <v>30</v>
      </c>
      <c r="B19" s="306"/>
      <c r="C19" s="307"/>
      <c r="D19" s="308" t="s">
        <v>39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m</v>
      </c>
      <c r="P19" s="312"/>
      <c r="Q19" s="313">
        <v>1.3</v>
      </c>
      <c r="R19" s="314"/>
      <c r="S19" s="315">
        <f t="shared" si="1"/>
        <v>20.8</v>
      </c>
      <c r="T19" s="316"/>
      <c r="U19" s="317"/>
      <c r="V19" s="317"/>
      <c r="W19" s="318">
        <f ca="1">IFERROR(IF(D19="","",INDEX(Tabla_Completa,MATCH('Soli_citud '!D19,Materiales,0),7)*S19),"")</f>
        <v>12168</v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40</v>
      </c>
      <c r="B39" s="399"/>
      <c r="C39" s="399"/>
      <c r="D39" s="400" t="s">
        <v>41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42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43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44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45</v>
      </c>
      <c r="O44" s="389"/>
      <c r="P44" s="389"/>
      <c r="Q44" s="389"/>
      <c r="R44" s="395" t="s">
        <v>46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47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48</v>
      </c>
      <c r="O45" s="389"/>
      <c r="P45" s="389"/>
      <c r="Q45" s="389"/>
      <c r="R45" s="396" t="s">
        <v>49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50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51</v>
      </c>
      <c r="O46" s="389"/>
      <c r="P46" s="389"/>
      <c r="Q46" s="389"/>
      <c r="R46" s="388" t="s">
        <v>52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53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33</v>
      </c>
      <c r="O47" s="389"/>
      <c r="P47" s="389"/>
      <c r="Q47" s="389"/>
      <c r="R47" s="388" t="s">
        <v>54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55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56</v>
      </c>
      <c r="O48" s="389"/>
      <c r="P48" s="389"/>
      <c r="Q48" s="389"/>
      <c r="R48" s="388" t="s">
        <v>57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58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59</v>
      </c>
      <c r="O49" s="390"/>
      <c r="P49" s="390"/>
      <c r="Q49" s="390"/>
      <c r="R49" s="396" t="s">
        <v>60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61</v>
      </c>
      <c r="O50" s="389"/>
      <c r="P50" s="389"/>
      <c r="Q50" s="389"/>
      <c r="R50" s="388" t="s">
        <v>62</v>
      </c>
      <c r="S50" s="388"/>
      <c r="T50" s="388"/>
      <c r="U50" s="388"/>
      <c r="V50" s="388"/>
      <c r="W50" s="388"/>
      <c r="X50" s="388"/>
    </row>
    <row r="51" spans="1:24" ht="15.75">
      <c r="N51" s="389" t="s">
        <v>27</v>
      </c>
      <c r="O51" s="389"/>
      <c r="P51" s="389"/>
      <c r="Q51" s="389"/>
      <c r="R51" s="388" t="s">
        <v>63</v>
      </c>
      <c r="S51" s="388"/>
      <c r="T51" s="388"/>
      <c r="U51" s="388"/>
      <c r="V51" s="388"/>
      <c r="W51" s="388"/>
      <c r="X51" s="388"/>
    </row>
    <row r="52" spans="1:24" ht="15.75">
      <c r="N52" s="389" t="s">
        <v>64</v>
      </c>
      <c r="O52" s="389"/>
      <c r="P52" s="389"/>
      <c r="Q52" s="389"/>
      <c r="R52" s="388" t="s">
        <v>54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S15" sqref="S1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65</v>
      </c>
      <c r="E1" s="472"/>
      <c r="F1" s="472"/>
      <c r="G1" s="472"/>
      <c r="H1" s="472"/>
      <c r="I1" s="472"/>
      <c r="J1" s="477" t="s">
        <v>66</v>
      </c>
      <c r="K1" s="478"/>
      <c r="L1" s="478"/>
      <c r="M1" s="479"/>
      <c r="N1" s="473">
        <f>IF('Soli_citud '!O1="","",'Soli_citud '!O1)</f>
        <v>45084</v>
      </c>
      <c r="O1" s="474"/>
      <c r="P1" s="407" t="s">
        <v>67</v>
      </c>
      <c r="Q1" s="408"/>
      <c r="R1" s="403" t="str">
        <f>IF('Soli_citud '!D4="","",'Soli_citud '!D4)</f>
        <v>lonchera 001</v>
      </c>
      <c r="S1" s="404"/>
      <c r="Z1" t="s">
        <v>68</v>
      </c>
      <c r="AA1" s="252" t="s">
        <v>68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69</v>
      </c>
      <c r="K2" s="455"/>
      <c r="L2" s="455"/>
      <c r="M2" s="456"/>
      <c r="N2" s="475" t="str">
        <f>'Soli_citud '!F1</f>
        <v>MG0706-1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70</v>
      </c>
      <c r="K3" s="476"/>
      <c r="L3" s="476"/>
      <c r="M3" s="476"/>
      <c r="N3" s="463" t="str">
        <f>IF('Soli_citud '!O3="","",'Soli_citud '!O3)</f>
        <v>celda de pcc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71</v>
      </c>
      <c r="K4" s="468"/>
      <c r="L4" s="468"/>
      <c r="M4" s="469" t="str">
        <f>IF('Soli_citud '!O4="","",'Soli_citud '!O4)</f>
        <v>Marroquinería Producción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72</v>
      </c>
      <c r="C6" s="449"/>
      <c r="D6" s="450"/>
      <c r="E6" s="465" t="s">
        <v>73</v>
      </c>
      <c r="F6" s="465"/>
      <c r="G6" s="465"/>
      <c r="H6" s="465"/>
      <c r="I6" s="466"/>
      <c r="J6" s="439" t="s">
        <v>74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14050.761071428571</v>
      </c>
      <c r="C8" s="427"/>
      <c r="D8" s="428"/>
      <c r="E8" s="445" t="s">
        <v>75</v>
      </c>
      <c r="F8" s="446"/>
      <c r="G8" s="446"/>
      <c r="H8" s="446"/>
      <c r="I8" s="447"/>
      <c r="J8" s="441" t="str">
        <f>IF('Soli_citud '!E2="","",'Soli_citud '!E2)</f>
        <v>Maribel Gil Zapata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76</v>
      </c>
      <c r="C9" s="430"/>
      <c r="D9" s="422"/>
      <c r="E9" s="421" t="s">
        <v>77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78</v>
      </c>
      <c r="K10" s="461"/>
      <c r="L10" s="462"/>
      <c r="M10" s="242">
        <f>'Soli_citud '!K5</f>
        <v>16</v>
      </c>
      <c r="N10" s="443" t="s">
        <v>79</v>
      </c>
      <c r="O10" s="444"/>
      <c r="P10" s="411"/>
      <c r="Q10" s="412"/>
      <c r="R10" s="243" t="s">
        <v>80</v>
      </c>
      <c r="S10" s="241" cm="1">
        <f t="array" ref="S10">IFERROR(_xlfn.IFS(M10=1,"",M10&gt;SUM(S12:S30),SUM(S12:S30),M10=SUM(S12:S30),"Cumplido",M10&lt;SUM(S12:S30),"Revisar"),"")</f>
        <v>7</v>
      </c>
    </row>
    <row r="11" spans="1:27" ht="45.75" customHeight="1">
      <c r="A11" s="89" t="s">
        <v>81</v>
      </c>
      <c r="B11" s="264" t="s">
        <v>82</v>
      </c>
      <c r="C11" s="423" t="s">
        <v>83</v>
      </c>
      <c r="D11" s="424"/>
      <c r="E11" s="424"/>
      <c r="F11" s="425"/>
      <c r="G11" s="112" t="s">
        <v>84</v>
      </c>
      <c r="H11" s="112" t="s">
        <v>85</v>
      </c>
      <c r="I11" s="237" t="s">
        <v>86</v>
      </c>
      <c r="J11" s="110" t="s">
        <v>87</v>
      </c>
      <c r="K11" s="223" t="s">
        <v>88</v>
      </c>
      <c r="L11" s="459" t="s">
        <v>25</v>
      </c>
      <c r="M11" s="460"/>
      <c r="N11" s="240" t="s">
        <v>89</v>
      </c>
      <c r="O11" s="240" t="s">
        <v>90</v>
      </c>
      <c r="P11" s="244" t="s">
        <v>91</v>
      </c>
      <c r="Q11" s="245" t="s">
        <v>92</v>
      </c>
      <c r="R11" s="236" t="s">
        <v>93</v>
      </c>
      <c r="S11" s="224" t="s">
        <v>94</v>
      </c>
    </row>
    <row r="12" spans="1:27" ht="19.5" customHeight="1">
      <c r="A12" s="78">
        <v>1</v>
      </c>
      <c r="B12" s="265" t="str">
        <f>IF(H12="","",$N$2)</f>
        <v>MG0706-1</v>
      </c>
      <c r="C12" s="420" t="str">
        <f>IFERROR(IF('Soli_citud '!D10="","",'Soli_citud '!D10),"")</f>
        <v>LONA 600</v>
      </c>
      <c r="D12" s="420"/>
      <c r="E12" s="420"/>
      <c r="F12" s="420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51200</v>
      </c>
      <c r="I12" s="227">
        <v>45085</v>
      </c>
      <c r="J12" s="228">
        <v>51200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>
        <v>45209</v>
      </c>
      <c r="S12" s="228">
        <v>7</v>
      </c>
    </row>
    <row r="13" spans="1:27" ht="21" customHeight="1">
      <c r="A13" s="77">
        <v>2</v>
      </c>
      <c r="B13" s="265" t="str">
        <f t="shared" ref="B13:B32" si="1">IF(H13="","",$N$2)</f>
        <v>MG0706-1</v>
      </c>
      <c r="C13" s="420" t="str">
        <f>IFERROR(IF('Soli_citud '!D11="","",'Soli_citud '!D11),"")</f>
        <v>SEDA 30-100 O SEDA TIFON</v>
      </c>
      <c r="D13" s="420"/>
      <c r="E13" s="420"/>
      <c r="F13" s="420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56000</v>
      </c>
      <c r="I13" s="227">
        <v>45085</v>
      </c>
      <c r="J13" s="229">
        <v>56000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MG0706-1</v>
      </c>
      <c r="C14" s="420" t="str">
        <f>IFERROR(IF('Soli_citud '!D12="","",'Soli_citud '!D12),"")</f>
        <v>YUMBOLON 4mm (CM²)</v>
      </c>
      <c r="D14" s="420"/>
      <c r="E14" s="420"/>
      <c r="F14" s="420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20800</v>
      </c>
      <c r="I14" s="227">
        <v>45085</v>
      </c>
      <c r="J14" s="229">
        <v>20800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MG0706-1</v>
      </c>
      <c r="C15" s="420" t="str">
        <f>IFERROR(IF('Soli_citud '!D13="","",'Soli_citud '!D13),"")</f>
        <v>CREMALLERA POLIÉSTER #6</v>
      </c>
      <c r="D15" s="420"/>
      <c r="E15" s="420"/>
      <c r="F15" s="420"/>
      <c r="G15" s="226" t="str">
        <f ca="1">IF('Soli_citud '!O13="","",'Soli_citud '!O13)</f>
        <v>cm</v>
      </c>
      <c r="H15" s="226" cm="1">
        <f t="array" ref="H15">_xlfn.IFS('Soli_citud '!S13="","",'Soli_citud '!S13&lt;=0,"",'Soli_citud '!S13&gt;0,'Soli_citud '!S13)</f>
        <v>1248</v>
      </c>
      <c r="I15" s="227">
        <v>45085</v>
      </c>
      <c r="J15" s="229">
        <v>1248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MG0706-1</v>
      </c>
      <c r="C16" s="420" t="str">
        <f>IFERROR(IF('Soli_citud '!D14="","",'Soli_citud '!D14),"")</f>
        <v xml:space="preserve">LLAVE METÁLICA DESLIZADOR   #6 PARA CREMALLERA - NÍQUEL </v>
      </c>
      <c r="D16" s="420"/>
      <c r="E16" s="420"/>
      <c r="F16" s="420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32</v>
      </c>
      <c r="I16" s="227">
        <v>45085</v>
      </c>
      <c r="J16" s="229">
        <v>32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MG0706-1</v>
      </c>
      <c r="C17" s="420" t="str">
        <f>IFERROR(IF('Soli_citud '!D15="","",'Soli_citud '!D15),"")</f>
        <v xml:space="preserve">TENSOR O TRABILLA PLÁSTICA 32 MM 1 1/4" </v>
      </c>
      <c r="D17" s="420"/>
      <c r="E17" s="420"/>
      <c r="F17" s="420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16</v>
      </c>
      <c r="I17" s="227">
        <v>45085</v>
      </c>
      <c r="J17" s="229">
        <v>16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MG0706-1</v>
      </c>
      <c r="C18" s="420" t="str">
        <f>IFERROR(IF('Soli_citud '!D16="","",'Soli_citud '!D16),"")</f>
        <v>CUADRANTE 32 MM PLÁSTICO</v>
      </c>
      <c r="D18" s="420"/>
      <c r="E18" s="420"/>
      <c r="F18" s="420"/>
      <c r="G18" s="226" t="str">
        <f ca="1">IF('Soli_citud '!O16="","",'Soli_citud '!O16)</f>
        <v>U</v>
      </c>
      <c r="H18" s="226" cm="1">
        <f t="array" ref="H18">_xlfn.IFS('Soli_citud '!S16="","",'Soli_citud '!S16&lt;=0,"",'Soli_citud '!S16&gt;0,'Soli_citud '!S16)</f>
        <v>16</v>
      </c>
      <c r="I18" s="227">
        <v>45085</v>
      </c>
      <c r="J18" s="229">
        <v>16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MG0706-1</v>
      </c>
      <c r="C19" s="420" t="str">
        <f>IFERROR(IF('Soli_citud '!D17="","",'Soli_citud '!D17),"")</f>
        <v>REATA SINTETICA 1 1/4</v>
      </c>
      <c r="D19" s="420"/>
      <c r="E19" s="420"/>
      <c r="F19" s="420"/>
      <c r="G19" s="226" t="str">
        <f ca="1">IF('Soli_citud '!O17="","",'Soli_citud '!O17)</f>
        <v>cm</v>
      </c>
      <c r="H19" s="226" cm="1">
        <f t="array" ref="H19">_xlfn.IFS('Soli_citud '!S17="","",'Soli_citud '!S17&lt;=0,"",'Soli_citud '!S17&gt;0,'Soli_citud '!S17)</f>
        <v>3552</v>
      </c>
      <c r="I19" s="227">
        <v>45085</v>
      </c>
      <c r="J19" s="229">
        <v>3552</v>
      </c>
      <c r="K19" s="207" t="str" cm="1">
        <f t="array" ref="K19">IFERROR(_xlfn.IFS(H19="","",J19=H19,"Cumplido",J19&lt;H19,H19-J19,J19&gt;H19,"Revisar"),"")</f>
        <v>Cumplido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MG0706-1</v>
      </c>
      <c r="C20" s="420" t="str">
        <f>IFERROR(IF('Soli_citud '!D18="","",'Soli_citud '!D18),"")</f>
        <v>EMBONO PLASTICO GRIS DELGADO</v>
      </c>
      <c r="D20" s="420"/>
      <c r="E20" s="420"/>
      <c r="F20" s="420"/>
      <c r="G20" s="226" t="str">
        <f ca="1">IF('Soli_citud '!O18="","",'Soli_citud '!O18)</f>
        <v>m</v>
      </c>
      <c r="H20" s="226" cm="1">
        <f t="array" ref="H20">_xlfn.IFS('Soli_citud '!S18="","",'Soli_citud '!S18&lt;=0,"",'Soli_citud '!S18&gt;0,'Soli_citud '!S18)</f>
        <v>20.48</v>
      </c>
      <c r="I20" s="227">
        <v>45085</v>
      </c>
      <c r="J20" s="229">
        <v>20.48</v>
      </c>
      <c r="K20" s="207" t="str" cm="1">
        <f t="array" ref="K20">IFERROR(_xlfn.IFS(H20="","",J20=H20,"Cumplido",J20&lt;H20,H20-J20,J20&gt;H20,"Revisar"),"")</f>
        <v>Cumplido</v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37.5" customHeight="1">
      <c r="A21" s="78">
        <v>11</v>
      </c>
      <c r="B21" s="265" t="str">
        <f t="shared" si="1"/>
        <v>MG0706-1</v>
      </c>
      <c r="C21" s="420" t="str">
        <f>IFERROR(IF('Soli_citud '!D19="","",'Soli_citud '!D19),"")</f>
        <v>CINTA FALLA _RIBETE 24 mm  CON APRESTO #5</v>
      </c>
      <c r="D21" s="420"/>
      <c r="E21" s="420"/>
      <c r="F21" s="420"/>
      <c r="G21" s="226" t="str">
        <f ca="1">IF('Soli_citud '!O19="","",'Soli_citud '!O19)</f>
        <v>m</v>
      </c>
      <c r="H21" s="226" cm="1">
        <f t="array" ref="H21">_xlfn.IFS('Soli_citud '!S19="","",'Soli_citud '!S19&lt;=0,"",'Soli_citud '!S19&gt;0,'Soli_citud '!S19)</f>
        <v>20.8</v>
      </c>
      <c r="I21" s="227">
        <v>45085</v>
      </c>
      <c r="J21" s="229">
        <v>20.8</v>
      </c>
      <c r="K21" s="207" t="str" cm="1">
        <f t="array" ref="K21">IFERROR(_xlfn.IFS(H21="","",J21=H21,"Cumplido",J21&lt;H21,H21-J21,J21&gt;H21,"Revisar"),"")</f>
        <v>Cumplido</v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95</v>
      </c>
      <c r="F1" s="486"/>
      <c r="Z1" s="252" t="s">
        <v>68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96</v>
      </c>
      <c r="B6" s="304">
        <f>SUBTOTAL(3,(BD!$B$8:$B$20))</f>
        <v>13</v>
      </c>
      <c r="C6" s="482"/>
      <c r="D6" s="483"/>
      <c r="H6" s="480" t="s">
        <v>97</v>
      </c>
      <c r="I6" s="480"/>
    </row>
    <row r="7" spans="1:26" ht="47.25">
      <c r="A7" s="73" t="s">
        <v>81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45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45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45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45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45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45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45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117</v>
      </c>
      <c r="C15" s="140" t="s">
        <v>45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45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45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120</v>
      </c>
      <c r="C18" s="140" t="s">
        <v>45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45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5" t="s">
        <v>45</v>
      </c>
      <c r="D20" s="48" t="s">
        <v>109</v>
      </c>
      <c r="E20" s="43"/>
      <c r="F20" s="188" t="s">
        <v>109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81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124</v>
      </c>
      <c r="C34" s="219" t="s">
        <v>125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9" t="s">
        <v>125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9" t="s">
        <v>125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9" t="s">
        <v>125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9" t="s">
        <v>125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9" t="s">
        <v>125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9" t="s">
        <v>125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9" t="s">
        <v>125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9" t="s">
        <v>125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9" t="s">
        <v>125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9" t="s">
        <v>125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9" t="s">
        <v>125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9" t="s">
        <v>125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9" t="s">
        <v>125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9" t="s">
        <v>125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9" t="s">
        <v>125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9" t="s">
        <v>125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9" t="s">
        <v>125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9" t="s">
        <v>125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9" t="s">
        <v>125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9" t="s">
        <v>125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9" t="s">
        <v>125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9" t="s">
        <v>125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9" t="s">
        <v>125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9" t="s">
        <v>125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9" t="s">
        <v>125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9" t="s">
        <v>125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9" t="s">
        <v>125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9" t="s">
        <v>125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9" t="s">
        <v>125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9" t="s">
        <v>125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9" t="s">
        <v>125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9" t="s">
        <v>125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9" t="s">
        <v>125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9" t="s">
        <v>125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9" t="s">
        <v>125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9" t="s">
        <v>125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9" t="s">
        <v>125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9" t="s">
        <v>125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9" t="s">
        <v>125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9" t="s">
        <v>125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9" t="s">
        <v>125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9" t="s">
        <v>125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9" t="s">
        <v>125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9" t="s">
        <v>125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9" t="s">
        <v>125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9" t="s">
        <v>125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9" t="s">
        <v>125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9" t="s">
        <v>125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9" t="s">
        <v>125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9" t="s">
        <v>125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9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9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9" t="s">
        <v>125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9" t="s">
        <v>125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9" t="s">
        <v>125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9" t="s">
        <v>125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9" t="s">
        <v>125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9" t="s">
        <v>125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9" t="s">
        <v>125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9" t="s">
        <v>125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9" t="s">
        <v>125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9" t="s">
        <v>125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9" t="s">
        <v>125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9" t="s">
        <v>125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9" t="s">
        <v>125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9" t="s">
        <v>125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9" t="s">
        <v>125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9" t="s">
        <v>125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9" t="s">
        <v>125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9" t="s">
        <v>125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9" t="s">
        <v>125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9" t="s">
        <v>125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9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9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9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9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9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9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9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9" t="s">
        <v>125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9" t="s">
        <v>125</v>
      </c>
      <c r="D115" s="48" t="s">
        <v>209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9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9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9" t="s">
        <v>125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9" t="s">
        <v>125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9" t="s">
        <v>125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9" t="s">
        <v>125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9" t="s">
        <v>125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9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9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9" t="s">
        <v>125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9" t="s">
        <v>125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9" t="s">
        <v>125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9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9" t="s">
        <v>125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9" t="s">
        <v>125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9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9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9" t="s">
        <v>125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9" t="s">
        <v>125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9" t="s">
        <v>125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9" t="s">
        <v>125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9" t="s">
        <v>125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9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9" t="s">
        <v>125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9" t="s">
        <v>125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9" t="s">
        <v>125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81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239</v>
      </c>
      <c r="C162" s="219" t="s">
        <v>30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9" t="s">
        <v>30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9" t="s">
        <v>30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39</v>
      </c>
      <c r="C165" s="219" t="s">
        <v>30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19" t="s">
        <v>30</v>
      </c>
      <c r="D166" s="48" t="s">
        <v>241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19" t="s">
        <v>30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19" t="s">
        <v>30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249</v>
      </c>
      <c r="C169" s="219" t="s">
        <v>30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250</v>
      </c>
      <c r="C170" s="219" t="s">
        <v>30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251</v>
      </c>
      <c r="C171" s="219" t="s">
        <v>30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252</v>
      </c>
      <c r="C172" s="219" t="s">
        <v>30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253</v>
      </c>
      <c r="C173" s="219" t="s">
        <v>30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254</v>
      </c>
      <c r="C174" s="219" t="s">
        <v>30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255</v>
      </c>
      <c r="C175" s="219" t="s">
        <v>30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256</v>
      </c>
      <c r="C176" s="219" t="s">
        <v>30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257</v>
      </c>
      <c r="C177" s="219" t="s">
        <v>30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258</v>
      </c>
      <c r="C178" s="219" t="s">
        <v>30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259</v>
      </c>
      <c r="C179" s="219" t="s">
        <v>30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260</v>
      </c>
      <c r="C180" s="219" t="s">
        <v>30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261</v>
      </c>
      <c r="C181" s="219" t="s">
        <v>30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262</v>
      </c>
      <c r="C182" s="219" t="s">
        <v>30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263</v>
      </c>
      <c r="C183" s="219" t="s">
        <v>30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264</v>
      </c>
      <c r="C184" s="219" t="s">
        <v>30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265</v>
      </c>
      <c r="C185" s="219" t="s">
        <v>30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266</v>
      </c>
      <c r="C186" s="219" t="s">
        <v>30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267</v>
      </c>
      <c r="C187" s="219" t="s">
        <v>30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268</v>
      </c>
      <c r="C188" s="219" t="s">
        <v>30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269</v>
      </c>
      <c r="C189" s="219" t="s">
        <v>30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270</v>
      </c>
      <c r="C190" s="219" t="s">
        <v>30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271</v>
      </c>
      <c r="C191" s="219" t="s">
        <v>30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272</v>
      </c>
      <c r="C192" s="219" t="s">
        <v>30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273</v>
      </c>
      <c r="C193" s="219" t="s">
        <v>30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274</v>
      </c>
      <c r="C194" s="219" t="s">
        <v>30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275</v>
      </c>
      <c r="C195" s="219" t="s">
        <v>30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276</v>
      </c>
      <c r="C196" s="219" t="s">
        <v>30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277</v>
      </c>
      <c r="C197" s="219" t="s">
        <v>30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278</v>
      </c>
      <c r="C198" s="219" t="s">
        <v>30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279</v>
      </c>
      <c r="C199" s="219" t="s">
        <v>30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280</v>
      </c>
      <c r="C200" s="219" t="s">
        <v>30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281</v>
      </c>
      <c r="C201" s="219" t="s">
        <v>30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282</v>
      </c>
      <c r="C202" s="219" t="s">
        <v>30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283</v>
      </c>
      <c r="C203" s="219" t="s">
        <v>30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284</v>
      </c>
      <c r="C204" s="219" t="s">
        <v>30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285</v>
      </c>
      <c r="C205" s="219" t="s">
        <v>30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286</v>
      </c>
      <c r="C206" s="219" t="s">
        <v>30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287</v>
      </c>
      <c r="C207" s="219" t="s">
        <v>30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288</v>
      </c>
      <c r="C208" s="219" t="s">
        <v>30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289</v>
      </c>
      <c r="C209" s="219" t="s">
        <v>30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290</v>
      </c>
      <c r="C210" s="219" t="s">
        <v>30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291</v>
      </c>
      <c r="C211" s="219" t="s">
        <v>30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292</v>
      </c>
      <c r="C212" s="219" t="s">
        <v>30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293</v>
      </c>
      <c r="C213" s="219" t="s">
        <v>30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294</v>
      </c>
      <c r="C214" s="219" t="s">
        <v>30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295</v>
      </c>
      <c r="C215" s="219" t="s">
        <v>30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296</v>
      </c>
      <c r="C216" s="219" t="s">
        <v>30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297</v>
      </c>
      <c r="C217" s="219" t="s">
        <v>30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298</v>
      </c>
      <c r="C218" s="219" t="s">
        <v>30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299</v>
      </c>
      <c r="C219" s="219" t="s">
        <v>30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300</v>
      </c>
      <c r="C220" s="219" t="s">
        <v>30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301</v>
      </c>
      <c r="C221" s="219" t="s">
        <v>30</v>
      </c>
      <c r="D221" s="48" t="s">
        <v>177</v>
      </c>
      <c r="E221" s="43">
        <v>475.34</v>
      </c>
      <c r="F221" s="300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302</v>
      </c>
      <c r="C222" s="219" t="s">
        <v>30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303</v>
      </c>
      <c r="C223" s="219" t="s">
        <v>30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304</v>
      </c>
      <c r="C224" s="219" t="s">
        <v>30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305</v>
      </c>
      <c r="C225" s="219" t="s">
        <v>30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306</v>
      </c>
      <c r="C226" s="219" t="s">
        <v>30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307</v>
      </c>
      <c r="C227" s="219" t="s">
        <v>30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308</v>
      </c>
      <c r="C228" s="219" t="s">
        <v>30</v>
      </c>
      <c r="D228" s="48" t="s">
        <v>244</v>
      </c>
      <c r="E228" s="166">
        <v>9800</v>
      </c>
      <c r="F228" s="192" t="s">
        <v>309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310</v>
      </c>
      <c r="C229" s="219" t="s">
        <v>30</v>
      </c>
      <c r="D229" s="48" t="s">
        <v>244</v>
      </c>
      <c r="E229" s="166">
        <v>943.5</v>
      </c>
      <c r="F229" s="192" t="s">
        <v>309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311</v>
      </c>
      <c r="C230" s="219" t="s">
        <v>30</v>
      </c>
      <c r="D230" s="48" t="s">
        <v>244</v>
      </c>
      <c r="E230" s="166">
        <v>943.5</v>
      </c>
      <c r="F230" s="192" t="s">
        <v>309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</v>
      </c>
      <c r="C231" s="219" t="s">
        <v>30</v>
      </c>
      <c r="D231" s="48" t="s">
        <v>244</v>
      </c>
      <c r="E231" s="166">
        <v>1223</v>
      </c>
      <c r="F231" s="192" t="s">
        <v>309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30</v>
      </c>
      <c r="D232" s="49" t="s">
        <v>241</v>
      </c>
      <c r="E232" s="166">
        <v>16471.25</v>
      </c>
      <c r="F232" s="301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30</v>
      </c>
      <c r="D233" s="49" t="s">
        <v>241</v>
      </c>
      <c r="E233" s="166">
        <v>32931.5</v>
      </c>
      <c r="F233" s="301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30</v>
      </c>
      <c r="D234" s="49" t="s">
        <v>241</v>
      </c>
      <c r="E234" s="166">
        <v>16209.5</v>
      </c>
      <c r="F234" s="301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30</v>
      </c>
      <c r="D235" s="49" t="s">
        <v>241</v>
      </c>
      <c r="E235" s="166">
        <v>32417</v>
      </c>
      <c r="F235" s="301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30</v>
      </c>
      <c r="D236" s="49" t="s">
        <v>241</v>
      </c>
      <c r="E236" s="166">
        <v>50250</v>
      </c>
      <c r="F236" s="301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30</v>
      </c>
      <c r="D237" s="49" t="s">
        <v>241</v>
      </c>
      <c r="E237" s="166">
        <v>25131.5</v>
      </c>
      <c r="F237" s="301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30</v>
      </c>
      <c r="D238" s="48" t="s">
        <v>243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38</v>
      </c>
      <c r="C239" s="219" t="s">
        <v>30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9" t="s">
        <v>30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9" t="s">
        <v>30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9" t="s">
        <v>30</v>
      </c>
      <c r="D242" s="48" t="s">
        <v>246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30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30</v>
      </c>
      <c r="D244" s="48" t="s">
        <v>244</v>
      </c>
      <c r="E244" s="43">
        <v>26000</v>
      </c>
      <c r="F244" s="193" t="s">
        <v>246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30</v>
      </c>
      <c r="D245" s="48" t="s">
        <v>244</v>
      </c>
      <c r="E245" s="43">
        <v>13000</v>
      </c>
      <c r="F245" s="193" t="s">
        <v>246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30</v>
      </c>
      <c r="D246" s="48" t="s">
        <v>244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30</v>
      </c>
      <c r="D247" s="48" t="s">
        <v>243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30</v>
      </c>
      <c r="D248" s="48" t="s">
        <v>114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30</v>
      </c>
      <c r="D249" s="48" t="s">
        <v>114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6" t="s">
        <v>30</v>
      </c>
      <c r="D250" s="277" t="s">
        <v>114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6" t="s">
        <v>30</v>
      </c>
      <c r="D251" s="277" t="s">
        <v>243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6" t="s">
        <v>30</v>
      </c>
      <c r="D252" s="277" t="s">
        <v>244</v>
      </c>
      <c r="E252" s="303">
        <v>7183</v>
      </c>
      <c r="F252" s="278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6" t="s">
        <v>30</v>
      </c>
      <c r="D253" s="277" t="s">
        <v>244</v>
      </c>
      <c r="E253" s="303">
        <v>10597</v>
      </c>
      <c r="F253" s="278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6" t="s">
        <v>30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6" t="s">
        <v>30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6" t="s">
        <v>30</v>
      </c>
      <c r="D256" s="277" t="s">
        <v>246</v>
      </c>
      <c r="E256" s="141"/>
      <c r="F256" s="278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6" t="s">
        <v>30</v>
      </c>
      <c r="D257" s="277" t="s">
        <v>241</v>
      </c>
      <c r="E257" s="141">
        <v>8000</v>
      </c>
      <c r="F257" s="278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6" t="s">
        <v>30</v>
      </c>
      <c r="D258" s="277" t="s">
        <v>241</v>
      </c>
      <c r="E258" s="141">
        <v>10000</v>
      </c>
      <c r="F258" s="278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6" t="s">
        <v>30</v>
      </c>
      <c r="D259" s="277" t="s">
        <v>241</v>
      </c>
      <c r="E259" s="141">
        <v>10000</v>
      </c>
      <c r="F259" s="278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6" t="s">
        <v>30</v>
      </c>
      <c r="D260" s="277" t="s">
        <v>246</v>
      </c>
      <c r="E260" s="141"/>
      <c r="F260" s="278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6" t="s">
        <v>30</v>
      </c>
      <c r="D261" s="277" t="s">
        <v>209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6" t="s">
        <v>30</v>
      </c>
      <c r="D262" s="277" t="s">
        <v>309</v>
      </c>
      <c r="E262" s="141">
        <v>28.18</v>
      </c>
      <c r="F262" s="278" t="s">
        <v>309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6" t="s">
        <v>30</v>
      </c>
      <c r="D263" s="277" t="s">
        <v>309</v>
      </c>
      <c r="E263" s="141">
        <v>2700</v>
      </c>
      <c r="F263" s="278" t="s">
        <v>309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6" t="s">
        <v>30</v>
      </c>
      <c r="D264" s="277" t="s">
        <v>309</v>
      </c>
      <c r="E264" s="141">
        <v>18.53</v>
      </c>
      <c r="F264" s="278" t="s">
        <v>309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6" t="s">
        <v>30</v>
      </c>
      <c r="D265" s="277" t="s">
        <v>244</v>
      </c>
      <c r="E265" s="141">
        <v>1800</v>
      </c>
      <c r="F265" s="278" t="s">
        <v>309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6" t="s">
        <v>30</v>
      </c>
      <c r="D266" s="277" t="s">
        <v>244</v>
      </c>
      <c r="E266" s="141">
        <v>1057</v>
      </c>
      <c r="F266" s="278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37</v>
      </c>
      <c r="C267" s="276" t="s">
        <v>30</v>
      </c>
      <c r="D267" s="277" t="s">
        <v>309</v>
      </c>
      <c r="E267" s="141">
        <v>18.53</v>
      </c>
      <c r="F267" s="278" t="s">
        <v>309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347</v>
      </c>
      <c r="C268" s="276" t="s">
        <v>30</v>
      </c>
      <c r="D268" s="277" t="s">
        <v>309</v>
      </c>
      <c r="E268" s="141">
        <v>22.8</v>
      </c>
      <c r="F268" s="278" t="s">
        <v>309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348</v>
      </c>
      <c r="C269" s="276" t="s">
        <v>30</v>
      </c>
      <c r="D269" s="277" t="s">
        <v>309</v>
      </c>
      <c r="E269" s="141">
        <v>22.8</v>
      </c>
      <c r="F269" s="278" t="s">
        <v>309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349</v>
      </c>
      <c r="C270" s="276" t="s">
        <v>30</v>
      </c>
      <c r="D270" s="277" t="s">
        <v>309</v>
      </c>
      <c r="E270" s="141">
        <v>14.73</v>
      </c>
      <c r="F270" s="278" t="s">
        <v>309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350</v>
      </c>
      <c r="C271" s="276" t="s">
        <v>30</v>
      </c>
      <c r="D271" s="277" t="s">
        <v>309</v>
      </c>
      <c r="E271" s="141">
        <v>14.73</v>
      </c>
      <c r="F271" s="278" t="s">
        <v>309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351</v>
      </c>
      <c r="C272" s="276" t="s">
        <v>30</v>
      </c>
      <c r="D272" s="277" t="s">
        <v>244</v>
      </c>
      <c r="E272" s="141">
        <v>819.99999999999989</v>
      </c>
      <c r="F272" s="278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352</v>
      </c>
      <c r="C273" s="276" t="s">
        <v>30</v>
      </c>
      <c r="D273" s="277" t="s">
        <v>244</v>
      </c>
      <c r="E273" s="141">
        <v>1170</v>
      </c>
      <c r="F273" s="278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353</v>
      </c>
      <c r="C274" s="276" t="s">
        <v>30</v>
      </c>
      <c r="D274" s="277" t="s">
        <v>244</v>
      </c>
      <c r="E274" s="141">
        <v>8000</v>
      </c>
      <c r="F274" s="278" t="s">
        <v>246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354</v>
      </c>
      <c r="C275" s="276" t="s">
        <v>30</v>
      </c>
      <c r="D275" s="277" t="s">
        <v>244</v>
      </c>
      <c r="E275" s="141">
        <v>11000</v>
      </c>
      <c r="F275" s="278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355</v>
      </c>
      <c r="C276" s="276" t="s">
        <v>30</v>
      </c>
      <c r="D276" s="277" t="s">
        <v>244</v>
      </c>
      <c r="E276" s="141">
        <v>10858</v>
      </c>
      <c r="F276" s="278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356</v>
      </c>
      <c r="C277" s="276" t="s">
        <v>30</v>
      </c>
      <c r="D277" s="277" t="s">
        <v>244</v>
      </c>
      <c r="E277" s="141">
        <v>13999.16</v>
      </c>
      <c r="F277" s="278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357</v>
      </c>
      <c r="C278" s="276" t="s">
        <v>30</v>
      </c>
      <c r="D278" s="277" t="s">
        <v>241</v>
      </c>
      <c r="E278" s="141"/>
      <c r="F278" s="278" t="s">
        <v>309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358</v>
      </c>
      <c r="C279" s="276" t="s">
        <v>30</v>
      </c>
      <c r="D279" s="277" t="s">
        <v>246</v>
      </c>
      <c r="E279" s="141"/>
      <c r="F279" s="278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359</v>
      </c>
      <c r="C280" s="276" t="s">
        <v>30</v>
      </c>
      <c r="D280" s="277" t="s">
        <v>246</v>
      </c>
      <c r="E280" s="141"/>
      <c r="F280" s="278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360</v>
      </c>
      <c r="C281" s="276" t="s">
        <v>30</v>
      </c>
      <c r="D281" s="277" t="s">
        <v>361</v>
      </c>
      <c r="E281" s="141"/>
      <c r="F281" s="277" t="s">
        <v>361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362</v>
      </c>
      <c r="C282" s="276" t="s">
        <v>30</v>
      </c>
      <c r="D282" s="277" t="s">
        <v>219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363</v>
      </c>
      <c r="C283" s="276" t="s">
        <v>30</v>
      </c>
      <c r="D283" s="277" t="s">
        <v>244</v>
      </c>
      <c r="E283" s="141">
        <v>1035.3</v>
      </c>
      <c r="F283" s="278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364</v>
      </c>
      <c r="C284" s="276" t="s">
        <v>30</v>
      </c>
      <c r="D284" s="277" t="s">
        <v>243</v>
      </c>
      <c r="E284" s="141">
        <v>700</v>
      </c>
      <c r="F284" s="278" t="s">
        <v>309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365</v>
      </c>
      <c r="C285" s="276" t="s">
        <v>30</v>
      </c>
      <c r="D285" s="277" t="s">
        <v>243</v>
      </c>
      <c r="E285" s="141">
        <v>1100</v>
      </c>
      <c r="F285" s="278" t="s">
        <v>309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366</v>
      </c>
      <c r="C286" s="276" t="s">
        <v>30</v>
      </c>
      <c r="D286" s="277" t="s">
        <v>309</v>
      </c>
      <c r="E286" s="141">
        <v>1000</v>
      </c>
      <c r="F286" s="278" t="s">
        <v>309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367</v>
      </c>
      <c r="C287" s="276" t="s">
        <v>30</v>
      </c>
      <c r="D287" s="277" t="s">
        <v>244</v>
      </c>
      <c r="E287" s="141">
        <v>700</v>
      </c>
      <c r="F287" s="278" t="s">
        <v>309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368</v>
      </c>
      <c r="C288" s="276" t="s">
        <v>30</v>
      </c>
      <c r="D288" s="48" t="s">
        <v>244</v>
      </c>
      <c r="E288" s="166">
        <v>84</v>
      </c>
      <c r="F288" s="278" t="s">
        <v>309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31</v>
      </c>
      <c r="C289" s="276" t="s">
        <v>30</v>
      </c>
      <c r="D289" s="277" t="s">
        <v>244</v>
      </c>
      <c r="E289" s="166">
        <v>10780</v>
      </c>
      <c r="F289" s="278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81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369</v>
      </c>
      <c r="C516" s="219" t="s">
        <v>51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51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51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51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51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9" t="s">
        <v>51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9" t="s">
        <v>51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9" t="s">
        <v>51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51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51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51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51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51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9" t="s">
        <v>51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9" t="s">
        <v>51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9" t="s">
        <v>51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9" t="s">
        <v>51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9" t="s">
        <v>51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9" t="s">
        <v>51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389</v>
      </c>
      <c r="C535" s="219" t="s">
        <v>51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9" t="s">
        <v>51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9" t="s">
        <v>51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9" t="s">
        <v>51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96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81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2" t="s">
        <v>393</v>
      </c>
      <c r="C562" s="219" t="s">
        <v>33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394</v>
      </c>
      <c r="C563" s="219" t="s">
        <v>33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395</v>
      </c>
      <c r="C564" s="219" t="s">
        <v>33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396</v>
      </c>
      <c r="C565" s="219" t="s">
        <v>33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397</v>
      </c>
      <c r="C566" s="219" t="s">
        <v>33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398</v>
      </c>
      <c r="C567" s="219" t="s">
        <v>33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399</v>
      </c>
      <c r="C568" s="219" t="s">
        <v>33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400</v>
      </c>
      <c r="C569" s="219" t="s">
        <v>33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9" t="s">
        <v>33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9" t="s">
        <v>33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9" t="s">
        <v>33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9" t="s">
        <v>33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9" t="s">
        <v>33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9" t="s">
        <v>33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9" t="s">
        <v>33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9" t="s">
        <v>33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9" t="s">
        <v>33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9" t="s">
        <v>33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9" t="s">
        <v>33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9" t="s">
        <v>33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9" t="s">
        <v>33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9" t="s">
        <v>33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9" t="s">
        <v>33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9" t="s">
        <v>33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9" t="s">
        <v>33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9" t="s">
        <v>33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9" t="s">
        <v>33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9" t="s">
        <v>33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9" t="s">
        <v>33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9" t="s">
        <v>33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9" t="s">
        <v>33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9" t="s">
        <v>33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9" t="s">
        <v>33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9" t="s">
        <v>33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9" t="s">
        <v>33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9" t="s">
        <v>33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9" t="s">
        <v>33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9" t="s">
        <v>33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9" t="s">
        <v>33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9" t="s">
        <v>33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9" t="s">
        <v>33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9" t="s">
        <v>33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9" t="s">
        <v>33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9" t="s">
        <v>33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9" t="s">
        <v>33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9" t="s">
        <v>33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9" t="s">
        <v>33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9" t="s">
        <v>33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9" t="s">
        <v>33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9" t="s">
        <v>33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9" t="s">
        <v>33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9" t="s">
        <v>33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9" t="s">
        <v>33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9" t="s">
        <v>33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9" t="s">
        <v>33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9" t="s">
        <v>33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9" t="s">
        <v>33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9" t="s">
        <v>33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9" t="s">
        <v>33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9" t="s">
        <v>33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9" t="s">
        <v>33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9" t="s">
        <v>33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9" t="s">
        <v>33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9" t="s">
        <v>33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9" t="s">
        <v>33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33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33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33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33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33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33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33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33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33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33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33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33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33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33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33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33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33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33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33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33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33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33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33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33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33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33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33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33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33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33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33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33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33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33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33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33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33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33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33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33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33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33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33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33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36</v>
      </c>
      <c r="C671" s="219" t="s">
        <v>33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502</v>
      </c>
      <c r="C672" s="219" t="s">
        <v>33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503</v>
      </c>
      <c r="C673" s="219" t="s">
        <v>33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504</v>
      </c>
      <c r="C674" s="219" t="s">
        <v>33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505</v>
      </c>
      <c r="C675" s="219" t="s">
        <v>33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506</v>
      </c>
      <c r="C676" s="219" t="s">
        <v>33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507</v>
      </c>
      <c r="C677" s="219" t="s">
        <v>33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508</v>
      </c>
      <c r="C678" s="219" t="s">
        <v>33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509</v>
      </c>
      <c r="C679" s="219" t="s">
        <v>33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510</v>
      </c>
      <c r="C680" s="219" t="s">
        <v>33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511</v>
      </c>
      <c r="C681" s="219" t="s">
        <v>33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512</v>
      </c>
      <c r="C682" s="219" t="s">
        <v>33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513</v>
      </c>
      <c r="C683" s="219" t="s">
        <v>33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514</v>
      </c>
      <c r="C684" s="219" t="s">
        <v>33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515</v>
      </c>
      <c r="C685" s="219" t="s">
        <v>33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516</v>
      </c>
      <c r="C686" s="219" t="s">
        <v>33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517</v>
      </c>
      <c r="C687" s="219" t="s">
        <v>33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518</v>
      </c>
      <c r="C688" s="219" t="s">
        <v>33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519</v>
      </c>
      <c r="C689" s="219" t="s">
        <v>33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520</v>
      </c>
      <c r="C690" s="219" t="s">
        <v>33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521</v>
      </c>
      <c r="C691" s="219" t="s">
        <v>33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522</v>
      </c>
      <c r="C692" s="219" t="s">
        <v>33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523</v>
      </c>
      <c r="C693" s="219" t="s">
        <v>33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524</v>
      </c>
      <c r="C694" s="219" t="s">
        <v>33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525</v>
      </c>
      <c r="C695" s="219" t="s">
        <v>33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526</v>
      </c>
      <c r="C696" s="219" t="s">
        <v>33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527</v>
      </c>
      <c r="C697" s="219" t="s">
        <v>33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528</v>
      </c>
      <c r="C698" s="219" t="s">
        <v>33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529</v>
      </c>
      <c r="C699" s="219" t="s">
        <v>33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530</v>
      </c>
      <c r="C700" s="219" t="s">
        <v>33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531</v>
      </c>
      <c r="C701" s="219" t="s">
        <v>33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532</v>
      </c>
      <c r="C702" s="219" t="s">
        <v>33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533</v>
      </c>
      <c r="C703" s="219" t="s">
        <v>33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534</v>
      </c>
      <c r="C704" s="219" t="s">
        <v>33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535</v>
      </c>
      <c r="C705" s="219" t="s">
        <v>33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536</v>
      </c>
      <c r="C706" s="219" t="s">
        <v>33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537</v>
      </c>
      <c r="C707" s="219" t="s">
        <v>33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538</v>
      </c>
      <c r="C708" s="219" t="s">
        <v>33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539</v>
      </c>
      <c r="C709" s="219" t="s">
        <v>33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540</v>
      </c>
      <c r="C710" s="219" t="s">
        <v>33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541</v>
      </c>
      <c r="C711" s="219" t="s">
        <v>33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542</v>
      </c>
      <c r="C712" s="219" t="s">
        <v>33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543</v>
      </c>
      <c r="C713" s="219" t="s">
        <v>33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544</v>
      </c>
      <c r="C714" s="219" t="s">
        <v>33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545</v>
      </c>
      <c r="C715" s="219" t="s">
        <v>33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546</v>
      </c>
      <c r="C716" s="219" t="s">
        <v>33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547</v>
      </c>
      <c r="C717" s="219" t="s">
        <v>33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548</v>
      </c>
      <c r="C718" s="219" t="s">
        <v>33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549</v>
      </c>
      <c r="C719" s="219" t="s">
        <v>33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550</v>
      </c>
      <c r="C720" s="219" t="s">
        <v>33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551</v>
      </c>
      <c r="C721" s="219" t="s">
        <v>33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552</v>
      </c>
      <c r="C722" s="219" t="s">
        <v>33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553</v>
      </c>
      <c r="C723" s="219" t="s">
        <v>33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554</v>
      </c>
      <c r="C724" s="219" t="s">
        <v>33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555</v>
      </c>
      <c r="C725" s="219" t="s">
        <v>33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556</v>
      </c>
      <c r="C726" s="219" t="s">
        <v>33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557</v>
      </c>
      <c r="C727" s="219" t="s">
        <v>33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558</v>
      </c>
      <c r="C728" s="219" t="s">
        <v>33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559</v>
      </c>
      <c r="C729" s="219" t="s">
        <v>33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560</v>
      </c>
      <c r="C730" s="219" t="s">
        <v>33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561</v>
      </c>
      <c r="C731" s="219" t="s">
        <v>33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562</v>
      </c>
      <c r="C732" s="219" t="s">
        <v>33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563</v>
      </c>
      <c r="C733" s="219" t="s">
        <v>33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564</v>
      </c>
      <c r="C734" s="219" t="s">
        <v>33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565</v>
      </c>
      <c r="C735" s="219" t="s">
        <v>33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566</v>
      </c>
      <c r="C736" s="219" t="s">
        <v>33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567</v>
      </c>
      <c r="C737" s="219" t="s">
        <v>33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568</v>
      </c>
      <c r="C738" s="219" t="s">
        <v>33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569</v>
      </c>
      <c r="C739" s="219" t="s">
        <v>33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570</v>
      </c>
      <c r="C740" s="219" t="s">
        <v>33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571</v>
      </c>
      <c r="C741" s="219" t="s">
        <v>33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572</v>
      </c>
      <c r="C742" s="219" t="s">
        <v>33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573</v>
      </c>
      <c r="C743" s="219" t="s">
        <v>33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574</v>
      </c>
      <c r="C744" s="219" t="s">
        <v>33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575</v>
      </c>
      <c r="C745" s="219" t="s">
        <v>33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576</v>
      </c>
      <c r="C746" s="219" t="s">
        <v>33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577</v>
      </c>
      <c r="C747" s="219" t="s">
        <v>33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578</v>
      </c>
      <c r="C748" s="219" t="s">
        <v>33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579</v>
      </c>
      <c r="C749" s="219" t="s">
        <v>33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580</v>
      </c>
      <c r="C750" s="219" t="s">
        <v>33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581</v>
      </c>
      <c r="C751" s="219" t="s">
        <v>33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582</v>
      </c>
      <c r="C752" s="219" t="s">
        <v>33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583</v>
      </c>
      <c r="C753" s="219" t="s">
        <v>33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584</v>
      </c>
      <c r="C754" s="219" t="s">
        <v>33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585</v>
      </c>
      <c r="C755" s="219" t="s">
        <v>33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586</v>
      </c>
      <c r="C756" s="219" t="s">
        <v>33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587</v>
      </c>
      <c r="C757" s="219" t="s">
        <v>33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588</v>
      </c>
      <c r="C758" s="219" t="s">
        <v>33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589</v>
      </c>
      <c r="C759" s="219" t="s">
        <v>33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590</v>
      </c>
      <c r="C760" s="219" t="s">
        <v>33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591</v>
      </c>
      <c r="C761" s="219" t="s">
        <v>33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592</v>
      </c>
      <c r="C762" s="219" t="s">
        <v>33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593</v>
      </c>
      <c r="C763" s="219" t="s">
        <v>33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594</v>
      </c>
      <c r="C764" s="219" t="s">
        <v>33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595</v>
      </c>
      <c r="C765" s="219" t="s">
        <v>33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596</v>
      </c>
      <c r="C766" s="219" t="s">
        <v>33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597</v>
      </c>
      <c r="C767" s="219" t="s">
        <v>33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598</v>
      </c>
      <c r="C768" s="219" t="s">
        <v>33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599</v>
      </c>
      <c r="C769" s="219" t="s">
        <v>33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600</v>
      </c>
      <c r="C770" s="219" t="s">
        <v>33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601</v>
      </c>
      <c r="C771" s="219" t="s">
        <v>33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602</v>
      </c>
      <c r="C772" s="219" t="s">
        <v>33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603</v>
      </c>
      <c r="C773" s="219" t="s">
        <v>33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604</v>
      </c>
      <c r="C774" s="219" t="s">
        <v>33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605</v>
      </c>
      <c r="C775" s="219" t="s">
        <v>33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606</v>
      </c>
      <c r="C776" s="219" t="s">
        <v>33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607</v>
      </c>
      <c r="C777" s="219" t="s">
        <v>33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608</v>
      </c>
      <c r="C778" s="219" t="s">
        <v>33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609</v>
      </c>
      <c r="C779" s="219" t="s">
        <v>33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610</v>
      </c>
      <c r="C780" s="219" t="s">
        <v>33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611</v>
      </c>
      <c r="C781" s="219" t="s">
        <v>33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612</v>
      </c>
      <c r="C782" s="219" t="s">
        <v>33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613</v>
      </c>
      <c r="C783" s="219" t="s">
        <v>33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614</v>
      </c>
      <c r="C784" s="219" t="s">
        <v>33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615</v>
      </c>
      <c r="C785" s="219" t="s">
        <v>33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616</v>
      </c>
      <c r="C786" s="219" t="s">
        <v>33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617</v>
      </c>
      <c r="C787" s="219" t="s">
        <v>33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618</v>
      </c>
      <c r="C788" s="219" t="s">
        <v>33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619</v>
      </c>
      <c r="C789" s="219" t="s">
        <v>33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620</v>
      </c>
      <c r="C790" s="219" t="s">
        <v>33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621</v>
      </c>
      <c r="C791" s="219" t="s">
        <v>33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622</v>
      </c>
      <c r="C792" s="219" t="s">
        <v>33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623</v>
      </c>
      <c r="C793" s="219" t="s">
        <v>33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624</v>
      </c>
      <c r="C794" s="219" t="s">
        <v>33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625</v>
      </c>
      <c r="C795" s="219" t="s">
        <v>33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626</v>
      </c>
      <c r="C796" s="219" t="s">
        <v>33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627</v>
      </c>
      <c r="C797" s="219" t="s">
        <v>33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628</v>
      </c>
      <c r="C798" s="219" t="s">
        <v>33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629</v>
      </c>
      <c r="C799" s="219" t="s">
        <v>33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630</v>
      </c>
      <c r="C800" s="219" t="s">
        <v>33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631</v>
      </c>
      <c r="C801" s="219" t="s">
        <v>33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632</v>
      </c>
      <c r="C802" s="219" t="s">
        <v>33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633</v>
      </c>
      <c r="C803" s="219" t="s">
        <v>33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34</v>
      </c>
      <c r="C804" s="219" t="s">
        <v>33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19" t="s">
        <v>33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9" t="s">
        <v>33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19" t="s">
        <v>33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9" t="s">
        <v>33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9" t="s">
        <v>33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9" t="s">
        <v>33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9" t="s">
        <v>33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9" t="s">
        <v>33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33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19" t="s">
        <v>33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9" t="s">
        <v>33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9" t="s">
        <v>33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19" t="s">
        <v>33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19" t="s">
        <v>33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19" t="s">
        <v>33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33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19" t="s">
        <v>33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33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33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19" t="s">
        <v>33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33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19" t="s">
        <v>33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9" t="s">
        <v>33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19" t="s">
        <v>33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9" t="s">
        <v>33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9" t="s">
        <v>33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9" t="s">
        <v>33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9" t="s">
        <v>33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19" t="s">
        <v>33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9" t="s">
        <v>33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19" t="s">
        <v>33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9" t="s">
        <v>33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19" t="s">
        <v>33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19" t="s">
        <v>33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19" t="s">
        <v>33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9" t="s">
        <v>33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9" t="s">
        <v>33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33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33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19" t="s">
        <v>33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33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33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19" t="s">
        <v>33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33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33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33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33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33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9" t="s">
        <v>33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33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33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33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33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33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33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19" t="s">
        <v>33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19" t="s">
        <v>33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9" t="s">
        <v>33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9" t="s">
        <v>33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33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19" t="s">
        <v>33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9" t="s">
        <v>33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19" t="s">
        <v>33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9" t="s">
        <v>33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9" t="s">
        <v>33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9" t="s">
        <v>33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9" t="s">
        <v>33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9" t="s">
        <v>33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33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33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33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33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33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9" t="s">
        <v>33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33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33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33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33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33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33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33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33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33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33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19" t="s">
        <v>33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33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33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33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33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19" t="s">
        <v>33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19" t="s">
        <v>33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19" t="s">
        <v>33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19" t="s">
        <v>33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19" t="s">
        <v>33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19" t="s">
        <v>33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19" t="s">
        <v>33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19" t="s">
        <v>33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19" t="s">
        <v>33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19" t="s">
        <v>33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19" t="s">
        <v>33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19" t="s">
        <v>33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19" t="s">
        <v>33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19" t="s">
        <v>33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19" t="s">
        <v>33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19" t="s">
        <v>33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19" t="s">
        <v>33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740</v>
      </c>
      <c r="C911" s="219" t="s">
        <v>33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741</v>
      </c>
      <c r="C912" s="219" t="s">
        <v>33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742</v>
      </c>
      <c r="C913" s="219" t="s">
        <v>33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743</v>
      </c>
      <c r="C914" s="219" t="s">
        <v>33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744</v>
      </c>
      <c r="C915" s="219" t="s">
        <v>33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745</v>
      </c>
      <c r="C916" s="219" t="s">
        <v>33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746</v>
      </c>
      <c r="C917" s="219" t="s">
        <v>33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747</v>
      </c>
      <c r="C918" s="219" t="s">
        <v>33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748</v>
      </c>
      <c r="C919" s="219" t="s">
        <v>33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749</v>
      </c>
      <c r="C920" s="219" t="s">
        <v>33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750</v>
      </c>
      <c r="C921" s="219" t="s">
        <v>33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751</v>
      </c>
      <c r="C922" s="219" t="s">
        <v>33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752</v>
      </c>
      <c r="C923" s="219" t="s">
        <v>33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753</v>
      </c>
      <c r="C924" s="219" t="s">
        <v>33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754</v>
      </c>
      <c r="C925" s="219" t="s">
        <v>33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755</v>
      </c>
      <c r="C926" s="219" t="s">
        <v>33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756</v>
      </c>
      <c r="C927" s="219" t="s">
        <v>33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757</v>
      </c>
      <c r="C928" s="219" t="s">
        <v>33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758</v>
      </c>
      <c r="C929" s="219" t="s">
        <v>33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759</v>
      </c>
      <c r="C930" s="219" t="s">
        <v>33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760</v>
      </c>
      <c r="C931" s="219" t="s">
        <v>33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761</v>
      </c>
      <c r="C932" s="219" t="s">
        <v>33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762</v>
      </c>
      <c r="C933" s="219" t="s">
        <v>33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763</v>
      </c>
      <c r="C934" s="219" t="s">
        <v>33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764</v>
      </c>
      <c r="C935" s="219" t="s">
        <v>33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765</v>
      </c>
      <c r="C936" s="219" t="s">
        <v>33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766</v>
      </c>
      <c r="C937" s="219" t="s">
        <v>33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767</v>
      </c>
      <c r="C938" s="219" t="s">
        <v>33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768</v>
      </c>
      <c r="C939" s="219" t="s">
        <v>33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769</v>
      </c>
      <c r="C940" s="219" t="s">
        <v>33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770</v>
      </c>
      <c r="C941" s="219" t="s">
        <v>33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771</v>
      </c>
      <c r="C942" s="219" t="s">
        <v>33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772</v>
      </c>
      <c r="C943" s="219" t="s">
        <v>33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773</v>
      </c>
      <c r="C944" s="219" t="s">
        <v>33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774</v>
      </c>
      <c r="C945" s="219" t="s">
        <v>33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775</v>
      </c>
      <c r="C946" s="219" t="s">
        <v>33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776</v>
      </c>
      <c r="C947" s="219" t="s">
        <v>33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777</v>
      </c>
      <c r="C948" s="219" t="s">
        <v>33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778</v>
      </c>
      <c r="C949" s="219" t="s">
        <v>33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779</v>
      </c>
      <c r="C950" s="219" t="s">
        <v>33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780</v>
      </c>
      <c r="C951" s="219" t="s">
        <v>33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781</v>
      </c>
      <c r="C952" s="219" t="s">
        <v>33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35</v>
      </c>
      <c r="C953" s="219" t="s">
        <v>33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33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33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33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33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33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33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33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33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33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33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33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33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33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33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33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33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33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33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19" t="s">
        <v>33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19" t="s">
        <v>33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19" t="s">
        <v>33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19" t="s">
        <v>33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19" t="s">
        <v>33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19" t="s">
        <v>33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19" t="s">
        <v>33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19" t="s">
        <v>33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19" t="s">
        <v>33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19" t="s">
        <v>33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19" t="s">
        <v>33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96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81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811</v>
      </c>
      <c r="C1011" s="160" t="s">
        <v>27</v>
      </c>
      <c r="D1011" s="48" t="s">
        <v>244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27</v>
      </c>
      <c r="D1012" s="48" t="s">
        <v>244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27</v>
      </c>
      <c r="D1013" s="48" t="s">
        <v>244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27</v>
      </c>
      <c r="D1014" s="48" t="s">
        <v>244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27</v>
      </c>
      <c r="D1015" s="48" t="s">
        <v>243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27</v>
      </c>
      <c r="D1016" s="48" t="s">
        <v>243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28</v>
      </c>
      <c r="C1017" s="160" t="s">
        <v>27</v>
      </c>
      <c r="D1017" s="48" t="s">
        <v>244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817</v>
      </c>
      <c r="C1018" s="160" t="s">
        <v>27</v>
      </c>
      <c r="D1018" s="48" t="s">
        <v>244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818</v>
      </c>
      <c r="C1019" s="160" t="s">
        <v>27</v>
      </c>
      <c r="D1019" s="48" t="s">
        <v>243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819</v>
      </c>
      <c r="C1020" s="160" t="s">
        <v>27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820</v>
      </c>
      <c r="C1021" s="160" t="s">
        <v>27</v>
      </c>
      <c r="D1021" s="151" t="s">
        <v>244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821</v>
      </c>
      <c r="C1022" s="160" t="s">
        <v>27</v>
      </c>
      <c r="D1022" s="151" t="s">
        <v>244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27</v>
      </c>
      <c r="D1023" s="151" t="s">
        <v>244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27</v>
      </c>
      <c r="D1024" s="151" t="s">
        <v>244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824</v>
      </c>
      <c r="C1025" s="160" t="s">
        <v>27</v>
      </c>
      <c r="D1025" s="151" t="s">
        <v>244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825</v>
      </c>
      <c r="C1026" s="160" t="s">
        <v>27</v>
      </c>
      <c r="D1026" s="151" t="s">
        <v>244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27</v>
      </c>
      <c r="D1027" s="151" t="s">
        <v>244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27</v>
      </c>
      <c r="D1028" s="151" t="s">
        <v>244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27</v>
      </c>
      <c r="D1029" s="151" t="s">
        <v>244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27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29</v>
      </c>
      <c r="C1031" s="160" t="s">
        <v>27</v>
      </c>
      <c r="D1031" s="151" t="s">
        <v>244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830</v>
      </c>
      <c r="C1032" s="160" t="s">
        <v>27</v>
      </c>
      <c r="D1032" s="151" t="s">
        <v>244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831</v>
      </c>
      <c r="C1033" s="160" t="s">
        <v>27</v>
      </c>
      <c r="D1033" s="151" t="s">
        <v>244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27</v>
      </c>
      <c r="D1034" s="151" t="s">
        <v>244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27</v>
      </c>
      <c r="D1035" s="151" t="s">
        <v>244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834</v>
      </c>
      <c r="C1036" s="160" t="s">
        <v>27</v>
      </c>
      <c r="D1036" s="151" t="s">
        <v>243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835</v>
      </c>
      <c r="C1037" s="160" t="s">
        <v>27</v>
      </c>
      <c r="D1037" s="151" t="s">
        <v>243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836</v>
      </c>
      <c r="C1038" s="160" t="s">
        <v>27</v>
      </c>
      <c r="D1038" s="48" t="s">
        <v>243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837</v>
      </c>
      <c r="C1039" s="160" t="s">
        <v>27</v>
      </c>
      <c r="D1039" s="48" t="s">
        <v>244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838</v>
      </c>
      <c r="C1040" s="160" t="s">
        <v>27</v>
      </c>
      <c r="D1040" s="151" t="s">
        <v>243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839</v>
      </c>
      <c r="C1041" s="160" t="s">
        <v>27</v>
      </c>
      <c r="D1041" s="48" t="s">
        <v>243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840</v>
      </c>
      <c r="C1042" s="160" t="s">
        <v>27</v>
      </c>
      <c r="D1042" s="48" t="s">
        <v>243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841</v>
      </c>
      <c r="C1043" s="160" t="s">
        <v>27</v>
      </c>
      <c r="D1043" s="48" t="s">
        <v>244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81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30">
      <c r="A1067" s="83">
        <v>1</v>
      </c>
      <c r="B1067" s="206" t="s">
        <v>842</v>
      </c>
      <c r="C1067" s="219" t="s">
        <v>64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843</v>
      </c>
      <c r="C1068" s="219" t="s">
        <v>64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844</v>
      </c>
      <c r="C1069" s="219" t="s">
        <v>64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845</v>
      </c>
      <c r="C1070" s="219" t="s">
        <v>64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846</v>
      </c>
      <c r="C1071" s="219" t="s">
        <v>64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847</v>
      </c>
      <c r="C1072" s="219" t="s">
        <v>64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848</v>
      </c>
      <c r="C1073" s="219" t="s">
        <v>64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81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30">
      <c r="A1107" s="83">
        <v>1</v>
      </c>
      <c r="B1107" s="206" t="s">
        <v>849</v>
      </c>
      <c r="C1107" s="37" t="s">
        <v>850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851</v>
      </c>
      <c r="C1108" s="37" t="s">
        <v>850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852</v>
      </c>
      <c r="C1109" s="37" t="s">
        <v>850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853</v>
      </c>
      <c r="C1110" s="37" t="s">
        <v>850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854</v>
      </c>
      <c r="C1111" s="37" t="s">
        <v>850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855</v>
      </c>
      <c r="C1112" s="37" t="s">
        <v>850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856</v>
      </c>
      <c r="C1113" s="37" t="s">
        <v>850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857</v>
      </c>
      <c r="C1114" s="37" t="s">
        <v>850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858</v>
      </c>
      <c r="C1115" s="37" t="s">
        <v>850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859</v>
      </c>
      <c r="C1116" s="37" t="s">
        <v>850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860</v>
      </c>
      <c r="C1117" s="37" t="s">
        <v>850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861</v>
      </c>
      <c r="C1118" s="37" t="s">
        <v>850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862</v>
      </c>
      <c r="C1119" s="37" t="s">
        <v>850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863</v>
      </c>
      <c r="C1120" s="37" t="s">
        <v>850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864</v>
      </c>
      <c r="C1121" s="37" t="s">
        <v>850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865</v>
      </c>
      <c r="C1122" s="37" t="s">
        <v>850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866</v>
      </c>
      <c r="C1123" s="37" t="s">
        <v>850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867</v>
      </c>
      <c r="C1124" s="37" t="s">
        <v>850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868</v>
      </c>
      <c r="C1125" s="37" t="s">
        <v>850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869</v>
      </c>
      <c r="C1126" s="37" t="s">
        <v>850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870</v>
      </c>
      <c r="C1127" s="37" t="s">
        <v>850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871</v>
      </c>
      <c r="C1128" s="37" t="s">
        <v>850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872</v>
      </c>
      <c r="C1129" s="37" t="s">
        <v>850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873</v>
      </c>
      <c r="C1130" s="37" t="s">
        <v>850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874</v>
      </c>
      <c r="C1131" s="37" t="s">
        <v>850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875</v>
      </c>
      <c r="C1132" s="275" t="s">
        <v>850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876</v>
      </c>
      <c r="C1133" s="276" t="s">
        <v>850</v>
      </c>
      <c r="D1133" s="277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877</v>
      </c>
      <c r="C1134" s="276" t="s">
        <v>850</v>
      </c>
      <c r="D1134" s="277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878</v>
      </c>
      <c r="C1135" s="276" t="s">
        <v>850</v>
      </c>
      <c r="D1135" s="277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879</v>
      </c>
      <c r="C1136" s="276" t="s">
        <v>850</v>
      </c>
      <c r="D1136" s="277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880</v>
      </c>
      <c r="C1137" s="276" t="s">
        <v>850</v>
      </c>
      <c r="D1137" s="277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881</v>
      </c>
      <c r="C1138" s="276" t="s">
        <v>850</v>
      </c>
      <c r="D1138" s="277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882</v>
      </c>
      <c r="C1139" s="276" t="s">
        <v>850</v>
      </c>
      <c r="D1139" s="277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883</v>
      </c>
      <c r="C1140" s="276" t="s">
        <v>850</v>
      </c>
      <c r="D1140" s="277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884</v>
      </c>
      <c r="C1141" s="276" t="s">
        <v>850</v>
      </c>
      <c r="D1141" s="277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885</v>
      </c>
      <c r="C1142" s="276" t="s">
        <v>850</v>
      </c>
      <c r="D1142" s="277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886</v>
      </c>
      <c r="C1143" s="276" t="s">
        <v>850</v>
      </c>
      <c r="D1143" s="277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887</v>
      </c>
      <c r="C1144" s="276" t="s">
        <v>850</v>
      </c>
      <c r="D1144" s="277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888</v>
      </c>
      <c r="C1145" s="276" t="s">
        <v>850</v>
      </c>
      <c r="D1145" s="277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889</v>
      </c>
      <c r="C1146" s="276" t="s">
        <v>850</v>
      </c>
      <c r="D1146" s="277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890</v>
      </c>
      <c r="C1147" s="276" t="s">
        <v>850</v>
      </c>
      <c r="D1147" s="277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891</v>
      </c>
      <c r="C1148" s="276" t="s">
        <v>850</v>
      </c>
      <c r="D1148" s="277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892</v>
      </c>
      <c r="C1149" s="276" t="s">
        <v>850</v>
      </c>
      <c r="D1149" s="277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893</v>
      </c>
      <c r="C1150" s="276" t="s">
        <v>850</v>
      </c>
      <c r="D1150" s="277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894</v>
      </c>
      <c r="C1151" s="276" t="s">
        <v>850</v>
      </c>
      <c r="D1151" s="277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895</v>
      </c>
      <c r="C1152" s="276" t="s">
        <v>850</v>
      </c>
      <c r="D1152" s="277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896</v>
      </c>
      <c r="C1153" s="276" t="s">
        <v>850</v>
      </c>
      <c r="D1153" s="277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897</v>
      </c>
      <c r="C1154" s="276" t="s">
        <v>850</v>
      </c>
      <c r="D1154" s="277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898</v>
      </c>
      <c r="C1155" s="276" t="s">
        <v>850</v>
      </c>
      <c r="D1155" s="277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899</v>
      </c>
      <c r="C1156" s="276" t="s">
        <v>850</v>
      </c>
      <c r="D1156" s="277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900</v>
      </c>
      <c r="C1157" s="276" t="s">
        <v>850</v>
      </c>
      <c r="D1157" s="277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901</v>
      </c>
      <c r="C1158" s="276" t="s">
        <v>850</v>
      </c>
      <c r="D1158" s="277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902</v>
      </c>
      <c r="C1159" s="276" t="s">
        <v>850</v>
      </c>
      <c r="D1159" s="277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903</v>
      </c>
      <c r="C1160" s="276" t="s">
        <v>850</v>
      </c>
      <c r="D1160" s="277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904</v>
      </c>
      <c r="C1161" s="276" t="s">
        <v>850</v>
      </c>
      <c r="D1161" s="277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905</v>
      </c>
      <c r="C1162" s="276" t="s">
        <v>850</v>
      </c>
      <c r="D1162" s="277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906</v>
      </c>
      <c r="C1163" s="276" t="s">
        <v>850</v>
      </c>
      <c r="D1163" s="277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907</v>
      </c>
      <c r="C1164" s="276" t="s">
        <v>850</v>
      </c>
      <c r="D1164" s="277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908</v>
      </c>
      <c r="C1165" s="276" t="s">
        <v>850</v>
      </c>
      <c r="D1165" s="277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909</v>
      </c>
      <c r="C1166" s="276" t="s">
        <v>850</v>
      </c>
      <c r="D1166" s="277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910</v>
      </c>
      <c r="C1167" s="276" t="s">
        <v>850</v>
      </c>
      <c r="D1167" s="277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911</v>
      </c>
      <c r="C1168" s="276" t="s">
        <v>850</v>
      </c>
      <c r="D1168" s="277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912</v>
      </c>
      <c r="C1169" s="276" t="s">
        <v>850</v>
      </c>
      <c r="D1169" s="277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913</v>
      </c>
      <c r="C1170" s="276" t="s">
        <v>850</v>
      </c>
      <c r="D1170" s="277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914</v>
      </c>
      <c r="C1171" s="276" t="s">
        <v>850</v>
      </c>
      <c r="D1171" s="277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915</v>
      </c>
      <c r="C1172" s="276" t="s">
        <v>850</v>
      </c>
      <c r="D1172" s="277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916</v>
      </c>
      <c r="C1173" s="276" t="s">
        <v>850</v>
      </c>
      <c r="D1173" s="277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917</v>
      </c>
      <c r="C1174" s="276" t="s">
        <v>850</v>
      </c>
      <c r="D1174" s="277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918</v>
      </c>
      <c r="C1175" s="276" t="s">
        <v>850</v>
      </c>
      <c r="D1175" s="277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919</v>
      </c>
      <c r="C1176" s="276" t="s">
        <v>850</v>
      </c>
      <c r="D1176" s="277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920</v>
      </c>
      <c r="C1177" s="276" t="s">
        <v>850</v>
      </c>
      <c r="D1177" s="277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921</v>
      </c>
      <c r="C1178" s="276" t="s">
        <v>850</v>
      </c>
      <c r="D1178" s="277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922</v>
      </c>
      <c r="C1179" s="276" t="s">
        <v>850</v>
      </c>
      <c r="D1179" s="277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923</v>
      </c>
      <c r="C1180" s="276" t="s">
        <v>850</v>
      </c>
      <c r="D1180" s="277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924</v>
      </c>
      <c r="C1181" s="276" t="s">
        <v>850</v>
      </c>
      <c r="D1181" s="277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925</v>
      </c>
      <c r="C1182" s="276" t="s">
        <v>850</v>
      </c>
      <c r="D1182" s="277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926</v>
      </c>
      <c r="C1183" s="276" t="s">
        <v>850</v>
      </c>
      <c r="D1183" s="277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927</v>
      </c>
      <c r="C1184" s="276" t="s">
        <v>850</v>
      </c>
      <c r="D1184" s="277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928</v>
      </c>
      <c r="C1185" s="276" t="s">
        <v>850</v>
      </c>
      <c r="D1185" s="277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929</v>
      </c>
      <c r="C1186" s="276" t="s">
        <v>850</v>
      </c>
      <c r="D1186" s="277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930</v>
      </c>
      <c r="C1187" s="276" t="s">
        <v>850</v>
      </c>
      <c r="D1187" s="277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931</v>
      </c>
      <c r="C1188" s="276" t="s">
        <v>850</v>
      </c>
      <c r="D1188" s="277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932</v>
      </c>
      <c r="C1189" s="276" t="s">
        <v>850</v>
      </c>
      <c r="D1189" s="277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933</v>
      </c>
      <c r="C1190" s="276" t="s">
        <v>850</v>
      </c>
      <c r="D1190" s="277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934</v>
      </c>
      <c r="C1191" s="276" t="s">
        <v>850</v>
      </c>
      <c r="D1191" s="277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935</v>
      </c>
      <c r="C1192" s="276" t="s">
        <v>850</v>
      </c>
      <c r="D1192" s="277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936</v>
      </c>
      <c r="C1193" s="276" t="s">
        <v>850</v>
      </c>
      <c r="D1193" s="277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937</v>
      </c>
      <c r="C1194" s="276" t="s">
        <v>850</v>
      </c>
      <c r="D1194" s="277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938</v>
      </c>
      <c r="C1195" s="276" t="s">
        <v>850</v>
      </c>
      <c r="D1195" s="277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939</v>
      </c>
      <c r="C1196" s="276" t="s">
        <v>850</v>
      </c>
      <c r="D1196" s="277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940</v>
      </c>
      <c r="C1197" s="276" t="s">
        <v>850</v>
      </c>
      <c r="D1197" s="277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941</v>
      </c>
      <c r="C1198" s="276" t="s">
        <v>850</v>
      </c>
      <c r="D1198" s="277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942</v>
      </c>
      <c r="C1199" s="276" t="s">
        <v>850</v>
      </c>
      <c r="D1199" s="277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943</v>
      </c>
      <c r="C1200" s="276" t="s">
        <v>850</v>
      </c>
      <c r="D1200" s="277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944</v>
      </c>
      <c r="C1201" s="276" t="s">
        <v>850</v>
      </c>
      <c r="D1201" s="277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945</v>
      </c>
      <c r="C1202" s="276" t="s">
        <v>850</v>
      </c>
      <c r="D1202" s="277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946</v>
      </c>
      <c r="C1203" s="276" t="s">
        <v>850</v>
      </c>
      <c r="D1203" s="277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947</v>
      </c>
      <c r="C1204" s="276" t="s">
        <v>850</v>
      </c>
      <c r="D1204" s="277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948</v>
      </c>
      <c r="C1205" s="276" t="s">
        <v>850</v>
      </c>
      <c r="D1205" s="277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949</v>
      </c>
      <c r="C1206" s="276" t="s">
        <v>850</v>
      </c>
      <c r="D1206" s="277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950</v>
      </c>
      <c r="C1207" s="276" t="s">
        <v>850</v>
      </c>
      <c r="D1207" s="277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951</v>
      </c>
      <c r="C1208" s="276" t="s">
        <v>850</v>
      </c>
      <c r="D1208" s="277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952</v>
      </c>
      <c r="C1209" s="276" t="s">
        <v>850</v>
      </c>
      <c r="D1209" s="277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953</v>
      </c>
      <c r="C1210" s="276" t="s">
        <v>850</v>
      </c>
      <c r="D1210" s="277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954</v>
      </c>
      <c r="C1211" s="276" t="s">
        <v>850</v>
      </c>
      <c r="D1211" s="277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955</v>
      </c>
      <c r="C1212" s="276" t="s">
        <v>850</v>
      </c>
      <c r="D1212" s="277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956</v>
      </c>
      <c r="C1213" s="276" t="s">
        <v>850</v>
      </c>
      <c r="D1213" s="277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957</v>
      </c>
      <c r="C1214" s="276" t="s">
        <v>850</v>
      </c>
      <c r="D1214" s="277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958</v>
      </c>
      <c r="C1215" s="276" t="s">
        <v>850</v>
      </c>
      <c r="D1215" s="277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959</v>
      </c>
      <c r="C1216" s="276" t="s">
        <v>850</v>
      </c>
      <c r="D1216" s="277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960</v>
      </c>
      <c r="C1217" s="276" t="s">
        <v>850</v>
      </c>
      <c r="D1217" s="277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961</v>
      </c>
      <c r="C1218" s="276" t="s">
        <v>850</v>
      </c>
      <c r="D1218" s="277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962</v>
      </c>
      <c r="C1219" s="276" t="s">
        <v>850</v>
      </c>
      <c r="D1219" s="277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963</v>
      </c>
      <c r="C1220" s="276" t="s">
        <v>850</v>
      </c>
      <c r="D1220" s="277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964</v>
      </c>
      <c r="C1221" s="276" t="s">
        <v>850</v>
      </c>
      <c r="D1221" s="277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965</v>
      </c>
      <c r="C1222" s="276" t="s">
        <v>850</v>
      </c>
      <c r="D1222" s="277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966</v>
      </c>
      <c r="C1223" s="276" t="s">
        <v>850</v>
      </c>
      <c r="D1223" s="277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967</v>
      </c>
      <c r="C1224" s="276" t="s">
        <v>850</v>
      </c>
      <c r="D1224" s="277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968</v>
      </c>
      <c r="C1225" s="276" t="s">
        <v>850</v>
      </c>
      <c r="D1225" s="277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969</v>
      </c>
      <c r="C1226" s="276" t="s">
        <v>850</v>
      </c>
      <c r="D1226" s="277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970</v>
      </c>
      <c r="C1227" s="276" t="s">
        <v>850</v>
      </c>
      <c r="D1227" s="277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971</v>
      </c>
      <c r="C1228" s="276" t="s">
        <v>850</v>
      </c>
      <c r="D1228" s="277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972</v>
      </c>
      <c r="C1229" s="276" t="s">
        <v>850</v>
      </c>
      <c r="D1229" s="277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973</v>
      </c>
      <c r="C1230" s="276" t="s">
        <v>850</v>
      </c>
      <c r="D1230" s="277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974</v>
      </c>
      <c r="C1231" s="276" t="s">
        <v>850</v>
      </c>
      <c r="D1231" s="277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975</v>
      </c>
      <c r="C1232" s="276" t="s">
        <v>850</v>
      </c>
      <c r="D1232" s="277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976</v>
      </c>
      <c r="C1233" s="276" t="s">
        <v>850</v>
      </c>
      <c r="D1233" s="277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977</v>
      </c>
      <c r="C1234" s="276" t="s">
        <v>850</v>
      </c>
      <c r="D1234" s="277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978</v>
      </c>
      <c r="C1235" s="276" t="s">
        <v>850</v>
      </c>
      <c r="D1235" s="277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979</v>
      </c>
      <c r="C1236" s="276" t="s">
        <v>850</v>
      </c>
      <c r="D1236" s="277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980</v>
      </c>
      <c r="C1237" s="276" t="s">
        <v>850</v>
      </c>
      <c r="D1237" s="277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981</v>
      </c>
      <c r="C1238" s="276" t="s">
        <v>850</v>
      </c>
      <c r="D1238" s="277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982</v>
      </c>
      <c r="C1239" s="276" t="s">
        <v>850</v>
      </c>
      <c r="D1239" s="277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983</v>
      </c>
      <c r="C1240" s="276" t="s">
        <v>850</v>
      </c>
      <c r="D1240" s="277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984</v>
      </c>
      <c r="C1241" s="276" t="s">
        <v>850</v>
      </c>
      <c r="D1241" s="277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985</v>
      </c>
      <c r="C1242" s="276" t="s">
        <v>850</v>
      </c>
      <c r="D1242" s="277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986</v>
      </c>
      <c r="C1243" s="276" t="s">
        <v>850</v>
      </c>
      <c r="D1243" s="277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987</v>
      </c>
      <c r="C1244" s="276" t="s">
        <v>850</v>
      </c>
      <c r="D1244" s="277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988</v>
      </c>
      <c r="C1245" s="276" t="s">
        <v>850</v>
      </c>
      <c r="D1245" s="277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989</v>
      </c>
      <c r="C1246" s="276" t="s">
        <v>850</v>
      </c>
      <c r="D1246" s="277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990</v>
      </c>
      <c r="C1247" s="276" t="s">
        <v>850</v>
      </c>
      <c r="D1247" s="277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991</v>
      </c>
      <c r="C1248" s="276" t="s">
        <v>850</v>
      </c>
      <c r="D1248" s="277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992</v>
      </c>
      <c r="C1249" s="276" t="s">
        <v>850</v>
      </c>
      <c r="D1249" s="277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993</v>
      </c>
      <c r="C1250" s="276" t="s">
        <v>850</v>
      </c>
      <c r="D1250" s="277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994</v>
      </c>
      <c r="C1251" s="276" t="s">
        <v>850</v>
      </c>
      <c r="D1251" s="277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995</v>
      </c>
      <c r="C1252" s="276" t="s">
        <v>850</v>
      </c>
      <c r="D1252" s="277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996</v>
      </c>
      <c r="C1253" s="276" t="s">
        <v>850</v>
      </c>
      <c r="D1253" s="277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997</v>
      </c>
      <c r="C1254" s="276" t="s">
        <v>850</v>
      </c>
      <c r="D1254" s="277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998</v>
      </c>
      <c r="C1255" s="276" t="s">
        <v>850</v>
      </c>
      <c r="D1255" s="277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999</v>
      </c>
      <c r="C1256" s="276" t="s">
        <v>850</v>
      </c>
      <c r="D1256" s="277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1000</v>
      </c>
      <c r="C1257" s="276" t="s">
        <v>850</v>
      </c>
      <c r="D1257" s="277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1001</v>
      </c>
      <c r="C1258" s="276" t="s">
        <v>850</v>
      </c>
      <c r="D1258" s="277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1002</v>
      </c>
      <c r="C1259" s="276" t="s">
        <v>850</v>
      </c>
      <c r="D1259" s="277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1003</v>
      </c>
      <c r="C1260" s="276" t="s">
        <v>850</v>
      </c>
      <c r="D1260" s="277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1004</v>
      </c>
      <c r="C1261" s="276" t="s">
        <v>850</v>
      </c>
      <c r="D1261" s="277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1005</v>
      </c>
      <c r="C1262" s="276" t="s">
        <v>850</v>
      </c>
      <c r="D1262" s="277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1006</v>
      </c>
      <c r="C1263" s="276" t="s">
        <v>850</v>
      </c>
      <c r="D1263" s="277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1007</v>
      </c>
      <c r="C1264" s="276" t="s">
        <v>850</v>
      </c>
      <c r="D1264" s="277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1008</v>
      </c>
      <c r="C1265" s="276" t="s">
        <v>850</v>
      </c>
      <c r="D1265" s="277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1009</v>
      </c>
      <c r="C1266" s="276" t="s">
        <v>850</v>
      </c>
      <c r="D1266" s="277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1010</v>
      </c>
      <c r="C1267" s="276" t="s">
        <v>850</v>
      </c>
      <c r="D1267" s="277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1011</v>
      </c>
      <c r="C1268" s="276" t="s">
        <v>850</v>
      </c>
      <c r="D1268" s="277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1012</v>
      </c>
      <c r="C1269" s="276" t="s">
        <v>850</v>
      </c>
      <c r="D1269" s="277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1013</v>
      </c>
      <c r="C1270" s="276" t="s">
        <v>850</v>
      </c>
      <c r="D1270" s="277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1014</v>
      </c>
      <c r="C1271" s="276" t="s">
        <v>850</v>
      </c>
      <c r="D1271" s="277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1015</v>
      </c>
      <c r="C1272" s="276" t="s">
        <v>850</v>
      </c>
      <c r="D1272" s="277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1016</v>
      </c>
      <c r="C1273" s="276" t="s">
        <v>850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1017</v>
      </c>
      <c r="C1274" s="276" t="s">
        <v>850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1018</v>
      </c>
      <c r="C1275" s="276" t="s">
        <v>850</v>
      </c>
      <c r="D1275" s="277" t="s">
        <v>1019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1020</v>
      </c>
      <c r="C1276" s="276" t="s">
        <v>850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1021</v>
      </c>
      <c r="C1277" s="276" t="s">
        <v>850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1022</v>
      </c>
      <c r="C1278" s="276" t="s">
        <v>850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1023</v>
      </c>
      <c r="C1279" s="276" t="s">
        <v>850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1024</v>
      </c>
      <c r="C1280" s="276" t="s">
        <v>850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1025</v>
      </c>
      <c r="C1281" s="276" t="s">
        <v>850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1026</v>
      </c>
      <c r="C1282" s="276" t="s">
        <v>850</v>
      </c>
      <c r="D1282" s="277" t="s">
        <v>1019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1027</v>
      </c>
      <c r="C1283" s="276" t="s">
        <v>850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1027</v>
      </c>
      <c r="C1284" s="276" t="s">
        <v>850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1028</v>
      </c>
      <c r="C1285" s="276" t="s">
        <v>850</v>
      </c>
      <c r="D1285" s="277" t="s">
        <v>1029</v>
      </c>
      <c r="E1285" s="141">
        <v>10166.700000000001</v>
      </c>
      <c r="F1285" s="278" t="s">
        <v>1029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1030</v>
      </c>
      <c r="C1286" s="276" t="s">
        <v>850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1031</v>
      </c>
      <c r="C1287" s="276" t="s">
        <v>850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1032</v>
      </c>
      <c r="C1288" s="276" t="s">
        <v>850</v>
      </c>
      <c r="D1288" s="277" t="s">
        <v>209</v>
      </c>
      <c r="E1288" s="141">
        <v>62000</v>
      </c>
      <c r="F1288" s="278" t="s">
        <v>209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1033</v>
      </c>
      <c r="C1289" s="276" t="s">
        <v>850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1034</v>
      </c>
      <c r="C1290" s="276" t="s">
        <v>850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96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81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1035</v>
      </c>
      <c r="C1328" s="37" t="s">
        <v>1036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1036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1036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1036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1036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1036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1036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1036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1036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1036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1036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1036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1036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1036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1036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1036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1036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1036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1036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1036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1056</v>
      </c>
      <c r="C1348" s="37" t="s">
        <v>1036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1036</v>
      </c>
      <c r="D1349" s="48" t="s">
        <v>1058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1036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1036</v>
      </c>
      <c r="D1351" s="48" t="s">
        <v>1062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1036</v>
      </c>
      <c r="D1352" s="48" t="s">
        <v>1060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1036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1036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1036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1036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1070</v>
      </c>
      <c r="C1357" s="37" t="s">
        <v>1036</v>
      </c>
      <c r="D1357" s="98" t="s">
        <v>361</v>
      </c>
      <c r="E1357" s="43"/>
      <c r="F1357" s="98" t="s">
        <v>361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1071</v>
      </c>
      <c r="C1358" s="37" t="s">
        <v>1036</v>
      </c>
      <c r="D1358" s="98" t="s">
        <v>361</v>
      </c>
      <c r="E1358" s="43"/>
      <c r="F1358" s="98" t="s">
        <v>361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1072</v>
      </c>
      <c r="C1359" s="37" t="s">
        <v>1036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1036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1036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1036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1036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1036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1036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1036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1036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1036</v>
      </c>
      <c r="D1368" s="48" t="s">
        <v>1082</v>
      </c>
      <c r="E1368" s="43">
        <v>23233.4</v>
      </c>
      <c r="F1368" s="188" t="s">
        <v>1029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1036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1036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1036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1036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1036</v>
      </c>
      <c r="D1373" s="297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1088</v>
      </c>
      <c r="C1374" s="161" t="s">
        <v>1036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1089</v>
      </c>
      <c r="C1375" s="161" t="s">
        <v>1036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1090</v>
      </c>
      <c r="C1376" s="161" t="s">
        <v>1036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1091</v>
      </c>
      <c r="C1377" s="161" t="s">
        <v>1036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1092</v>
      </c>
      <c r="C1378" s="161" t="s">
        <v>1036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1093</v>
      </c>
      <c r="C1379" s="37" t="s">
        <v>1036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1094</v>
      </c>
      <c r="C1380" s="219" t="s">
        <v>1036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1095</v>
      </c>
      <c r="C1381" s="219" t="s">
        <v>1036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1096</v>
      </c>
      <c r="C1382" s="221" t="s">
        <v>1036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1036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1098</v>
      </c>
      <c r="C1384" s="219" t="s">
        <v>1036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1099</v>
      </c>
      <c r="C1385" s="219" t="s">
        <v>1036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1100</v>
      </c>
      <c r="C1386" s="219" t="s">
        <v>1036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1101</v>
      </c>
      <c r="C1387" s="219" t="s">
        <v>1036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1102</v>
      </c>
      <c r="C1388" s="219" t="s">
        <v>1036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1103</v>
      </c>
      <c r="C1389" s="219" t="s">
        <v>1036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1104</v>
      </c>
      <c r="C1390" s="219" t="s">
        <v>1036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1105</v>
      </c>
      <c r="C1391" s="219" t="s">
        <v>1036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1106</v>
      </c>
      <c r="C1392" s="219" t="s">
        <v>1036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1107</v>
      </c>
      <c r="C1393" s="219" t="s">
        <v>1036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1108</v>
      </c>
      <c r="C1394" s="219" t="s">
        <v>1036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1109</v>
      </c>
      <c r="C1395" s="219" t="s">
        <v>1036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1110</v>
      </c>
      <c r="C1396" s="219" t="s">
        <v>1036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1111</v>
      </c>
      <c r="C1397" s="219" t="s">
        <v>1036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1112</v>
      </c>
      <c r="C1398" s="219" t="s">
        <v>1036</v>
      </c>
      <c r="D1398" s="248" t="s">
        <v>1113</v>
      </c>
      <c r="E1398" s="166">
        <v>74866.666666666672</v>
      </c>
      <c r="F1398" s="193" t="s">
        <v>1113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1114</v>
      </c>
      <c r="C1399" s="219" t="s">
        <v>1036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1115</v>
      </c>
      <c r="C1400" s="219" t="s">
        <v>1036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1116</v>
      </c>
      <c r="C1401" s="219" t="s">
        <v>1036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1117</v>
      </c>
      <c r="C1402" s="219" t="s">
        <v>1036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1118</v>
      </c>
      <c r="C1403" s="219" t="s">
        <v>1036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1119</v>
      </c>
      <c r="C1404" s="219" t="s">
        <v>1036</v>
      </c>
      <c r="D1404" s="248" t="s">
        <v>177</v>
      </c>
      <c r="E1404" s="166">
        <v>3200</v>
      </c>
      <c r="F1404" s="193" t="s">
        <v>177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1120</v>
      </c>
      <c r="C1405" s="219" t="s">
        <v>1036</v>
      </c>
      <c r="D1405" s="248" t="s">
        <v>219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1121</v>
      </c>
      <c r="C1406" s="221" t="s">
        <v>1036</v>
      </c>
      <c r="D1406" s="10" t="s">
        <v>361</v>
      </c>
      <c r="E1406" s="222"/>
      <c r="F1406" s="293" t="s">
        <v>361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1122</v>
      </c>
      <c r="C1407" s="219" t="s">
        <v>1036</v>
      </c>
      <c r="D1407" s="10" t="s">
        <v>361</v>
      </c>
      <c r="E1407" s="166"/>
      <c r="F1407" s="10" t="s">
        <v>361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1123</v>
      </c>
      <c r="C1408" s="219" t="s">
        <v>1036</v>
      </c>
      <c r="D1408" s="10" t="s">
        <v>361</v>
      </c>
      <c r="E1408" s="166"/>
      <c r="F1408" s="10" t="s">
        <v>361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1124</v>
      </c>
      <c r="C1409" s="219" t="s">
        <v>1036</v>
      </c>
      <c r="D1409" s="10" t="s">
        <v>361</v>
      </c>
      <c r="E1409" s="166"/>
      <c r="F1409" s="10" t="s">
        <v>361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1125</v>
      </c>
      <c r="C1410" s="219" t="s">
        <v>1036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1126</v>
      </c>
      <c r="C1411" s="219" t="s">
        <v>1036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1127</v>
      </c>
      <c r="C1412" s="219" t="s">
        <v>1036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1128</v>
      </c>
      <c r="C1413" s="219" t="s">
        <v>1036</v>
      </c>
      <c r="D1413" s="10" t="s">
        <v>361</v>
      </c>
      <c r="E1413" s="166"/>
      <c r="F1413" s="10" t="s">
        <v>361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1129</v>
      </c>
      <c r="C1414" s="219" t="s">
        <v>1036</v>
      </c>
      <c r="D1414" s="10" t="s">
        <v>361</v>
      </c>
      <c r="E1414" s="166"/>
      <c r="F1414" s="10" t="s">
        <v>361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1130</v>
      </c>
      <c r="C1415" s="221" t="s">
        <v>1036</v>
      </c>
      <c r="D1415" s="10" t="s">
        <v>361</v>
      </c>
      <c r="E1415" s="222"/>
      <c r="F1415" s="10" t="s">
        <v>361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96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81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1131</v>
      </c>
      <c r="C1428" s="219" t="s">
        <v>61</v>
      </c>
      <c r="D1428" s="235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61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61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61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61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61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61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61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61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61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61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61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61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61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61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61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61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19" t="s">
        <v>61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19" t="s">
        <v>61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61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61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61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61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61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61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61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61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61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61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61</v>
      </c>
      <c r="D1457" s="48" t="s">
        <v>1067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61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61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61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61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61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61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61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61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61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61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61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61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61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61</v>
      </c>
      <c r="D1471" s="48" t="s">
        <v>241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61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61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61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61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61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61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61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61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61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61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61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61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61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61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61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61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61</v>
      </c>
      <c r="D1488" s="48" t="s">
        <v>1067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61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61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61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61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61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61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61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61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61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61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61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61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61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61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61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61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61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61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61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61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61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1036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96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81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1029</v>
      </c>
      <c r="E1541" s="94"/>
      <c r="F1541" s="198" t="s">
        <v>1029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1029</v>
      </c>
      <c r="E1544" s="94"/>
      <c r="F1544" s="198" t="s">
        <v>1029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1029</v>
      </c>
      <c r="E1550" s="94"/>
      <c r="F1550" s="198" t="s">
        <v>1029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1029</v>
      </c>
      <c r="E1562" s="94"/>
      <c r="F1562" s="197" t="s">
        <v>1029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1029</v>
      </c>
      <c r="E1565" s="94"/>
      <c r="F1565" s="197" t="s">
        <v>1029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1029</v>
      </c>
      <c r="E1566" s="94"/>
      <c r="F1566" s="198" t="s">
        <v>1029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1019</v>
      </c>
      <c r="E1569" s="162">
        <v>205766.7</v>
      </c>
      <c r="F1569" s="198" t="s">
        <v>1019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1029</v>
      </c>
      <c r="E1570" s="94"/>
      <c r="F1570" s="198" t="s">
        <v>1029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25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45</v>
      </c>
    </row>
    <row r="3" spans="1:13" outlineLevel="1">
      <c r="A3" s="3" t="s">
        <v>1318</v>
      </c>
      <c r="B3" s="5" t="s">
        <v>219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51</v>
      </c>
    </row>
    <row r="4" spans="1:13" ht="30" outlineLevel="1">
      <c r="A4" s="2" t="s">
        <v>1323</v>
      </c>
      <c r="B4" s="5" t="s">
        <v>309</v>
      </c>
      <c r="D4" s="267" t="s">
        <v>15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33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850</v>
      </c>
    </row>
    <row r="6" spans="1:13" outlineLevel="1">
      <c r="A6" s="2" t="s">
        <v>326</v>
      </c>
      <c r="B6" s="5" t="s">
        <v>326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1036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30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27</v>
      </c>
    </row>
    <row r="9" spans="1:13" outlineLevel="1">
      <c r="A9" s="2" t="s">
        <v>1347</v>
      </c>
      <c r="B9" s="5" t="s">
        <v>1200</v>
      </c>
      <c r="F9" s="2" t="s">
        <v>1348</v>
      </c>
      <c r="H9" t="s">
        <v>1349</v>
      </c>
      <c r="I9">
        <v>70323724</v>
      </c>
      <c r="K9" t="s">
        <v>1350</v>
      </c>
      <c r="M9" s="79" t="s">
        <v>64</v>
      </c>
    </row>
    <row r="10" spans="1:13" outlineLevel="1">
      <c r="A10" s="2" t="s">
        <v>1351</v>
      </c>
      <c r="B10" s="5" t="s">
        <v>108</v>
      </c>
      <c r="F10" s="3" t="s">
        <v>9</v>
      </c>
      <c r="H10" s="24" t="s">
        <v>1352</v>
      </c>
      <c r="I10" s="20">
        <v>32142539</v>
      </c>
      <c r="K10" t="s">
        <v>1353</v>
      </c>
      <c r="M10" s="233" t="s">
        <v>125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61</v>
      </c>
    </row>
    <row r="12" spans="1:13" ht="30" outlineLevel="1">
      <c r="A12" s="3" t="s">
        <v>1359</v>
      </c>
      <c r="B12" s="5" t="s">
        <v>1029</v>
      </c>
      <c r="F12" s="302" t="s">
        <v>1360</v>
      </c>
      <c r="H12" s="27" t="s">
        <v>1361</v>
      </c>
      <c r="I12" s="28">
        <v>32184975</v>
      </c>
      <c r="M12" s="233" t="s">
        <v>1218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1228</v>
      </c>
      <c r="H14" s="24" t="s">
        <v>1365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241</v>
      </c>
      <c r="H16" s="254" t="s">
        <v>1368</v>
      </c>
      <c r="I16" s="22">
        <v>71278905</v>
      </c>
    </row>
    <row r="17" spans="1:9" outlineLevel="1">
      <c r="A17" s="2" t="s">
        <v>1369</v>
      </c>
      <c r="B17" s="5" t="s">
        <v>361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1221</v>
      </c>
      <c r="H18" s="25" t="s">
        <v>1372</v>
      </c>
      <c r="I18" s="256" t="s">
        <v>1373</v>
      </c>
    </row>
    <row r="19" spans="1:9" outlineLevel="1">
      <c r="A19" s="3" t="s">
        <v>1374</v>
      </c>
      <c r="B19" s="5" t="s">
        <v>244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109</v>
      </c>
      <c r="H21" s="21" t="s">
        <v>1380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211</v>
      </c>
      <c r="H23" s="24" t="s">
        <v>6</v>
      </c>
      <c r="I23" s="20">
        <v>43498846</v>
      </c>
    </row>
    <row r="24" spans="1:9" outlineLevel="1">
      <c r="A24" t="s">
        <v>1383</v>
      </c>
      <c r="B24" s="5" t="s">
        <v>177</v>
      </c>
      <c r="H24" s="21" t="s">
        <v>1384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114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2023-11-29T23:38:36Z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