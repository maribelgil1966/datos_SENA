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1">
      <go:sheetsCustomData xmlns:go="http://customooxmlschemas.google.com/" r:id="rId6" roundtripDataSignature="AMtx7mgQzlLYYjVrCuV+jhmKw8fiVZpPuQ=="/>
    </ext>
  </extLst>
</workbook>
</file>

<file path=xl/sharedStrings.xml><?xml version="1.0" encoding="utf-8"?>
<sst xmlns="http://schemas.openxmlformats.org/spreadsheetml/2006/main" count="156" uniqueCount="98">
  <si>
    <t>Referencia:</t>
  </si>
  <si>
    <t>Maribel Gil
modelista</t>
  </si>
  <si>
    <t>0 a 1.5</t>
  </si>
  <si>
    <t>Tipo:</t>
  </si>
  <si>
    <t>BILLETERA HOMBRE CON TARJETERO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</si>
  <si>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</si>
  <si>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</si>
  <si>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</si>
  <si>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</si>
  <si>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</si>
  <si>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</si>
  <si>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</si>
  <si>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</si>
  <si>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</si>
  <si>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</si>
  <si>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</si>
  <si>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</si>
  <si>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</si>
  <si>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</si>
  <si>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</si>
  <si>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</si>
  <si>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dm_2</t>
  </si>
  <si>
    <t>% desperdicio</t>
  </si>
  <si>
    <t>Total</t>
  </si>
  <si>
    <t>PENDIENTE FOTO</t>
  </si>
  <si>
    <t xml:space="preserve">cuero </t>
  </si>
  <si>
    <t>CENTRO</t>
  </si>
  <si>
    <t>TRAJETERO TOPE</t>
  </si>
  <si>
    <t>TARJETEROS</t>
  </si>
  <si>
    <t>CELLERO</t>
  </si>
  <si>
    <t>BOLSILLO ESPALDAR</t>
  </si>
  <si>
    <t>COMPLMENTO BOLSILLO ESPALDAR</t>
  </si>
  <si>
    <t>COMPLEMENTO SUPERIOR ESPALDAR</t>
  </si>
  <si>
    <t>COMPLEMENTO INFERIOR ESPALDAR</t>
  </si>
  <si>
    <t>TOPE TARJETERO EXTRAIBLE</t>
  </si>
  <si>
    <t>VISOR TARJETERO EXTRAIBLE</t>
  </si>
  <si>
    <t>TARJETERO EXTRAIBLE</t>
  </si>
  <si>
    <t>CELLERO TARJETERO EXTRAIBLE</t>
  </si>
  <si>
    <t>total cuero en dm_2</t>
  </si>
  <si>
    <t>perimetros para consumo de hilo en cm</t>
  </si>
  <si>
    <t>atlo x ancho=cm_2</t>
  </si>
  <si>
    <t>CUERO B</t>
  </si>
  <si>
    <t>TIRA ESPALDAR</t>
  </si>
  <si>
    <t>MALLA</t>
  </si>
  <si>
    <t>VISOR</t>
  </si>
  <si>
    <t>FORRO</t>
  </si>
  <si>
    <t>ESPALDAR</t>
  </si>
  <si>
    <t>DIVISION</t>
  </si>
  <si>
    <t>CELLEROS</t>
  </si>
  <si>
    <t>BATA</t>
  </si>
  <si>
    <t>TARJETEROS EXTRAIBLE</t>
  </si>
  <si>
    <t>BATA VISOR TARJETERO EXTRAIBLE</t>
  </si>
  <si>
    <t>total FORRO en cm_2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</si>
  <si>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</si>
  <si>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</si>
  <si>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</si>
  <si>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</si>
  <si>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</si>
  <si>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</si>
  <si>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</si>
  <si>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</si>
  <si>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</si>
  <si>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hilo x 3000</t>
  </si>
  <si>
    <t>metros</t>
  </si>
  <si>
    <t>cono</t>
  </si>
  <si>
    <t>pegante x 3000</t>
  </si>
  <si>
    <t>gramos</t>
  </si>
  <si>
    <t>galon</t>
  </si>
  <si>
    <t>mano de obra</t>
  </si>
  <si>
    <t>empaque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</si>
  <si>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</si>
  <si>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</si>
  <si>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</si>
  <si>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</si>
  <si>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</si>
  <si>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</si>
  <si>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</si>
  <si>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</si>
  <si>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</si>
  <si>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>fecha inicio</t>
  </si>
  <si>
    <t xml:space="preserve">tipo de aguja </t>
  </si>
  <si>
    <t>cortante</t>
  </si>
  <si>
    <t>fecha entrega</t>
  </si>
  <si>
    <t>numero de aguja</t>
  </si>
  <si>
    <t>cantidad solicitada</t>
  </si>
  <si>
    <t>17 unidades</t>
  </si>
  <si>
    <t>calibre hilo</t>
  </si>
  <si>
    <t>color hilo</t>
  </si>
  <si>
    <t>a tono</t>
  </si>
  <si>
    <t>corte</t>
  </si>
  <si>
    <t>Santiago y Janer</t>
  </si>
  <si>
    <t>Personas encargadas de liderar el proceso, pero en cuanto termina este se incorporan a uno de los otros equipos</t>
  </si>
  <si>
    <t>prearme</t>
  </si>
  <si>
    <t>Melissa y Juliana</t>
  </si>
  <si>
    <t xml:space="preserve">armado </t>
  </si>
  <si>
    <t>Nanasury y Cristina</t>
  </si>
  <si>
    <t>costura</t>
  </si>
  <si>
    <t>Sara y Alejandra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</si>
</sst>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20.0"/>
      <color theme="1"/>
      <name val="Kunstler script"/>
    </font>
    <font>
      <color rgb="FF00000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AEABAB"/>
        <bgColor rgb="FFAEABAB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1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ont="1">
      <alignment horizontal="center"/>
    </xf>
    <xf borderId="6" fillId="2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2" fontId="3" numFmtId="0" xfId="0" applyAlignment="1" applyBorder="1" applyFont="1">
      <alignment horizontal="left"/>
    </xf>
    <xf borderId="14" fillId="0" fontId="2" numFmtId="0" xfId="0" applyBorder="1" applyFont="1"/>
    <xf borderId="15" fillId="0" fontId="2" numFmtId="0" xfId="0" applyBorder="1" applyFont="1"/>
    <xf borderId="13" fillId="2" fontId="1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3" fillId="2" fontId="1" numFmtId="14" xfId="0" applyAlignment="1" applyBorder="1" applyFont="1" applyNumberForma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2" fontId="3" numFmtId="0" xfId="0" applyAlignment="1" applyBorder="1" applyFont="1">
      <alignment horizontal="left"/>
    </xf>
    <xf borderId="24" fillId="0" fontId="2" numFmtId="0" xfId="0" applyBorder="1" applyFont="1"/>
    <xf borderId="25" fillId="0" fontId="2" numFmtId="0" xfId="0" applyBorder="1" applyFont="1"/>
    <xf borderId="23" fillId="2" fontId="1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3" fontId="1" numFmtId="0" xfId="0" applyBorder="1" applyFill="1" applyFont="1"/>
    <xf borderId="0" fillId="0" fontId="1" numFmtId="0" xfId="0" applyFont="1"/>
    <xf borderId="19" fillId="4" fontId="1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32" fillId="5" fontId="1" numFmtId="0" xfId="0" applyAlignment="1" applyBorder="1" applyFill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19" fillId="0" fontId="1" numFmtId="2" xfId="0" applyBorder="1" applyFont="1" applyNumberFormat="1"/>
    <xf borderId="35" fillId="0" fontId="2" numFmtId="0" xfId="0" applyBorder="1" applyFont="1"/>
    <xf borderId="36" fillId="0" fontId="2" numFmtId="0" xfId="0" applyBorder="1" applyFont="1"/>
    <xf borderId="13" fillId="0" fontId="1" numFmtId="0" xfId="0" applyAlignment="1" applyBorder="1" applyFont="1">
      <alignment horizontal="center"/>
    </xf>
    <xf borderId="37" fillId="0" fontId="2" numFmtId="0" xfId="0" applyBorder="1" applyFont="1"/>
    <xf borderId="38" fillId="6" fontId="3" numFmtId="2" xfId="0" applyBorder="1" applyFill="1" applyFont="1" applyNumberForma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0" fontId="1" numFmtId="0" xfId="0" applyAlignment="1" applyFont="1">
      <alignment horizontal="center"/>
    </xf>
    <xf borderId="19" fillId="7" fontId="1" numFmtId="0" xfId="0" applyBorder="1" applyFill="1" applyFont="1"/>
    <xf borderId="0" fillId="0" fontId="3" numFmtId="2" xfId="0" applyFont="1" applyNumberFormat="1"/>
    <xf borderId="31" fillId="5" fontId="1" numFmtId="0" xfId="0" applyAlignment="1" applyBorder="1" applyFont="1">
      <alignment horizontal="center"/>
    </xf>
    <xf borderId="0" fillId="0" fontId="3" numFmtId="0" xfId="0" applyFont="1"/>
    <xf borderId="38" fillId="6" fontId="3" numFmtId="0" xfId="0" applyBorder="1" applyFont="1"/>
    <xf borderId="16" fillId="0" fontId="1" numFmtId="0" xfId="0" applyBorder="1" applyFont="1"/>
    <xf borderId="13" fillId="2" fontId="1" numFmtId="164" xfId="0" applyAlignment="1" applyBorder="1" applyFont="1" applyNumberFormat="1">
      <alignment horizontal="center"/>
    </xf>
    <xf borderId="19" fillId="4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9" fillId="0" fontId="1" numFmtId="1" xfId="0" applyBorder="1" applyFont="1" applyNumberFormat="1"/>
    <xf borderId="19" fillId="8" fontId="1" numFmtId="0" xfId="0" applyBorder="1" applyFill="1" applyFont="1"/>
    <xf borderId="19" fillId="8" fontId="1" numFmtId="0" xfId="0" applyAlignment="1" applyBorder="1" applyFont="1">
      <alignment readingOrder="0"/>
    </xf>
    <xf borderId="0" fillId="9" fontId="5" numFmtId="0" xfId="0" applyAlignment="1" applyFill="1" applyFont="1">
      <alignment readingOrder="0"/>
    </xf>
    <xf borderId="13" fillId="4" fontId="1" numFmtId="0" xfId="0" applyAlignment="1" applyBorder="1" applyFont="1">
      <alignment horizontal="center"/>
    </xf>
    <xf borderId="19" fillId="4" fontId="1" numFmtId="1" xfId="0" applyBorder="1" applyFont="1" applyNumberFormat="1"/>
    <xf borderId="19" fillId="0" fontId="1" numFmtId="9" xfId="0" applyAlignment="1" applyBorder="1" applyFont="1" applyNumberFormat="1">
      <alignment readingOrder="0"/>
    </xf>
    <xf borderId="42" fillId="10" fontId="1" numFmtId="0" xfId="0" applyAlignment="1" applyBorder="1" applyFill="1" applyFont="1">
      <alignment horizontal="center" shrinkToFit="0" vertical="center" wrapText="1"/>
    </xf>
    <xf borderId="43" fillId="10" fontId="1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19" fillId="8" fontId="1" numFmtId="1" xfId="0" applyBorder="1" applyFont="1" applyNumberForma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13" fillId="0" fontId="1" numFmtId="14" xfId="0" applyAlignment="1" applyBorder="1" applyFont="1" applyNumberFormat="1">
      <alignment horizontal="center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Relationship Id="rId3" Type="http://schemas.openxmlformats.org/officeDocument/2006/relationships/image" Target="../media/image3.jpg"/><Relationship Id="rId4" Type="http://schemas.openxmlformats.org/officeDocument/2006/relationships/image" Target="../media/image2.jpg"/><Relationship Id="rId5" Type="http://schemas.openxmlformats.org/officeDocument/2006/relationships/image" Target="../media/image6.jpg"/><Relationship Id="rId6" Type="http://schemas.openxmlformats.org/officeDocument/2006/relationships/image" Target="../media/image7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914400" cy="9144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7</xdr:row>
      <xdr:rowOff>28575</xdr:rowOff>
    </xdr:from>
    <xdr:ext cx="2724150" cy="18097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50</xdr:row>
      <xdr:rowOff>85725</xdr:rowOff>
    </xdr:from>
    <xdr:ext cx="2657475" cy="17621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17</xdr:row>
      <xdr:rowOff>180975</xdr:rowOff>
    </xdr:from>
    <xdr:ext cx="2733675" cy="216217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39</xdr:row>
      <xdr:rowOff>104775</xdr:rowOff>
    </xdr:from>
    <xdr:ext cx="2705100" cy="18002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28</xdr:row>
      <xdr:rowOff>476250</xdr:rowOff>
    </xdr:from>
    <xdr:ext cx="2733675" cy="14573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0</xdr:rowOff>
    </xdr:from>
    <xdr:ext cx="914400" cy="9144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71"/>
    <col customWidth="1" min="3" max="3" width="34.71"/>
    <col customWidth="1" min="4" max="4" width="8.0"/>
    <col customWidth="1" min="5" max="5" width="6.43"/>
    <col customWidth="1" min="6" max="6" width="7.29"/>
    <col customWidth="1" min="7" max="7" width="11.0"/>
    <col customWidth="1" min="8" max="8" width="7.86"/>
    <col customWidth="1" min="9" max="9" width="9.29"/>
    <col customWidth="1" min="10" max="26" width="10.71"/>
  </cols>
  <sheetData>
    <row r="1" ht="14.25" customHeight="1">
      <c r="A1" s="1"/>
      <c r="B1" s="2"/>
      <c r="C1" s="3" t="s">
        <v>0</v>
      </c>
      <c r="D1" s="4"/>
      <c r="E1" s="5"/>
      <c r="F1" s="6">
        <v>14.0</v>
      </c>
      <c r="G1" s="4"/>
      <c r="H1" s="5"/>
      <c r="I1" s="7" t="s">
        <v>1</v>
      </c>
      <c r="J1" s="8"/>
      <c r="L1" s="9" t="s">
        <v>2</v>
      </c>
      <c r="M1" s="10">
        <v>5.0</v>
      </c>
      <c r="N1" s="11">
        <v>1.05</v>
      </c>
    </row>
    <row r="2" ht="14.25" customHeight="1">
      <c r="A2" s="12"/>
      <c r="B2" s="13"/>
      <c r="C2" s="14" t="s">
        <v>3</v>
      </c>
      <c r="D2" s="15"/>
      <c r="E2" s="16"/>
      <c r="F2" s="17" t="s">
        <v>4</v>
      </c>
      <c r="G2" s="15"/>
      <c r="H2" s="16"/>
      <c r="I2" s="18"/>
      <c r="J2" s="19"/>
      <c r="L2" s="20" t="s">
        <v>5</v>
      </c>
      <c r="M2" s="21">
        <v>10.0</v>
      </c>
      <c r="N2" s="22">
        <v>1.1</v>
      </c>
    </row>
    <row r="3" ht="14.25" customHeight="1">
      <c r="A3" s="12"/>
      <c r="B3" s="13"/>
      <c r="C3" s="14" t="s">
        <v>6</v>
      </c>
      <c r="D3" s="15"/>
      <c r="E3" s="16"/>
      <c r="F3" s="23">
        <v>44951.0</v>
      </c>
      <c r="G3" s="15"/>
      <c r="H3" s="16"/>
      <c r="I3" s="18"/>
      <c r="J3" s="19"/>
      <c r="L3" s="20" t="s">
        <v>7</v>
      </c>
      <c r="M3" s="21">
        <v>15.0</v>
      </c>
      <c r="N3" s="22">
        <v>1.15</v>
      </c>
    </row>
    <row r="4" ht="14.25" customHeight="1">
      <c r="A4" s="12"/>
      <c r="B4" s="13"/>
      <c r="C4" s="14" t="s">
        <v>8</v>
      </c>
      <c r="D4" s="15"/>
      <c r="E4" s="16"/>
      <c r="F4" s="17" t="s">
        <v>9</v>
      </c>
      <c r="G4" s="15"/>
      <c r="H4" s="16"/>
      <c r="I4" s="18"/>
      <c r="J4" s="19"/>
      <c r="L4" s="20" t="s">
        <v>10</v>
      </c>
      <c r="M4" s="21">
        <v>20.0</v>
      </c>
      <c r="N4" s="22">
        <v>1.2</v>
      </c>
    </row>
    <row r="5" ht="14.25" customHeight="1">
      <c r="A5" s="24"/>
      <c r="B5" s="25"/>
      <c r="C5" s="26" t="s">
        <v>11</v>
      </c>
      <c r="D5" s="27"/>
      <c r="E5" s="28"/>
      <c r="F5" s="29" t="s">
        <v>12</v>
      </c>
      <c r="G5" s="27"/>
      <c r="H5" s="28"/>
      <c r="I5" s="30"/>
      <c r="J5" s="31"/>
      <c r="L5" s="32" t="s">
        <v>13</v>
      </c>
      <c r="M5" s="33">
        <v>40.0</v>
      </c>
      <c r="N5" s="34">
        <v>1.4</v>
      </c>
    </row>
    <row r="6" ht="3.75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3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4.25" customHeight="1"/>
    <row r="9" ht="14.25" customHeight="1">
      <c r="A9" s="37" t="s">
        <v>14</v>
      </c>
      <c r="B9" s="37" t="s">
        <v>15</v>
      </c>
      <c r="C9" s="37" t="s">
        <v>16</v>
      </c>
      <c r="D9" s="37" t="s">
        <v>17</v>
      </c>
      <c r="E9" s="37" t="s">
        <v>18</v>
      </c>
      <c r="F9" s="37" t="s">
        <v>19</v>
      </c>
      <c r="G9" s="37" t="s">
        <v>20</v>
      </c>
      <c r="H9" s="37" t="s">
        <v>21</v>
      </c>
      <c r="I9" s="37" t="s">
        <v>22</v>
      </c>
      <c r="J9" s="37" t="s">
        <v>23</v>
      </c>
      <c r="K9" s="38"/>
      <c r="L9" s="39" t="s">
        <v>24</v>
      </c>
      <c r="M9" s="40"/>
      <c r="N9" s="40"/>
      <c r="O9" s="41"/>
    </row>
    <row r="10" ht="14.25" customHeight="1">
      <c r="A10" s="21" t="s">
        <v>25</v>
      </c>
      <c r="B10" s="21">
        <v>6.0</v>
      </c>
      <c r="C10" s="21" t="s">
        <v>26</v>
      </c>
      <c r="D10" s="21">
        <v>1.0</v>
      </c>
      <c r="E10" s="21">
        <v>4.0</v>
      </c>
      <c r="F10" s="21">
        <v>9.0</v>
      </c>
      <c r="G10" s="21">
        <f t="shared" ref="G10:G25" si="1">E10*F10</f>
        <v>36</v>
      </c>
      <c r="H10" s="42">
        <f t="shared" ref="H10:H25" si="2">G10/100</f>
        <v>0.36</v>
      </c>
      <c r="I10" s="21">
        <v>1.05</v>
      </c>
      <c r="J10" s="42">
        <f t="shared" ref="J10:J25" si="3">D10*H10*I10</f>
        <v>0.378</v>
      </c>
      <c r="K10" s="36"/>
      <c r="L10" s="43"/>
      <c r="O10" s="44"/>
    </row>
    <row r="11" ht="14.25" customHeight="1">
      <c r="A11" s="21"/>
      <c r="B11" s="21">
        <v>7.0</v>
      </c>
      <c r="C11" s="21" t="s">
        <v>27</v>
      </c>
      <c r="D11" s="21">
        <v>2.0</v>
      </c>
      <c r="E11" s="21">
        <v>10.5</v>
      </c>
      <c r="F11" s="21">
        <v>2.7</v>
      </c>
      <c r="G11" s="21">
        <f t="shared" si="1"/>
        <v>28.35</v>
      </c>
      <c r="H11" s="42">
        <f t="shared" si="2"/>
        <v>0.2835</v>
      </c>
      <c r="I11" s="21">
        <v>1.05</v>
      </c>
      <c r="J11" s="42">
        <f t="shared" si="3"/>
        <v>0.59535</v>
      </c>
      <c r="K11" s="36"/>
      <c r="L11" s="43"/>
      <c r="O11" s="44"/>
    </row>
    <row r="12" ht="14.25" customHeight="1">
      <c r="A12" s="21"/>
      <c r="B12" s="21">
        <v>8.0</v>
      </c>
      <c r="C12" s="21" t="s">
        <v>28</v>
      </c>
      <c r="D12" s="21">
        <v>4.0</v>
      </c>
      <c r="E12" s="21">
        <v>10.5</v>
      </c>
      <c r="F12" s="21">
        <v>2.7</v>
      </c>
      <c r="G12" s="21">
        <f t="shared" si="1"/>
        <v>28.35</v>
      </c>
      <c r="H12" s="42">
        <f t="shared" si="2"/>
        <v>0.2835</v>
      </c>
      <c r="I12" s="21">
        <v>1.05</v>
      </c>
      <c r="J12" s="42">
        <f t="shared" si="3"/>
        <v>1.1907</v>
      </c>
      <c r="K12" s="36"/>
      <c r="L12" s="43"/>
      <c r="O12" s="44"/>
    </row>
    <row r="13" ht="14.25" customHeight="1">
      <c r="A13" s="21"/>
      <c r="B13" s="21">
        <v>9.0</v>
      </c>
      <c r="C13" s="21" t="s">
        <v>29</v>
      </c>
      <c r="D13" s="21">
        <v>2.0</v>
      </c>
      <c r="E13" s="21">
        <v>10.4</v>
      </c>
      <c r="F13" s="21">
        <v>6.0</v>
      </c>
      <c r="G13" s="21">
        <f t="shared" si="1"/>
        <v>62.4</v>
      </c>
      <c r="H13" s="42">
        <f t="shared" si="2"/>
        <v>0.624</v>
      </c>
      <c r="I13" s="21">
        <v>1.05</v>
      </c>
      <c r="J13" s="42">
        <f t="shared" si="3"/>
        <v>1.3104</v>
      </c>
      <c r="K13" s="36"/>
      <c r="L13" s="43"/>
      <c r="O13" s="44"/>
    </row>
    <row r="14" ht="14.25" customHeight="1">
      <c r="A14" s="21"/>
      <c r="B14" s="21">
        <v>13.0</v>
      </c>
      <c r="C14" s="21" t="s">
        <v>30</v>
      </c>
      <c r="D14" s="21">
        <v>2.0</v>
      </c>
      <c r="E14" s="21">
        <v>4.0</v>
      </c>
      <c r="F14" s="21">
        <v>11.4</v>
      </c>
      <c r="G14" s="21">
        <f t="shared" si="1"/>
        <v>45.6</v>
      </c>
      <c r="H14" s="42">
        <f t="shared" si="2"/>
        <v>0.456</v>
      </c>
      <c r="I14" s="21">
        <v>1.05</v>
      </c>
      <c r="J14" s="42">
        <f t="shared" si="3"/>
        <v>0.9576</v>
      </c>
      <c r="K14" s="36"/>
      <c r="L14" s="43"/>
      <c r="O14" s="44"/>
    </row>
    <row r="15" ht="14.25" customHeight="1">
      <c r="A15" s="21"/>
      <c r="B15" s="21">
        <v>14.0</v>
      </c>
      <c r="C15" s="21" t="s">
        <v>31</v>
      </c>
      <c r="D15" s="21">
        <v>1.0</v>
      </c>
      <c r="E15" s="21">
        <v>8.9</v>
      </c>
      <c r="F15" s="21">
        <v>11.4</v>
      </c>
      <c r="G15" s="21">
        <f t="shared" si="1"/>
        <v>101.46</v>
      </c>
      <c r="H15" s="42">
        <f t="shared" si="2"/>
        <v>1.0146</v>
      </c>
      <c r="I15" s="21">
        <v>1.05</v>
      </c>
      <c r="J15" s="42">
        <f t="shared" si="3"/>
        <v>1.06533</v>
      </c>
      <c r="K15" s="36"/>
      <c r="L15" s="43"/>
      <c r="O15" s="44"/>
    </row>
    <row r="16" ht="14.25" customHeight="1">
      <c r="A16" s="21"/>
      <c r="B16" s="21">
        <v>15.0</v>
      </c>
      <c r="C16" s="21" t="s">
        <v>32</v>
      </c>
      <c r="D16" s="21">
        <v>1.0</v>
      </c>
      <c r="E16" s="21">
        <v>14.4</v>
      </c>
      <c r="F16" s="21">
        <v>8.5</v>
      </c>
      <c r="G16" s="21">
        <f t="shared" si="1"/>
        <v>122.4</v>
      </c>
      <c r="H16" s="42">
        <f t="shared" si="2"/>
        <v>1.224</v>
      </c>
      <c r="I16" s="21">
        <v>1.05</v>
      </c>
      <c r="J16" s="42">
        <f t="shared" si="3"/>
        <v>1.2852</v>
      </c>
      <c r="K16" s="36"/>
      <c r="L16" s="43"/>
      <c r="O16" s="44"/>
    </row>
    <row r="17" ht="14.25" customHeight="1">
      <c r="A17" s="21"/>
      <c r="B17" s="21">
        <v>17.0</v>
      </c>
      <c r="C17" s="21" t="s">
        <v>33</v>
      </c>
      <c r="D17" s="21">
        <v>1.0</v>
      </c>
      <c r="E17" s="21">
        <v>14.3</v>
      </c>
      <c r="F17" s="21">
        <v>3.8</v>
      </c>
      <c r="G17" s="21">
        <f t="shared" si="1"/>
        <v>54.34</v>
      </c>
      <c r="H17" s="42">
        <f t="shared" si="2"/>
        <v>0.5434</v>
      </c>
      <c r="I17" s="21">
        <v>1.05</v>
      </c>
      <c r="J17" s="42">
        <f t="shared" si="3"/>
        <v>0.57057</v>
      </c>
      <c r="K17" s="36"/>
      <c r="L17" s="43"/>
      <c r="O17" s="44"/>
    </row>
    <row r="18" ht="14.25" customHeight="1">
      <c r="A18" s="21"/>
      <c r="B18" s="21">
        <v>23.0</v>
      </c>
      <c r="C18" s="21" t="s">
        <v>34</v>
      </c>
      <c r="D18" s="21">
        <v>2.0</v>
      </c>
      <c r="E18" s="21">
        <v>9.5</v>
      </c>
      <c r="F18" s="21">
        <v>1.9</v>
      </c>
      <c r="G18" s="21">
        <f t="shared" si="1"/>
        <v>18.05</v>
      </c>
      <c r="H18" s="42">
        <f t="shared" si="2"/>
        <v>0.1805</v>
      </c>
      <c r="I18" s="21">
        <v>1.05</v>
      </c>
      <c r="J18" s="42">
        <f t="shared" si="3"/>
        <v>0.37905</v>
      </c>
      <c r="K18" s="36"/>
      <c r="L18" s="43"/>
      <c r="O18" s="44"/>
    </row>
    <row r="19" ht="14.25" customHeight="1">
      <c r="A19" s="21"/>
      <c r="B19" s="21">
        <v>24.0</v>
      </c>
      <c r="C19" s="21" t="s">
        <v>35</v>
      </c>
      <c r="D19" s="21">
        <v>1.0</v>
      </c>
      <c r="E19" s="21">
        <v>9.5</v>
      </c>
      <c r="F19" s="21">
        <v>6.9</v>
      </c>
      <c r="G19" s="21">
        <f t="shared" si="1"/>
        <v>65.55</v>
      </c>
      <c r="H19" s="42">
        <f t="shared" si="2"/>
        <v>0.6555</v>
      </c>
      <c r="I19" s="21">
        <v>1.05</v>
      </c>
      <c r="J19" s="42">
        <f t="shared" si="3"/>
        <v>0.688275</v>
      </c>
      <c r="K19" s="36"/>
      <c r="L19" s="43"/>
      <c r="O19" s="44"/>
    </row>
    <row r="20" ht="14.25" customHeight="1">
      <c r="A20" s="21"/>
      <c r="B20" s="21">
        <v>26.0</v>
      </c>
      <c r="C20" s="21" t="s">
        <v>36</v>
      </c>
      <c r="D20" s="21">
        <v>1.0</v>
      </c>
      <c r="E20" s="21">
        <v>9.5</v>
      </c>
      <c r="F20" s="21">
        <v>2.2</v>
      </c>
      <c r="G20" s="21">
        <f t="shared" si="1"/>
        <v>20.9</v>
      </c>
      <c r="H20" s="42">
        <f t="shared" si="2"/>
        <v>0.209</v>
      </c>
      <c r="I20" s="21">
        <v>1.05</v>
      </c>
      <c r="J20" s="42">
        <f t="shared" si="3"/>
        <v>0.21945</v>
      </c>
      <c r="K20" s="36"/>
      <c r="L20" s="43"/>
      <c r="O20" s="44"/>
    </row>
    <row r="21" ht="14.25" customHeight="1">
      <c r="A21" s="21"/>
      <c r="B21" s="21">
        <v>27.0</v>
      </c>
      <c r="C21" s="21" t="s">
        <v>37</v>
      </c>
      <c r="D21" s="21">
        <v>1.0</v>
      </c>
      <c r="E21" s="21">
        <v>9.5</v>
      </c>
      <c r="F21" s="21">
        <v>5.8</v>
      </c>
      <c r="G21" s="21">
        <f t="shared" si="1"/>
        <v>55.1</v>
      </c>
      <c r="H21" s="42">
        <f t="shared" si="2"/>
        <v>0.551</v>
      </c>
      <c r="I21" s="21">
        <v>1.05</v>
      </c>
      <c r="J21" s="42">
        <f t="shared" si="3"/>
        <v>0.57855</v>
      </c>
      <c r="K21" s="36"/>
      <c r="L21" s="43"/>
      <c r="O21" s="44"/>
    </row>
    <row r="22" ht="14.25" customHeight="1">
      <c r="A22" s="21"/>
      <c r="B22" s="21"/>
      <c r="C22" s="21"/>
      <c r="D22" s="21"/>
      <c r="E22" s="21"/>
      <c r="F22" s="21"/>
      <c r="G22" s="21">
        <f t="shared" si="1"/>
        <v>0</v>
      </c>
      <c r="H22" s="42">
        <f t="shared" si="2"/>
        <v>0</v>
      </c>
      <c r="I22" s="21">
        <v>1.05</v>
      </c>
      <c r="J22" s="42">
        <f t="shared" si="3"/>
        <v>0</v>
      </c>
      <c r="K22" s="36"/>
      <c r="L22" s="43"/>
      <c r="O22" s="44"/>
    </row>
    <row r="23" ht="14.25" customHeight="1">
      <c r="A23" s="21"/>
      <c r="B23" s="21"/>
      <c r="C23" s="21"/>
      <c r="D23" s="21"/>
      <c r="E23" s="21"/>
      <c r="F23" s="21"/>
      <c r="G23" s="21">
        <f t="shared" si="1"/>
        <v>0</v>
      </c>
      <c r="H23" s="42">
        <f t="shared" si="2"/>
        <v>0</v>
      </c>
      <c r="I23" s="21">
        <v>1.1</v>
      </c>
      <c r="J23" s="42">
        <f t="shared" si="3"/>
        <v>0</v>
      </c>
      <c r="K23" s="36"/>
      <c r="L23" s="43"/>
      <c r="O23" s="44"/>
    </row>
    <row r="24" ht="14.25" customHeight="1">
      <c r="A24" s="21"/>
      <c r="B24" s="21"/>
      <c r="C24" s="21"/>
      <c r="D24" s="21"/>
      <c r="E24" s="21"/>
      <c r="F24" s="21"/>
      <c r="G24" s="21">
        <f t="shared" si="1"/>
        <v>0</v>
      </c>
      <c r="H24" s="42">
        <f t="shared" si="2"/>
        <v>0</v>
      </c>
      <c r="I24" s="21">
        <v>1.1</v>
      </c>
      <c r="J24" s="42">
        <f t="shared" si="3"/>
        <v>0</v>
      </c>
      <c r="K24" s="36"/>
      <c r="L24" s="43"/>
      <c r="O24" s="44"/>
    </row>
    <row r="25" ht="14.25" customHeight="1">
      <c r="A25" s="21"/>
      <c r="B25" s="21"/>
      <c r="C25" s="21"/>
      <c r="D25" s="21"/>
      <c r="E25" s="21"/>
      <c r="F25" s="21"/>
      <c r="G25" s="21">
        <f t="shared" si="1"/>
        <v>0</v>
      </c>
      <c r="H25" s="42">
        <f t="shared" si="2"/>
        <v>0</v>
      </c>
      <c r="I25" s="21">
        <v>1.05</v>
      </c>
      <c r="J25" s="42">
        <f t="shared" si="3"/>
        <v>0</v>
      </c>
      <c r="K25" s="36"/>
      <c r="L25" s="43"/>
      <c r="O25" s="44"/>
    </row>
    <row r="26" ht="14.25" customHeight="1">
      <c r="B26" s="45" t="s">
        <v>38</v>
      </c>
      <c r="C26" s="15"/>
      <c r="D26" s="15"/>
      <c r="E26" s="15"/>
      <c r="F26" s="15"/>
      <c r="G26" s="15"/>
      <c r="H26" s="15"/>
      <c r="I26" s="46"/>
      <c r="J26" s="47">
        <f>SUM(J10:J25)</f>
        <v>9.218475</v>
      </c>
      <c r="L26" s="48"/>
      <c r="M26" s="49"/>
      <c r="N26" s="49"/>
      <c r="O26" s="50"/>
    </row>
    <row r="27" ht="14.25" customHeight="1">
      <c r="A27" s="51" t="s">
        <v>39</v>
      </c>
      <c r="D27" s="13"/>
      <c r="E27" s="52">
        <f t="shared" ref="E27:F27" si="4">SUM(E10:E25)</f>
        <v>115</v>
      </c>
      <c r="F27" s="52">
        <f t="shared" si="4"/>
        <v>72.3</v>
      </c>
      <c r="G27" s="52">
        <f>E27+F27</f>
        <v>187.3</v>
      </c>
      <c r="H27" s="52">
        <f>G27*2</f>
        <v>374.6</v>
      </c>
      <c r="I27" s="36"/>
      <c r="J27" s="53"/>
      <c r="L27" s="54"/>
      <c r="M27" s="54"/>
      <c r="N27" s="54"/>
      <c r="O27" s="54"/>
    </row>
    <row r="28" ht="14.25" customHeight="1"/>
    <row r="29" ht="14.25" customHeight="1">
      <c r="A29" s="37" t="s">
        <v>14</v>
      </c>
      <c r="B29" s="37" t="s">
        <v>15</v>
      </c>
      <c r="C29" s="37" t="s">
        <v>16</v>
      </c>
      <c r="D29" s="37" t="s">
        <v>17</v>
      </c>
      <c r="E29" s="37" t="s">
        <v>18</v>
      </c>
      <c r="F29" s="37" t="s">
        <v>19</v>
      </c>
      <c r="G29" s="37" t="s">
        <v>40</v>
      </c>
      <c r="H29" s="37" t="s">
        <v>21</v>
      </c>
      <c r="I29" s="37" t="s">
        <v>22</v>
      </c>
      <c r="J29" s="37" t="s">
        <v>23</v>
      </c>
      <c r="K29" s="36"/>
      <c r="L29" s="36"/>
    </row>
    <row r="30" ht="14.25" customHeight="1">
      <c r="A30" s="21" t="s">
        <v>41</v>
      </c>
      <c r="B30" s="21">
        <v>16.0</v>
      </c>
      <c r="C30" s="21" t="s">
        <v>42</v>
      </c>
      <c r="D30" s="21">
        <v>1.0</v>
      </c>
      <c r="E30" s="21">
        <v>14.3</v>
      </c>
      <c r="F30" s="21">
        <v>1.5</v>
      </c>
      <c r="G30" s="21">
        <f t="shared" ref="G30:G31" si="5">E30*F30</f>
        <v>21.45</v>
      </c>
      <c r="H30" s="42">
        <f>G30/100</f>
        <v>0.2145</v>
      </c>
      <c r="I30" s="21">
        <v>1.05</v>
      </c>
      <c r="J30" s="42">
        <f>D30*I30*H30</f>
        <v>0.225225</v>
      </c>
      <c r="K30" s="36"/>
      <c r="L30" s="36"/>
    </row>
    <row r="31" ht="14.25" customHeight="1">
      <c r="A31" s="21"/>
      <c r="B31" s="21"/>
      <c r="C31" s="21"/>
      <c r="D31" s="21"/>
      <c r="E31" s="21"/>
      <c r="F31" s="21"/>
      <c r="G31" s="21">
        <f t="shared" si="5"/>
        <v>0</v>
      </c>
      <c r="H31" s="21">
        <v>1.1</v>
      </c>
      <c r="I31" s="21"/>
      <c r="J31" s="21">
        <f>D31*G31*H31</f>
        <v>0</v>
      </c>
      <c r="K31" s="36"/>
      <c r="L31" s="36"/>
    </row>
    <row r="32" ht="14.25" customHeight="1">
      <c r="A32" s="21"/>
      <c r="B32" s="45" t="s">
        <v>38</v>
      </c>
      <c r="C32" s="15"/>
      <c r="D32" s="15"/>
      <c r="E32" s="15"/>
      <c r="F32" s="15"/>
      <c r="G32" s="15"/>
      <c r="H32" s="15"/>
      <c r="I32" s="46"/>
      <c r="J32" s="47">
        <f>SUM(J30:J31)</f>
        <v>0.225225</v>
      </c>
      <c r="K32" s="36"/>
      <c r="L32" s="36"/>
    </row>
    <row r="33" ht="14.25" customHeight="1">
      <c r="A33" s="36"/>
      <c r="B33" s="51"/>
      <c r="C33" s="51"/>
      <c r="D33" s="51"/>
      <c r="E33" s="51"/>
      <c r="F33" s="51"/>
      <c r="G33" s="51"/>
      <c r="H33" s="51"/>
      <c r="I33" s="55"/>
      <c r="J33" s="36"/>
      <c r="K33" s="36"/>
    </row>
    <row r="34" ht="14.25" customHeight="1">
      <c r="A34" s="37" t="s">
        <v>14</v>
      </c>
      <c r="B34" s="37" t="s">
        <v>15</v>
      </c>
      <c r="C34" s="37" t="s">
        <v>16</v>
      </c>
      <c r="D34" s="37" t="s">
        <v>17</v>
      </c>
      <c r="E34" s="37" t="s">
        <v>18</v>
      </c>
      <c r="F34" s="37" t="s">
        <v>19</v>
      </c>
      <c r="G34" s="37" t="s">
        <v>40</v>
      </c>
      <c r="H34" s="37" t="s">
        <v>22</v>
      </c>
      <c r="I34" s="37" t="s">
        <v>23</v>
      </c>
      <c r="J34" s="36"/>
      <c r="K34" s="36"/>
    </row>
    <row r="35" ht="14.25" customHeight="1">
      <c r="A35" s="21" t="s">
        <v>43</v>
      </c>
      <c r="B35" s="21">
        <v>25.0</v>
      </c>
      <c r="C35" s="21" t="s">
        <v>44</v>
      </c>
      <c r="D35" s="21">
        <v>1.0</v>
      </c>
      <c r="E35" s="21">
        <v>9.5</v>
      </c>
      <c r="F35" s="21">
        <v>6.0</v>
      </c>
      <c r="G35" s="21">
        <f t="shared" ref="G35:G36" si="6">E35*F35</f>
        <v>57</v>
      </c>
      <c r="H35" s="21">
        <v>1.1</v>
      </c>
      <c r="I35" s="21">
        <f t="shared" ref="I35:I36" si="7">D35*G35*H35</f>
        <v>62.7</v>
      </c>
      <c r="J35" s="36"/>
      <c r="K35" s="36"/>
    </row>
    <row r="36" ht="14.25" customHeight="1">
      <c r="A36" s="21"/>
      <c r="B36" s="21"/>
      <c r="C36" s="21"/>
      <c r="D36" s="21"/>
      <c r="E36" s="21"/>
      <c r="F36" s="21"/>
      <c r="G36" s="21">
        <f t="shared" si="6"/>
        <v>0</v>
      </c>
      <c r="H36" s="21">
        <v>1.1</v>
      </c>
      <c r="I36" s="21">
        <f t="shared" si="7"/>
        <v>0</v>
      </c>
      <c r="J36" s="36"/>
      <c r="K36" s="36"/>
    </row>
    <row r="37" ht="14.25" customHeight="1">
      <c r="A37" s="21"/>
      <c r="B37" s="45"/>
      <c r="C37" s="15"/>
      <c r="D37" s="15"/>
      <c r="E37" s="15"/>
      <c r="F37" s="15"/>
      <c r="G37" s="15"/>
      <c r="H37" s="15"/>
      <c r="I37" s="56">
        <f>SUM(I35:I36)</f>
        <v>62.7</v>
      </c>
      <c r="J37" s="36"/>
      <c r="K37" s="36"/>
    </row>
    <row r="38" ht="14.25" customHeight="1">
      <c r="A38" s="36"/>
      <c r="B38" s="51"/>
      <c r="C38" s="51"/>
      <c r="D38" s="51"/>
      <c r="E38" s="51"/>
      <c r="F38" s="51"/>
      <c r="G38" s="51"/>
      <c r="H38" s="51"/>
      <c r="I38" s="55"/>
      <c r="J38" s="36"/>
      <c r="K38" s="36"/>
    </row>
    <row r="39" ht="14.25" customHeight="1"/>
    <row r="40" ht="14.25" customHeight="1">
      <c r="A40" s="37" t="s">
        <v>14</v>
      </c>
      <c r="B40" s="37" t="s">
        <v>15</v>
      </c>
      <c r="C40" s="37" t="s">
        <v>16</v>
      </c>
      <c r="D40" s="37" t="s">
        <v>17</v>
      </c>
      <c r="E40" s="37" t="s">
        <v>18</v>
      </c>
      <c r="F40" s="37" t="s">
        <v>19</v>
      </c>
      <c r="G40" s="37" t="s">
        <v>40</v>
      </c>
      <c r="H40" s="37" t="s">
        <v>22</v>
      </c>
      <c r="I40" s="37" t="s">
        <v>23</v>
      </c>
      <c r="J40" s="36"/>
      <c r="K40" s="36"/>
    </row>
    <row r="41" ht="14.25" customHeight="1">
      <c r="A41" s="21" t="s">
        <v>45</v>
      </c>
      <c r="B41" s="21">
        <v>3.0</v>
      </c>
      <c r="C41" s="21" t="s">
        <v>46</v>
      </c>
      <c r="D41" s="21">
        <v>1.0</v>
      </c>
      <c r="E41" s="21">
        <v>22.7</v>
      </c>
      <c r="F41" s="21">
        <v>8.7</v>
      </c>
      <c r="G41" s="21">
        <f t="shared" ref="G41:G53" si="8">E41*F41</f>
        <v>197.49</v>
      </c>
      <c r="H41" s="21">
        <v>1.1</v>
      </c>
      <c r="I41" s="42">
        <f t="shared" ref="I41:I54" si="9">D41*G41*H41</f>
        <v>217.239</v>
      </c>
      <c r="J41" s="57"/>
      <c r="K41" s="36"/>
    </row>
    <row r="42" ht="14.25" customHeight="1">
      <c r="A42" s="21"/>
      <c r="B42" s="21">
        <v>4.0</v>
      </c>
      <c r="C42" s="21" t="s">
        <v>47</v>
      </c>
      <c r="D42" s="21">
        <v>1.0</v>
      </c>
      <c r="E42" s="21">
        <v>22.1</v>
      </c>
      <c r="F42" s="21">
        <v>14.7</v>
      </c>
      <c r="G42" s="21">
        <f t="shared" si="8"/>
        <v>324.87</v>
      </c>
      <c r="H42" s="21">
        <v>1.1</v>
      </c>
      <c r="I42" s="42">
        <f t="shared" si="9"/>
        <v>357.357</v>
      </c>
      <c r="J42" s="57"/>
      <c r="K42" s="36"/>
    </row>
    <row r="43" ht="14.25" customHeight="1">
      <c r="A43" s="21"/>
      <c r="B43" s="21">
        <v>5.0</v>
      </c>
      <c r="C43" s="21" t="s">
        <v>26</v>
      </c>
      <c r="D43" s="21">
        <v>1.0</v>
      </c>
      <c r="E43" s="21">
        <v>21.3</v>
      </c>
      <c r="F43" s="21">
        <v>8.2</v>
      </c>
      <c r="G43" s="21">
        <f t="shared" si="8"/>
        <v>174.66</v>
      </c>
      <c r="H43" s="21">
        <v>1.1</v>
      </c>
      <c r="I43" s="42">
        <f t="shared" si="9"/>
        <v>192.126</v>
      </c>
      <c r="J43" s="57"/>
      <c r="K43" s="36"/>
    </row>
    <row r="44" ht="14.25" customHeight="1">
      <c r="A44" s="21"/>
      <c r="B44" s="21">
        <v>10.0</v>
      </c>
      <c r="C44" s="21" t="s">
        <v>28</v>
      </c>
      <c r="D44" s="21">
        <v>4.0</v>
      </c>
      <c r="E44" s="21">
        <v>9.2</v>
      </c>
      <c r="F44" s="21">
        <v>10.5</v>
      </c>
      <c r="G44" s="21">
        <f t="shared" si="8"/>
        <v>96.6</v>
      </c>
      <c r="H44" s="21">
        <v>1.1</v>
      </c>
      <c r="I44" s="42">
        <f t="shared" si="9"/>
        <v>425.04</v>
      </c>
      <c r="J44" s="57"/>
      <c r="K44" s="36"/>
    </row>
    <row r="45" ht="14.25" customHeight="1">
      <c r="A45" s="21"/>
      <c r="B45" s="21">
        <v>11.0</v>
      </c>
      <c r="C45" s="21" t="s">
        <v>48</v>
      </c>
      <c r="D45" s="21">
        <v>2.0</v>
      </c>
      <c r="E45" s="21">
        <v>9.5</v>
      </c>
      <c r="F45" s="21">
        <v>5.2</v>
      </c>
      <c r="G45" s="21">
        <f t="shared" si="8"/>
        <v>49.4</v>
      </c>
      <c r="H45" s="21">
        <v>1.1</v>
      </c>
      <c r="I45" s="42">
        <f t="shared" si="9"/>
        <v>108.68</v>
      </c>
      <c r="J45" s="57"/>
      <c r="K45" s="36"/>
    </row>
    <row r="46" ht="14.25" customHeight="1">
      <c r="A46" s="21"/>
      <c r="B46" s="21">
        <v>12.0</v>
      </c>
      <c r="C46" s="21" t="s">
        <v>49</v>
      </c>
      <c r="D46" s="21">
        <v>2.0</v>
      </c>
      <c r="E46" s="21">
        <v>10.4</v>
      </c>
      <c r="F46" s="21">
        <v>8.2</v>
      </c>
      <c r="G46" s="21">
        <f t="shared" si="8"/>
        <v>85.28</v>
      </c>
      <c r="H46" s="21">
        <v>1.1</v>
      </c>
      <c r="I46" s="42">
        <f t="shared" si="9"/>
        <v>187.616</v>
      </c>
      <c r="J46" s="57"/>
      <c r="K46" s="36"/>
    </row>
    <row r="47" ht="14.25" customHeight="1">
      <c r="A47" s="21"/>
      <c r="B47" s="21">
        <v>18.0</v>
      </c>
      <c r="C47" s="21" t="s">
        <v>30</v>
      </c>
      <c r="D47" s="21">
        <v>1.0</v>
      </c>
      <c r="E47" s="21">
        <v>8.8</v>
      </c>
      <c r="F47" s="21">
        <v>8.7</v>
      </c>
      <c r="G47" s="21">
        <f t="shared" si="8"/>
        <v>76.56</v>
      </c>
      <c r="H47" s="21">
        <v>1.1</v>
      </c>
      <c r="I47" s="42">
        <f t="shared" si="9"/>
        <v>84.216</v>
      </c>
      <c r="J47" s="57"/>
      <c r="K47" s="36"/>
    </row>
    <row r="48" ht="14.25" customHeight="1">
      <c r="A48" s="21"/>
      <c r="B48" s="21">
        <v>19.0</v>
      </c>
      <c r="C48" s="21" t="s">
        <v>30</v>
      </c>
      <c r="D48" s="21">
        <v>1.0</v>
      </c>
      <c r="E48" s="21">
        <v>8.9</v>
      </c>
      <c r="F48" s="21">
        <v>8.7</v>
      </c>
      <c r="G48" s="21">
        <f t="shared" si="8"/>
        <v>77.43</v>
      </c>
      <c r="H48" s="21">
        <v>1.1</v>
      </c>
      <c r="I48" s="42">
        <f t="shared" si="9"/>
        <v>85.173</v>
      </c>
      <c r="J48" s="57"/>
      <c r="K48" s="36"/>
    </row>
    <row r="49" ht="14.25" customHeight="1">
      <c r="A49" s="21"/>
      <c r="B49" s="21">
        <v>22.0</v>
      </c>
      <c r="C49" s="21" t="s">
        <v>50</v>
      </c>
      <c r="D49" s="21">
        <v>1.0</v>
      </c>
      <c r="E49" s="21">
        <v>9.5</v>
      </c>
      <c r="F49" s="21">
        <v>7.0</v>
      </c>
      <c r="G49" s="21">
        <f t="shared" si="8"/>
        <v>66.5</v>
      </c>
      <c r="H49" s="21">
        <v>1.1</v>
      </c>
      <c r="I49" s="42">
        <f t="shared" si="9"/>
        <v>73.15</v>
      </c>
      <c r="J49" s="57"/>
      <c r="K49" s="36"/>
    </row>
    <row r="50" ht="14.25" customHeight="1">
      <c r="A50" s="21"/>
      <c r="B50" s="21">
        <v>20.0</v>
      </c>
      <c r="C50" s="21" t="s">
        <v>51</v>
      </c>
      <c r="D50" s="21">
        <v>1.0</v>
      </c>
      <c r="E50" s="21">
        <v>9.5</v>
      </c>
      <c r="F50" s="21">
        <v>7.1</v>
      </c>
      <c r="G50" s="21">
        <f t="shared" si="8"/>
        <v>67.45</v>
      </c>
      <c r="H50" s="21">
        <v>1.1</v>
      </c>
      <c r="I50" s="42">
        <f t="shared" si="9"/>
        <v>74.195</v>
      </c>
      <c r="J50" s="57"/>
      <c r="K50" s="36"/>
    </row>
    <row r="51" ht="14.25" customHeight="1">
      <c r="A51" s="21"/>
      <c r="B51" s="21">
        <v>29.0</v>
      </c>
      <c r="C51" s="21" t="s">
        <v>36</v>
      </c>
      <c r="D51" s="21">
        <v>1.0</v>
      </c>
      <c r="E51" s="21">
        <v>9.3</v>
      </c>
      <c r="F51" s="21">
        <v>5.5</v>
      </c>
      <c r="G51" s="21">
        <f t="shared" si="8"/>
        <v>51.15</v>
      </c>
      <c r="H51" s="21">
        <v>1.1</v>
      </c>
      <c r="I51" s="42">
        <f t="shared" si="9"/>
        <v>56.265</v>
      </c>
      <c r="J51" s="57"/>
      <c r="K51" s="36"/>
    </row>
    <row r="52" ht="14.25" customHeight="1">
      <c r="A52" s="21"/>
      <c r="B52" s="21">
        <v>28.0</v>
      </c>
      <c r="C52" s="21" t="s">
        <v>37</v>
      </c>
      <c r="D52" s="21">
        <v>1.0</v>
      </c>
      <c r="E52" s="21">
        <v>9.3</v>
      </c>
      <c r="F52" s="21">
        <v>4.8</v>
      </c>
      <c r="G52" s="21">
        <f t="shared" si="8"/>
        <v>44.64</v>
      </c>
      <c r="H52" s="21">
        <v>1.1</v>
      </c>
      <c r="I52" s="42">
        <f t="shared" si="9"/>
        <v>49.104</v>
      </c>
      <c r="J52" s="57"/>
      <c r="K52" s="36"/>
    </row>
    <row r="53" ht="14.25" customHeight="1">
      <c r="A53" s="21"/>
      <c r="B53" s="21"/>
      <c r="C53" s="21"/>
      <c r="D53" s="21"/>
      <c r="E53" s="21"/>
      <c r="F53" s="21"/>
      <c r="G53" s="21">
        <f t="shared" si="8"/>
        <v>0</v>
      </c>
      <c r="H53" s="21">
        <v>1.1</v>
      </c>
      <c r="I53" s="42">
        <f t="shared" si="9"/>
        <v>0</v>
      </c>
      <c r="J53" s="57"/>
      <c r="K53" s="36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42">
        <f t="shared" si="9"/>
        <v>0</v>
      </c>
      <c r="J54" s="57"/>
      <c r="K54" s="36"/>
    </row>
    <row r="55" ht="14.25" customHeight="1">
      <c r="A55" s="21"/>
      <c r="B55" s="45" t="s">
        <v>52</v>
      </c>
      <c r="C55" s="15"/>
      <c r="D55" s="15"/>
      <c r="E55" s="15"/>
      <c r="F55" s="15"/>
      <c r="G55" s="15"/>
      <c r="H55" s="15"/>
      <c r="I55" s="47">
        <f>SUM(I41:I54)</f>
        <v>1910.161</v>
      </c>
      <c r="J55" s="57"/>
      <c r="K55" s="36"/>
    </row>
    <row r="56" ht="14.25" customHeight="1"/>
    <row r="57" ht="14.25" customHeight="1">
      <c r="A57" s="37" t="s">
        <v>14</v>
      </c>
      <c r="B57" s="37" t="s">
        <v>15</v>
      </c>
      <c r="C57" s="37" t="s">
        <v>16</v>
      </c>
      <c r="D57" s="37" t="s">
        <v>17</v>
      </c>
      <c r="E57" s="37" t="s">
        <v>18</v>
      </c>
      <c r="F57" s="37" t="s">
        <v>19</v>
      </c>
      <c r="G57" s="37" t="s">
        <v>40</v>
      </c>
      <c r="H57" s="37" t="s">
        <v>22</v>
      </c>
      <c r="I57" s="37" t="s">
        <v>23</v>
      </c>
    </row>
    <row r="58" ht="14.25" customHeight="1">
      <c r="A58" s="21"/>
      <c r="B58" s="21"/>
      <c r="C58" s="21"/>
      <c r="D58" s="21"/>
      <c r="E58" s="21"/>
      <c r="F58" s="21"/>
      <c r="G58" s="21">
        <f t="shared" ref="G58:G59" si="10">E58*F58</f>
        <v>0</v>
      </c>
      <c r="H58" s="21">
        <v>1.1</v>
      </c>
      <c r="I58" s="21">
        <f t="shared" ref="I58:I59" si="11">D58*G58*H58</f>
        <v>0</v>
      </c>
    </row>
    <row r="59" ht="14.25" customHeight="1">
      <c r="A59" s="21"/>
      <c r="B59" s="21"/>
      <c r="C59" s="21"/>
      <c r="D59" s="21"/>
      <c r="E59" s="21"/>
      <c r="F59" s="21"/>
      <c r="G59" s="21">
        <f t="shared" si="10"/>
        <v>0</v>
      </c>
      <c r="H59" s="21">
        <v>1.1</v>
      </c>
      <c r="I59" s="21">
        <f t="shared" si="11"/>
        <v>0</v>
      </c>
    </row>
    <row r="60" ht="14.25" customHeight="1">
      <c r="A60" s="21"/>
      <c r="B60" s="45"/>
      <c r="C60" s="15"/>
      <c r="D60" s="15"/>
      <c r="E60" s="15"/>
      <c r="F60" s="15"/>
      <c r="G60" s="15"/>
      <c r="H60" s="15"/>
      <c r="I60" s="56">
        <f>SUM(I58:I59)</f>
        <v>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3:E3"/>
    <mergeCell ref="C4:E4"/>
    <mergeCell ref="A1:B5"/>
    <mergeCell ref="C1:E1"/>
    <mergeCell ref="F1:H1"/>
    <mergeCell ref="I1:J5"/>
    <mergeCell ref="C2:E2"/>
    <mergeCell ref="F2:H2"/>
    <mergeCell ref="F3:H3"/>
    <mergeCell ref="B37:H37"/>
    <mergeCell ref="B55:H55"/>
    <mergeCell ref="B60:H60"/>
    <mergeCell ref="F4:H4"/>
    <mergeCell ref="C5:E5"/>
    <mergeCell ref="F5:H5"/>
    <mergeCell ref="L9:O26"/>
    <mergeCell ref="B26:I26"/>
    <mergeCell ref="A27:D27"/>
    <mergeCell ref="B32:I3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7" width="10.71"/>
    <col customWidth="1" min="8" max="8" width="13.29"/>
    <col customWidth="1" min="9" max="26" width="10.71"/>
  </cols>
  <sheetData>
    <row r="1" ht="14.25" customHeight="1">
      <c r="A1" s="1"/>
      <c r="B1" s="2"/>
      <c r="C1" s="3" t="s">
        <v>0</v>
      </c>
      <c r="D1" s="4"/>
      <c r="E1" s="5"/>
      <c r="F1" s="17">
        <f>Hoja1!F1</f>
        <v>14</v>
      </c>
      <c r="G1" s="15"/>
      <c r="H1" s="16"/>
      <c r="I1" s="7" t="s">
        <v>1</v>
      </c>
      <c r="J1" s="8"/>
    </row>
    <row r="2" ht="14.25" customHeight="1">
      <c r="A2" s="12"/>
      <c r="B2" s="13"/>
      <c r="C2" s="14" t="s">
        <v>3</v>
      </c>
      <c r="D2" s="15"/>
      <c r="E2" s="16"/>
      <c r="F2" s="17" t="str">
        <f>Hoja1!F2</f>
        <v>BILLETERA HOMBRE CON TARJETERO</v>
      </c>
      <c r="G2" s="15"/>
      <c r="H2" s="16"/>
      <c r="I2" s="18"/>
      <c r="J2" s="19"/>
    </row>
    <row r="3" ht="14.25" customHeight="1">
      <c r="A3" s="12"/>
      <c r="B3" s="13"/>
      <c r="C3" s="14" t="s">
        <v>6</v>
      </c>
      <c r="D3" s="15"/>
      <c r="E3" s="16"/>
      <c r="F3" s="58">
        <f>Hoja1!F3</f>
        <v>44951</v>
      </c>
      <c r="G3" s="15"/>
      <c r="H3" s="16"/>
      <c r="I3" s="18"/>
      <c r="J3" s="19"/>
    </row>
    <row r="4" ht="14.25" customHeight="1">
      <c r="A4" s="12"/>
      <c r="B4" s="13"/>
      <c r="C4" s="14" t="s">
        <v>8</v>
      </c>
      <c r="D4" s="15"/>
      <c r="E4" s="16"/>
      <c r="F4" s="17" t="str">
        <f>Hoja1!F4</f>
        <v>SENA</v>
      </c>
      <c r="G4" s="15"/>
      <c r="H4" s="16"/>
      <c r="I4" s="18"/>
      <c r="J4" s="19"/>
    </row>
    <row r="5" ht="15.0" customHeight="1">
      <c r="A5" s="24"/>
      <c r="B5" s="25"/>
      <c r="C5" s="26" t="s">
        <v>11</v>
      </c>
      <c r="D5" s="27"/>
      <c r="E5" s="28"/>
      <c r="F5" s="29" t="str">
        <f>Hoja1!F5</f>
        <v>CELDA DE PRODUCCIÓN</v>
      </c>
      <c r="G5" s="27"/>
      <c r="H5" s="28"/>
      <c r="I5" s="30"/>
      <c r="J5" s="31"/>
    </row>
    <row r="6" ht="6.0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14.25" customHeight="1"/>
    <row r="8" ht="14.25" customHeight="1">
      <c r="A8" s="59" t="s">
        <v>53</v>
      </c>
      <c r="B8" s="59" t="s">
        <v>54</v>
      </c>
      <c r="C8" s="59" t="s">
        <v>55</v>
      </c>
      <c r="D8" s="59" t="s">
        <v>56</v>
      </c>
      <c r="E8" s="59" t="s">
        <v>57</v>
      </c>
      <c r="F8" s="60"/>
      <c r="H8" s="59" t="s">
        <v>14</v>
      </c>
      <c r="I8" s="59" t="s">
        <v>58</v>
      </c>
      <c r="J8" s="59" t="s">
        <v>59</v>
      </c>
    </row>
    <row r="9" ht="14.25" customHeight="1">
      <c r="A9" s="21" t="str">
        <f>Hoja1!A10</f>
        <v>cuero </v>
      </c>
      <c r="B9" s="21" t="s">
        <v>21</v>
      </c>
      <c r="C9" s="42">
        <f>Hoja1!J26</f>
        <v>9.218475</v>
      </c>
      <c r="D9" s="21" t="str">
        <f>#REF!</f>
        <v>#REF!</v>
      </c>
      <c r="E9" s="61" t="str">
        <f t="shared" ref="E9:E17" si="2">C9*D9</f>
        <v>#REF!</v>
      </c>
      <c r="H9" s="62" t="str">
        <f t="shared" ref="H9:I9" si="1">A9</f>
        <v>cuero </v>
      </c>
      <c r="I9" s="62" t="str">
        <f t="shared" si="1"/>
        <v>dm_2</v>
      </c>
      <c r="J9" s="63"/>
    </row>
    <row r="10" ht="14.25" customHeight="1">
      <c r="A10" s="21" t="str">
        <f>Hoja1!A30</f>
        <v>CUERO B</v>
      </c>
      <c r="B10" s="21" t="s">
        <v>21</v>
      </c>
      <c r="C10" s="42">
        <f>Hoja1!J32</f>
        <v>0.225225</v>
      </c>
      <c r="D10" s="21" t="str">
        <f>J10</f>
        <v/>
      </c>
      <c r="E10" s="61">
        <f t="shared" si="2"/>
        <v>0</v>
      </c>
      <c r="H10" s="62" t="str">
        <f t="shared" ref="H10:H18" si="3">A10</f>
        <v>CUERO B</v>
      </c>
      <c r="I10" s="63" t="s">
        <v>21</v>
      </c>
      <c r="J10" s="64"/>
    </row>
    <row r="11" ht="14.25" customHeight="1">
      <c r="A11" s="21" t="str">
        <f>Hoja1!A35</f>
        <v>MALLA</v>
      </c>
      <c r="B11" s="21" t="s">
        <v>60</v>
      </c>
      <c r="C11" s="42">
        <f>Hoja1!I37/140</f>
        <v>0.4478571429</v>
      </c>
      <c r="D11" s="21">
        <f>J9/100</f>
        <v>0</v>
      </c>
      <c r="E11" s="61">
        <f t="shared" si="2"/>
        <v>0</v>
      </c>
      <c r="H11" s="62" t="str">
        <f t="shared" si="3"/>
        <v>MALLA</v>
      </c>
      <c r="I11" s="62" t="s">
        <v>61</v>
      </c>
    </row>
    <row r="12" ht="14.25" customHeight="1">
      <c r="A12" s="21" t="str">
        <f>Hoja1!A41</f>
        <v>FORRO</v>
      </c>
      <c r="B12" s="21" t="s">
        <v>60</v>
      </c>
      <c r="C12" s="42">
        <f>Hoja1!I55/140</f>
        <v>13.64400714</v>
      </c>
      <c r="D12" s="21">
        <f t="shared" ref="D12:D14" si="4">J12/100</f>
        <v>0</v>
      </c>
      <c r="E12" s="61">
        <f t="shared" si="2"/>
        <v>0</v>
      </c>
      <c r="H12" s="62" t="str">
        <f t="shared" si="3"/>
        <v>FORRO</v>
      </c>
      <c r="I12" s="62" t="s">
        <v>61</v>
      </c>
      <c r="J12" s="63"/>
    </row>
    <row r="13" ht="14.25" customHeight="1">
      <c r="A13" s="21" t="str">
        <f>Hoja1!A58</f>
        <v/>
      </c>
      <c r="B13" s="21" t="s">
        <v>60</v>
      </c>
      <c r="C13" s="42">
        <f>Hoja1!I60/140</f>
        <v>0</v>
      </c>
      <c r="D13" s="21">
        <f t="shared" si="4"/>
        <v>0</v>
      </c>
      <c r="E13" s="61">
        <f t="shared" si="2"/>
        <v>0</v>
      </c>
      <c r="H13" s="62" t="str">
        <f t="shared" si="3"/>
        <v/>
      </c>
      <c r="I13" s="62" t="s">
        <v>61</v>
      </c>
      <c r="J13" s="62"/>
    </row>
    <row r="14" ht="14.25" customHeight="1">
      <c r="A14" s="21"/>
      <c r="B14" s="21"/>
      <c r="C14" s="21"/>
      <c r="D14" s="21">
        <f t="shared" si="4"/>
        <v>0</v>
      </c>
      <c r="E14" s="61">
        <f t="shared" si="2"/>
        <v>0</v>
      </c>
      <c r="H14" s="62" t="str">
        <f t="shared" si="3"/>
        <v/>
      </c>
      <c r="I14" s="62" t="s">
        <v>61</v>
      </c>
      <c r="J14" s="62"/>
    </row>
    <row r="15" ht="14.25" customHeight="1">
      <c r="A15" s="21" t="s">
        <v>62</v>
      </c>
      <c r="B15" s="21" t="s">
        <v>63</v>
      </c>
      <c r="C15" s="42">
        <f>(Hoja1!H27)*3</f>
        <v>1123.8</v>
      </c>
      <c r="D15" s="42">
        <f t="shared" ref="D15:D16" si="5">J15/3000</f>
        <v>0</v>
      </c>
      <c r="E15" s="61">
        <f t="shared" si="2"/>
        <v>0</v>
      </c>
      <c r="H15" s="62" t="str">
        <f t="shared" si="3"/>
        <v>hilo x 3000</v>
      </c>
      <c r="I15" s="62" t="s">
        <v>64</v>
      </c>
      <c r="J15" s="63"/>
    </row>
    <row r="16" ht="14.25" customHeight="1">
      <c r="A16" s="21" t="s">
        <v>65</v>
      </c>
      <c r="B16" s="21" t="s">
        <v>66</v>
      </c>
      <c r="C16" s="21">
        <v>58.0</v>
      </c>
      <c r="D16" s="21">
        <f t="shared" si="5"/>
        <v>0</v>
      </c>
      <c r="E16" s="61">
        <f t="shared" si="2"/>
        <v>0</v>
      </c>
      <c r="H16" s="62" t="str">
        <f t="shared" si="3"/>
        <v>pegante x 3000</v>
      </c>
      <c r="I16" s="62" t="s">
        <v>67</v>
      </c>
      <c r="J16" s="62">
        <v>0.0</v>
      </c>
    </row>
    <row r="17" ht="14.25" customHeight="1">
      <c r="A17" s="21" t="s">
        <v>68</v>
      </c>
      <c r="B17" s="21"/>
      <c r="C17" s="21">
        <v>1.0</v>
      </c>
      <c r="D17" s="21">
        <v>0.0</v>
      </c>
      <c r="E17" s="61">
        <f t="shared" si="2"/>
        <v>0</v>
      </c>
      <c r="H17" s="62" t="str">
        <f t="shared" si="3"/>
        <v>mano de obra</v>
      </c>
      <c r="I17" s="62"/>
      <c r="J17" s="62"/>
    </row>
    <row r="18" ht="14.25" customHeight="1">
      <c r="A18" s="21" t="s">
        <v>69</v>
      </c>
      <c r="B18" s="21"/>
      <c r="C18" s="21"/>
      <c r="D18" s="21"/>
      <c r="E18" s="61"/>
      <c r="H18" s="62" t="str">
        <f t="shared" si="3"/>
        <v>empaque</v>
      </c>
      <c r="I18" s="62"/>
      <c r="J18" s="62"/>
    </row>
    <row r="19" ht="14.25" customHeight="1">
      <c r="A19" s="65" t="s">
        <v>70</v>
      </c>
      <c r="B19" s="15"/>
      <c r="C19" s="15"/>
      <c r="D19" s="16"/>
      <c r="E19" s="66" t="str">
        <f>SUM(E9:E17)</f>
        <v>#REF!</v>
      </c>
    </row>
    <row r="20" ht="14.25" customHeight="1">
      <c r="A20" s="45" t="s">
        <v>71</v>
      </c>
      <c r="B20" s="16"/>
      <c r="C20" s="67">
        <v>0.1</v>
      </c>
      <c r="D20" s="21"/>
      <c r="E20" s="61" t="str">
        <f>E19*C20</f>
        <v>#REF!</v>
      </c>
    </row>
    <row r="21" ht="14.25" customHeight="1">
      <c r="A21" s="45" t="s">
        <v>72</v>
      </c>
      <c r="B21" s="16"/>
      <c r="C21" s="67">
        <v>0.1</v>
      </c>
      <c r="D21" s="21"/>
      <c r="E21" s="61" t="str">
        <f>E19*C21</f>
        <v>#REF!</v>
      </c>
      <c r="G21" s="68" t="s">
        <v>73</v>
      </c>
      <c r="H21" s="69" t="s">
        <v>74</v>
      </c>
      <c r="I21" s="70"/>
      <c r="J21" s="71"/>
    </row>
    <row r="22" ht="14.25" customHeight="1">
      <c r="A22" s="45" t="s">
        <v>75</v>
      </c>
      <c r="B22" s="16"/>
      <c r="C22" s="67">
        <v>0.1</v>
      </c>
      <c r="D22" s="21"/>
      <c r="E22" s="61" t="str">
        <f>E19*C22</f>
        <v>#REF!</v>
      </c>
      <c r="G22" s="72"/>
      <c r="H22" s="18"/>
      <c r="J22" s="13"/>
    </row>
    <row r="23" ht="14.25" customHeight="1">
      <c r="A23" s="45" t="s">
        <v>76</v>
      </c>
      <c r="B23" s="15"/>
      <c r="C23" s="15"/>
      <c r="D23" s="16"/>
      <c r="E23" s="73" t="str">
        <f>SUM(E19:E22)</f>
        <v>#REF!</v>
      </c>
      <c r="G23" s="74"/>
      <c r="H23" s="75"/>
      <c r="I23" s="76"/>
      <c r="J23" s="77"/>
    </row>
    <row r="24" ht="14.25" customHeight="1"/>
    <row r="25" ht="14.25" customHeight="1"/>
    <row r="26" ht="14.25" customHeight="1">
      <c r="A26" s="21" t="s">
        <v>77</v>
      </c>
      <c r="B26" s="21" t="s">
        <v>78</v>
      </c>
      <c r="C26" s="21" t="s">
        <v>79</v>
      </c>
      <c r="D26" s="78">
        <v>44963.0</v>
      </c>
      <c r="E26" s="16"/>
    </row>
    <row r="27" ht="14.25" customHeight="1">
      <c r="A27" s="21" t="s">
        <v>80</v>
      </c>
      <c r="B27" s="21" t="s">
        <v>81</v>
      </c>
      <c r="C27" s="79" t="s">
        <v>82</v>
      </c>
      <c r="D27" s="78">
        <v>44967.0</v>
      </c>
      <c r="E27" s="16"/>
    </row>
    <row r="28" ht="14.25" customHeight="1">
      <c r="A28" s="21" t="s">
        <v>83</v>
      </c>
      <c r="B28" s="21">
        <v>90.0</v>
      </c>
      <c r="C28" s="79" t="s">
        <v>84</v>
      </c>
      <c r="D28" s="45" t="s">
        <v>85</v>
      </c>
      <c r="E28" s="16"/>
    </row>
    <row r="29" ht="14.25" customHeight="1">
      <c r="A29" s="21" t="s">
        <v>86</v>
      </c>
      <c r="B29" s="21">
        <v>60.0</v>
      </c>
      <c r="C29" s="21"/>
      <c r="D29" s="21"/>
      <c r="E29" s="21"/>
    </row>
    <row r="30" ht="14.25" customHeight="1">
      <c r="A30" s="21" t="s">
        <v>87</v>
      </c>
      <c r="B30" s="21" t="s">
        <v>88</v>
      </c>
      <c r="C30" s="21"/>
      <c r="D30" s="21"/>
      <c r="E30" s="21"/>
    </row>
    <row r="31" ht="14.25" customHeight="1">
      <c r="A31" s="21" t="s">
        <v>89</v>
      </c>
      <c r="B31" s="80" t="s">
        <v>90</v>
      </c>
      <c r="C31" s="81" t="s">
        <v>91</v>
      </c>
      <c r="D31" s="70"/>
      <c r="E31" s="71"/>
    </row>
    <row r="32" ht="14.25" customHeight="1">
      <c r="A32" s="21" t="s">
        <v>92</v>
      </c>
      <c r="B32" s="80" t="s">
        <v>93</v>
      </c>
      <c r="C32" s="18"/>
      <c r="E32" s="13"/>
    </row>
    <row r="33" ht="14.25" customHeight="1">
      <c r="A33" s="21" t="s">
        <v>94</v>
      </c>
      <c r="B33" s="80" t="s">
        <v>95</v>
      </c>
      <c r="C33" s="18"/>
      <c r="E33" s="13"/>
    </row>
    <row r="34" ht="14.25" customHeight="1">
      <c r="A34" s="21" t="s">
        <v>96</v>
      </c>
      <c r="B34" s="80" t="s">
        <v>97</v>
      </c>
      <c r="C34" s="75"/>
      <c r="D34" s="76"/>
      <c r="E34" s="77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4:H4"/>
    <mergeCell ref="C5:E5"/>
    <mergeCell ref="F5:H5"/>
    <mergeCell ref="A1:B5"/>
    <mergeCell ref="C1:E1"/>
    <mergeCell ref="F1:H1"/>
    <mergeCell ref="I1:J5"/>
    <mergeCell ref="C2:E2"/>
    <mergeCell ref="F2:H2"/>
    <mergeCell ref="F3:H3"/>
    <mergeCell ref="A22:B22"/>
    <mergeCell ref="A23:D23"/>
    <mergeCell ref="D26:E26"/>
    <mergeCell ref="D27:E27"/>
    <mergeCell ref="D28:E28"/>
    <mergeCell ref="C31:E34"/>
    <mergeCell ref="C3:E3"/>
    <mergeCell ref="C4:E4"/>
    <mergeCell ref="A19:D19"/>
    <mergeCell ref="A20:B20"/>
    <mergeCell ref="A21:B21"/>
    <mergeCell ref="G21:G23"/>
    <mergeCell ref="H21:J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2022-08-19T12:15:56Z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