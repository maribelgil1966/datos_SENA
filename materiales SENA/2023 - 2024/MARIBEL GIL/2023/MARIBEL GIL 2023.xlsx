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perez\OneDrive - Servicio Nacional de Aprendizaje\Escritorio\AÑO 2023\2023\PEDIDOS 2023\MARIBEL GIL\"/>
    </mc:Choice>
  </mc:AlternateContent>
  <xr:revisionPtr revIDLastSave="0" documentId="13_ncr:1_{6A5D35A9-6A24-4352-9C8F-DC7EC057F9F3}" xr6:coauthVersionLast="47" xr6:coauthVersionMax="47" xr10:uidLastSave="{00000000-0000-0000-0000-000000000000}"/>
  <bookViews>
    <workbookView xWindow="14400" yWindow="0" windowWidth="14400" windowHeight="15600" xr2:uid="{C0018ED9-BD41-48D4-881E-B728B7068719}"/>
  </bookViews>
  <sheets>
    <sheet name="MG1004-1_x0009_" sheetId="3" r:id="rId1"/>
  </sheets>
  <externalReferences>
    <externalReference r:id="rId2"/>
  </externalReferences>
  <definedNames>
    <definedName name="CATEGORIAS">[1]Listas!$M$2:$M$12</definedName>
    <definedName name="Destinación">[1]Listas!$D$2:$D$5</definedName>
    <definedName name="HERRAMIENTAS_">[1]!Tabla13[Material]</definedName>
    <definedName name="Intructores">[1]Listas!$H$2:$H$31</definedName>
    <definedName name="Materiales">[1]BD!$B$6:$B$1439</definedName>
    <definedName name="Observaciones">[1]Listas!$K$2:$K$12</definedName>
    <definedName name="Programas">[1]Listas!$F$2:$F$12</definedName>
    <definedName name="Tabla_Completa">[1]BD!$A$6:'[1]BD'!$J$1439</definedName>
    <definedName name="Total_AdhySol">[1]BD!$B$6</definedName>
    <definedName name="Total_Cuero">[1]BD!$B$516</definedName>
    <definedName name="Total_Herrajes">[1]BD!$B$562</definedName>
    <definedName name="Total_Herramientas">[1]BD!$B$1112</definedName>
    <definedName name="Total_SECUNDARIO_MEDULAR">[1]BD!$B$160</definedName>
    <definedName name="Total_Sint_y_Tex">[1]BD!$B$1011</definedName>
    <definedName name="Total_Suelas">[1]BD!$B$1072</definedName>
    <definedName name="Unidades">[1]Listas!$B$3:$B$28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0" i="3" l="1" a="1"/>
  <c r="Q30" i="3" s="1"/>
  <c r="G30" i="3" a="1"/>
  <c r="G30" i="3" s="1"/>
  <c r="F30" i="3"/>
  <c r="B30" i="3"/>
  <c r="Q29" i="3"/>
  <c r="Q29" i="3" a="1"/>
  <c r="G29" i="3" a="1"/>
  <c r="G29" i="3" s="1"/>
  <c r="F29" i="3"/>
  <c r="B29" i="3"/>
  <c r="Q28" i="3"/>
  <c r="Q28" i="3" a="1"/>
  <c r="G28" i="3"/>
  <c r="N28" i="3" s="1"/>
  <c r="G28" i="3" a="1"/>
  <c r="F28" i="3"/>
  <c r="B28" i="3"/>
  <c r="Q27" i="3" a="1"/>
  <c r="Q27" i="3" s="1"/>
  <c r="G27" i="3" a="1"/>
  <c r="G27" i="3" s="1"/>
  <c r="F27" i="3"/>
  <c r="B27" i="3"/>
  <c r="Q26" i="3"/>
  <c r="Q26" i="3" a="1"/>
  <c r="G26" i="3" a="1"/>
  <c r="G26" i="3" s="1"/>
  <c r="F26" i="3"/>
  <c r="B26" i="3"/>
  <c r="Q25" i="3" a="1"/>
  <c r="Q25" i="3" s="1"/>
  <c r="N25" i="3"/>
  <c r="G25" i="3"/>
  <c r="J25" i="3" s="1" a="1"/>
  <c r="J25" i="3" s="1"/>
  <c r="G25" i="3" a="1"/>
  <c r="F25" i="3"/>
  <c r="B25" i="3"/>
  <c r="Q24" i="3" a="1"/>
  <c r="Q24" i="3" s="1"/>
  <c r="G24" i="3" a="1"/>
  <c r="G24" i="3" s="1"/>
  <c r="F24" i="3"/>
  <c r="B24" i="3"/>
  <c r="Q23" i="3"/>
  <c r="Q23" i="3" a="1"/>
  <c r="G23" i="3"/>
  <c r="N23" i="3" s="1"/>
  <c r="G23" i="3" a="1"/>
  <c r="F23" i="3"/>
  <c r="B23" i="3"/>
  <c r="Q22" i="3" a="1"/>
  <c r="Q22" i="3" s="1"/>
  <c r="G22" i="3" a="1"/>
  <c r="G22" i="3" s="1"/>
  <c r="F22" i="3"/>
  <c r="B22" i="3"/>
  <c r="Q21" i="3" a="1"/>
  <c r="Q21" i="3" s="1"/>
  <c r="G21" i="3" a="1"/>
  <c r="G21" i="3" s="1"/>
  <c r="F21" i="3"/>
  <c r="B21" i="3"/>
  <c r="Q20" i="3"/>
  <c r="Q20" i="3" a="1"/>
  <c r="G20" i="3"/>
  <c r="N20" i="3" s="1"/>
  <c r="G20" i="3" a="1"/>
  <c r="F20" i="3"/>
  <c r="B20" i="3"/>
  <c r="Q19" i="3" a="1"/>
  <c r="Q19" i="3" s="1"/>
  <c r="G19" i="3" a="1"/>
  <c r="G19" i="3" s="1"/>
  <c r="F19" i="3"/>
  <c r="B19" i="3"/>
  <c r="Q18" i="3" a="1"/>
  <c r="Q18" i="3" s="1"/>
  <c r="G18" i="3" a="1"/>
  <c r="G18" i="3" s="1"/>
  <c r="F18" i="3"/>
  <c r="B18" i="3"/>
  <c r="Q17" i="3" a="1"/>
  <c r="Q17" i="3" s="1"/>
  <c r="N17" i="3"/>
  <c r="G17" i="3"/>
  <c r="J17" i="3" s="1" a="1"/>
  <c r="J17" i="3" s="1"/>
  <c r="G17" i="3" a="1"/>
  <c r="F17" i="3"/>
  <c r="B17" i="3"/>
  <c r="Q16" i="3" a="1"/>
  <c r="Q16" i="3" s="1"/>
  <c r="G16" i="3" a="1"/>
  <c r="G16" i="3" s="1"/>
  <c r="F16" i="3"/>
  <c r="B16" i="3"/>
  <c r="Q15" i="3"/>
  <c r="Q15" i="3" a="1"/>
  <c r="G15" i="3"/>
  <c r="N15" i="3" s="1"/>
  <c r="G15" i="3" a="1"/>
  <c r="F15" i="3"/>
  <c r="B15" i="3"/>
  <c r="Q14" i="3" a="1"/>
  <c r="Q14" i="3" s="1"/>
  <c r="G14" i="3" a="1"/>
  <c r="G14" i="3" s="1"/>
  <c r="F14" i="3"/>
  <c r="B14" i="3"/>
  <c r="Q13" i="3" a="1"/>
  <c r="Q13" i="3" s="1"/>
  <c r="G13" i="3" a="1"/>
  <c r="G13" i="3" s="1"/>
  <c r="F13" i="3"/>
  <c r="B13" i="3"/>
  <c r="Q12" i="3" a="1"/>
  <c r="Q12" i="3" s="1"/>
  <c r="G12" i="3"/>
  <c r="N12" i="3" s="1"/>
  <c r="G12" i="3" a="1"/>
  <c r="F12" i="3"/>
  <c r="B12" i="3"/>
  <c r="P10" i="3"/>
  <c r="P10" i="3" a="1"/>
  <c r="L10" i="3"/>
  <c r="I8" i="3"/>
  <c r="A8" i="3"/>
  <c r="F9" i="3" s="1"/>
  <c r="L4" i="3"/>
  <c r="O3" i="3" s="1" a="1"/>
  <c r="O3" i="3" s="1"/>
  <c r="M3" i="3"/>
  <c r="M2" i="3"/>
  <c r="M1" i="3"/>
  <c r="N14" i="3" l="1"/>
  <c r="J14" i="3" a="1"/>
  <c r="J14" i="3" s="1"/>
  <c r="N19" i="3"/>
  <c r="J19" i="3" a="1"/>
  <c r="J19" i="3" s="1"/>
  <c r="N24" i="3"/>
  <c r="J24" i="3" a="1"/>
  <c r="J24" i="3" s="1"/>
  <c r="N29" i="3"/>
  <c r="J29" i="3" a="1"/>
  <c r="J29" i="3" s="1"/>
  <c r="N16" i="3"/>
  <c r="J16" i="3" a="1"/>
  <c r="J16" i="3" s="1"/>
  <c r="N21" i="3"/>
  <c r="J21" i="3" a="1"/>
  <c r="J21" i="3" s="1"/>
  <c r="J26" i="3" a="1"/>
  <c r="J26" i="3" s="1"/>
  <c r="N26" i="3"/>
  <c r="N13" i="3"/>
  <c r="J13" i="3" a="1"/>
  <c r="J13" i="3" s="1"/>
  <c r="J18" i="3" a="1"/>
  <c r="J18" i="3" s="1"/>
  <c r="N18" i="3"/>
  <c r="N22" i="3"/>
  <c r="J22" i="3" a="1"/>
  <c r="J22" i="3" s="1"/>
  <c r="N30" i="3"/>
  <c r="J30" i="3" a="1"/>
  <c r="J30" i="3" s="1"/>
  <c r="O7" i="3"/>
  <c r="O6" i="3"/>
  <c r="J27" i="3" a="1"/>
  <c r="J27" i="3" s="1"/>
  <c r="N27" i="3"/>
  <c r="J12" i="3" a="1"/>
  <c r="J12" i="3" s="1"/>
  <c r="J20" i="3" a="1"/>
  <c r="J20" i="3" s="1"/>
  <c r="J28" i="3" a="1"/>
  <c r="J28" i="3" s="1"/>
  <c r="J15" i="3" a="1"/>
  <c r="J15" i="3" s="1"/>
  <c r="J23" i="3" a="1"/>
  <c r="J23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<sst xmlns="http://schemas.openxmlformats.org/spreadsheetml/2006/main" count="29" uniqueCount="29">
  <si>
    <t>SERVICIO NACIONAL DE APRENDIZAJE SENA
FORMATO DE SOLICITUD DE SALIDA DE INSUMOS ALMACEN MATERIALES CDMC</t>
  </si>
  <si>
    <t>FECHA SOLICITUD</t>
  </si>
  <si>
    <t>CODIGO  ASIGNADO</t>
  </si>
  <si>
    <t>FICHA DE CARACTERIZACIÓN</t>
  </si>
  <si>
    <t>DESTINACIÓN DEL PEDIDO</t>
  </si>
  <si>
    <t>VALOR DE UNA UNIDAD DE PRODUCTO</t>
  </si>
  <si>
    <t>COORDINADOR DE LA LINEA MEDULAR:</t>
  </si>
  <si>
    <t>Paul Ernesto Tamayo Caviedes</t>
  </si>
  <si>
    <t>Aprobar Pedido</t>
  </si>
  <si>
    <t>INSTRUCTOR QUE SOLICITA EL PEDIDO:</t>
  </si>
  <si>
    <t>INCREMENTO DEL VALOR (%)</t>
  </si>
  <si>
    <t>VALOR  APROBADO</t>
  </si>
  <si>
    <t>Productos a Realizar /entregar</t>
  </si>
  <si>
    <t>Entrega de material</t>
  </si>
  <si>
    <t>Total Entregado</t>
  </si>
  <si>
    <t>Item</t>
  </si>
  <si>
    <t>DESCRIPCION DE BIEN</t>
  </si>
  <si>
    <t>UNIDA DE MEDIDA</t>
  </si>
  <si>
    <t>CANTIDAD SOLICITADA</t>
  </si>
  <si>
    <t xml:space="preserve">Fecha 
Entrega </t>
  </si>
  <si>
    <t>CANTIDAD Entregada 1</t>
  </si>
  <si>
    <t>Faltante por entregar</t>
  </si>
  <si>
    <t>Observaciones</t>
  </si>
  <si>
    <t>Ancho del material cm)</t>
  </si>
  <si>
    <t>Entrega  Lineal material</t>
  </si>
  <si>
    <t xml:space="preserve">Fecha
 Recibo </t>
  </si>
  <si>
    <t>CANTIDAD Recibido</t>
  </si>
  <si>
    <t>Devolutivo</t>
  </si>
  <si>
    <t xml:space="preserve">Fecha Recibo 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</si>
</sst>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[$-F800]dddd\,\ mmmm\ dd\,\ yyyy"/>
    <numFmt numFmtId="165" formatCode="_-* #,##0_-;\-* #,##0_-;_-* &quot;-&quot;??_-;_-@_-"/>
    <numFmt numFmtId="166" formatCode="0;[Red]0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2"/>
      <color theme="0"/>
      <name val="Calibri"/>
      <family val="2"/>
      <scheme val="minor"/>
    </font>
    <font>
      <b/>
      <sz val="12"/>
      <color theme="1"/>
      <name val="Arial Nova Light"/>
      <family val="2"/>
    </font>
    <font>
      <b/>
      <sz val="18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rgb="FFFF0000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99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9">
    <xf numFmtId="0" fontId="0" fillId="0" borderId="0" xfId="0"/>
    <xf numFmtId="0" fontId="3" fillId="4" borderId="1" xfId="0" applyFont="1" applyFill="1" applyBorder="1" applyAlignment="1">
      <alignment horizontal="center" vertical="center"/>
    </xf>
    <xf numFmtId="0" fontId="0" fillId="10" borderId="0" xfId="0" applyFill="1"/>
    <xf numFmtId="1" fontId="11" fillId="9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4" fillId="16" borderId="1" xfId="0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horizontal="center" vertical="center" wrapText="1"/>
    </xf>
    <xf numFmtId="0" fontId="6" fillId="17" borderId="1" xfId="0" applyFont="1" applyFill="1" applyBorder="1" applyAlignment="1">
      <alignment horizontal="center" vertical="center" wrapText="1"/>
    </xf>
    <xf numFmtId="0" fontId="5" fillId="18" borderId="1" xfId="0" applyFont="1" applyFill="1" applyBorder="1" applyAlignment="1">
      <alignment horizontal="center" vertical="center" wrapText="1"/>
    </xf>
    <xf numFmtId="0" fontId="3" fillId="16" borderId="1" xfId="0" applyFont="1" applyFill="1" applyBorder="1" applyAlignment="1">
      <alignment horizontal="center" vertical="center" wrapText="1"/>
    </xf>
    <xf numFmtId="0" fontId="3" fillId="19" borderId="1" xfId="0" applyFont="1" applyFill="1" applyBorder="1" applyAlignment="1">
      <alignment horizontal="center" vertical="center" wrapText="1"/>
    </xf>
    <xf numFmtId="0" fontId="6" fillId="20" borderId="4" xfId="0" applyFont="1" applyFill="1" applyBorder="1" applyAlignment="1">
      <alignment horizontal="center" vertical="center" wrapText="1"/>
    </xf>
    <xf numFmtId="0" fontId="5" fillId="20" borderId="1" xfId="0" applyFont="1" applyFill="1" applyBorder="1" applyAlignment="1">
      <alignment horizontal="center" vertical="center" wrapText="1"/>
    </xf>
    <xf numFmtId="0" fontId="5" fillId="17" borderId="1" xfId="0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16" fontId="3" fillId="21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166" fontId="6" fillId="5" borderId="10" xfId="0" applyNumberFormat="1" applyFont="1" applyFill="1" applyBorder="1" applyAlignment="1">
      <alignment horizontal="center" vertical="center"/>
    </xf>
    <xf numFmtId="0" fontId="11" fillId="5" borderId="10" xfId="0" applyFont="1" applyFill="1" applyBorder="1" applyAlignment="1">
      <alignment horizontal="center" vertical="center"/>
    </xf>
    <xf numFmtId="16" fontId="0" fillId="0" borderId="10" xfId="0" applyNumberFormat="1" applyBorder="1" applyAlignment="1" applyProtection="1">
      <alignment horizontal="center" vertical="center"/>
      <protection locked="0"/>
    </xf>
    <xf numFmtId="0" fontId="6" fillId="0" borderId="15" xfId="0" applyFont="1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0" fontId="3" fillId="21" borderId="1" xfId="0" applyFont="1" applyFill="1" applyBorder="1" applyAlignment="1" applyProtection="1">
      <alignment horizontal="center" vertical="center" wrapText="1"/>
      <protection locked="0"/>
    </xf>
    <xf numFmtId="0" fontId="0" fillId="5" borderId="1" xfId="0" applyFill="1" applyBorder="1" applyAlignment="1">
      <alignment horizontal="left" vertical="top" wrapText="1"/>
    </xf>
    <xf numFmtId="0" fontId="0" fillId="0" borderId="6" xfId="0" applyBorder="1" applyAlignment="1" applyProtection="1">
      <alignment horizontal="center" vertical="center" wrapText="1"/>
      <protection locked="0"/>
    </xf>
    <xf numFmtId="0" fontId="0" fillId="0" borderId="7" xfId="0" applyBorder="1" applyAlignment="1" applyProtection="1">
      <alignment horizontal="center" vertical="center" wrapText="1"/>
      <protection locked="0"/>
    </xf>
    <xf numFmtId="0" fontId="3" fillId="0" borderId="1" xfId="0" applyFont="1" applyBorder="1" applyAlignment="1">
      <alignment horizontal="center" vertical="top"/>
    </xf>
    <xf numFmtId="0" fontId="6" fillId="4" borderId="9" xfId="0" applyFont="1" applyFill="1" applyBorder="1" applyAlignment="1">
      <alignment horizontal="center" vertical="center" wrapText="1"/>
    </xf>
    <xf numFmtId="0" fontId="6" fillId="4" borderId="0" xfId="0" applyFont="1" applyFill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6" fillId="11" borderId="9" xfId="0" applyFont="1" applyFill="1" applyBorder="1" applyAlignment="1">
      <alignment horizontal="center" vertical="center"/>
    </xf>
    <xf numFmtId="0" fontId="6" fillId="11" borderId="0" xfId="0" applyFont="1" applyFill="1" applyAlignment="1">
      <alignment horizontal="center" vertical="center"/>
    </xf>
    <xf numFmtId="0" fontId="6" fillId="11" borderId="5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wrapText="1"/>
    </xf>
    <xf numFmtId="0" fontId="6" fillId="5" borderId="3" xfId="0" applyFont="1" applyFill="1" applyBorder="1" applyAlignment="1">
      <alignment horizontal="center" wrapText="1"/>
    </xf>
    <xf numFmtId="0" fontId="10" fillId="10" borderId="10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9" fontId="11" fillId="12" borderId="1" xfId="2" applyFont="1" applyFill="1" applyBorder="1" applyAlignment="1" applyProtection="1">
      <alignment horizontal="center" vertical="center"/>
      <protection locked="0"/>
    </xf>
    <xf numFmtId="0" fontId="6" fillId="13" borderId="1" xfId="0" applyFont="1" applyFill="1" applyBorder="1" applyAlignment="1">
      <alignment horizontal="center" vertical="center"/>
    </xf>
    <xf numFmtId="165" fontId="12" fillId="14" borderId="11" xfId="1" applyNumberFormat="1" applyFont="1" applyFill="1" applyBorder="1" applyAlignment="1">
      <alignment vertical="center"/>
    </xf>
    <xf numFmtId="165" fontId="12" fillId="14" borderId="12" xfId="1" applyNumberFormat="1" applyFont="1" applyFill="1" applyBorder="1" applyAlignment="1">
      <alignment vertical="center"/>
    </xf>
    <xf numFmtId="165" fontId="12" fillId="14" borderId="13" xfId="1" applyNumberFormat="1" applyFont="1" applyFill="1" applyBorder="1" applyAlignment="1">
      <alignment vertical="center"/>
    </xf>
    <xf numFmtId="165" fontId="12" fillId="14" borderId="6" xfId="1" applyNumberFormat="1" applyFont="1" applyFill="1" applyBorder="1" applyAlignment="1">
      <alignment vertical="center"/>
    </xf>
    <xf numFmtId="165" fontId="12" fillId="14" borderId="7" xfId="1" applyNumberFormat="1" applyFont="1" applyFill="1" applyBorder="1" applyAlignment="1">
      <alignment vertical="center"/>
    </xf>
    <xf numFmtId="165" fontId="12" fillId="14" borderId="8" xfId="1" applyNumberFormat="1" applyFont="1" applyFill="1" applyBorder="1" applyAlignment="1">
      <alignment vertical="center"/>
    </xf>
    <xf numFmtId="0" fontId="3" fillId="12" borderId="7" xfId="0" applyFont="1" applyFill="1" applyBorder="1" applyAlignment="1">
      <alignment horizontal="center" vertical="center" wrapText="1"/>
    </xf>
    <xf numFmtId="0" fontId="3" fillId="12" borderId="8" xfId="0" applyFont="1" applyFill="1" applyBorder="1" applyAlignment="1">
      <alignment horizontal="center" vertical="center" wrapText="1"/>
    </xf>
    <xf numFmtId="0" fontId="6" fillId="15" borderId="6" xfId="0" applyFont="1" applyFill="1" applyBorder="1" applyAlignment="1">
      <alignment horizontal="center" vertical="center"/>
    </xf>
    <xf numFmtId="0" fontId="6" fillId="15" borderId="7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center" wrapText="1"/>
    </xf>
    <xf numFmtId="0" fontId="3" fillId="6" borderId="1" xfId="0" applyFont="1" applyFill="1" applyBorder="1" applyAlignment="1">
      <alignment horizontal="center" wrapText="1"/>
    </xf>
    <xf numFmtId="0" fontId="7" fillId="7" borderId="0" xfId="0" applyFont="1" applyFill="1" applyAlignment="1">
      <alignment horizontal="center" vertical="center"/>
    </xf>
    <xf numFmtId="0" fontId="7" fillId="7" borderId="5" xfId="0" applyFont="1" applyFill="1" applyBorder="1" applyAlignment="1">
      <alignment horizontal="center" vertical="center"/>
    </xf>
    <xf numFmtId="0" fontId="8" fillId="5" borderId="6" xfId="0" applyFont="1" applyFill="1" applyBorder="1" applyAlignment="1" applyProtection="1">
      <alignment horizontal="center" vertical="center"/>
      <protection locked="0"/>
    </xf>
    <xf numFmtId="0" fontId="8" fillId="5" borderId="7" xfId="0" applyFont="1" applyFill="1" applyBorder="1" applyAlignment="1" applyProtection="1">
      <alignment horizontal="center" vertical="center"/>
      <protection locked="0"/>
    </xf>
    <xf numFmtId="0" fontId="8" fillId="8" borderId="7" xfId="0" applyFont="1" applyFill="1" applyBorder="1" applyAlignment="1" applyProtection="1">
      <alignment horizontal="center" vertical="center"/>
      <protection locked="0"/>
    </xf>
    <xf numFmtId="0" fontId="8" fillId="8" borderId="8" xfId="0" applyFont="1" applyFill="1" applyBorder="1" applyAlignment="1" applyProtection="1">
      <alignment horizontal="center" vertical="center"/>
      <protection locked="0"/>
    </xf>
    <xf numFmtId="0" fontId="3" fillId="9" borderId="1" xfId="0" applyFont="1" applyFill="1" applyBorder="1" applyAlignment="1">
      <alignment horizontal="center" vertical="center"/>
    </xf>
    <xf numFmtId="165" fontId="4" fillId="5" borderId="1" xfId="1" applyNumberFormat="1" applyFont="1" applyFill="1" applyBorder="1" applyAlignment="1">
      <alignment horizontal="center" vertical="center"/>
    </xf>
    <xf numFmtId="165" fontId="9" fillId="5" borderId="1" xfId="1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/>
    </xf>
    <xf numFmtId="0" fontId="3" fillId="3" borderId="3" xfId="0" applyFont="1" applyFill="1" applyBorder="1" applyAlignment="1">
      <alignment horizontal="left" vertical="center"/>
    </xf>
    <xf numFmtId="0" fontId="3" fillId="3" borderId="4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/>
    </xf>
    <xf numFmtId="0" fontId="0" fillId="4" borderId="2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</cellXfs>
  <cellStyles count="3">
    <cellStyle name="Millares" xfId="1" builtinId="3"/>
    <cellStyle name="Normal" xfId="0" builtinId="0"/>
    <cellStyle name="Porcentaje" xfId="2" builtinId="5"/>
  </cellStyles>
  <dxfs count="13">
    <dxf>
      <fill>
        <patternFill>
          <bgColor rgb="FF92D050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0</xdr:row>
      <xdr:rowOff>47625</xdr:rowOff>
    </xdr:from>
    <xdr:to>
      <xdr:col>1</xdr:col>
      <xdr:colOff>631183</xdr:colOff>
      <xdr:row>3</xdr:row>
      <xdr:rowOff>126724</xdr:rowOff>
    </xdr:to>
    <xdr:pic>
      <xdr:nvPicPr>
        <xdr:cNvPr id="2" name="Imagen 1" descr="SENA - Centro de Formación en Actividad Física y Cultura | Bogotá">
          <a:extLst>
            <a:ext uri="{FF2B5EF4-FFF2-40B4-BE49-F238E27FC236}">
              <a16:creationId xmlns:a16="http://schemas.microsoft.com/office/drawing/2014/main" id="{C47C9F68-6910-46B7-A0DF-86770A956CB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557" t="13333" r="15555" b="26220"/>
        <a:stretch/>
      </xdr:blipFill>
      <xdr:spPr bwMode="auto">
        <a:xfrm>
          <a:off x="171450" y="47625"/>
          <a:ext cx="774058" cy="6791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38100</xdr:colOff>
      <xdr:row>0</xdr:row>
      <xdr:rowOff>28575</xdr:rowOff>
    </xdr:from>
    <xdr:to>
      <xdr:col>18</xdr:col>
      <xdr:colOff>468381</xdr:colOff>
      <xdr:row>9</xdr:row>
      <xdr:rowOff>312255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30CA710-21CB-4B34-9E6B-EE0F5CB3900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894" b="4894"/>
        <a:stretch/>
      </xdr:blipFill>
      <xdr:spPr>
        <a:xfrm>
          <a:off x="11229975" y="28575"/>
          <a:ext cx="2173356" cy="177910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perez\Downloads\Copia%20de%20Ficha%20de%20Pedido%20CDMC%20bolsa%20logistica%201.xlsm" TargetMode="External"/><Relationship Id="rId1" Type="http://schemas.openxmlformats.org/officeDocument/2006/relationships/externalLinkPath" Target="file:///C:\Users\jperez\Downloads\Copia%20de%20Ficha%20de%20Pedido%20CDMC%20bolsa%20logistica%20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oli_citud "/>
      <sheetName val="MG1004-1_x0009_"/>
      <sheetName val="BD"/>
      <sheetName val="Listas"/>
      <sheetName val="Copia de Ficha de Pedido CDMC b"/>
    </sheetNames>
    <sheetDataSet>
      <sheetData sheetId="0">
        <row r="1">
          <cell r="F1" t="str">
            <v>MG1004-1</v>
          </cell>
          <cell r="O1">
            <v>45026</v>
          </cell>
        </row>
        <row r="2">
          <cell r="E2" t="str">
            <v>Maribel Gil Zapata</v>
          </cell>
        </row>
        <row r="4">
          <cell r="O4" t="str">
            <v>Marroquinería Formación</v>
          </cell>
        </row>
        <row r="5">
          <cell r="D5">
            <v>0</v>
          </cell>
          <cell r="K5">
            <v>100</v>
          </cell>
        </row>
        <row r="10">
          <cell r="A10" t="str">
            <v>SiNTETICOS_TEXTILES</v>
          </cell>
          <cell r="D10" t="str">
            <v>POLITEX-KAMBREL 100 GR</v>
          </cell>
          <cell r="O10" t="str">
            <v>cm2</v>
          </cell>
          <cell r="S10">
            <v>145200</v>
          </cell>
        </row>
        <row r="11">
          <cell r="O11" t="str">
            <v/>
          </cell>
          <cell r="S11">
            <v>0</v>
          </cell>
        </row>
        <row r="12">
          <cell r="O12" t="str">
            <v/>
          </cell>
          <cell r="S12">
            <v>0</v>
          </cell>
        </row>
        <row r="13">
          <cell r="O13" t="str">
            <v/>
          </cell>
          <cell r="S13">
            <v>0</v>
          </cell>
        </row>
        <row r="14">
          <cell r="O14" t="str">
            <v/>
          </cell>
          <cell r="S14">
            <v>0</v>
          </cell>
        </row>
        <row r="15">
          <cell r="O15" t="str">
            <v/>
          </cell>
          <cell r="S15">
            <v>0</v>
          </cell>
        </row>
        <row r="16">
          <cell r="O16" t="str">
            <v/>
          </cell>
          <cell r="S16">
            <v>0</v>
          </cell>
        </row>
        <row r="17">
          <cell r="O17" t="str">
            <v/>
          </cell>
          <cell r="S17">
            <v>0</v>
          </cell>
        </row>
        <row r="18">
          <cell r="O18" t="str">
            <v/>
          </cell>
          <cell r="S18">
            <v>0</v>
          </cell>
        </row>
        <row r="19">
          <cell r="O19" t="str">
            <v/>
          </cell>
          <cell r="S19">
            <v>0</v>
          </cell>
        </row>
        <row r="20">
          <cell r="O20" t="str">
            <v/>
          </cell>
          <cell r="S20">
            <v>0</v>
          </cell>
        </row>
        <row r="21">
          <cell r="O21" t="str">
            <v/>
          </cell>
          <cell r="S21">
            <v>0</v>
          </cell>
        </row>
        <row r="22">
          <cell r="O22" t="str">
            <v/>
          </cell>
          <cell r="S22">
            <v>0</v>
          </cell>
        </row>
        <row r="23">
          <cell r="O23" t="str">
            <v/>
          </cell>
          <cell r="S23">
            <v>0</v>
          </cell>
        </row>
        <row r="24">
          <cell r="O24" t="str">
            <v/>
          </cell>
          <cell r="S24">
            <v>0</v>
          </cell>
        </row>
        <row r="25">
          <cell r="O25" t="str">
            <v/>
          </cell>
          <cell r="S25">
            <v>0</v>
          </cell>
        </row>
        <row r="26">
          <cell r="O26" t="str">
            <v/>
          </cell>
          <cell r="S26">
            <v>0</v>
          </cell>
        </row>
        <row r="27">
          <cell r="O27" t="str">
            <v/>
          </cell>
          <cell r="S27">
            <v>0</v>
          </cell>
        </row>
        <row r="28">
          <cell r="O28" t="str">
            <v/>
          </cell>
          <cell r="S28">
            <v>0</v>
          </cell>
        </row>
      </sheetData>
      <sheetData sheetId="1"/>
      <sheetData sheetId="2">
        <row r="6">
          <cell r="A6" t="str">
            <v xml:space="preserve">Totales </v>
          </cell>
          <cell r="B6">
            <v>12</v>
          </cell>
        </row>
        <row r="7">
          <cell r="B7" t="str">
            <v>Material</v>
          </cell>
        </row>
        <row r="8">
          <cell r="B8" t="str">
            <v xml:space="preserve">ADHESIVO PU
</v>
          </cell>
        </row>
        <row r="9">
          <cell r="B9" t="str">
            <v xml:space="preserve">AQUAPREN CALZADO Y MARROQUINERÍA SPRAY
</v>
          </cell>
        </row>
        <row r="10">
          <cell r="B10" t="str">
            <v xml:space="preserve">AQUAPREN GUARNECIDA
</v>
          </cell>
        </row>
        <row r="11">
          <cell r="B11" t="str">
            <v xml:space="preserve">CARDA RAPIDO
</v>
          </cell>
        </row>
        <row r="12">
          <cell r="B12" t="str">
            <v xml:space="preserve">DILUSOR DE PINTURA 2-THIN
</v>
          </cell>
        </row>
        <row r="13">
          <cell r="B13" t="str">
            <v xml:space="preserve">HALOGENANTE
</v>
          </cell>
        </row>
        <row r="14">
          <cell r="B14" t="str">
            <v>LIMPIADOR  DE SUELAS</v>
          </cell>
        </row>
        <row r="15">
          <cell r="B15" t="str">
            <v xml:space="preserve">PEGANTE CEMENTO DE CONTACTO BASE CLOROPRENO
</v>
          </cell>
        </row>
        <row r="16">
          <cell r="B16" t="str">
            <v>PRIMER EVA</v>
          </cell>
        </row>
        <row r="17">
          <cell r="B17" t="str">
            <v xml:space="preserve">PRIMER PU
</v>
          </cell>
        </row>
        <row r="18">
          <cell r="B18" t="str">
            <v>SOLUCIÓN DE CAUCHO</v>
          </cell>
        </row>
        <row r="19">
          <cell r="B19" t="str">
            <v>THINNER</v>
          </cell>
        </row>
        <row r="29">
          <cell r="B29" t="str">
            <v>Insertar Filas!!</v>
          </cell>
        </row>
        <row r="32">
          <cell r="B32">
            <v>108</v>
          </cell>
        </row>
        <row r="33">
          <cell r="B33" t="str">
            <v>Material</v>
          </cell>
        </row>
        <row r="34">
          <cell r="B34" t="str">
            <v>AGUJAS PARA INFLAR BALONES</v>
          </cell>
        </row>
        <row r="35">
          <cell r="B35" t="str">
            <v>ARO DE PISO PLANO</v>
          </cell>
        </row>
        <row r="36">
          <cell r="B36" t="str">
            <v>ARO ULA REDONDO</v>
          </cell>
        </row>
        <row r="37">
          <cell r="B37" t="str">
            <v>AVISO_CAL (VARIOS DE MERCANCIAS PELIGROSAS, DE 1 CLASE)</v>
          </cell>
        </row>
        <row r="38">
          <cell r="B38" t="str">
            <v>AVISO_CAL ,SGA, MEDIDAS 25X25, (ETIQUETADO PARA TRANSPORTES) CLASE 1 SUSTANCIAS Y OBJETO EXPLOSIVOS: 1.1</v>
          </cell>
        </row>
        <row r="39">
          <cell r="B39" t="str">
            <v>AVISO_CAL ,SGA, MEDIDAS 25X25, (ETIQUETADO PARA TRANSPORTES) CLASE 1 SUSTANCIAS Y OBJETO EXPLOSIVOS: 1.2</v>
          </cell>
        </row>
        <row r="40">
          <cell r="B40" t="str">
            <v>AVISO_CAL ,SGA, MEDIDAS 25X25, (ETIQUETADO PARA TRANSPORTES) CLASE 1 SUSTANCIAS Y OBJETO EXPLOSIVOS: 1.3</v>
          </cell>
        </row>
        <row r="41">
          <cell r="B41" t="str">
            <v>AVISO_CAL ,SGA, MEDIDAS 25X25, (ETIQUETADO PARA TRANSPORTES) CLASE 1 SUSTANCIAS Y OBJETO EXPLOSIVOS: 1.4</v>
          </cell>
        </row>
        <row r="42">
          <cell r="B42" t="str">
            <v>AVISO_CAL ,SGA, MEDIDAS 25X25, (ETIQUETADO PARA TRANSPORTES) CLASE 1 SUSTANCIAS Y OBJETO EXPLOSIVOS: 1.5</v>
          </cell>
        </row>
        <row r="43">
          <cell r="B43" t="str">
            <v>AVISO_CAL ,SGA, MEDIDAS 25X25, (ETIQUETADO PARA TRANSPORTES) CLASE 1 SUSTANCIAS Y OBJETO EXPLOSIVOS: 1.6</v>
          </cell>
        </row>
        <row r="44">
          <cell r="B44" t="str">
            <v>AVISO_CAL ,SGA, MEDIDAS 25X25, (ETIQUETADO PARA TRANSPORTES) CLASE 2 GASES: GAS INFLAMABLE</v>
          </cell>
        </row>
        <row r="45">
          <cell r="B45" t="str">
            <v>AVISO_CAL ,SGA, MEDIDAS 25X25, (ETIQUETADO PARA TRANSPORTES) CLASE 2 GASES: GAS NO INFLAMABLE</v>
          </cell>
        </row>
        <row r="46">
          <cell r="B46" t="str">
            <v>AVISO_CAL ,SGA, MEDIDAS 25X25, (ETIQUETADO PARA TRANSPORTES) CLASE 2 GASES: GAS TOXICO</v>
          </cell>
        </row>
        <row r="47">
          <cell r="B47" t="str">
            <v>AVISO_CAL ,SGA, MEDIDAS 25X25, (ETIQUETADO PARA TRANSPORTES) CLASE 4 SÓLIDOS INFLAMABLES: COMBUSTIÓN ESPONTANEA</v>
          </cell>
        </row>
        <row r="48">
          <cell r="B48" t="str">
            <v>AVISO_CAL ,SGA, MEDIDAS 25X25, (ETIQUETADO PARA TRANSPORTES) CLASE 4 SÓLIDOS INFLAMABLES: PELIGROS EN CONTACTO CON EL AGUA</v>
          </cell>
        </row>
        <row r="49">
          <cell r="B49" t="str">
            <v>AVISO_CAL ,SGA, MEDIDAS 25X25, (ETIQUETADO PARA TRANSPORTES) CLASE 4 SÓLIDOS INFLAMABLES: SÓLIDO INFLAMABLE</v>
          </cell>
        </row>
        <row r="50">
          <cell r="B50" t="str">
            <v>AVISO_CAL ,SGA, MEDIDAS 25X25, (ETIQUETADO PARA TRANSPORTES) CLASE 5 COMBURENTE 5.1</v>
          </cell>
        </row>
        <row r="51">
          <cell r="B51" t="str">
            <v>AVISO_CAL ,SGA, MEDIDAS 25X25, (ETIQUETADO PARA TRANSPORTES) CLASE 5 PERÓXIDO ORGÁNICO 5.2</v>
          </cell>
        </row>
        <row r="52">
          <cell r="B52" t="str">
            <v>AVISO_CAL ,SGA, MEDIDAS 25X25, (ETIQUETADO PARA TRANSPORTES) CLASE 6 SUSTANCIAS INFECCIOSAS</v>
          </cell>
        </row>
        <row r="53">
          <cell r="B53" t="str">
            <v>AVISO_CAL ,SGA, MEDIDAS 25X25, (ETIQUETADO PARA TRANSPORTES) CLASE 6 TOXICO</v>
          </cell>
        </row>
        <row r="54">
          <cell r="B54" t="str">
            <v xml:space="preserve">AVISO_CAL ,SGA, MEDIDAS 25X25, (ETIQUETADO PARA TRANSPORTES) CLASE 7 MATERIAL RADIACTIVO: RADIACTIVO I  </v>
          </cell>
        </row>
        <row r="55">
          <cell r="B55" t="str">
            <v xml:space="preserve">AVISO_CAL ,SGA, MEDIDAS 25X25, (ETIQUETADO PARA TRANSPORTES) CLASE 7 MATERIAL RADIACTIVO: RADIACTIVO II </v>
          </cell>
        </row>
        <row r="56">
          <cell r="B56" t="str">
            <v>AVISO_CAL ,SGA, MEDIDAS 25X25, (ETIQUETADO PARA TRANSPORTES) CLASE 7 MATERIAL RADIACTIVO: RADIACTIVO III</v>
          </cell>
        </row>
        <row r="57">
          <cell r="B57" t="str">
            <v>AVISO_CAL ,SGA, MEDIDAS 25X25, (ETIQUETADO PARA TRANSPORTES) CLASE 7 MATERIAL RADIACTIVO: SUSTANCIAS FISIONABLES</v>
          </cell>
        </row>
        <row r="58">
          <cell r="B58" t="str">
            <v>AVISO_CAL ,SGA, MEDIDAS 25X25, (ETIQUETADO PARA TRANSPORTES) CLASE 8 SUSTANCIAS CORROSIVAS</v>
          </cell>
        </row>
        <row r="59">
          <cell r="B59" t="str">
            <v>AVISO_CAL ,SGA, MEDIDAS 25X25, (ETIQUETADO PARA TRANSPORTES) CLASE 9 SUSTANCIAS PELIGROSAS VARIAS</v>
          </cell>
        </row>
        <row r="60">
          <cell r="B60" t="str">
            <v>AVISO_CAL ,SGA, MEDIDAS 25X25, (ETIQUETADO PARA TRANSPORTES) COMPLEMENTARIAS: ALTA TEMPERATURA</v>
          </cell>
        </row>
        <row r="61">
          <cell r="B61" t="str">
            <v>AVISO_CAL ,SGA, MEDIDAS 25X25, (ETIQUETADO PARA TRANSPORTES) COMPLEMENTARIAS: CONTAMINANTE ACUÁTICO</v>
          </cell>
        </row>
        <row r="62">
          <cell r="B62" t="str">
            <v>AVISO_CAL ,SGA, MEDIDAS 25X25, (ETIQUETADO PARA TRANSPORTES) COMPLEMENTARIAS: TRANSPORTE AÉREO</v>
          </cell>
        </row>
        <row r="63">
          <cell r="B63" t="str">
            <v>AVISO_CAL ,SGA, MEDIDAS 25X25, (ETIQUETADO PARA TRANSPORTES) COMPLEMENTARIAS: TRANSPORTE TERRESTRE</v>
          </cell>
        </row>
        <row r="64">
          <cell r="B64" t="str">
            <v>AVISO_CAL DE NO SALTAR SOBRE LA BANDA TRANSPORTADORA. TAMAÑO VERTICAL 30X45.</v>
          </cell>
        </row>
        <row r="65">
          <cell r="B65" t="str">
            <v>AVISO_CAL DE NO TRANSITAR MONTACARGAS CON LAS UÑAS ARRIBA. TAMAÑO VERTICAL 30X45.</v>
          </cell>
        </row>
        <row r="66">
          <cell r="B66" t="str">
            <v>AVISO_CAL DE NO TRANSPORTAR PERSONAS EN MONTACARGAS. TAMAÑO VERTICAL 30X45.</v>
          </cell>
        </row>
        <row r="67">
          <cell r="B67" t="str">
            <v>AVISO_CAL. CLASE: COMBURENTES. (ETIQUETADO PARA CAJAS Y EMPAQ)</v>
          </cell>
        </row>
        <row r="68">
          <cell r="B68" t="str">
            <v>AVISO_CAL. CLASE: CORROSIVOS. (ETIQUETADO PARA CAJAS Y EMPAQ)</v>
          </cell>
        </row>
        <row r="69">
          <cell r="B69" t="str">
            <v>AVISO_CAL. CLASE: EXPLOSIVOS</v>
          </cell>
        </row>
        <row r="70">
          <cell r="B70" t="str">
            <v>AVISO_CAL. CLASE: GASES COMPRIMIDOS. (ETIQUETADO PARA CAJAS Y EMPAQ)</v>
          </cell>
        </row>
        <row r="71">
          <cell r="B71" t="str">
            <v>AVISO_CAL. CLASE: INFLAMABLES. (ETIQUETADO PARA CAJAS Y EMPAQ)</v>
          </cell>
        </row>
        <row r="72">
          <cell r="B72" t="str">
            <v>AVISO_CAL. CLASE: PELIGROPARA EL MEDIO AMBIENTE.(ETIQUETADO PARA CAJAS Y EMPAQ)</v>
          </cell>
        </row>
        <row r="73">
          <cell r="B73" t="str">
            <v>AVISO_CAL. CLASE: PELIGROSO PARA LA SALUD.(ETIQUETADO PARA CAJAS Y EMPAQ)</v>
          </cell>
        </row>
        <row r="74">
          <cell r="B74" t="str">
            <v>AVISO_CAL. CLASE: TOXICIDAD AGUDA IRRITANTE. (ETIQUETADO PARA CAJAS Y EMPAQ)</v>
          </cell>
        </row>
        <row r="75">
          <cell r="B75" t="str">
            <v>AVISO_CAL. CLASE: TOXICIDAD AGUDA SEVERA. (ETIQUETADO PARA CAJAS Y EMPAQ)</v>
          </cell>
        </row>
        <row r="76">
          <cell r="B76" t="str">
            <v>BALÓN DE BALONCESTO NÚMERO 7</v>
          </cell>
        </row>
        <row r="77">
          <cell r="B77" t="str">
            <v>BALÓN DE FÚTBOL NÚMERO 5</v>
          </cell>
        </row>
        <row r="78">
          <cell r="B78" t="str">
            <v>BALÓN DE MICROFÚTBOL NÚMERO 4</v>
          </cell>
        </row>
        <row r="79">
          <cell r="B79" t="str">
            <v>BALÓN DE VOLEIBOL</v>
          </cell>
        </row>
        <row r="80">
          <cell r="B80" t="str">
            <v>BANDAS ELASTICAS AZUL</v>
          </cell>
        </row>
        <row r="81">
          <cell r="B81" t="str">
            <v>BANDAS ELASTICAS GRIS</v>
          </cell>
        </row>
        <row r="82">
          <cell r="B82" t="str">
            <v>BANDAS ELASTICAS ROJA</v>
          </cell>
        </row>
        <row r="83">
          <cell r="B83" t="str">
            <v>BASCULA</v>
          </cell>
        </row>
        <row r="84">
          <cell r="B84" t="str">
            <v>BASCULA DIGITAL</v>
          </cell>
        </row>
        <row r="85">
          <cell r="B85" t="str">
            <v>BOTA EN PVC AMARILLA</v>
          </cell>
        </row>
        <row r="86">
          <cell r="B86" t="str">
            <v>BOTAS EN PVC BLANCA</v>
          </cell>
        </row>
        <row r="87">
          <cell r="B87" t="str">
            <v>CAJAS CON PICTOGRAMAS UNIVERSALES</v>
          </cell>
        </row>
        <row r="88">
          <cell r="B88" t="str">
            <v>CALIBRADOR DE AIRE TIPO PLUMA</v>
          </cell>
        </row>
        <row r="89">
          <cell r="B89" t="str">
            <v>CASCO DE ALA COMPLETA (TIPO SAFARI)</v>
          </cell>
        </row>
        <row r="90">
          <cell r="B90" t="str">
            <v>COJÍN INESTABLE DE BALANCEO</v>
          </cell>
        </row>
        <row r="91">
          <cell r="B91" t="str">
            <v>CONO PLATILLO SEÑALIZACIÓN 6 CM</v>
          </cell>
        </row>
        <row r="92">
          <cell r="B92" t="str">
            <v>CONO REDONDO</v>
          </cell>
        </row>
        <row r="93">
          <cell r="B93" t="str">
            <v>CONOS DE ENTRENAMIENTO 15-18 CM</v>
          </cell>
        </row>
        <row r="94">
          <cell r="B94" t="str">
            <v>CONOS DE ENTRENAMIENTO 23 CM</v>
          </cell>
        </row>
        <row r="95">
          <cell r="B95" t="str">
            <v>CONOS DE ENTRENAMIENTO 30 CM</v>
          </cell>
        </row>
        <row r="96">
          <cell r="B96" t="str">
            <v>CONTENEDOR A ESCALA 1:32</v>
          </cell>
        </row>
        <row r="97">
          <cell r="B97" t="str">
            <v>CRONÓMETRO</v>
          </cell>
        </row>
        <row r="98">
          <cell r="B98" t="str">
            <v xml:space="preserve">ESCALERA COORDINACIÓN </v>
          </cell>
        </row>
        <row r="99">
          <cell r="B99" t="str">
            <v>EXTINTOR ABC 10 LB</v>
          </cell>
        </row>
        <row r="100">
          <cell r="B100" t="str">
            <v>EXTINTOR CO2</v>
          </cell>
        </row>
        <row r="101">
          <cell r="B101" t="str">
            <v>EXTINTOR DE AGUA</v>
          </cell>
        </row>
        <row r="102">
          <cell r="B102" t="str">
            <v>FLEXOM</v>
          </cell>
        </row>
        <row r="103">
          <cell r="B103" t="str">
            <v>GAFA SOLDADURA AUTÓGENA Y OXICORTE</v>
          </cell>
        </row>
        <row r="104">
          <cell r="B104" t="str">
            <v>GAFA TIPO ASTRO LENTE OSCURO</v>
          </cell>
        </row>
        <row r="105">
          <cell r="B105" t="str">
            <v>GAFAS DE SOLDADOR</v>
          </cell>
        </row>
        <row r="106">
          <cell r="B106" t="str">
            <v>GEL REFRIGERANTE EN BOLSA</v>
          </cell>
        </row>
        <row r="107">
          <cell r="B107" t="str">
            <v>GUANTE KODIAK CON KEVLAR</v>
          </cell>
        </row>
        <row r="108">
          <cell r="B108" t="str">
            <v>GUANTES HILAZA LÁTEX</v>
          </cell>
        </row>
        <row r="109">
          <cell r="B109" t="str">
            <v>GUANTES HILAZA LÁTEX FLEX TUFF</v>
          </cell>
        </row>
        <row r="110">
          <cell r="B110" t="str">
            <v>GUANTES NITRILO SOLVEX DE 18" TALLA M</v>
          </cell>
        </row>
        <row r="111">
          <cell r="B111" t="str">
            <v>GUANTES NYLLON LÁTEX</v>
          </cell>
        </row>
        <row r="112">
          <cell r="B112" t="str">
            <v xml:space="preserve">GUANTES PVC BLUE LARGO </v>
          </cell>
        </row>
        <row r="113">
          <cell r="B113" t="str">
            <v>HILO LANA ACRILICA POMPON MATIZADA</v>
          </cell>
        </row>
        <row r="114">
          <cell r="B114" t="str">
            <v>HILOS MACRAME O CROCHET PARA TEJER, BORDAR, MACRAME, COSER.</v>
          </cell>
        </row>
        <row r="115">
          <cell r="B115" t="str">
            <v>KIT AGUJA DE CROCHET</v>
          </cell>
        </row>
        <row r="116">
          <cell r="B116" t="str">
            <v>KIT INMOVILIZADOR EN CARTÓN PLÁSTICO</v>
          </cell>
        </row>
        <row r="117">
          <cell r="B117" t="str">
            <v>MANGAS EN KEVLAR</v>
          </cell>
        </row>
        <row r="118">
          <cell r="B118" t="str">
            <v>MAPAS AREA MPOLITANA CAPA DE VINILO</v>
          </cell>
        </row>
        <row r="119">
          <cell r="B119" t="str">
            <v>MONTACARGA P5000 CAT ESC: 1/25</v>
          </cell>
        </row>
        <row r="120">
          <cell r="B120" t="str">
            <v>NEVERA DE ICOPOR</v>
          </cell>
        </row>
        <row r="121">
          <cell r="B121" t="str">
            <v xml:space="preserve">PELOTA FUNDAMENTACIÓN BALONCESTO </v>
          </cell>
        </row>
        <row r="122">
          <cell r="B122" t="str">
            <v>PELOTAS DE TENIS DE MESA</v>
          </cell>
        </row>
        <row r="123">
          <cell r="B123" t="str">
            <v>PITO PLÁSTICO TIPO PROFESIONAL</v>
          </cell>
        </row>
        <row r="124">
          <cell r="B124" t="str">
            <v>POLAINAS EN VAQUETA</v>
          </cell>
        </row>
        <row r="125">
          <cell r="B125" t="str">
            <v>POSTE ENTRENAMIENTO 160 CM</v>
          </cell>
        </row>
        <row r="126">
          <cell r="B126" t="str">
            <v>PROTECCIÓN RESPIRATORIA, TAPABOCAS N95</v>
          </cell>
        </row>
        <row r="127">
          <cell r="B127" t="str">
            <v xml:space="preserve">PROTECTOR AUDITIVO TIPO COPA CON
DIADEMA
</v>
          </cell>
        </row>
        <row r="128">
          <cell r="B128" t="str">
            <v>RAQUETAS DE PING- PONG 5 ESTRELLAS</v>
          </cell>
        </row>
        <row r="129">
          <cell r="B129" t="str">
            <v>RED O MALLA DE TENIS DE MESA</v>
          </cell>
        </row>
        <row r="130">
          <cell r="B130" t="str">
            <v>RESPIRADOR  CARA COMPLETA</v>
          </cell>
        </row>
        <row r="131">
          <cell r="B131" t="str">
            <v>RETENEDOR DE FILTRO</v>
          </cell>
        </row>
        <row r="132">
          <cell r="B132" t="str">
            <v>ROLLO DE ETIQUETAS  ADHESIVAS</v>
          </cell>
        </row>
        <row r="133">
          <cell r="B133" t="str">
            <v xml:space="preserve">SET MALLA FUTBOL TENIS </v>
          </cell>
        </row>
        <row r="134">
          <cell r="B134" t="str">
            <v>SOBRE CASCO EN DRILL</v>
          </cell>
        </row>
        <row r="135">
          <cell r="B135" t="str">
            <v>TERMOM</v>
          </cell>
        </row>
        <row r="136">
          <cell r="B136" t="str">
            <v>TOALLA DE MANOS DOBLADA EN Z NATURAL</v>
          </cell>
        </row>
        <row r="137">
          <cell r="B137" t="str">
            <v xml:space="preserve">TRAJE AMARILLO CON CAPUCHA </v>
          </cell>
        </row>
        <row r="138">
          <cell r="B138" t="str">
            <v>TRX SISTEMA DE ENTRENAMIENTO</v>
          </cell>
        </row>
        <row r="139">
          <cell r="B139" t="str">
            <v>TULA EN MALLA PARA 10 BALONES</v>
          </cell>
        </row>
        <row r="140">
          <cell r="B140" t="str">
            <v>VALLA MINI MULTIOBSTÁCULO</v>
          </cell>
        </row>
        <row r="141">
          <cell r="B141" t="str">
            <v>VISOR POLICARBONATO, PARA CARETA DE ESMERILAR</v>
          </cell>
        </row>
        <row r="157">
          <cell r="B157" t="str">
            <v>Insertar Filas!!</v>
          </cell>
        </row>
        <row r="160">
          <cell r="B160">
            <v>84</v>
          </cell>
        </row>
        <row r="161">
          <cell r="B161" t="str">
            <v>Material</v>
          </cell>
        </row>
        <row r="162">
          <cell r="B162" t="str">
            <v xml:space="preserve">CAMBRIÓN 
</v>
          </cell>
        </row>
        <row r="163">
          <cell r="B163" t="str">
            <v xml:space="preserve">CAUCHO LATEX
</v>
          </cell>
        </row>
        <row r="164">
          <cell r="B164" t="str">
            <v>CINTA FALLA _RIBETE 18 mm  CON APRESTO #3</v>
          </cell>
        </row>
        <row r="165">
          <cell r="B165" t="str">
            <v>CINTA FALLA _RIBETE 24 mm  CON APRESTO #5</v>
          </cell>
        </row>
        <row r="166">
          <cell r="B166" t="str">
            <v>COMFORTEX CALIBRE 1.5mm.</v>
          </cell>
        </row>
        <row r="167">
          <cell r="B167" t="str">
            <v>CORDON  REDONDO NEGRO</v>
          </cell>
        </row>
        <row r="168">
          <cell r="B168" t="str">
            <v>CORDON ENCERADO NEGRO LARGO</v>
          </cell>
        </row>
        <row r="169">
          <cell r="B169" t="str">
            <v xml:space="preserve">CORDON ENCERADO PLANO CAFE </v>
          </cell>
        </row>
        <row r="170">
          <cell r="B170" t="str">
            <v xml:space="preserve">CORDON ENCERADO PLANO NEGRO </v>
          </cell>
        </row>
        <row r="171">
          <cell r="B171" t="str">
            <v>CORDON ENCERADO REDODNDO CAFE</v>
          </cell>
        </row>
        <row r="172">
          <cell r="B172" t="str">
            <v>CORDON NEGRO PLANO</v>
          </cell>
        </row>
        <row r="173">
          <cell r="B173" t="str">
            <v xml:space="preserve">CORDON NEGRO REDONDO </v>
          </cell>
        </row>
        <row r="174">
          <cell r="B174" t="str">
            <v>CORDON PLANO</v>
          </cell>
        </row>
        <row r="175">
          <cell r="B175" t="str">
            <v xml:space="preserve">CORDON PLANO AZUL </v>
          </cell>
        </row>
        <row r="176">
          <cell r="B176" t="str">
            <v>CORDON PLANO BEIGE CORTO</v>
          </cell>
        </row>
        <row r="177">
          <cell r="B177" t="str">
            <v>CORDON PLANO CORTOBLANCO</v>
          </cell>
        </row>
        <row r="178">
          <cell r="B178" t="str">
            <v>CORDON PLANO GRIS OSCURO</v>
          </cell>
        </row>
        <row r="179">
          <cell r="B179" t="str">
            <v>CORDON PLANO LARGO BLANCO</v>
          </cell>
        </row>
        <row r="180">
          <cell r="B180" t="str">
            <v xml:space="preserve">CORDON REDODNDO GRIS </v>
          </cell>
        </row>
        <row r="181">
          <cell r="B181" t="str">
            <v>CORDON REDODNDO VERDE</v>
          </cell>
        </row>
        <row r="182">
          <cell r="B182" t="str">
            <v>CORDON REDONDO</v>
          </cell>
        </row>
        <row r="183">
          <cell r="B183" t="str">
            <v xml:space="preserve">CORDON REDONDO AMARILLO </v>
          </cell>
        </row>
        <row r="184">
          <cell r="B184" t="str">
            <v>CORDON REDONDO AZUL</v>
          </cell>
        </row>
        <row r="185">
          <cell r="B185" t="str">
            <v xml:space="preserve">CORDON REDONDO CAFE LARGO </v>
          </cell>
        </row>
        <row r="186">
          <cell r="B186" t="str">
            <v>CORDON REDONDO CAFE-BEIGE</v>
          </cell>
        </row>
        <row r="187">
          <cell r="B187" t="str">
            <v>CORDON REDONDO CAFE-NARANJA</v>
          </cell>
        </row>
        <row r="188">
          <cell r="B188" t="str">
            <v>CORDON REDONDO GRIS Y NEGRO</v>
          </cell>
        </row>
        <row r="189">
          <cell r="B189" t="str">
            <v>CORDON REDONDO NARANJA</v>
          </cell>
        </row>
        <row r="190">
          <cell r="B190" t="str">
            <v>CORDON REDONDO ROJO</v>
          </cell>
        </row>
        <row r="191">
          <cell r="B191" t="str">
            <v>CORDON TRENZADO ENCERADO</v>
          </cell>
        </row>
        <row r="192">
          <cell r="B192" t="str">
            <v xml:space="preserve">CREMALLERA EVERBRIGTH #5
</v>
          </cell>
        </row>
        <row r="193">
          <cell r="B193" t="str">
            <v>CREMALLERA POLIÉSTER #3</v>
          </cell>
        </row>
        <row r="194">
          <cell r="B194" t="str">
            <v>CREMALLERA POLIÉSTER #4</v>
          </cell>
        </row>
        <row r="195">
          <cell r="B195" t="str">
            <v>CREMALLERA POLIÉSTER #6</v>
          </cell>
        </row>
        <row r="196">
          <cell r="B196" t="str">
            <v>D40 EXTRAFOAM   1</v>
          </cell>
        </row>
        <row r="197">
          <cell r="B197" t="str">
            <v>D40 EXTRAFOAM   2</v>
          </cell>
        </row>
        <row r="198">
          <cell r="B198" t="str">
            <v>D40 EXTRAFOAM   3</v>
          </cell>
        </row>
        <row r="199">
          <cell r="B199" t="str">
            <v>D40 EXTRAFOAM   4</v>
          </cell>
        </row>
        <row r="200">
          <cell r="B200" t="str">
            <v xml:space="preserve">D60 HD FOAM      </v>
          </cell>
        </row>
        <row r="201">
          <cell r="B201" t="str">
            <v xml:space="preserve">D60 HD FOAM        </v>
          </cell>
        </row>
        <row r="202">
          <cell r="B202" t="str">
            <v>ELASTICO</v>
          </cell>
        </row>
        <row r="203">
          <cell r="B203" t="str">
            <v>EMBONO PLASTICO GRIS DELGADO</v>
          </cell>
        </row>
        <row r="204">
          <cell r="B204" t="str">
            <v>EMBONO PLASTICO GRIS GRUESO</v>
          </cell>
        </row>
        <row r="205">
          <cell r="B205" t="str">
            <v>EMBONO PLASTICO NEGRO DELGADO</v>
          </cell>
        </row>
        <row r="206">
          <cell r="B206" t="str">
            <v>ESPUMA  DE BAJA DENSIDAD</v>
          </cell>
        </row>
        <row r="207">
          <cell r="B207" t="str">
            <v>ESPUMA DE POLIETILENO
JUMBOLÓN</v>
          </cell>
        </row>
        <row r="208">
          <cell r="B208" t="str">
            <v>ESPUMA MULTIFORM DENSIDAD 40 DE 10 mm</v>
          </cell>
        </row>
        <row r="209">
          <cell r="B209" t="str">
            <v>ESPUMA MULTIFORM DENSIDAD 40 DE 5 mm</v>
          </cell>
        </row>
        <row r="210">
          <cell r="B210" t="str">
            <v xml:space="preserve">HILO ENCERADO </v>
          </cell>
        </row>
        <row r="211">
          <cell r="B211" t="str">
            <v>HILO ITALIANO</v>
          </cell>
        </row>
        <row r="212">
          <cell r="B212" t="str">
            <v xml:space="preserve">HILO NYLON #20
</v>
          </cell>
        </row>
        <row r="213">
          <cell r="B213" t="str">
            <v xml:space="preserve">HILO NYLON #40
</v>
          </cell>
        </row>
        <row r="214">
          <cell r="B214" t="str">
            <v xml:space="preserve">HILO NYLON #60
</v>
          </cell>
        </row>
        <row r="215">
          <cell r="B215" t="str">
            <v>HILO TERLENKA</v>
          </cell>
        </row>
        <row r="216">
          <cell r="B216" t="str">
            <v xml:space="preserve">MADEJA HILOS PARA MACRAME # 30
</v>
          </cell>
        </row>
        <row r="217">
          <cell r="B217" t="str">
            <v xml:space="preserve">MADEJA HILOS PARA MACRAME # 45
</v>
          </cell>
        </row>
        <row r="218">
          <cell r="B218" t="str">
            <v>ODENA 0,5 mm</v>
          </cell>
        </row>
        <row r="219">
          <cell r="B219" t="str">
            <v>ODENA 1,5 mm</v>
          </cell>
        </row>
        <row r="220">
          <cell r="B220" t="str">
            <v xml:space="preserve">PINTURAS PARA CUERO </v>
          </cell>
        </row>
        <row r="221">
          <cell r="B221" t="str">
            <v>REATA DE ALGODON 2 ''</v>
          </cell>
        </row>
        <row r="222">
          <cell r="B222" t="str">
            <v>REATA DE ALGODÓN 48 mm</v>
          </cell>
        </row>
        <row r="223">
          <cell r="B223" t="str">
            <v>REATA DE ALGODON DE 1 1/2</v>
          </cell>
        </row>
        <row r="224">
          <cell r="B224" t="str">
            <v>REATA NYLON</v>
          </cell>
        </row>
        <row r="225">
          <cell r="B225" t="str">
            <v>REATA POLIESTER</v>
          </cell>
        </row>
        <row r="226">
          <cell r="B226" t="str">
            <v>REATA SINTETICA 1 1/4</v>
          </cell>
        </row>
        <row r="227">
          <cell r="B227" t="str">
            <v>REATA SINTETICA 2 ''</v>
          </cell>
        </row>
        <row r="228">
          <cell r="B228" t="str">
            <v>REATA SINTETICA 2"</v>
          </cell>
        </row>
        <row r="229">
          <cell r="B229" t="str">
            <v>REATA SINTETICA DE 1 ''</v>
          </cell>
        </row>
        <row r="230">
          <cell r="B230" t="str">
            <v>REATA SINTETICA DE 1"</v>
          </cell>
        </row>
        <row r="231">
          <cell r="B231" t="str">
            <v>RIBETE 18 mm (CINTA FALLA CON APRESTO)</v>
          </cell>
        </row>
        <row r="232">
          <cell r="B232" t="str">
            <v>RIBETE 24 mm (CINTA FALLA CON APRESTO)</v>
          </cell>
        </row>
        <row r="233">
          <cell r="B233" t="str">
            <v>SALPA 0.3mm</v>
          </cell>
        </row>
        <row r="234">
          <cell r="B234" t="str">
            <v>SALPA 0.5mm</v>
          </cell>
        </row>
        <row r="235">
          <cell r="B235" t="str">
            <v>SALPA 0.8mm</v>
          </cell>
        </row>
        <row r="236">
          <cell r="B236" t="str">
            <v>SALPA ITALIANA</v>
          </cell>
        </row>
        <row r="237">
          <cell r="B237" t="str">
            <v>SOLVENT</v>
          </cell>
        </row>
        <row r="238">
          <cell r="B238" t="str">
            <v>TORNILLO ENSAMBLE</v>
          </cell>
        </row>
        <row r="239">
          <cell r="B239" t="str">
            <v xml:space="preserve">VELCRO </v>
          </cell>
        </row>
        <row r="240">
          <cell r="B240" t="str">
            <v>VELCRO 1 ''</v>
          </cell>
        </row>
        <row r="241">
          <cell r="B241" t="str">
            <v>VELCRO 1 1/2</v>
          </cell>
        </row>
        <row r="242">
          <cell r="B242" t="str">
            <v>VIRA DE CUERO</v>
          </cell>
        </row>
        <row r="243">
          <cell r="B243" t="str">
            <v>VIRA PLASTICA</v>
          </cell>
        </row>
        <row r="244">
          <cell r="B244" t="str">
            <v xml:space="preserve">VIVO PLASTICO </v>
          </cell>
        </row>
        <row r="245">
          <cell r="B245" t="str">
            <v>YUMBOLON 4mm (CM²)</v>
          </cell>
        </row>
        <row r="514">
          <cell r="B514" t="str">
            <v>Insertar Filas!!</v>
          </cell>
        </row>
        <row r="516">
          <cell r="B516">
            <v>23</v>
          </cell>
        </row>
        <row r="517">
          <cell r="B517" t="str">
            <v>Material</v>
          </cell>
        </row>
        <row r="518">
          <cell r="B518" t="str">
            <v>CARNAZA</v>
          </cell>
        </row>
        <row r="519">
          <cell r="B519" t="str">
            <v>CONFECCION</v>
          </cell>
        </row>
        <row r="520">
          <cell r="B520" t="str">
            <v>CUERO ARIZONA</v>
          </cell>
        </row>
        <row r="521">
          <cell r="B521" t="str">
            <v>CUERO CROSTA</v>
          </cell>
        </row>
        <row r="522">
          <cell r="B522" t="str">
            <v>CUERO CRUST</v>
          </cell>
        </row>
        <row r="523">
          <cell r="B523" t="str">
            <v xml:space="preserve">CUERO FORRO BADANA
</v>
          </cell>
        </row>
        <row r="524">
          <cell r="B524" t="str">
            <v>CUERO FORRO CERDO</v>
          </cell>
        </row>
        <row r="525">
          <cell r="B525" t="str">
            <v>CUERO GRASO</v>
          </cell>
        </row>
        <row r="526">
          <cell r="B526" t="str">
            <v>CUERO NAPA CON CERA Y ACABADO ESPEJO</v>
          </cell>
        </row>
        <row r="527">
          <cell r="B527" t="str">
            <v>CUERO PELO</v>
          </cell>
        </row>
        <row r="528">
          <cell r="B528" t="str">
            <v>CUERO PERGAMINO</v>
          </cell>
        </row>
        <row r="529">
          <cell r="B529" t="str">
            <v>CUERO SOFTY</v>
          </cell>
        </row>
        <row r="530">
          <cell r="B530" t="str">
            <v xml:space="preserve">CUERO TALA #2
</v>
          </cell>
        </row>
        <row r="531">
          <cell r="B531" t="str">
            <v>DOTACION</v>
          </cell>
        </row>
        <row r="532">
          <cell r="B532" t="str">
            <v>FOLIA</v>
          </cell>
        </row>
        <row r="533">
          <cell r="B533" t="str">
            <v>FOLIA BRILLANTE</v>
          </cell>
        </row>
        <row r="534">
          <cell r="B534" t="str">
            <v>FORRO  BADANA</v>
          </cell>
        </row>
        <row r="535">
          <cell r="B535" t="str">
            <v>FORRO CERDO</v>
          </cell>
        </row>
        <row r="536">
          <cell r="B536" t="str">
            <v>GRASO</v>
          </cell>
        </row>
        <row r="537">
          <cell r="B537" t="str">
            <v>NAPPA</v>
          </cell>
        </row>
        <row r="538">
          <cell r="B538" t="str">
            <v>NOBUCK</v>
          </cell>
        </row>
        <row r="539">
          <cell r="B539" t="str">
            <v>PLACA BUFALO</v>
          </cell>
        </row>
        <row r="540">
          <cell r="B540" t="str">
            <v>TALA</v>
          </cell>
        </row>
        <row r="560">
          <cell r="B560" t="str">
            <v>Insertar Filas!!</v>
          </cell>
        </row>
        <row r="562">
          <cell r="B562">
            <v>421</v>
          </cell>
        </row>
        <row r="563">
          <cell r="B563" t="str">
            <v>Material</v>
          </cell>
        </row>
        <row r="564">
          <cell r="B564" t="str">
            <v>ARANDELA PLANA PAVONADA 1"ZAMAC</v>
          </cell>
        </row>
        <row r="565">
          <cell r="B565" t="str">
            <v>ARGOLLA  NÍQUEL 5 MM ZAMAC</v>
          </cell>
        </row>
        <row r="566">
          <cell r="B566" t="str">
            <v>ARGOLLA LLAVERO ORO 10 MM</v>
          </cell>
        </row>
        <row r="567">
          <cell r="B567" t="str">
            <v>ARGOLLA LLAVERO PAVÓN 1"</v>
          </cell>
        </row>
        <row r="568">
          <cell r="B568" t="str">
            <v>ARGOLLA LLAVERO PAVÓN 10 MM</v>
          </cell>
        </row>
        <row r="569">
          <cell r="B569" t="str">
            <v>ARGOLLA LLAVERO PLANO  NÍQUEL 1"</v>
          </cell>
        </row>
        <row r="570">
          <cell r="B570" t="str">
            <v>ARGOLLA LLAVERO PLANO  NÍQUEL 3/4"</v>
          </cell>
        </row>
        <row r="571">
          <cell r="B571" t="str">
            <v>ARGOLLA LLAVERO PLANO  PAVÓN 1"</v>
          </cell>
        </row>
        <row r="572">
          <cell r="B572" t="str">
            <v>ARGOLLA LLAVERO PLANO  PAVÓN 3/4"</v>
          </cell>
        </row>
        <row r="573">
          <cell r="B573" t="str">
            <v>ARGOLLA LLAVERO PLANO CON CADENA   NÍQUEL 1"</v>
          </cell>
        </row>
        <row r="574">
          <cell r="B574" t="str">
            <v xml:space="preserve">ARGOLLA MOSQUETÓN </v>
          </cell>
        </row>
        <row r="575">
          <cell r="B575" t="str">
            <v>ARGOLLA MOSQUETÓN 1 1/4 F "</v>
          </cell>
        </row>
        <row r="576">
          <cell r="B576" t="str">
            <v>ARGOLLA MOSQUETÓN 1"</v>
          </cell>
        </row>
        <row r="577">
          <cell r="B577" t="str">
            <v>ARGOLLA MOSQUETÓN 3/4</v>
          </cell>
        </row>
        <row r="578">
          <cell r="B578" t="str">
            <v>ARGOLLA MOSQUETÓN 5/8</v>
          </cell>
        </row>
        <row r="579">
          <cell r="B579" t="str">
            <v>ARGOLLA MOSQUETÓN OVALADA</v>
          </cell>
        </row>
        <row r="580">
          <cell r="B580" t="str">
            <v>ARGOLLA NÍQUEL DELGADA 1 " ALAMBRE</v>
          </cell>
        </row>
        <row r="581">
          <cell r="B581" t="str">
            <v>ARGOLLA NÍQUEL DELGADA 1 1/2" ALAMBRE</v>
          </cell>
        </row>
        <row r="582">
          <cell r="B582" t="str">
            <v>ARGOLLA NÍQUEL DELGADA 1 1/4" ALAMBRE</v>
          </cell>
        </row>
        <row r="583">
          <cell r="B583" t="str">
            <v>ARGOLLA NÍQUEL DELGADA 3/4" ALAMBRE</v>
          </cell>
        </row>
        <row r="584">
          <cell r="B584" t="str">
            <v>ARGOLLA NÍQUEL GRUESA 1 1/2" ALAMBRE</v>
          </cell>
        </row>
        <row r="585">
          <cell r="B585" t="str">
            <v>ARGOLLA NÍQUEL GRUESA 1 1/4" ALAMBRE</v>
          </cell>
        </row>
        <row r="586">
          <cell r="B586" t="str">
            <v>ARGOLLA NÍQUEL GRUESA AVALADA 3/4  X 1 1/4" ALAMBRE</v>
          </cell>
        </row>
        <row r="587">
          <cell r="B587" t="str">
            <v>ARGOLLA ORO DELGADA 3/4" ALAMBRE</v>
          </cell>
        </row>
        <row r="588">
          <cell r="B588" t="str">
            <v>ARGOLLA ORO GRUESA 1 1/4" ALAMBRE</v>
          </cell>
        </row>
        <row r="589">
          <cell r="B589" t="str">
            <v>ARGOLLA PAVONADA 1 1/2 ALAMBRE</v>
          </cell>
        </row>
        <row r="590">
          <cell r="B590" t="str">
            <v>ARGOLLA PAVONADA DELGADA 1 1/4" ALAMBRE</v>
          </cell>
        </row>
        <row r="591">
          <cell r="B591" t="str">
            <v>ARGOLLA PAVONADA DELGADA 1" ALAMBRE</v>
          </cell>
        </row>
        <row r="592">
          <cell r="B592" t="str">
            <v>ARGOLLA PAVONADA DELGADA 3/4" ALAMBRE</v>
          </cell>
        </row>
        <row r="593">
          <cell r="B593" t="str">
            <v>ARGOLLA PAVONADA GRUESA 1 1/2" ALAMBRE</v>
          </cell>
        </row>
        <row r="594">
          <cell r="B594" t="str">
            <v>ARGOLLA PAVONADA GRUESA 1 1/4" ALAMBRE</v>
          </cell>
        </row>
        <row r="595">
          <cell r="B595" t="str">
            <v>ARGOLLA PAVONADA PLANA 3/4</v>
          </cell>
        </row>
        <row r="596">
          <cell r="B596" t="str">
            <v>ARGOLLA PLANA NÍQUEL 1"ZAMAC</v>
          </cell>
        </row>
        <row r="597">
          <cell r="B597" t="str">
            <v>ARGOLLA PLANA NÍQUEL 10 MM ZAMAC</v>
          </cell>
        </row>
        <row r="598">
          <cell r="B598" t="str">
            <v>ARGOLLA PLANA NÍQUEL 2"  ZAMAC</v>
          </cell>
        </row>
        <row r="599">
          <cell r="B599" t="str">
            <v>ARGOLLA PLANA NÍQUEL 30 CM ZAMAC</v>
          </cell>
        </row>
        <row r="600">
          <cell r="B600" t="str">
            <v>ARGOLLA PLANA NÍQUEL 35 CM ZAMAC</v>
          </cell>
        </row>
        <row r="601">
          <cell r="B601" t="str">
            <v>ARGOLLA PLANA NÍQUEL 40 CM ZAMAC</v>
          </cell>
        </row>
        <row r="602">
          <cell r="B602" t="str">
            <v>ARGOLLA PLANA NÍQUEL 50 CM ZAMAC</v>
          </cell>
        </row>
        <row r="603">
          <cell r="B603" t="str">
            <v>ARGOLLA PLANA ORO 10 MM ZAMAC</v>
          </cell>
        </row>
        <row r="604">
          <cell r="B604" t="str">
            <v>ARGOLLA PLANA ORO 2"  ZAMAC</v>
          </cell>
        </row>
        <row r="605">
          <cell r="B605" t="str">
            <v>ARGOLLA PLANA ORO 3/4 "ZAMAC</v>
          </cell>
        </row>
        <row r="606">
          <cell r="B606" t="str">
            <v>ARGOLLA PLANA PAVÓN 10 MM ZAMAC</v>
          </cell>
        </row>
        <row r="607">
          <cell r="B607" t="str">
            <v>ASA  CUADRADA CON TORNILLO, ORO 25 MM</v>
          </cell>
        </row>
        <row r="608">
          <cell r="B608" t="str">
            <v>ASA  REDONDO CON TORNILLO PORTA MANIJA, ORO 10 MM</v>
          </cell>
        </row>
        <row r="609">
          <cell r="B609" t="str">
            <v>ASA CON TORNILLO, NÍQUEL 25 MM</v>
          </cell>
        </row>
        <row r="610">
          <cell r="B610" t="str">
            <v>ASA CON TORNILLO, ORO 25 MM</v>
          </cell>
        </row>
        <row r="611">
          <cell r="B611" t="str">
            <v>ASA DOBLE ARGOLLA ORO 1" ZAMAK</v>
          </cell>
        </row>
        <row r="612">
          <cell r="B612" t="str">
            <v xml:space="preserve">ASA LATERAL CON TORNILLOS PARA BOLSO COLOR ORO </v>
          </cell>
        </row>
        <row r="613">
          <cell r="B613" t="str">
            <v>ASA MEDIA ARGOLLA 1/2" MM ORO ZAMAK</v>
          </cell>
        </row>
        <row r="614">
          <cell r="B614" t="str">
            <v>ASA MEDIA ARGOLLA 110 MM ORO ZAMAK</v>
          </cell>
        </row>
        <row r="615">
          <cell r="B615" t="str">
            <v>ASA MEDIA ARGOLLA 140 MM CON TERMINALES REDONDOS DE 1/4"  ORO ZAMAK</v>
          </cell>
        </row>
        <row r="616">
          <cell r="B616" t="str">
            <v>BROCHE BILLETERA NÍQUEL, 10 MM</v>
          </cell>
        </row>
        <row r="617">
          <cell r="B617" t="str">
            <v>BROCHE BILLETERA NÍQUEL, TAPA PLÁSTICA 17 MM  ,  BASE DE 13,5 MM</v>
          </cell>
        </row>
        <row r="618">
          <cell r="B618" t="str">
            <v>BROCHE BILLETERA ORO, 10 MM</v>
          </cell>
        </row>
        <row r="619">
          <cell r="B619" t="str">
            <v>BROCHE BILLETERA PAVÓN, 12,5 MM</v>
          </cell>
        </row>
        <row r="620">
          <cell r="B620" t="str">
            <v>BROCHE CAZUELA GRANDE, NEGRO</v>
          </cell>
        </row>
        <row r="621">
          <cell r="B621" t="str">
            <v>BROCHE CAZUELA GRANDE, NÍQUEL</v>
          </cell>
        </row>
        <row r="622">
          <cell r="B622" t="str">
            <v>BROCHE CAZUELA GRANDE, PAVÓN</v>
          </cell>
        </row>
        <row r="623">
          <cell r="B623" t="str">
            <v>BROCHE CAZUELA MEDIANO, PAVÓN</v>
          </cell>
        </row>
        <row r="624">
          <cell r="B624" t="str">
            <v>BROCHE IMÁN BRONCE CON REMACHE 1"</v>
          </cell>
        </row>
        <row r="625">
          <cell r="B625" t="str">
            <v>BROCHE IMÁN DORADO CAZUELA</v>
          </cell>
        </row>
        <row r="626">
          <cell r="B626" t="str">
            <v>BROCHE IMÁN DORADO PEQUEÑO</v>
          </cell>
        </row>
        <row r="627">
          <cell r="B627" t="str">
            <v>BROCHE IMÁN NIQUELADO GRANDE CON REMACHE 3/4"</v>
          </cell>
        </row>
        <row r="628">
          <cell r="B628" t="str">
            <v>BROCHE IMÁN NIQUELADO MEDIANO 1/2"</v>
          </cell>
        </row>
        <row r="629">
          <cell r="B629" t="str">
            <v>BROCHE IMÁN NIQUELADO PEQUEÑO 10 MM</v>
          </cell>
        </row>
        <row r="630">
          <cell r="B630" t="str">
            <v>BROCHE IMÁN PAVONADO 1"</v>
          </cell>
        </row>
        <row r="631">
          <cell r="B631" t="str">
            <v>CADENA NÍQUEL</v>
          </cell>
        </row>
        <row r="632">
          <cell r="B632" t="str">
            <v>CADENA ORO</v>
          </cell>
        </row>
        <row r="633">
          <cell r="B633" t="str">
            <v>CHAPA CON LLAVE  PARA MALETÍN NÍQUEL</v>
          </cell>
        </row>
        <row r="634">
          <cell r="B634" t="str">
            <v xml:space="preserve">CHAPA CON LLAVE PARA MALETÍN PAVÓN </v>
          </cell>
        </row>
        <row r="635">
          <cell r="B635" t="str">
            <v>CIERRE TORNIQUETE 3/4" X 1 1/2" PARA BOLSO  " PAVÓN</v>
          </cell>
        </row>
        <row r="636">
          <cell r="B636" t="str">
            <v>CIERRE TORNIQUETE HUEVO 3/4" X 1 1/2" PARA BOLSO  1 1/2" NÍQUEL</v>
          </cell>
        </row>
        <row r="637">
          <cell r="B637" t="str">
            <v>CIERRE TORNIQUETE OVALADO 1/2" X 1" PARA BOLSO  "NÍQUEL</v>
          </cell>
        </row>
        <row r="638">
          <cell r="B638" t="str">
            <v>CIERRE TORNIQUETE OVALADO 3/4" X 1 1/2" PARA BOLSO  1 1/2" NÍQUEL</v>
          </cell>
        </row>
        <row r="639">
          <cell r="B639" t="str">
            <v>CIERRE TORNIQUETE OVALADO 3/4" X 1 1/2" PARA BOLSO  1 1/2" ORO</v>
          </cell>
        </row>
        <row r="640">
          <cell r="B640" t="str">
            <v>CIERRE TORNIQUETE OVALADO 3/4" X 1 1/2" PARA BOLSO  1 1/2" PAVÓN</v>
          </cell>
        </row>
        <row r="641">
          <cell r="B641" t="str">
            <v>CIERRE TORNIQUETE OVALADO 3/4" X 1 1/4 " PARA BOLSO  " ORO</v>
          </cell>
        </row>
        <row r="642">
          <cell r="B642" t="str">
            <v>CIERRE TORNIQUETE OVALADO 3/4" X 1 1/4" PARA BOLSO  "NÍQUEL</v>
          </cell>
        </row>
        <row r="643">
          <cell r="B643" t="str">
            <v>CIERRE TORNIQUETE PARA BOLSO PIRÁMIDE 1" X 1 1/2" NÍQUEL</v>
          </cell>
        </row>
        <row r="644">
          <cell r="B644" t="str">
            <v>CIERRE TORNIQUETE PARA BOLSO PIRÁMIDE 1" X 1 1/2" ORO</v>
          </cell>
        </row>
        <row r="645">
          <cell r="B645" t="str">
            <v>CIERRE TORNIQUETE RECTANGULAR 6 CM X 1 CM" PARA BOLSO  "NÍQUEL</v>
          </cell>
        </row>
        <row r="646">
          <cell r="B646" t="str">
            <v>CIERRE TORNIQUETE REDONDO PARA BOLSO  1 " ORO</v>
          </cell>
        </row>
        <row r="647">
          <cell r="B647" t="str">
            <v>CIERRE TORNIQUETE REDONDO PARA BOLSO  1 1/2" NÍQUEL</v>
          </cell>
        </row>
        <row r="648">
          <cell r="B648" t="str">
            <v>CIERRE TORNIQUETE REDONDO PARA BOLSO  1 1/2" ORO</v>
          </cell>
        </row>
        <row r="649">
          <cell r="B649" t="str">
            <v>CLIP METÁLICO PARA BILLETES NÍQUEL</v>
          </cell>
        </row>
        <row r="650">
          <cell r="B650" t="str">
            <v>CLIP METÁLICO PARA BILLETES ORO</v>
          </cell>
        </row>
        <row r="651">
          <cell r="B651" t="str">
            <v>CORDONERA 1 REMACHE  METÁLICA  ZAMAK ORO</v>
          </cell>
        </row>
        <row r="652">
          <cell r="B652" t="str">
            <v>CORDONERA 1 REMACHE  METÁLICA  ZAMAK PAVÓN</v>
          </cell>
        </row>
        <row r="653">
          <cell r="B653" t="str">
            <v>CORDONERA METÁLICA CÓNICA . ZAMAK NÍQUEL 1/2" DE LARGO</v>
          </cell>
        </row>
        <row r="654">
          <cell r="B654" t="str">
            <v>CORDONERA METÁLICA CÓNICA . ZAMAK ORO 1/2" DE LARGO</v>
          </cell>
        </row>
        <row r="655">
          <cell r="B655" t="str">
            <v xml:space="preserve">CORDONERA METÁLICA PARA BOLSO. ZAMAK NEGRO </v>
          </cell>
        </row>
        <row r="656">
          <cell r="B656" t="str">
            <v xml:space="preserve">CORDONERA REDONDA 1//2"  NEGRO DE REMACHE
</v>
          </cell>
        </row>
        <row r="657">
          <cell r="B657" t="str">
            <v xml:space="preserve">CORDONERA REDONDA 1//2"  NÍQUEL  DE REMACHE
</v>
          </cell>
        </row>
        <row r="658">
          <cell r="B658" t="str">
            <v xml:space="preserve">CORDONERA REDONDA 1//2"  ORO  DE REMACHE
</v>
          </cell>
        </row>
        <row r="659">
          <cell r="B659" t="str">
            <v>CUADRANTE  DE LUJO 1 1/2" NÍQUEL ENVEJECIDO</v>
          </cell>
        </row>
        <row r="660">
          <cell r="B660" t="str">
            <v>CUADRANTE 1 1/2" AZUL</v>
          </cell>
        </row>
        <row r="661">
          <cell r="B661" t="str">
            <v xml:space="preserve">CUADRANTE 1 1/2" NÍQUEL </v>
          </cell>
        </row>
        <row r="662">
          <cell r="B662" t="str">
            <v xml:space="preserve">CUADRANTE 1 1/2" PAVÓN </v>
          </cell>
        </row>
        <row r="663">
          <cell r="B663" t="str">
            <v>CUADRANTE 1 1/2" ROSADO</v>
          </cell>
        </row>
        <row r="664">
          <cell r="B664" t="str">
            <v>CUADRANTE 1 1/2" X1 1/2" PLANO NÍQUEL</v>
          </cell>
        </row>
        <row r="665">
          <cell r="B665" t="str">
            <v xml:space="preserve">CUADRANTE 1" NÍQUEL </v>
          </cell>
        </row>
        <row r="666">
          <cell r="B666" t="str">
            <v xml:space="preserve">CUADRANTE 1" PAVÓN </v>
          </cell>
        </row>
        <row r="667">
          <cell r="B667" t="str">
            <v xml:space="preserve">CUADRANTE 1" X1" PLANO PAVÓN </v>
          </cell>
        </row>
        <row r="668">
          <cell r="B668" t="str">
            <v xml:space="preserve">CUADRANTE 2" NÍQUEL </v>
          </cell>
        </row>
        <row r="669">
          <cell r="B669" t="str">
            <v xml:space="preserve">CUADRANTE 2" PAVÓN </v>
          </cell>
        </row>
        <row r="670">
          <cell r="B670" t="str">
            <v>CUADRANTE 25 MM PLÁSTICO</v>
          </cell>
        </row>
        <row r="671">
          <cell r="B671" t="str">
            <v xml:space="preserve">CUADRANTE 3/4" X 3/4" PLANO PAVÓN </v>
          </cell>
        </row>
        <row r="672">
          <cell r="B672" t="str">
            <v xml:space="preserve">CUADRANTE 3/4" X 3/4"PAVON </v>
          </cell>
        </row>
        <row r="673">
          <cell r="B673" t="str">
            <v>CUADRANTE 32 MM PLÁSTICO</v>
          </cell>
        </row>
        <row r="674">
          <cell r="B674" t="str">
            <v>CUADRANTE 38 MM PLÁSTICO</v>
          </cell>
        </row>
        <row r="675">
          <cell r="B675" t="str">
            <v>CUADRANTE 51 MM PLÁSTICO</v>
          </cell>
        </row>
        <row r="676">
          <cell r="B676" t="str">
            <v>CUADRANTE DE LUJO 1 1/2"  X 1/2"ORO CUADRADO 5MM</v>
          </cell>
        </row>
        <row r="677">
          <cell r="B677" t="str">
            <v>CUADRANTE DE LUJO 1 1/4"  X 1/2"ORO CUADRADO 5MM</v>
          </cell>
        </row>
        <row r="678">
          <cell r="B678" t="str">
            <v>CUADRANTE DE LUJO 1"  X 3/4" NÍQUEL</v>
          </cell>
        </row>
        <row r="679">
          <cell r="B679" t="str">
            <v>CUADRANTE DE LUJO 1"  X 3/4"ORO</v>
          </cell>
        </row>
        <row r="680">
          <cell r="B680" t="str">
            <v>CUADRANTE DE LUJO 3/4 X 1/2" ORO</v>
          </cell>
        </row>
        <row r="681">
          <cell r="B681" t="str">
            <v>CUADRANTE DE LUJO 3/4 X 5/8" ORO</v>
          </cell>
        </row>
        <row r="682">
          <cell r="B682" t="str">
            <v>CUADRANTE DE LUJO 3/4"  X 3/4" ORO</v>
          </cell>
        </row>
        <row r="683">
          <cell r="B683" t="str">
            <v xml:space="preserve">CUADRANTE DE LUJO OVALADO 1"  X 1/2" ORO </v>
          </cell>
        </row>
        <row r="684">
          <cell r="B684" t="str">
            <v xml:space="preserve">CUADRANTE DE LUJO PLANO DE3/4"  X 5/8" ORO </v>
          </cell>
        </row>
        <row r="685">
          <cell r="B685" t="str">
            <v>DESLIZADORES (ZAPATOS PARA BOLSOS) ORO CON TORNILLO 18 MM ZAMAK</v>
          </cell>
        </row>
        <row r="686">
          <cell r="B686" t="str">
            <v xml:space="preserve">DESLIZADORES (ZAPATOS PARA BOLSOS)CÓNICO LATÓN ORO CON TORNILLO 12 MM </v>
          </cell>
        </row>
        <row r="687">
          <cell r="B687" t="str">
            <v xml:space="preserve">DESLIZADORES (ZAPATOS PARA BOLSOS)HEXÁGONO ZAMAK ORO CON TORNILLO 12 MM </v>
          </cell>
        </row>
        <row r="688">
          <cell r="B688" t="str">
            <v>DESLIZADORES (ZAPATOS PARA BOLSOS)NÍQUEL CON TORNILLO 12 MM ZAMAK</v>
          </cell>
        </row>
        <row r="689">
          <cell r="B689" t="str">
            <v>DESLIZADORES (ZAPATOS PARA BOLSOS)NÍQUEL CON TORNILLO 18 MM ZAMAK</v>
          </cell>
        </row>
        <row r="690">
          <cell r="B690" t="str">
            <v>DESLIZADORES (ZAPATOS PARA BOLSOS)PAVÓN CON TORNILLO 18 MM ZAMAK</v>
          </cell>
        </row>
        <row r="691">
          <cell r="B691" t="str">
            <v xml:space="preserve">DESLIZADORES (ZAPATOS PARA BOLSOS)REDONDO  LATÓN ORO  25 MM </v>
          </cell>
        </row>
        <row r="692">
          <cell r="B692" t="str">
            <v xml:space="preserve">DESLIZADORES (ZAPATOS PARA BOLSOS)REDONDO  LATÓN ORO  30 MM </v>
          </cell>
        </row>
        <row r="693">
          <cell r="B693" t="str">
            <v xml:space="preserve">GANCHO CORDONERA METÁLICO PARA CALZADO </v>
          </cell>
        </row>
        <row r="694">
          <cell r="B694" t="str">
            <v>GANCHO MILITAR CORDONERA METÁLICO PARA CALZADO DOS  HUECOS PARA REMACHE NEGRO</v>
          </cell>
        </row>
        <row r="695">
          <cell r="B695" t="str">
            <v>GANCHO MILITAR CORDONERA METÁLICO PARA CALZADO DOS  HUECOS PARA REMACHE NÍQUEL</v>
          </cell>
        </row>
        <row r="696">
          <cell r="B696" t="str">
            <v>GANCHO MILITAR CORDONERA METÁLICO PARA CALZADO DOS  HUECOS PARA REMACHE ORO</v>
          </cell>
        </row>
        <row r="697">
          <cell r="B697" t="str">
            <v>GANCHO MILITAR CORDONERA METÁLICO PARA CALZADO DOS  HUECOS PARA REMACHE PAVÓN</v>
          </cell>
        </row>
        <row r="698">
          <cell r="B698" t="str">
            <v>HEBILLA BURBUJA  PLÁSTICA 18 MM 3/4"</v>
          </cell>
        </row>
        <row r="699">
          <cell r="B699" t="str">
            <v>HEBILLA BURBUJA  PLÁSTICA 25 MM 1"</v>
          </cell>
        </row>
        <row r="700">
          <cell r="B700" t="str">
            <v>HEBILLA BURBUJA  PLÁSTICA 32 MM 1 1/2"</v>
          </cell>
        </row>
        <row r="701">
          <cell r="B701" t="str">
            <v>HEBILLA BURBUJA  PLÁSTICA 38 MM 1 1/2"</v>
          </cell>
        </row>
        <row r="702">
          <cell r="B702" t="str">
            <v>HEBILLA BURBUJA  PLÁSTICA 51 MM 2"</v>
          </cell>
        </row>
        <row r="703">
          <cell r="B703" t="str">
            <v>HEBILLA BURBUJA MORRALERA METÁLICA 1" X 1 3/4, NÍQUEL"</v>
          </cell>
        </row>
        <row r="704">
          <cell r="B704" t="str">
            <v>HEBILLA BURBUJA MORRALERA METÁLICA 1" X 1 3/4, ORO"</v>
          </cell>
        </row>
        <row r="705">
          <cell r="B705" t="str">
            <v>HEBILLA BURBUJA MORRALERA METÁLICA 1" X 2 1/4", NÍQUEL"</v>
          </cell>
        </row>
        <row r="706">
          <cell r="B706" t="str">
            <v>HEBILLA BURBUJA MORRALERA METÁLICA 1" X 2 1/4", ORO"</v>
          </cell>
        </row>
        <row r="707">
          <cell r="B707" t="str">
            <v>HEBILLA BURBUJA MORRALERA METÁLICA 1" X 2", ORO"</v>
          </cell>
        </row>
        <row r="708">
          <cell r="B708" t="str">
            <v>HEBILLA BURBUJA MORRALERA METÁLICA 1" X 2", PAVÓN"</v>
          </cell>
        </row>
        <row r="709">
          <cell r="B709" t="str">
            <v>HEBILLA BURBUJA MORRALERA METÁLICA 3/4" X 2", NÍQUEL"</v>
          </cell>
        </row>
        <row r="710">
          <cell r="B710" t="str">
            <v>HEBILLA BURBUJA MORRALERA METÁLICA 3/4" X 2", PAVÓN"</v>
          </cell>
        </row>
        <row r="711">
          <cell r="B711" t="str">
            <v xml:space="preserve">HEBILLA CAIMÁN CON MARCA  PARA RIATA NÍQUEL   1 1/2" </v>
          </cell>
        </row>
        <row r="712">
          <cell r="B712" t="str">
            <v>HEBILLA CAIMÁN DOBLE CUADRANTE 1 1/2" ENVEJECIDO</v>
          </cell>
        </row>
        <row r="713">
          <cell r="B713" t="str">
            <v xml:space="preserve">HEBILLA CAIMÁN DOBLE NÍQUEL ENVEJECIDO 1 1/2" </v>
          </cell>
        </row>
        <row r="714">
          <cell r="B714" t="str">
            <v xml:space="preserve">HEBILLA CAIMÁN DOBLE PAVÓN ENVEJECIDO 1 1/2" </v>
          </cell>
        </row>
        <row r="715">
          <cell r="B715" t="str">
            <v xml:space="preserve">HEBILLA CAIMÁN MILITAR  PAVÓN  1 1/2" </v>
          </cell>
        </row>
        <row r="716">
          <cell r="B716" t="str">
            <v>HEBILLA DE COSCOJO METÁLICA, 1" NÍQUEL, CALIBRE 4</v>
          </cell>
        </row>
        <row r="717">
          <cell r="B717" t="str">
            <v>HEBILLA DE COSCOJO METÁLICA, 1" ORO, CALIBRE 4</v>
          </cell>
        </row>
        <row r="718">
          <cell r="B718" t="str">
            <v>HEBILLA DE COSCOJO METÁLICA, 1" ORO, CALIBRE 5</v>
          </cell>
        </row>
        <row r="719">
          <cell r="B719" t="str">
            <v>HEBILLA DE COSCOJO METÁLICA, 1" PAVÓN, CALIBRE 4</v>
          </cell>
        </row>
        <row r="720">
          <cell r="B720" t="str">
            <v>HEBILLA DE COSCOJO METÁLICA, 1/2" NÍQUEL, CALIBRE 4</v>
          </cell>
        </row>
        <row r="721">
          <cell r="B721" t="str">
            <v>HEBILLA DE COSCOJO METÁLICA, 3/4" NÍQUEL, CALIBRE 4</v>
          </cell>
        </row>
        <row r="722">
          <cell r="B722" t="str">
            <v>HEBILLA DE COSCOJO METÁLICA, 3/4" ORO, CALIBRE 4</v>
          </cell>
        </row>
        <row r="723">
          <cell r="B723" t="str">
            <v>HEBILLA DE COSCOJO METÁLICA, 3/4" PAVÓN, CALIBRE 4</v>
          </cell>
        </row>
        <row r="724">
          <cell r="B724" t="str">
            <v>HEBILLA DE TRINQUETE DE LEVA PARA CINTURÓN ,METÁLICA, , CABEZA CUADRADA  DOBLE FAZ 1, 1/8"</v>
          </cell>
        </row>
        <row r="725">
          <cell r="B725" t="str">
            <v>HEBILLA DE TRINQUETE DE LEVA PARA CINTURÓN ,METÁLICA, 1"</v>
          </cell>
        </row>
        <row r="726">
          <cell r="B726" t="str">
            <v>HEBILLA DE TRINQUETE DE LEVA PARA CINTURÓN ,METÁLICA, CABEZA CUADRADA 1, 1/8"</v>
          </cell>
        </row>
        <row r="727">
          <cell r="B727" t="str">
            <v>HEBILLA DE TRINQUETE DE LEVA PARA CINTURÓN ,METÁLICA, CABEZA OVAL 1, 1/8"</v>
          </cell>
        </row>
        <row r="728">
          <cell r="B728" t="str">
            <v>HEBILLA DE TRINQUETE DE LEVA PARA CINTURÓN CON PASADOR, METÁLICA, TIPO  1"</v>
          </cell>
        </row>
        <row r="729">
          <cell r="B729" t="str">
            <v>HEBILLA DOBLE PASO CON REMACHE  3/8" PAVÓN</v>
          </cell>
        </row>
        <row r="730">
          <cell r="B730" t="str">
            <v>HEBILLA DOBLE PASO CON REMACHE  7/16" NEGRO</v>
          </cell>
        </row>
        <row r="731">
          <cell r="B731" t="str">
            <v>HEBILLA DOBLE PASO CUADRADA 1" NÍQUEL</v>
          </cell>
        </row>
        <row r="732">
          <cell r="B732" t="str">
            <v>HEBILLA DOBLE PASO CUADRADA 1" ORO</v>
          </cell>
        </row>
        <row r="733">
          <cell r="B733" t="str">
            <v>HEBILLA DOBLE PASO CUADRADA 1" PAVÓN</v>
          </cell>
        </row>
        <row r="734">
          <cell r="B734" t="str">
            <v>HEBILLA DOBLE PASO CUADRADA 1/2" NÍQUEL</v>
          </cell>
        </row>
        <row r="735">
          <cell r="B735" t="str">
            <v>HEBILLA DOBLE PASO CUADRADA 1/2" ORO</v>
          </cell>
        </row>
        <row r="736">
          <cell r="B736" t="str">
            <v>HEBILLA DOBLE PASO CUADRADA 1/2" PAVÓN</v>
          </cell>
        </row>
        <row r="737">
          <cell r="B737" t="str">
            <v>HEBILLA DOBLE PASO CUADRADA 1/4" NÍQUEL</v>
          </cell>
        </row>
        <row r="738">
          <cell r="B738" t="str">
            <v>HEBILLA DOBLE PASO CUADRADA 3/4" BLANCA</v>
          </cell>
        </row>
        <row r="739">
          <cell r="B739" t="str">
            <v>HEBILLA DOBLE PASO CUADRADA 3/4" NEGRA</v>
          </cell>
        </row>
        <row r="740">
          <cell r="B740" t="str">
            <v>HEBILLA DOBLE PASO CUADRADA 3/4" NÍQUEL</v>
          </cell>
        </row>
        <row r="741">
          <cell r="B741" t="str">
            <v>HEBILLA DOBLE PASO CUADRADA 3/4" ORO</v>
          </cell>
        </row>
        <row r="742">
          <cell r="B742" t="str">
            <v>HEBILLA DOBLE PASO CUADRADA 3/4" PAVÓN</v>
          </cell>
        </row>
        <row r="743">
          <cell r="B743" t="str">
            <v>HEBILLA DOBLE PASO CUADRADA 5/16" NÍQUEL</v>
          </cell>
        </row>
        <row r="744">
          <cell r="B744" t="str">
            <v>HEBILLA DOBLE PASO CUADRADA 5/8" NÍQUEL</v>
          </cell>
        </row>
        <row r="745">
          <cell r="B745" t="str">
            <v>HEBILLA DOBLE PASO CUADRADA 7/16" 10 MM NÍQUEL</v>
          </cell>
        </row>
        <row r="746">
          <cell r="B746" t="str">
            <v>HEBILLA DOBLE PASO CUADRADA 7/16" 10 MM ORO</v>
          </cell>
        </row>
        <row r="747">
          <cell r="B747" t="str">
            <v>HEBILLA DOBLE PASO CUADRADA 7/16" 10 MM PAVÓN</v>
          </cell>
        </row>
        <row r="748">
          <cell r="B748" t="str">
            <v>HEBILLA DOBLE PASO CUADRADA1"  PLÁSTICA DE COLORES</v>
          </cell>
        </row>
        <row r="749">
          <cell r="B749" t="str">
            <v>HEBILLA DOBLE PASO OVALADA 1/2" NEGRO ENVEJECIDO</v>
          </cell>
        </row>
        <row r="750">
          <cell r="B750" t="str">
            <v>HEBILLA DOBLE PASO OVALADA 1/2" PAVÓN</v>
          </cell>
        </row>
        <row r="751">
          <cell r="B751" t="str">
            <v>HEBILLA DOBLE PASO RECTANGULAR 3/4" ORO</v>
          </cell>
        </row>
        <row r="752">
          <cell r="B752" t="str">
            <v>HEBILLA DOBLE PASO RECTANGULAR 3/4" PAVÓN</v>
          </cell>
        </row>
        <row r="753">
          <cell r="B753" t="str">
            <v>HEBILLA MOSQUETÓN TIPO PEZ 1/2" PAVÓN</v>
          </cell>
        </row>
        <row r="754">
          <cell r="B754" t="str">
            <v xml:space="preserve">HEBILLA PARA CINTURÓN DAMA CLÁSICA CUADRADA  DE UNA ESPIGA 3/4 " (20 CM) NÍQUEL </v>
          </cell>
        </row>
        <row r="755">
          <cell r="B755" t="str">
            <v>HEBILLA PARA CINTURÓN DAMA CLÁSICA CUADRADA  DE UNA ESPIGA 3/4 " (20 CM) ORO</v>
          </cell>
        </row>
        <row r="756">
          <cell r="B756" t="str">
            <v>HEBILLA PARA CINTURÓN DAMA CLÁSICA CUADRADA  DE UNA ESPIGA 3/4 " (20 CM) PAVÓN</v>
          </cell>
        </row>
        <row r="757">
          <cell r="B757" t="str">
            <v>HEBILLA PARA CINTURÓN DAMA CLÁSICA CUADRADA DE DOBLE  ESPIGA1 1/4" ORO DE LUJO</v>
          </cell>
        </row>
        <row r="758">
          <cell r="B758" t="str">
            <v>HEBILLA PARA CINTURÓN DAMA CLÁSICA CUADRADAESPIGA1 1/4" ORO DE LUJO</v>
          </cell>
        </row>
        <row r="759">
          <cell r="B759" t="str">
            <v xml:space="preserve">HEBILLA PARA CINTURÓN DAMA CLÁSICA OVALADA  DE UNA ESPIGA  CON PASADOR 3/4 " (20 CM) ORO </v>
          </cell>
        </row>
        <row r="760">
          <cell r="B760" t="str">
            <v xml:space="preserve">HEBILLA PARA CINTURÓN DAMA CLÁSICA OVALADA  DE UNA ESPIGA 1 " NÍQUEL </v>
          </cell>
        </row>
        <row r="761">
          <cell r="B761" t="str">
            <v>HEBILLA PARA CINTURÓN DAMA CLÁSICA OVALADA  DE UNA ESPIGA 1 " PAVÓN</v>
          </cell>
        </row>
        <row r="762">
          <cell r="B762" t="str">
            <v xml:space="preserve">HEBILLA PARA CINTURÓN DAMA CLÁSICA OVALADA  DE UNA ESPIGA 1 1/4 " NÍQUEL </v>
          </cell>
        </row>
        <row r="763">
          <cell r="B763" t="str">
            <v>HEBILLA PARA CINTURÓN DAMA CLÁSICA OVALADA  DE UNA ESPIGA 1 1/4" ORO DE LUJO</v>
          </cell>
        </row>
        <row r="764">
          <cell r="B764" t="str">
            <v>HEBILLA PARA CINTURÓN DAMA CLÁSICA OVALADA  DE UNA ESPIGA 1/2" ORO DE LUJO</v>
          </cell>
        </row>
        <row r="765">
          <cell r="B765" t="str">
            <v>HEBILLA PARA CINTURÓN DAMA CLÁSICA OVALADA  DE UNA ESPIGA 3/4" ORO DE LUJO</v>
          </cell>
        </row>
        <row r="766">
          <cell r="B766" t="str">
            <v>HEBILLA PARA CINTURÓN DAMA CLÁSICA OVALADA  DE UNA ESPIGA 30 MM ORO DE LUJO, LABRADA</v>
          </cell>
        </row>
        <row r="767">
          <cell r="B767" t="str">
            <v>HEBILLA PARA CINTURÓN DAMA DOBLE PASO 1 1/2" OVALADA ORO</v>
          </cell>
        </row>
        <row r="768">
          <cell r="B768" t="str">
            <v>HEBILLA PARA CINTURÓN DAMA DOBLE PASO 1 1/2" RECTANGULAR ORO</v>
          </cell>
        </row>
        <row r="769">
          <cell r="B769" t="str">
            <v>HEBILLA PARA CINTURÓN DAMA DOBLE PASO 1 1/4"  (30 MM) CUADRADA ORO</v>
          </cell>
        </row>
        <row r="770">
          <cell r="B770" t="str">
            <v>HEBILLA PARA CINTURÓN DAMA DOBLE PASO 1 1/4"  (30 MM) RECTANGULAR ORO</v>
          </cell>
        </row>
        <row r="771">
          <cell r="B771" t="str">
            <v>HEBILLA PARA CINTURÓN DAMA DOBLE PASO 1 1/4" OVALADA NÍQUEL</v>
          </cell>
        </row>
        <row r="772">
          <cell r="B772" t="str">
            <v>HEBILLA PARA CINTURÓN DAMA DOBLE PASO 1" OVALADA NÍQUEL</v>
          </cell>
        </row>
        <row r="773">
          <cell r="B773" t="str">
            <v>HEBILLA PARA CINTURÓN DAMA DOBLE PASO 3/4"  (20 MM) OVALADA ORO</v>
          </cell>
        </row>
        <row r="774">
          <cell r="B774" t="str">
            <v>HEBILLA PARA CINTURÓN DAMA DOBLE PASO3/4"  (30 MM) RECTANGULAR ORO</v>
          </cell>
        </row>
        <row r="775">
          <cell r="B775" t="str">
            <v xml:space="preserve">HEBILLA PARA CINTURÓN HOMBRE CLÁSICA DE UNA ESPIGA 1 1/2" NÍQUEL </v>
          </cell>
        </row>
        <row r="776">
          <cell r="B776" t="str">
            <v>HEBILLA PARA CINTURÓN HOMBRE CLÁSICA DE UNA ESPIGA 1 1/2" PAVÓN</v>
          </cell>
        </row>
        <row r="777">
          <cell r="B777" t="str">
            <v xml:space="preserve">HEBILLA PARA CINTURÓN HOMBRE CLÁSICA DE UNA ESPIGA 1 1/4" NÍQUEL </v>
          </cell>
        </row>
        <row r="778">
          <cell r="B778" t="str">
            <v>HEBILLA PARA CINTURÓN HOMBRE DE LEVA  1 " GRIS</v>
          </cell>
        </row>
        <row r="779">
          <cell r="B779" t="str">
            <v>HEBILLA PARA CINTURÓN HOMBRE SENCILLA  REJILLA 1 1/4" PAVÓN</v>
          </cell>
        </row>
        <row r="780">
          <cell r="B780" t="str">
            <v>HEBILLA TIPO HOJA PAVÓN DE 1"</v>
          </cell>
        </row>
        <row r="781">
          <cell r="B781" t="str">
            <v>IMÁN MONEDA 10MM</v>
          </cell>
        </row>
        <row r="782">
          <cell r="B782" t="str">
            <v>IMÁN MONEDA 20MM</v>
          </cell>
        </row>
        <row r="783">
          <cell r="B783" t="str">
            <v>IMÁN MONEDA 8MM</v>
          </cell>
        </row>
        <row r="784">
          <cell r="B784" t="str">
            <v xml:space="preserve">LLAVE DESLIZADOR METALICO EVERBRIGHT ORO PALETA GRANDE </v>
          </cell>
        </row>
        <row r="785">
          <cell r="B785" t="str">
            <v xml:space="preserve">LLAVE DESLIZADOR METALICO EVERBRIGHT ORO, PALETA GRANDE OVAL </v>
          </cell>
        </row>
        <row r="786">
          <cell r="B786" t="str">
            <v xml:space="preserve">LLAVE DESLIZADOR METALICO EVERBRIGHT ORO, PALETA PEQUEÑA </v>
          </cell>
        </row>
        <row r="787">
          <cell r="B787" t="str">
            <v>LLAVE METÁLICA CON BLOQUEO DESLIZADOR   #4 PARA CREMALLERA - NÍQUEL</v>
          </cell>
        </row>
        <row r="788">
          <cell r="B788" t="str">
            <v>LLAVE METÁLICA CON BLOQUEO DESLIZADOR   #6 PARA CREMALLERA - NÍQUEL</v>
          </cell>
        </row>
        <row r="789">
          <cell r="B789" t="str">
            <v xml:space="preserve">LLAVE METÁLICA DE LUJO CON PALETA GRANDE  DESLIZADOR   #6  PARA CREMALLERA - ORO </v>
          </cell>
        </row>
        <row r="790">
          <cell r="B790" t="str">
            <v xml:space="preserve">LLAVE METÁLICA DE LUJO DESLIZADOR   #3 PARA CREMALLERA - NÍQUEL </v>
          </cell>
        </row>
        <row r="791">
          <cell r="B791" t="str">
            <v>LLAVE METÁLICA DE LUJO DESLIZADOR   #3 PARA CREMALLERA - ORO</v>
          </cell>
        </row>
        <row r="792">
          <cell r="B792" t="str">
            <v xml:space="preserve">LLAVE METÁLICA DE LUJO DESLIZADOR   #3 PARA CREMALLERA - ORO CON  CADENA </v>
          </cell>
        </row>
        <row r="793">
          <cell r="B793" t="str">
            <v>LLAVE METÁLICA DE LUJO DESLIZADOR   #3 PARA CREMALLERA - PAVÓN</v>
          </cell>
        </row>
        <row r="794">
          <cell r="B794" t="str">
            <v>LLAVE METÁLICA DE LUJO DESLIZADOR   #4 PARA CREMALLERA - NÍQUEL</v>
          </cell>
        </row>
        <row r="795">
          <cell r="B795" t="str">
            <v xml:space="preserve">LLAVE METÁLICA DE LUJO DESLIZADOR   #6 PARA CREMALLERA - NÍQUEL </v>
          </cell>
        </row>
        <row r="796">
          <cell r="B796" t="str">
            <v>LLAVE METÁLICA DE LUJO DESLIZADOR   #6 PARA CREMALLERA - ORO</v>
          </cell>
        </row>
        <row r="797">
          <cell r="B797" t="str">
            <v>LLAVE METÁLICA DE LUJO DESLIZADOR   #6 PARA CREMALLERA - PAVÓN</v>
          </cell>
        </row>
        <row r="798">
          <cell r="B798" t="str">
            <v>LLAVE METÁLICA DE LUJO DESLIZADOR RECTANGULAR  #3 PARA CREMALLERA - PAVÓN</v>
          </cell>
        </row>
        <row r="799">
          <cell r="B799" t="str">
            <v xml:space="preserve">LLAVE METÁLICA DE LUJO RECTANGULAR  DESLIZADOR   #6 PARA CREMALLERA - NÍQUEL </v>
          </cell>
        </row>
        <row r="800">
          <cell r="B800" t="str">
            <v xml:space="preserve">LLAVE METÁLICA DE LUJO RECTANGULAR DESLIZADOR   #3 PARA CREMALLERA - NÍQUEL </v>
          </cell>
        </row>
        <row r="801">
          <cell r="B801" t="str">
            <v xml:space="preserve">LLAVE METÁLICA DESLIZADOR   #3 PARA CREMALLERA - NÍQUEL </v>
          </cell>
        </row>
        <row r="802">
          <cell r="B802" t="str">
            <v>LLAVE METÁLICA DESLIZADOR   #3 PARA CREMALLERA - ORO</v>
          </cell>
        </row>
        <row r="803">
          <cell r="B803" t="str">
            <v>LLAVE METÁLICA DESLIZADOR   #3 PARA CREMALLERA - PAVÓN</v>
          </cell>
        </row>
        <row r="804">
          <cell r="B804" t="str">
            <v>LLAVE METÁLICA DESLIZADOR   #4 PARA CREMALLERA -NEGRO</v>
          </cell>
        </row>
        <row r="805">
          <cell r="B805" t="str">
            <v>LLAVE METÁLICA DESLIZADOR   #6 PARA CREMALLERA - CREMA</v>
          </cell>
        </row>
        <row r="806">
          <cell r="B806" t="str">
            <v xml:space="preserve">LLAVE METÁLICA DESLIZADOR   #6 PARA CREMALLERA - NÍQUEL </v>
          </cell>
        </row>
        <row r="807">
          <cell r="B807" t="str">
            <v>LLAVE METÁLICA DESLIZADOR   #6 PARA CREMALLERA - ORO</v>
          </cell>
        </row>
        <row r="808">
          <cell r="B808" t="str">
            <v>LLAVE METÁLICA DESLIZADOR   #6 PARA CREMALLERA - PAVÓN</v>
          </cell>
        </row>
        <row r="809">
          <cell r="B809" t="str">
            <v xml:space="preserve">LLAVE METÁLICA DESLIZADOR   #6 PARA CREMALLERA INVISIBLE- NÍQUEL </v>
          </cell>
        </row>
        <row r="810">
          <cell r="B810" t="str">
            <v xml:space="preserve">LLAVE METÁLICA DESLIZADOR   #8 PARA CREMALLERA - NEGRO </v>
          </cell>
        </row>
        <row r="811">
          <cell r="B811" t="str">
            <v xml:space="preserve">LLAVE METÁLICA DESLIZADOR  SIN PALETA   #6 PARA CREMALLERA - NÍQUEL </v>
          </cell>
        </row>
        <row r="812">
          <cell r="B812" t="str">
            <v>LLAVE METÁLICA DESLIZADOR  SIN PALETA #3 PARA CREMALLERA - NÍQUEL</v>
          </cell>
        </row>
        <row r="813">
          <cell r="B813" t="str">
            <v>LLAVE METÁLICA DESLIZADOR  SIN PALETA #3 PARA CREMALLERA - PAVÓN</v>
          </cell>
        </row>
        <row r="814">
          <cell r="B814" t="str">
            <v>LLAVE METÁLICA DESLIZADOR  SIN PALETA #6 PARA CREMALLERA - PAVÓN</v>
          </cell>
        </row>
        <row r="815">
          <cell r="B815" t="str">
            <v xml:space="preserve">LLAVERO PARA BOLSO </v>
          </cell>
        </row>
        <row r="816">
          <cell r="B816" t="str">
            <v xml:space="preserve">LLAVERO PARA CARTERA 4 LLAVES NÍQUEL </v>
          </cell>
        </row>
        <row r="817">
          <cell r="B817" t="str">
            <v>LLAVERO PARA CARTERA 6 LLAVES ORO</v>
          </cell>
        </row>
        <row r="818">
          <cell r="B818" t="str">
            <v>MANIJA METÁLICA, ASA PARA BOLSO . 130 MM ORO</v>
          </cell>
        </row>
        <row r="819">
          <cell r="B819" t="str">
            <v>MANIJA METÁLICA, ASA PARA BOLSO . 150 MM ORO</v>
          </cell>
        </row>
        <row r="820">
          <cell r="B820" t="str">
            <v xml:space="preserve">MEDIA ARGOLLA 25 MM PLÁSTICA </v>
          </cell>
        </row>
        <row r="821">
          <cell r="B821" t="str">
            <v xml:space="preserve">MEDIA ARGOLLA 38 MM PLÁSTICA </v>
          </cell>
        </row>
        <row r="822">
          <cell r="B822" t="str">
            <v>MEDIA ARGOLLA DORADA  3/4" X 5/8" ALAMBRE</v>
          </cell>
        </row>
        <row r="823">
          <cell r="B823" t="str">
            <v>MEDIA ARGOLLA DORADA  GRUESA DE LUJO 1" X 3/4"ALAMBRE</v>
          </cell>
        </row>
        <row r="824">
          <cell r="B824" t="str">
            <v>MEDIA ARGOLLA DORADA 1" X 3/4"ALAMBRE</v>
          </cell>
        </row>
        <row r="825">
          <cell r="B825" t="str">
            <v>MEDIA ARGOLLA DORADA 3/4" * 1/2" ALAMBRE</v>
          </cell>
        </row>
        <row r="826">
          <cell r="B826" t="str">
            <v>MEDIA ARGOLLA DORADA 3/4" * 3/4"DE LUJO ALAMBRE</v>
          </cell>
        </row>
        <row r="827">
          <cell r="B827" t="str">
            <v>MEDIA ARGOLLA DORADA 5/8" DE LUJO ZAMAC</v>
          </cell>
        </row>
        <row r="828">
          <cell r="B828" t="str">
            <v>MEDIA ARGOLLA DORADA PLANA 1/2" DE LUJO ZAMAC</v>
          </cell>
        </row>
        <row r="829">
          <cell r="B829" t="str">
            <v>MEDIA ARGOLLA DORADA PLANA 3/4" DE LUJO ZAMAC</v>
          </cell>
        </row>
        <row r="830">
          <cell r="B830" t="str">
            <v>MEDIA ARGOLLA NÍQUEL 1 1/2 " ALAMBRE DELGADA</v>
          </cell>
        </row>
        <row r="831">
          <cell r="B831" t="str">
            <v>MEDIA ARGOLLA NÍQUEL 1"DE LUJO ZAMAC</v>
          </cell>
        </row>
        <row r="832">
          <cell r="B832" t="str">
            <v>MEDIA ARGOLLA NÍQUEL 10 MM ALAMBRE DELGADA</v>
          </cell>
        </row>
        <row r="833">
          <cell r="B833" t="str">
            <v>MEDIA ARGOLLA NÍQUEL 3/4"DE LUJO ZAMAC</v>
          </cell>
        </row>
        <row r="834">
          <cell r="B834" t="str">
            <v>MEDIA ARGOLLA NÍQUEL PLANA 5/8" DE LUJO ZAMAC</v>
          </cell>
        </row>
        <row r="835">
          <cell r="B835" t="str">
            <v>MEDIA ARGOLLA PAVONADA 1 1/2" ALAMBRE DELGADA</v>
          </cell>
        </row>
        <row r="836">
          <cell r="B836" t="str">
            <v>MEDIA ARGOLLA PAVONADA 1 1/4" ALAMBRE DELGADA</v>
          </cell>
        </row>
        <row r="837">
          <cell r="B837" t="str">
            <v>MEDIA ARGOLLA PAVONADA 1" ALAMBRE DELGADA</v>
          </cell>
        </row>
        <row r="838">
          <cell r="B838" t="str">
            <v>MEDIA ARGOLLA PAVONADA 1" ALAMBRE GRUESO</v>
          </cell>
        </row>
        <row r="839">
          <cell r="B839" t="str">
            <v>MEDIA ARGOLLA PAVONADA 10 MM ALAMBRE DELGADA</v>
          </cell>
        </row>
        <row r="840">
          <cell r="B840" t="str">
            <v>MEDIA ARGOLLA PLANA NÍQUEL 1" ZAMAC</v>
          </cell>
        </row>
        <row r="841">
          <cell r="B841" t="str">
            <v xml:space="preserve">MORRALERA  32 MM PLÁSTICA </v>
          </cell>
        </row>
        <row r="842">
          <cell r="B842" t="str">
            <v xml:space="preserve">MORRALERA  38 MM PLÁSTICA </v>
          </cell>
        </row>
        <row r="843">
          <cell r="B843" t="str">
            <v xml:space="preserve">MORRALERA BURBUJA 25 MM PLÁSTICA </v>
          </cell>
        </row>
        <row r="844">
          <cell r="B844" t="str">
            <v>MOSQUETÓN 1" DORADO LUJO</v>
          </cell>
        </row>
        <row r="845">
          <cell r="B845" t="str">
            <v>MOSQUETÓN 1" NIQUELADO LUJO</v>
          </cell>
        </row>
        <row r="846">
          <cell r="B846" t="str">
            <v>MOSQUETÓN 3/4 DORADO LUJO</v>
          </cell>
        </row>
        <row r="847">
          <cell r="B847" t="str">
            <v>MOSQUETÓN 3/4 NIQUELADO LUJO</v>
          </cell>
        </row>
        <row r="848">
          <cell r="B848" t="str">
            <v>MOSQUETÓN 5/8 NIQUELADO Z-4813</v>
          </cell>
        </row>
        <row r="849">
          <cell r="B849" t="str">
            <v>MOSQUETÓN DE 1 1/4 " PLÁSTICO</v>
          </cell>
        </row>
        <row r="850">
          <cell r="B850" t="str">
            <v>MOSQUETÓN DORADO 3/4 LUJO</v>
          </cell>
        </row>
        <row r="851">
          <cell r="B851" t="str">
            <v>MOSQUETÓN DORADO SENCILLO 1/2"</v>
          </cell>
        </row>
        <row r="852">
          <cell r="B852" t="str">
            <v>MOSQUETÓN LLAVERO NIQUELADO 3/8</v>
          </cell>
        </row>
        <row r="853">
          <cell r="B853" t="str">
            <v>MOSQUETÓN NEGRO 1 1/2</v>
          </cell>
        </row>
        <row r="854">
          <cell r="B854" t="str">
            <v>MOSQUETÓN NIQUELADO 5/8"</v>
          </cell>
        </row>
        <row r="855">
          <cell r="B855" t="str">
            <v>MOSQUETÓN NIQUELADO CON SEGURO 1/2"</v>
          </cell>
        </row>
        <row r="856">
          <cell r="B856" t="str">
            <v>MOSQUETÓN NIQUELADO SENCILLO 1/2"</v>
          </cell>
        </row>
        <row r="857">
          <cell r="B857" t="str">
            <v>MOSQUETÓN PARA BOLSO 1" X 2"</v>
          </cell>
        </row>
        <row r="858">
          <cell r="B858" t="str">
            <v>MOSQUETÓN PAVONADO 1"</v>
          </cell>
        </row>
        <row r="859">
          <cell r="B859" t="str">
            <v>MOSQUETÓN PAVONADO 1/2#</v>
          </cell>
        </row>
        <row r="860">
          <cell r="B860" t="str">
            <v>MOSQUETÓN PAVONADO 3/8</v>
          </cell>
        </row>
        <row r="861">
          <cell r="B861" t="str">
            <v>MOSQUETÓN Z 4813  FIJO TIRANTE 5/8 X 1 3/4"</v>
          </cell>
        </row>
        <row r="862">
          <cell r="B862" t="str">
            <v>OJAL CORDONERA METÁLICO CON REMACHE PARA CALZADO NÍQUEL</v>
          </cell>
        </row>
        <row r="863">
          <cell r="B863" t="str">
            <v>OJAL METÁLICO PARA CALZADO NEGRO</v>
          </cell>
        </row>
        <row r="864">
          <cell r="B864" t="str">
            <v>OJAL METÁLICO PARA CALZADO NÍQUEL</v>
          </cell>
        </row>
        <row r="865">
          <cell r="B865" t="str">
            <v>OJAL METÁLICO PARA CALZADO PAVÓN</v>
          </cell>
        </row>
        <row r="866">
          <cell r="B866" t="str">
            <v>OJALETE ALUMINIO NEGRO 5/16"</v>
          </cell>
        </row>
        <row r="867">
          <cell r="B867" t="str">
            <v xml:space="preserve">OJALETE DE LUJO NÍQUEL 1/4 ESTRIADO </v>
          </cell>
        </row>
        <row r="868">
          <cell r="B868" t="str">
            <v xml:space="preserve">OJALETE DE LUJO ORO 1/4 ESTRIADO </v>
          </cell>
        </row>
        <row r="869">
          <cell r="B869" t="str">
            <v>OJALETE DE LUJO OVALADO NIQUEL ZAMAK   11/4" X 1/2" INTERNO</v>
          </cell>
        </row>
        <row r="870">
          <cell r="B870" t="str">
            <v>OJALETE DE LUJO OVALADO NIQUEL ZAMAK CON TORNILLO  1" INTERNO</v>
          </cell>
        </row>
        <row r="871">
          <cell r="B871" t="str">
            <v>OJALETE DE LUJO OVALADO ORO ZAMAK   11/4" X 1/2" INTERNO</v>
          </cell>
        </row>
        <row r="872">
          <cell r="B872" t="str">
            <v>OJALETE DE LUJO OVALADO ORO ZAMAK CON TORNILLO  1" INTERNO</v>
          </cell>
        </row>
        <row r="873">
          <cell r="B873" t="str">
            <v>OJALETE DE LUJO OVALADO PAVÓN ZAMAK CON TORNILLO  1 1/2"" INTERNO</v>
          </cell>
        </row>
        <row r="874">
          <cell r="B874" t="str">
            <v>OJALETE DE LUJO REDONDO PAVÓN ZAMAK CON TORNILLO  3/4" INTERNO</v>
          </cell>
        </row>
        <row r="875">
          <cell r="B875" t="str">
            <v>OJALETE LATÓN BLANCO 3/16"</v>
          </cell>
        </row>
        <row r="876">
          <cell r="B876" t="str">
            <v>OJALETE LATÓN BLANCO 5/32"</v>
          </cell>
        </row>
        <row r="877">
          <cell r="B877" t="str">
            <v xml:space="preserve">OJALETE LATÓN DE 5 MM  COLORES VARIOS </v>
          </cell>
        </row>
        <row r="878">
          <cell r="B878" t="str">
            <v>OJALETE LATÓN DORADO 1/4</v>
          </cell>
        </row>
        <row r="879">
          <cell r="B879" t="str">
            <v>OJALETE LATÓN DORADO 5/32"</v>
          </cell>
        </row>
        <row r="880">
          <cell r="B880" t="str">
            <v>OJALETE LATÓN DORADO3/16"</v>
          </cell>
        </row>
        <row r="881">
          <cell r="B881" t="str">
            <v>OJALETE LATÓN NEGRO 1/4</v>
          </cell>
        </row>
        <row r="882">
          <cell r="B882" t="str">
            <v>OJALETE LATÓN NEGRO 3/16</v>
          </cell>
        </row>
        <row r="883">
          <cell r="B883" t="str">
            <v>OJALETE LATÓN NEGRO 5/32</v>
          </cell>
        </row>
        <row r="884">
          <cell r="B884" t="str">
            <v>OJALETE LATÓN NÍQUEL 1/4"</v>
          </cell>
        </row>
        <row r="885">
          <cell r="B885" t="str">
            <v>OJALETE LATÓN NÍQUEL 3/16"</v>
          </cell>
        </row>
        <row r="886">
          <cell r="B886" t="str">
            <v>OJALETE LATÓN NÍQUEL 3/8</v>
          </cell>
        </row>
        <row r="887">
          <cell r="B887" t="str">
            <v>OJALETE LATÓN NÍQUEL 5/32"</v>
          </cell>
        </row>
        <row r="888">
          <cell r="B888" t="str">
            <v>OJALETE LATÓN NÍQUEL DE 1/2"</v>
          </cell>
        </row>
        <row r="889">
          <cell r="B889" t="str">
            <v>OJALETE LATÓN NÍQUEL DE 3/4</v>
          </cell>
        </row>
        <row r="890">
          <cell r="B890" t="str">
            <v>OJALETE LATÓN PAVONADO 1/4"</v>
          </cell>
        </row>
        <row r="891">
          <cell r="B891" t="str">
            <v>OJALETE LATÓN PAVONADO 3/4"</v>
          </cell>
        </row>
        <row r="892">
          <cell r="B892" t="str">
            <v>OJALETE LATÓN PAVONADO SPORT 3/16</v>
          </cell>
        </row>
        <row r="893">
          <cell r="B893" t="str">
            <v>OJALETE PLÁSTICO BLANCO 5/16"</v>
          </cell>
        </row>
        <row r="894">
          <cell r="B894" t="str">
            <v>OJALETE PLÁSTICO CAFÉ 1/4</v>
          </cell>
        </row>
        <row r="895">
          <cell r="B895" t="str">
            <v>OJALETE PLÁSTICO NEGRO 5/16"</v>
          </cell>
        </row>
        <row r="896">
          <cell r="B896" t="str">
            <v>OJALETE PLÁSTICO ROSADO 5/16"</v>
          </cell>
        </row>
        <row r="897">
          <cell r="B897" t="str">
            <v>OJALETE REDONDO, ORO, 3/4/ INTERNO, CON TORNILLO</v>
          </cell>
        </row>
        <row r="898">
          <cell r="B898" t="str">
            <v>PIERCINGS ORO ZAMAK  1/2" PLANO TIPO TORNILLO</v>
          </cell>
        </row>
        <row r="899">
          <cell r="B899" t="str">
            <v xml:space="preserve">PIERCINGS ORO ZAMAK  10 MM PLANO </v>
          </cell>
        </row>
        <row r="900">
          <cell r="B900" t="str">
            <v>PIERCINGS ORO ZAMAK  12 MM REDONDO TIPO HONGO</v>
          </cell>
        </row>
        <row r="901">
          <cell r="B901" t="str">
            <v xml:space="preserve">PIERCINGS ORO ZAMAK  8 MM REDONDO TIPO BOLA </v>
          </cell>
        </row>
        <row r="902">
          <cell r="B902" t="str">
            <v>PIRIGALLO REMACHE PIOLÍN  CON TORNILLO NEGRO GRAFITO ZAMAK GRANDE</v>
          </cell>
        </row>
        <row r="903">
          <cell r="B903" t="str">
            <v>PIRIGALLO REMACHE PIOLÍN  CON TORNILLO NEGRO GRAFITO ZAMAK PEQUEÑO</v>
          </cell>
        </row>
        <row r="904">
          <cell r="B904" t="str">
            <v>PIRIGALLO REMACHE PIOLÍN  CON TORNILLO NÍQUEL ZAMAK GRANDE</v>
          </cell>
        </row>
        <row r="905">
          <cell r="B905" t="str">
            <v>PIRIGALLO REMACHE PIOLÍN  CON TORNILLO NÍQUEL ZAMAK PEQUEÑO</v>
          </cell>
        </row>
        <row r="906">
          <cell r="B906" t="str">
            <v>PIRIGALLO REMACHE PIOLÍN  CON TORNILLO ORO ZAMAK GRANDE</v>
          </cell>
        </row>
        <row r="907">
          <cell r="B907" t="str">
            <v>PIRIGALLO REMACHE PIOLÍN  CON TORNILLO ORO ZAMAK PEQUEÑO</v>
          </cell>
        </row>
        <row r="908">
          <cell r="B908" t="str">
            <v>PIRIGALLO REMACHE PIOLÍN  CON TORNILLO PAVÓN ZAMAK GRANDE</v>
          </cell>
        </row>
        <row r="909">
          <cell r="B909" t="str">
            <v>PIRIGALLO REMACHE PIOLÍN  CON TORNILLO PAVÓN ZAMAK PEQUEÑO</v>
          </cell>
        </row>
        <row r="910">
          <cell r="B910" t="str">
            <v>PIRIGALLO REMACHE PIOLÍN  CON TORNILLO Y ARANDELA ZAMAK NÍQUEL</v>
          </cell>
        </row>
        <row r="911">
          <cell r="B911" t="str">
            <v>PIRIGALLO REMACHE PIOLÍN  CON TORNILLO Y ARANDELA ZAMAK ORO</v>
          </cell>
        </row>
        <row r="912">
          <cell r="B912" t="str">
            <v xml:space="preserve">PLACA SENA ZAMAK , NÍQUEL 
</v>
          </cell>
        </row>
        <row r="913">
          <cell r="B913" t="str">
            <v xml:space="preserve">PUNTA DE CORDONERA  PLÁSTICO 
</v>
          </cell>
        </row>
        <row r="914">
          <cell r="B914" t="str">
            <v xml:space="preserve">PUNTA DE CORDONERA  ZAMAK  PAVÓN 
</v>
          </cell>
        </row>
        <row r="915">
          <cell r="B915" t="str">
            <v>PUNTERA DE CORREA, ZAMAK, ORO 1/2"</v>
          </cell>
        </row>
        <row r="916">
          <cell r="B916" t="str">
            <v>PUNTERA METÁLICA PARA RIATA 1" NÍQUEL</v>
          </cell>
        </row>
        <row r="917">
          <cell r="B917" t="str">
            <v>PUNTERA METÁLICA PARA RIATA 11/2" PAVÓN</v>
          </cell>
        </row>
        <row r="918">
          <cell r="B918" t="str">
            <v>PUNTERA METÁLICA PARA RIATA 2" NÍQUEL</v>
          </cell>
        </row>
        <row r="919">
          <cell r="B919" t="str">
            <v>PUNTERA METÁLICA PARA RIATA1 1/2" NÍQUEL</v>
          </cell>
        </row>
        <row r="920">
          <cell r="B920" t="str">
            <v>PUNTERA METÁLICA PARA RIATA2" PAVÓN</v>
          </cell>
        </row>
        <row r="921">
          <cell r="B921" t="str">
            <v>REMACHE DOBLE CABEZA # 4 PAVÓN</v>
          </cell>
        </row>
        <row r="922">
          <cell r="B922" t="str">
            <v>REMACHE DOBLE CABEZA #6 NÍQUEL</v>
          </cell>
        </row>
        <row r="923">
          <cell r="B923" t="str">
            <v>REMACHE DOBLE CABEZA #6 PAVÓN</v>
          </cell>
        </row>
        <row r="924">
          <cell r="B924" t="str">
            <v>REMACHE DOBLE CABEZA #8 NÍQUEL</v>
          </cell>
        </row>
        <row r="925">
          <cell r="B925" t="str">
            <v>REMACHE DOBLE CABEZA #8 PAVÓN</v>
          </cell>
        </row>
        <row r="926">
          <cell r="B926" t="str">
            <v>REMACHE DOBLE CABEZA #9 NÍQUEL</v>
          </cell>
        </row>
        <row r="927">
          <cell r="B927" t="str">
            <v>REMACHE DOBLE CABEZA #9 PAVÓN</v>
          </cell>
        </row>
        <row r="928">
          <cell r="B928" t="str">
            <v>REMACHE HONGO # 10 PAVÓN</v>
          </cell>
        </row>
        <row r="929">
          <cell r="B929" t="str">
            <v>REMACHE HONGO # 6 NÍQUEL</v>
          </cell>
        </row>
        <row r="930">
          <cell r="B930" t="str">
            <v>REMACHE HONGO # 6 PAVÓN</v>
          </cell>
        </row>
        <row r="931">
          <cell r="B931" t="str">
            <v>REMACHE HONGO # 8 NÍQUEL</v>
          </cell>
        </row>
        <row r="932">
          <cell r="B932" t="str">
            <v>REMACHE HONGO # 8 PAVÓN</v>
          </cell>
        </row>
        <row r="933">
          <cell r="B933" t="str">
            <v>REMACHE HONGO # 9 NÍQUEL</v>
          </cell>
        </row>
        <row r="934">
          <cell r="B934" t="str">
            <v>REMACHE HONGO # 9 PAVÓN</v>
          </cell>
        </row>
        <row r="935">
          <cell r="B935" t="str">
            <v>REMACHE HONGO ZAMAK NÍQUEL 11 MM</v>
          </cell>
        </row>
        <row r="936">
          <cell r="B936" t="str">
            <v>REMACHE HONGO ZAMAK PAVÓN 11 MM</v>
          </cell>
        </row>
        <row r="937">
          <cell r="B937" t="str">
            <v>REMACHE SENCILLO # 4 NÍQUEL</v>
          </cell>
        </row>
        <row r="938">
          <cell r="B938" t="str">
            <v>REMACHE SENCILLO # 4 ORO</v>
          </cell>
        </row>
        <row r="939">
          <cell r="B939" t="str">
            <v>REMACHE SENCILLO # 4 ORO ROSADO</v>
          </cell>
        </row>
        <row r="940">
          <cell r="B940" t="str">
            <v>REMACHE SENCILLO # 4 PAVÓN</v>
          </cell>
        </row>
        <row r="941">
          <cell r="B941" t="str">
            <v>REMACHE SENCILLO #6 NÍQUEL</v>
          </cell>
        </row>
        <row r="942">
          <cell r="B942" t="str">
            <v>REMACHE SENCILLO #6 ORO</v>
          </cell>
        </row>
        <row r="943">
          <cell r="B943" t="str">
            <v>REMACHE SENCILLO #6 PAVÓN</v>
          </cell>
        </row>
        <row r="944">
          <cell r="B944" t="str">
            <v>REMACHE SENCILLO #8 NÍQUEL</v>
          </cell>
        </row>
        <row r="945">
          <cell r="B945" t="str">
            <v>REMACHE SENCILLO #8 ORO</v>
          </cell>
        </row>
        <row r="946">
          <cell r="B946" t="str">
            <v>REMACHE SENCILLO #8 PAVÓN</v>
          </cell>
        </row>
        <row r="947">
          <cell r="B947" t="str">
            <v>REMACHE TORNILLO   CABEZA PLANA NÍQUEL 10 MM</v>
          </cell>
        </row>
        <row r="948">
          <cell r="B948" t="str">
            <v>REMACHES  CABEZA PLANA CORDONERA NEGRO 10 MM</v>
          </cell>
        </row>
        <row r="949">
          <cell r="B949" t="str">
            <v>REMACHES  CABEZA PLANA CORDONERA NÍQUEL 10 MM</v>
          </cell>
        </row>
        <row r="950">
          <cell r="B950" t="str">
            <v>REMACHES  CABEZA PLANA CORDONERA ORO 10 MM</v>
          </cell>
        </row>
        <row r="951">
          <cell r="B951" t="str">
            <v>REMACHES  CABEZA PLANA NÍQUEL 12 MM</v>
          </cell>
        </row>
        <row r="952">
          <cell r="B952" t="str">
            <v>REMACHES  CABEZA PLANA ORO 12 MM</v>
          </cell>
        </row>
        <row r="953">
          <cell r="B953" t="str">
            <v xml:space="preserve">SEGURO PARA CORDÓN DOBLE, PLÁSTICO </v>
          </cell>
        </row>
        <row r="954">
          <cell r="B954" t="str">
            <v xml:space="preserve">TENSOR O TRABILLA PLÁSTICA 1" </v>
          </cell>
        </row>
        <row r="955">
          <cell r="B955" t="str">
            <v xml:space="preserve">TENSOR O TRABILLA PLÁSTICA 32 MM 1 1/4" </v>
          </cell>
        </row>
        <row r="956">
          <cell r="B956" t="str">
            <v xml:space="preserve">TENSOR O TRABILLA PLÁSTICA 51 MM 2" </v>
          </cell>
        </row>
        <row r="957">
          <cell r="B957" t="str">
            <v xml:space="preserve">TENSOR O TRABILLA PLASTICA38 MM  1 1/2" </v>
          </cell>
        </row>
        <row r="958">
          <cell r="B958" t="str">
            <v>TERMINAL COPA NÍQUEL 10 MM</v>
          </cell>
        </row>
        <row r="959">
          <cell r="B959" t="str">
            <v>TERMINAL COPA ORO 10 MM</v>
          </cell>
        </row>
        <row r="960">
          <cell r="B960" t="str">
            <v xml:space="preserve">TERMINAL COPA PARA FLECOS NÍQUEL,  15 MM </v>
          </cell>
        </row>
        <row r="961">
          <cell r="B961" t="str">
            <v xml:space="preserve">TERMINAL COPA PARA FLECOS NÍQUEL, 5MM </v>
          </cell>
        </row>
        <row r="962">
          <cell r="B962" t="str">
            <v xml:space="preserve">TERMINAL COPA PARA FLECOS ORO, 5MM </v>
          </cell>
        </row>
        <row r="963">
          <cell r="B963" t="str">
            <v>TERMINAL PUNTERA,  EN ZAMAK, ORO DE 5 MM</v>
          </cell>
        </row>
        <row r="964">
          <cell r="B964" t="str">
            <v>TORNILLO CHICAGO  PLANO PARA CINTURÓN NÍQUEL- ORO -PAVÓN</v>
          </cell>
        </row>
        <row r="965">
          <cell r="B965" t="str">
            <v>TORNILLO CHICAGO PARA CINTURÓN NÍQUEL CÓNICO</v>
          </cell>
        </row>
        <row r="966">
          <cell r="B966" t="str">
            <v>TORNILLO CHICAGO PARA CINTURÓN PLANO  PAVÓN CÓNICO</v>
          </cell>
        </row>
        <row r="967">
          <cell r="B967" t="str">
            <v xml:space="preserve">TORNILLO CHICAGO PARA CINTURÓN PLANO NÍQUEL </v>
          </cell>
        </row>
        <row r="968">
          <cell r="B968" t="str">
            <v>TORNILLO CHICAGO PARA CINTURÓN PURO CUERO</v>
          </cell>
        </row>
        <row r="969">
          <cell r="B969" t="str">
            <v>TRABILLA 1 1/2" DELGADA ZAMAK NÍQUEL</v>
          </cell>
        </row>
        <row r="970">
          <cell r="B970" t="str">
            <v>TRABILLA 1 1/2" DELGADA ZAMAK PAVÓN</v>
          </cell>
        </row>
        <row r="971">
          <cell r="B971" t="str">
            <v xml:space="preserve">TRABILLA 1 1/2" NÍQUEL </v>
          </cell>
        </row>
        <row r="972">
          <cell r="B972" t="str">
            <v xml:space="preserve">TRABILLA 1 1/2" ORO </v>
          </cell>
        </row>
        <row r="973">
          <cell r="B973" t="str">
            <v xml:space="preserve">TRABILLA 1 1/2" PAVÓN </v>
          </cell>
        </row>
        <row r="974">
          <cell r="B974" t="str">
            <v>TRABILLA 1" NÍQUEL</v>
          </cell>
        </row>
        <row r="975">
          <cell r="B975" t="str">
            <v xml:space="preserve">TRABILLA 1" ORO </v>
          </cell>
        </row>
        <row r="976">
          <cell r="B976" t="str">
            <v>TRABILLA 1" PAVÓN</v>
          </cell>
        </row>
        <row r="977">
          <cell r="B977" t="str">
            <v xml:space="preserve">TRABILLA 2" DELGADA ZAMAK NÍQUEL </v>
          </cell>
        </row>
        <row r="978">
          <cell r="B978" t="str">
            <v>TRABILLA 2" DELGADA ZAMAK PAVÓN</v>
          </cell>
        </row>
        <row r="979">
          <cell r="B979" t="str">
            <v xml:space="preserve">TRABILLA 2" NÍQUEL </v>
          </cell>
        </row>
        <row r="980">
          <cell r="B980" t="str">
            <v>TRABILLA DE LUJO 1 1/2" NÍQUEL ENVEJECIDO</v>
          </cell>
        </row>
        <row r="981">
          <cell r="B981" t="str">
            <v>TRABILLA DE LUJO 1 1/2" ORO</v>
          </cell>
        </row>
        <row r="982">
          <cell r="B982" t="str">
            <v>TRABILLA DE LUJO 1 1/4" PLANA ORO</v>
          </cell>
        </row>
        <row r="983">
          <cell r="B983" t="str">
            <v>TRABILLA DE LUJO 1" PLANA NÍQUEL</v>
          </cell>
        </row>
        <row r="984">
          <cell r="B984" t="str">
            <v>UNIÓN CORREA METÁLICO 1/2" NÍQUEL</v>
          </cell>
        </row>
        <row r="1009">
          <cell r="B1009" t="str">
            <v>Insertar Filas!!</v>
          </cell>
        </row>
        <row r="1011">
          <cell r="B1011">
            <v>36</v>
          </cell>
        </row>
        <row r="1012">
          <cell r="B1012" t="str">
            <v>Material</v>
          </cell>
        </row>
        <row r="1013">
          <cell r="B1013" t="str">
            <v>ARSENAL COLOR VERDE MILITAR</v>
          </cell>
        </row>
        <row r="1014">
          <cell r="B1014" t="str">
            <v>COMFORTEX CALIBRE 1.5MM.</v>
          </cell>
        </row>
        <row r="1015">
          <cell r="B1015" t="str">
            <v>FORRO  PIQUET</v>
          </cell>
        </row>
        <row r="1016">
          <cell r="B1016" t="str">
            <v>FORRO MARROQUINERO DE POLIÉSTER</v>
          </cell>
        </row>
        <row r="1017">
          <cell r="B1017" t="str">
            <v>INTERLON</v>
          </cell>
        </row>
        <row r="1018">
          <cell r="B1018" t="str">
            <v>LONA 600</v>
          </cell>
        </row>
        <row r="1019">
          <cell r="B1019" t="str">
            <v>LONA HURACAN  LAFAYETTE</v>
          </cell>
        </row>
        <row r="1020">
          <cell r="B1020" t="str">
            <v>LONA LACOST</v>
          </cell>
        </row>
        <row r="1021">
          <cell r="B1021" t="str">
            <v>LONA PRELAVADA ALGODÓN</v>
          </cell>
        </row>
        <row r="1022">
          <cell r="B1022" t="str">
            <v>LONA REEBAG LAFAYETTE</v>
          </cell>
        </row>
        <row r="1023">
          <cell r="B1023" t="str">
            <v>LONA TEXTIL 2</v>
          </cell>
        </row>
        <row r="1024">
          <cell r="B1024" t="str">
            <v>MALLA FABRICS</v>
          </cell>
        </row>
        <row r="1025">
          <cell r="B1025" t="str">
            <v>MICROFIBRA BASE 0,5 Y 0,7</v>
          </cell>
        </row>
        <row r="1026">
          <cell r="B1026" t="str">
            <v>MICROFIBRA DE SOPORTE SUAVE PARA CALZADO Y MARROQUINERÍA CALIBRE 0,3MM</v>
          </cell>
        </row>
        <row r="1027">
          <cell r="B1027" t="str">
            <v>MICROFIBRA DE SOPORTE SUAVE PARA CALZADO Y MARROQUINERÍA CALIBRE 0,5 MM</v>
          </cell>
        </row>
        <row r="1028">
          <cell r="B1028" t="str">
            <v>MICROFIBRA LORY POLINYLON 120 ANTRA MT</v>
          </cell>
        </row>
        <row r="1029">
          <cell r="B1029" t="str">
            <v>MOIRA FORRO DE BUEN CALIBRE PARA USO EXTERNO E INTERNO POLIESTER</v>
          </cell>
        </row>
        <row r="1030">
          <cell r="B1030" t="str">
            <v>NEOPRENO</v>
          </cell>
        </row>
        <row r="1031">
          <cell r="B1031" t="str">
            <v>POLITEX-KAMBREL 100 GR</v>
          </cell>
        </row>
        <row r="1032">
          <cell r="B1032" t="str">
            <v>SEDA ANTIFLUIDO, VARIOS COLORES</v>
          </cell>
        </row>
        <row r="1033">
          <cell r="B1033" t="str">
            <v xml:space="preserve">SEDA AÑOS ANTERIORES   </v>
          </cell>
        </row>
        <row r="1034">
          <cell r="B1034" t="str">
            <v xml:space="preserve">SEDA BRIDNI BASE LIVIANA X MT  </v>
          </cell>
        </row>
        <row r="1035">
          <cell r="B1035" t="str">
            <v>SEDA CONOCIDA COMO: TIFON O 30-100</v>
          </cell>
        </row>
        <row r="1036">
          <cell r="B1036" t="str">
            <v xml:space="preserve">SEDA LACOST COLORES/VARIOS  </v>
          </cell>
        </row>
        <row r="1037">
          <cell r="B1037" t="str">
            <v>SEDA LAFAYETTE VENDAVAL CON TECNOLOGIA LAFGARD</v>
          </cell>
        </row>
        <row r="1038">
          <cell r="B1038" t="str">
            <v xml:space="preserve">SEDA POLIESTER  </v>
          </cell>
        </row>
        <row r="1039">
          <cell r="B1039" t="str">
            <v>SEDA TAFETA 100% POLIESTER</v>
          </cell>
        </row>
        <row r="1040">
          <cell r="B1040" t="str">
            <v xml:space="preserve">SINTETICO  REF ARSENAL </v>
          </cell>
        </row>
        <row r="1041">
          <cell r="B1041" t="str">
            <v>SINTÉTICO P.U PARA CALZADO</v>
          </cell>
        </row>
        <row r="1042">
          <cell r="B1042" t="str">
            <v>SINTETICO P.U PARA FORRO DE CALZADO</v>
          </cell>
        </row>
        <row r="1043">
          <cell r="B1043" t="str">
            <v>SINTETICO PVC</v>
          </cell>
        </row>
        <row r="1044">
          <cell r="B1044" t="str">
            <v>SUPER MALLA</v>
          </cell>
        </row>
        <row r="1045">
          <cell r="B1045" t="str">
            <v>TELA POLIESTER  DE MALLA PIQUÉ, TERRY, MONZA, MALLA SANDWICH</v>
          </cell>
        </row>
        <row r="1046">
          <cell r="B1046" t="str">
            <v>TEXTIL DE REFUERZO ESPECIAL PARA MARROQUINERIA Y CALZADO</v>
          </cell>
        </row>
        <row r="1047">
          <cell r="B1047" t="str">
            <v>TEXTIL DE SOPORTE SUEVE PARA CALZADO Y MARROQUINERIA CALIBRE 0,3MM</v>
          </cell>
        </row>
        <row r="1048">
          <cell r="B1048" t="str">
            <v>TEXTIL DE SOPORTE SUEVE PARA CALZADO Y MARROQUINERIA CALIBRE 0,5 MM</v>
          </cell>
        </row>
        <row r="1070">
          <cell r="B1070" t="str">
            <v>Insertar Filas!!</v>
          </cell>
        </row>
        <row r="1072">
          <cell r="B1072">
            <v>7</v>
          </cell>
        </row>
        <row r="1073">
          <cell r="B1073" t="str">
            <v>Material</v>
          </cell>
        </row>
        <row r="1074">
          <cell r="B1074" t="str">
            <v xml:space="preserve">NEOLITE GRABADO
</v>
          </cell>
        </row>
        <row r="1075">
          <cell r="B1075" t="str">
            <v xml:space="preserve">SUELA EN CAUCHO 
</v>
          </cell>
        </row>
        <row r="1076">
          <cell r="B1076" t="str">
            <v xml:space="preserve">SUELA ENTERIZA 
</v>
          </cell>
        </row>
        <row r="1077">
          <cell r="B1077" t="str">
            <v xml:space="preserve">SUELA PLATAFORMA ENTERIZA
</v>
          </cell>
        </row>
        <row r="1078">
          <cell r="B1078" t="str">
            <v xml:space="preserve">SUELA PVC
</v>
          </cell>
        </row>
        <row r="1079">
          <cell r="B1079" t="str">
            <v xml:space="preserve">SUELA TR
</v>
          </cell>
        </row>
        <row r="1080">
          <cell r="B1080" t="str">
            <v xml:space="preserve">SUELAS EVA 
</v>
          </cell>
        </row>
        <row r="1109">
          <cell r="B1109" t="str">
            <v>Insertar Filas!!</v>
          </cell>
        </row>
        <row r="1112">
          <cell r="B1112">
            <v>25</v>
          </cell>
        </row>
        <row r="1113">
          <cell r="B1113" t="str">
            <v>Material</v>
          </cell>
        </row>
        <row r="1114">
          <cell r="B1114" t="str">
            <v xml:space="preserve">BASE O SUPERFICIE PARA CORTE SILICONADA
</v>
          </cell>
        </row>
        <row r="1115">
          <cell r="B1115" t="str">
            <v xml:space="preserve">CEPILLO DE MANGO PLASTICO CREPE Y NYLON
</v>
          </cell>
        </row>
        <row r="1116">
          <cell r="B1116" t="str">
            <v xml:space="preserve">COMPAS DE PRESICION DOBLE PUNTA METAL
</v>
          </cell>
        </row>
        <row r="1117">
          <cell r="B1117" t="str">
            <v xml:space="preserve">CORTADO X-ACTO
</v>
          </cell>
        </row>
        <row r="1118">
          <cell r="B1118" t="str">
            <v xml:space="preserve">CUCHILLO DE ZAPATERIA
</v>
          </cell>
        </row>
        <row r="1119">
          <cell r="B1119" t="str">
            <v xml:space="preserve">DADOS PARA REMACHE DOBLE CABEZA
</v>
          </cell>
        </row>
        <row r="1120">
          <cell r="B1120" t="str">
            <v xml:space="preserve">ENTINTADOR DE LAPIZ + PALA PARA TRABAJAR BORDE PARA CUERO A MANO
</v>
          </cell>
        </row>
        <row r="1121">
          <cell r="B1121" t="str">
            <v>JUEGO DESTORNILLADORES  PARA MAQUINA DE COSER MAGNETICOS</v>
          </cell>
        </row>
        <row r="1122">
          <cell r="B1122" t="str">
            <v>KIT DE PINZAS ALICATES</v>
          </cell>
        </row>
        <row r="1123">
          <cell r="B1123" t="str">
            <v xml:space="preserve">PERFORADORES/SACABOCADOS
</v>
          </cell>
        </row>
        <row r="1124">
          <cell r="B1124" t="str">
            <v>PINCELES LENGUA DE GATO</v>
          </cell>
        </row>
        <row r="1125">
          <cell r="B1125" t="str">
            <v>PISTOLA INDUSTRIAL DE CALOR</v>
          </cell>
        </row>
        <row r="1126">
          <cell r="B1126" t="str">
            <v xml:space="preserve">PORTA  CUCHILLA
</v>
          </cell>
        </row>
        <row r="1127">
          <cell r="B1127" t="str">
            <v xml:space="preserve">PRENSA RAPIDA DE RESORTE
</v>
          </cell>
        </row>
        <row r="1128">
          <cell r="B1128" t="str">
            <v xml:space="preserve">PULVERIZADOR PLÁSTICO
</v>
          </cell>
        </row>
        <row r="1129">
          <cell r="B1129" t="str">
            <v>REMACHADORA TROQUELADORA</v>
          </cell>
        </row>
        <row r="1130">
          <cell r="B1130" t="str">
            <v xml:space="preserve">REPTO DE CUCHILLAS BISTRÍ X-ACTO 
</v>
          </cell>
        </row>
        <row r="1131">
          <cell r="B1131" t="str">
            <v xml:space="preserve">SACABOCADO PIRIGALLO
</v>
          </cell>
        </row>
        <row r="1132">
          <cell r="B1132" t="str">
            <v xml:space="preserve">SACABOCADO PIRIGALLO
</v>
          </cell>
        </row>
        <row r="1133">
          <cell r="B1133" t="str">
            <v xml:space="preserve">SACABOCADO TRINCHETE NO 0
</v>
          </cell>
        </row>
        <row r="1134">
          <cell r="B1134" t="str">
            <v>SET DE AERÓGRAFO PROFESIONAL</v>
          </cell>
        </row>
        <row r="1135">
          <cell r="B1135" t="str">
            <v>TABLA SALVACORTE 45X60 CM</v>
          </cell>
        </row>
        <row r="1136">
          <cell r="B1136" t="str">
            <v xml:space="preserve">TROQUEL BROCHE BILLETERA
</v>
          </cell>
        </row>
        <row r="1137">
          <cell r="B1137" t="str">
            <v xml:space="preserve">TROQUEL Y BASE PARA PERFORAR DE LA MÁQUINA REMACHADORA 
</v>
          </cell>
        </row>
        <row r="1138">
          <cell r="B1138" t="str">
            <v xml:space="preserve">TROQUELES  DE FIGURAS GEOMETRICAS
</v>
          </cell>
        </row>
        <row r="1155">
          <cell r="B1155" t="str">
            <v>Insertar Filas!!</v>
          </cell>
        </row>
        <row r="1159">
          <cell r="B1159">
            <v>53</v>
          </cell>
        </row>
        <row r="1160">
          <cell r="B1160" t="str">
            <v>Material</v>
          </cell>
        </row>
        <row r="1161">
          <cell r="B1161" t="str">
            <v>AGUJA CORTA CABO DELGADO 80</v>
          </cell>
        </row>
        <row r="1162">
          <cell r="B1162" t="str">
            <v>AGUJA CORTA CABO DELGADO 90</v>
          </cell>
        </row>
        <row r="1163">
          <cell r="B1163" t="str">
            <v>AGUJA CORTA CABO DELGADO 100</v>
          </cell>
        </row>
        <row r="1164">
          <cell r="B1164" t="str">
            <v>AGUJA CORTA CABO DELGADO 110</v>
          </cell>
        </row>
        <row r="1165">
          <cell r="B1165" t="str">
            <v>AGUJA CORTA CABO DELGADO 125</v>
          </cell>
        </row>
        <row r="1166">
          <cell r="B1166" t="str">
            <v>AGUJA CORTA CABO GRUESO 80</v>
          </cell>
        </row>
        <row r="1167">
          <cell r="B1167" t="str">
            <v>AGUJA CORTA CABO GRUESO 90</v>
          </cell>
        </row>
        <row r="1168">
          <cell r="B1168" t="str">
            <v>AGUJA CORTA CABO GRUESO 100</v>
          </cell>
        </row>
        <row r="1169">
          <cell r="B1169" t="str">
            <v>AGUJA CORTA CABO GRUESO 110</v>
          </cell>
        </row>
        <row r="1170">
          <cell r="B1170" t="str">
            <v>AGUJA CORTA CABO GRUESO 120</v>
          </cell>
        </row>
        <row r="1171">
          <cell r="B1171" t="str">
            <v>AGUJA CORTA CABO GRUESO 125</v>
          </cell>
        </row>
        <row r="1172">
          <cell r="B1172" t="str">
            <v>AGUJA CORTA CABO GRUESO 130</v>
          </cell>
        </row>
        <row r="1173">
          <cell r="B1173" t="str">
            <v>AGUJA CORTA CABO GRUESO 140</v>
          </cell>
        </row>
        <row r="1174">
          <cell r="B1174" t="str">
            <v>AGUJA LARGA CABO GRUESO 80</v>
          </cell>
        </row>
        <row r="1175">
          <cell r="B1175" t="str">
            <v>AGUJA LARGA CABO GRUESO 90</v>
          </cell>
        </row>
        <row r="1176">
          <cell r="B1176" t="str">
            <v>AGUJA LARGA CABO GRUESO 100</v>
          </cell>
        </row>
        <row r="1177">
          <cell r="B1177" t="str">
            <v>AGUJA LARGA CABO GRUESO 110</v>
          </cell>
        </row>
        <row r="1178">
          <cell r="B1178" t="str">
            <v>AGUJA LARGA CABO GRUESO 120</v>
          </cell>
        </row>
        <row r="1179">
          <cell r="B1179" t="str">
            <v>AGUJA LARGA CABO GRUESO 125</v>
          </cell>
        </row>
        <row r="1180">
          <cell r="B1180" t="str">
            <v>AGUJA LARGA CABO GRUESO 130</v>
          </cell>
        </row>
        <row r="1181">
          <cell r="B1181" t="str">
            <v xml:space="preserve">AGUJAS CAPOTERA CON PUNTA #5
</v>
          </cell>
        </row>
        <row r="1182">
          <cell r="B1182" t="str">
            <v>BANDAS DE LIJA PARA RODILLOS DE EXPANSIÓN DE GOMA</v>
          </cell>
        </row>
        <row r="1183">
          <cell r="B1183" t="str">
            <v xml:space="preserve">BOLSA CON CIERRE HERMETICO
</v>
          </cell>
        </row>
        <row r="1184">
          <cell r="B1184" t="str">
            <v xml:space="preserve">BOLSA TUBULAR DE 2"
</v>
          </cell>
        </row>
        <row r="1185">
          <cell r="B1185" t="str">
            <v xml:space="preserve">BOLSAS CON ASAS DE CAMISETA DE POLIESTILENO
</v>
          </cell>
        </row>
        <row r="1186">
          <cell r="B1186" t="str">
            <v xml:space="preserve">BOLSAS DE BASURA EN POLIETILENO
</v>
          </cell>
        </row>
        <row r="1187">
          <cell r="B1187" t="str">
            <v xml:space="preserve">CARTULINA PLANA </v>
          </cell>
        </row>
        <row r="1188">
          <cell r="B1188" t="str">
            <v>CINTA  DE ENMASCARAR</v>
          </cell>
        </row>
        <row r="1189">
          <cell r="B1189" t="str">
            <v>CINTA DE ENMASCARAR  2 "</v>
          </cell>
        </row>
        <row r="1190">
          <cell r="B1190" t="str">
            <v xml:space="preserve">CURVIGRAFO </v>
          </cell>
        </row>
        <row r="1191">
          <cell r="B1191" t="str">
            <v xml:space="preserve">DISPENSADOR DE PEGANTE
</v>
          </cell>
        </row>
        <row r="1192">
          <cell r="B1192" t="str">
            <v xml:space="preserve">ENVACES PARA PEGANTE
</v>
          </cell>
        </row>
        <row r="1193">
          <cell r="B1193" t="str">
            <v xml:space="preserve">ENVASE PLASTICO 1 LITRO
</v>
          </cell>
        </row>
        <row r="1194">
          <cell r="B1194" t="str">
            <v xml:space="preserve">ENVASE TIPO TEMPERA
</v>
          </cell>
        </row>
        <row r="1195">
          <cell r="B1195" t="str">
            <v>ESCUADRAS 45°</v>
          </cell>
        </row>
        <row r="1196">
          <cell r="B1196" t="str">
            <v>ESCUADRAS 60°</v>
          </cell>
        </row>
        <row r="1197">
          <cell r="B1197" t="str">
            <v>ESMERIL DE BANCO 3"</v>
          </cell>
        </row>
        <row r="1198">
          <cell r="B1198" t="str">
            <v>ESTOPA</v>
          </cell>
        </row>
        <row r="1199">
          <cell r="B1199" t="str">
            <v xml:space="preserve">GOTERO HOMEOPÁTICO
</v>
          </cell>
        </row>
        <row r="1200">
          <cell r="B1200" t="str">
            <v xml:space="preserve">GOTERO PLÁSTICO
</v>
          </cell>
        </row>
        <row r="1201">
          <cell r="B1201" t="str">
            <v>HOJA DESEGUETAS HSS</v>
          </cell>
        </row>
        <row r="1202">
          <cell r="B1202" t="str">
            <v xml:space="preserve">LÁMINA ACRÍLICO RECUPERADO 12 MM
</v>
          </cell>
        </row>
        <row r="1203">
          <cell r="B1203" t="str">
            <v xml:space="preserve">LÁMINA ACRÍLICO RECUPERADO 15MM
</v>
          </cell>
        </row>
        <row r="1204">
          <cell r="B1204" t="str">
            <v>LIJA FINA 400</v>
          </cell>
        </row>
        <row r="1205">
          <cell r="B1205" t="str">
            <v>LIJAS</v>
          </cell>
        </row>
        <row r="1206">
          <cell r="B1206" t="str">
            <v>LUZ PARA MÁQUINA DE COSER  FLEX</v>
          </cell>
        </row>
        <row r="1207">
          <cell r="B1207" t="str">
            <v xml:space="preserve">MINA DE PLATA
</v>
          </cell>
        </row>
        <row r="1208">
          <cell r="B1208" t="str">
            <v>PAPEL PERIÓDICO</v>
          </cell>
        </row>
        <row r="1209">
          <cell r="B1209" t="str">
            <v>PIEDRA DE AFILAR</v>
          </cell>
        </row>
        <row r="1210">
          <cell r="B1210" t="str">
            <v>PIEDRA DE AFILAR DE DIOXIDO DE ALUMINIO DE 6</v>
          </cell>
        </row>
        <row r="1211">
          <cell r="B1211" t="str">
            <v xml:space="preserve">PLANTILLAS DE ARMADO INYECTADAS 
</v>
          </cell>
        </row>
        <row r="1212">
          <cell r="B1212" t="str">
            <v xml:space="preserve">PUNTILLA </v>
          </cell>
        </row>
        <row r="1213">
          <cell r="B1213" t="str">
            <v>REGLA METALICA</v>
          </cell>
        </row>
        <row r="1214">
          <cell r="B1214" t="str">
            <v>REGLA PLÁSTICA</v>
          </cell>
        </row>
        <row r="1215">
          <cell r="B1215" t="str">
            <v xml:space="preserve">TACHUELA </v>
          </cell>
        </row>
        <row r="1257">
          <cell r="B1257" t="str">
            <v>Insertar Filas!!</v>
          </cell>
        </row>
        <row r="1259">
          <cell r="B1259">
            <v>82</v>
          </cell>
        </row>
        <row r="1260">
          <cell r="B1260" t="str">
            <v>Material</v>
          </cell>
        </row>
        <row r="1261">
          <cell r="B1261" t="str">
            <v xml:space="preserve">Acuarelas </v>
          </cell>
        </row>
        <row r="1262">
          <cell r="B1262" t="str">
            <v>Antifaz</v>
          </cell>
        </row>
        <row r="1263">
          <cell r="B1263" t="str">
            <v>ARCHIVADOR TIPO AZ</v>
          </cell>
        </row>
        <row r="1264">
          <cell r="B1264" t="str">
            <v>Banderines</v>
          </cell>
        </row>
        <row r="1265">
          <cell r="B1265" t="str">
            <v>Billetes didácticos</v>
          </cell>
        </row>
        <row r="1266">
          <cell r="B1266" t="str">
            <v>Bisturi</v>
          </cell>
        </row>
        <row r="1267">
          <cell r="B1267" t="str">
            <v xml:space="preserve">BLOCK  NOTAS BLANCO </v>
          </cell>
        </row>
        <row r="1268">
          <cell r="B1268" t="str">
            <v>Block papel iris de colores</v>
          </cell>
        </row>
        <row r="1269">
          <cell r="B1269" t="str">
            <v>Block para dibujo técnico</v>
          </cell>
        </row>
        <row r="1270">
          <cell r="B1270" t="str">
            <v>Bolígrafo</v>
          </cell>
        </row>
        <row r="1271">
          <cell r="B1271" t="str">
            <v>Boligrafos de color</v>
          </cell>
        </row>
        <row r="1272">
          <cell r="B1272" t="str">
            <v>Borrador miga de pan</v>
          </cell>
        </row>
        <row r="1273">
          <cell r="B1273" t="str">
            <v>Borrador para tablero</v>
          </cell>
        </row>
        <row r="1274">
          <cell r="B1274" t="str">
            <v>CALCULADORA ESCRITORIO</v>
          </cell>
        </row>
        <row r="1275">
          <cell r="B1275" t="str">
            <v>Carpeta Catalogo</v>
          </cell>
        </row>
        <row r="1276">
          <cell r="B1276" t="str">
            <v xml:space="preserve">Carpeta de carton  tamaño oficio </v>
          </cell>
        </row>
        <row r="1277">
          <cell r="B1277" t="str">
            <v>Carpeta de presentación</v>
          </cell>
        </row>
        <row r="1278">
          <cell r="B1278" t="str">
            <v>Carpetas Tamaño Oficio Unidades De Cartón Oficina</v>
          </cell>
        </row>
        <row r="1279">
          <cell r="B1279" t="str">
            <v>Carteleras en marco de aluminio
Medidas: 100 cms de ancho por 70 cms de alto</v>
          </cell>
        </row>
        <row r="1280">
          <cell r="B1280" t="str">
            <v>CARTÓN DUPLEX</v>
          </cell>
        </row>
        <row r="1281">
          <cell r="B1281" t="str">
            <v>Carton Industrial Piedra</v>
          </cell>
        </row>
        <row r="1282">
          <cell r="B1282" t="str">
            <v>Carton paja</v>
          </cell>
        </row>
        <row r="1283">
          <cell r="B1283" t="str">
            <v>Cinta Doble cara De Poliéster</v>
          </cell>
        </row>
        <row r="1284">
          <cell r="B1284" t="str">
            <v xml:space="preserve">Compás </v>
          </cell>
        </row>
        <row r="1285">
          <cell r="B1285" t="str">
            <v>Compas de presicion punta metal y punta lapiz</v>
          </cell>
        </row>
        <row r="1286">
          <cell r="B1286" t="str">
            <v xml:space="preserve">Corrector liquido </v>
          </cell>
        </row>
        <row r="1287">
          <cell r="B1287" t="str">
            <v>CUADERNO ARGOLLADO GRANDE 5 MATERIAS</v>
          </cell>
        </row>
        <row r="1288">
          <cell r="B1288" t="str">
            <v>Espatulas metalicas</v>
          </cell>
        </row>
        <row r="1289">
          <cell r="B1289" t="str">
            <v>Folder</v>
          </cell>
        </row>
        <row r="1290">
          <cell r="B1290" t="str">
            <v>Fommy</v>
          </cell>
        </row>
        <row r="1291">
          <cell r="B1291" t="str">
            <v>FORMATO KARDEX</v>
          </cell>
        </row>
        <row r="1292">
          <cell r="B1292" t="str">
            <v>Guias Separadoras</v>
          </cell>
        </row>
        <row r="1293">
          <cell r="B1293" t="str">
            <v>Juego de Bingo completo</v>
          </cell>
        </row>
        <row r="1294">
          <cell r="B1294" t="str">
            <v>Juego de escalera</v>
          </cell>
        </row>
        <row r="1295">
          <cell r="B1295" t="str">
            <v>Juego de mesa RUMMI-Q</v>
          </cell>
        </row>
        <row r="1296">
          <cell r="B1296" t="str">
            <v>Juego didactico - loteria bilingüe</v>
          </cell>
        </row>
        <row r="1297">
          <cell r="B1297" t="str">
            <v>Juego didactico adivina quién? clásico</v>
          </cell>
        </row>
        <row r="1298">
          <cell r="B1298" t="str">
            <v xml:space="preserve">Juego didactico -Rompecabezas Bilingüe </v>
          </cell>
        </row>
        <row r="1299">
          <cell r="B1299" t="str">
            <v>Juego mesa de ajedrez</v>
          </cell>
        </row>
        <row r="1300">
          <cell r="B1300" t="str">
            <v>Juego Parq</v>
          </cell>
        </row>
        <row r="1301">
          <cell r="B1301" t="str">
            <v>Juengo Dominó 28 piezas</v>
          </cell>
        </row>
        <row r="1302">
          <cell r="B1302" t="str">
            <v xml:space="preserve">kit de pinceles suaves </v>
          </cell>
        </row>
        <row r="1303">
          <cell r="B1303" t="str">
            <v>LUPA CUENTA HILOS</v>
          </cell>
        </row>
        <row r="1304">
          <cell r="B1304" t="str">
            <v>Madera MDF</v>
          </cell>
        </row>
        <row r="1305">
          <cell r="B1305" t="str">
            <v>Marcador colores punta fina</v>
          </cell>
        </row>
        <row r="1306">
          <cell r="B1306" t="str">
            <v xml:space="preserve">Marcador de pintura acrilica rellenable
</v>
          </cell>
        </row>
        <row r="1307">
          <cell r="B1307" t="str">
            <v>Marcador de vinilo</v>
          </cell>
        </row>
        <row r="1308">
          <cell r="B1308" t="str">
            <v>Marcador negro punta fina</v>
          </cell>
        </row>
        <row r="1309">
          <cell r="B1309" t="str">
            <v>Marcadores doble punta</v>
          </cell>
        </row>
        <row r="1310">
          <cell r="B1310" t="str">
            <v>Memoria USB 128 gigas</v>
          </cell>
        </row>
        <row r="1311">
          <cell r="B1311" t="str">
            <v>MEMORIAS USB 8GB</v>
          </cell>
        </row>
        <row r="1312">
          <cell r="B1312" t="str">
            <v>Nailon</v>
          </cell>
        </row>
        <row r="1313">
          <cell r="B1313" t="str">
            <v xml:space="preserve">Paleta para mezclar pintura </v>
          </cell>
        </row>
        <row r="1314">
          <cell r="B1314" t="str">
            <v>Palitos De Madera Para Paleta (Decoraciones especiales para el aula y accesorios decorativos)</v>
          </cell>
        </row>
        <row r="1315">
          <cell r="B1315" t="str">
            <v>Palos De Madera De Bambú Para Pinchos  (Decoraciones especiales para el aula y accesorios decorativos)</v>
          </cell>
        </row>
        <row r="1316">
          <cell r="B1316" t="str">
            <v xml:space="preserve">Papel acuarela </v>
          </cell>
        </row>
        <row r="1317">
          <cell r="B1317" t="str">
            <v>Papel Bond</v>
          </cell>
        </row>
        <row r="1318">
          <cell r="B1318" t="str">
            <v>Papel Contact Transparente Original</v>
          </cell>
        </row>
        <row r="1319">
          <cell r="B1319" t="str">
            <v>Papel de notas adhesivas</v>
          </cell>
        </row>
        <row r="1320">
          <cell r="B1320" t="str">
            <v>Papel fino de lujo para
imprimir</v>
          </cell>
        </row>
        <row r="1321">
          <cell r="B1321" t="str">
            <v xml:space="preserve">Papel fino pliego </v>
          </cell>
        </row>
        <row r="1322">
          <cell r="B1322" t="str">
            <v>Papel Metalizado Majestic</v>
          </cell>
        </row>
        <row r="1323">
          <cell r="B1323" t="str">
            <v>Papel opalina de 120g ancho 24” x 20 ms</v>
          </cell>
        </row>
        <row r="1324">
          <cell r="B1324" t="str">
            <v>Papel para impresión</v>
          </cell>
        </row>
        <row r="1325">
          <cell r="B1325" t="str">
            <v>Papel Seda</v>
          </cell>
        </row>
        <row r="1326">
          <cell r="B1326" t="str">
            <v xml:space="preserve">Paquete de Fommy 1/8 </v>
          </cell>
        </row>
        <row r="1327">
          <cell r="B1327" t="str">
            <v>Pegamento cianoacrilato</v>
          </cell>
        </row>
        <row r="1328">
          <cell r="B1328" t="str">
            <v xml:space="preserve">Pegamento madera </v>
          </cell>
        </row>
        <row r="1329">
          <cell r="B1329" t="str">
            <v>Pegamento papel</v>
          </cell>
        </row>
        <row r="1330">
          <cell r="B1330" t="str">
            <v>PLASTIFOLDER OFICIO CON BISEL</v>
          </cell>
        </row>
        <row r="1331">
          <cell r="B1331" t="str">
            <v xml:space="preserve">Porta escarapelas </v>
          </cell>
        </row>
        <row r="1332">
          <cell r="B1332" t="str">
            <v>REMOVEDORES DE GRAPAS (SACA GANCHOS)</v>
          </cell>
        </row>
        <row r="1333">
          <cell r="B1333" t="str">
            <v>Silicona liquida</v>
          </cell>
        </row>
        <row r="1334">
          <cell r="B1334" t="str">
            <v>Sobre de Manila</v>
          </cell>
        </row>
        <row r="1335">
          <cell r="B1335" t="str">
            <v>Tarjeta de índice</v>
          </cell>
        </row>
        <row r="1336">
          <cell r="B1336" t="str">
            <v>Tarjetas didacticas inglés- ilustradas Actividades</v>
          </cell>
        </row>
        <row r="1337">
          <cell r="B1337" t="str">
            <v>Tarjetas didacticas inglés- ilustradas Animales</v>
          </cell>
        </row>
        <row r="1338">
          <cell r="B1338" t="str">
            <v>Tarjetas didacticas inglés- ilustradas Frutas</v>
          </cell>
        </row>
        <row r="1339">
          <cell r="B1339" t="str">
            <v>Tijeras punta roma</v>
          </cell>
        </row>
        <row r="1340">
          <cell r="B1340" t="str">
            <v xml:space="preserve">Tinta para impresión HP DesignJet T 120 x 29ml 
</v>
          </cell>
        </row>
        <row r="1341">
          <cell r="B1341" t="str">
            <v>Tinta para impresión HP DesignJet T 120 x 80ml</v>
          </cell>
        </row>
        <row r="1342">
          <cell r="B1342" t="str">
            <v>TABLERO ACRÍLICO PREMIUM CON CUADRÍCULA DE 120×80 CMS SOBRE PEDESTAL CON RUEDAS</v>
          </cell>
        </row>
        <row r="1350">
          <cell r="B1350" t="str">
            <v>Insertar Filas!!</v>
          </cell>
        </row>
        <row r="1353">
          <cell r="B1353">
            <v>86</v>
          </cell>
        </row>
        <row r="1354">
          <cell r="B1354" t="str">
            <v>Material</v>
          </cell>
        </row>
        <row r="1355">
          <cell r="B1355" t="str">
            <v>Aceite</v>
          </cell>
        </row>
        <row r="1356">
          <cell r="B1356" t="str">
            <v>Aceite mineral</v>
          </cell>
        </row>
        <row r="1357">
          <cell r="B1357" t="str">
            <v>Acopol</v>
          </cell>
        </row>
        <row r="1358">
          <cell r="B1358" t="str">
            <v>Acriltex</v>
          </cell>
        </row>
        <row r="1359">
          <cell r="B1359" t="str">
            <v>Acripol</v>
          </cell>
        </row>
        <row r="1360">
          <cell r="B1360" t="str">
            <v>Adhesivo p.u. poliuretano</v>
          </cell>
        </row>
        <row r="1361">
          <cell r="B1361" t="str">
            <v>Adhesivo poliuretano PU 689</v>
          </cell>
        </row>
        <row r="1362">
          <cell r="B1362" t="str">
            <v>Aerosoles</v>
          </cell>
        </row>
        <row r="1363">
          <cell r="B1363" t="str">
            <v>Alcohol polivinilico</v>
          </cell>
        </row>
        <row r="1364">
          <cell r="B1364" t="str">
            <v>Aqua</v>
          </cell>
        </row>
        <row r="1365">
          <cell r="B1365" t="str">
            <v>Aquapren</v>
          </cell>
        </row>
        <row r="1366">
          <cell r="B1366" t="str">
            <v>Base tr</v>
          </cell>
        </row>
        <row r="1367">
          <cell r="B1367" t="str">
            <v>Bond_ing</v>
          </cell>
        </row>
        <row r="1368">
          <cell r="B1368" t="str">
            <v>Carda rápido</v>
          </cell>
        </row>
        <row r="1369">
          <cell r="B1369" t="str">
            <v>Carga fácil</v>
          </cell>
        </row>
        <row r="1370">
          <cell r="B1370" t="str">
            <v>Catalizador poliuretano</v>
          </cell>
        </row>
        <row r="1371">
          <cell r="B1371" t="str">
            <v>Caucho de silicona</v>
          </cell>
        </row>
        <row r="1372">
          <cell r="B1372" t="str">
            <v>Cemento de contacto</v>
          </cell>
        </row>
        <row r="1373">
          <cell r="B1373" t="str">
            <v>Cera glas</v>
          </cell>
        </row>
        <row r="1374">
          <cell r="B1374" t="str">
            <v>Cobalto</v>
          </cell>
        </row>
        <row r="1375">
          <cell r="B1375" t="str">
            <v>Ecopreno</v>
          </cell>
        </row>
        <row r="1376">
          <cell r="B1376" t="str">
            <v>Emulsión</v>
          </cell>
        </row>
        <row r="1377">
          <cell r="B1377" t="str">
            <v>Endurecedor resina epóxica</v>
          </cell>
        </row>
        <row r="1378">
          <cell r="B1378" t="str">
            <v>Exotack pegante ecológico</v>
          </cell>
        </row>
        <row r="1379">
          <cell r="B1379" t="str">
            <v>Fibra de vidrio</v>
          </cell>
        </row>
        <row r="1380">
          <cell r="B1380" t="str">
            <v>Fondo cream</v>
          </cell>
        </row>
        <row r="1381">
          <cell r="B1381" t="str">
            <v>Gel costs</v>
          </cell>
        </row>
        <row r="1382">
          <cell r="B1382" t="str">
            <v>Gelcoat incoloro</v>
          </cell>
        </row>
        <row r="1383">
          <cell r="B1383" t="str">
            <v>Grasas lubricantes</v>
          </cell>
        </row>
        <row r="1384">
          <cell r="B1384" t="str">
            <v>Halógenante cl 30</v>
          </cell>
        </row>
        <row r="1385">
          <cell r="B1385" t="str">
            <v>Hidropul 500</v>
          </cell>
        </row>
        <row r="1386">
          <cell r="B1386" t="str">
            <v>Impermeabilizante</v>
          </cell>
        </row>
        <row r="1387">
          <cell r="B1387" t="str">
            <v>Indupeg halógenante 0817</v>
          </cell>
        </row>
        <row r="1388">
          <cell r="B1388" t="str">
            <v>Latex</v>
          </cell>
        </row>
        <row r="1389">
          <cell r="B1389" t="str">
            <v>Limpiador at20</v>
          </cell>
        </row>
        <row r="1390">
          <cell r="B1390" t="str">
            <v>Limpiador desengrasante</v>
          </cell>
        </row>
        <row r="1391">
          <cell r="B1391" t="str">
            <v>Limpiador para acabados</v>
          </cell>
        </row>
        <row r="1392">
          <cell r="B1392" t="str">
            <v>Madetec</v>
          </cell>
        </row>
        <row r="1393">
          <cell r="B1393" t="str">
            <v>Mateante acuoso</v>
          </cell>
        </row>
        <row r="1394">
          <cell r="B1394" t="str">
            <v>Mold max 25 parte a</v>
          </cell>
        </row>
        <row r="1395">
          <cell r="B1395" t="str">
            <v>Mold max 25 parte b</v>
          </cell>
        </row>
        <row r="1396">
          <cell r="B1396" t="str">
            <v>Monto pintura</v>
          </cell>
        </row>
        <row r="1397">
          <cell r="B1397" t="str">
            <v>Pegante de policloropreno</v>
          </cell>
        </row>
        <row r="1398">
          <cell r="B1398" t="str">
            <v>Peroxicol</v>
          </cell>
        </row>
        <row r="1399">
          <cell r="B1399" t="str">
            <v>Pigmento</v>
          </cell>
        </row>
        <row r="1400">
          <cell r="B1400" t="str">
            <v>Pinta cuero</v>
          </cell>
        </row>
        <row r="1401">
          <cell r="B1401" t="str">
            <v>Pintulaca</v>
          </cell>
        </row>
        <row r="1402">
          <cell r="B1402" t="str">
            <v xml:space="preserve">Pintura angulux
</v>
          </cell>
        </row>
        <row r="1403">
          <cell r="B1403" t="str">
            <v>Poliuretano componente a</v>
          </cell>
        </row>
        <row r="1404">
          <cell r="B1404" t="str">
            <v>Poliuretano componente b</v>
          </cell>
        </row>
        <row r="1405">
          <cell r="B1405" t="str">
            <v>Poliuretano flexible componente a</v>
          </cell>
        </row>
        <row r="1406">
          <cell r="B1406" t="str">
            <v>Poliuretano flexible componente b</v>
          </cell>
        </row>
        <row r="1407">
          <cell r="B1407" t="str">
            <v>Poliuretano rígido</v>
          </cell>
        </row>
        <row r="1408">
          <cell r="B1408" t="str">
            <v>Primer Eva plus</v>
          </cell>
        </row>
        <row r="1409">
          <cell r="B1409" t="str">
            <v>Resigla pura</v>
          </cell>
        </row>
        <row r="1410">
          <cell r="B1410" t="str">
            <v>Resina</v>
          </cell>
        </row>
        <row r="1411">
          <cell r="B1411" t="str">
            <v>Resina epóxica</v>
          </cell>
        </row>
        <row r="1412">
          <cell r="B1412" t="str">
            <v>Sellador</v>
          </cell>
        </row>
        <row r="1413">
          <cell r="B1413" t="str">
            <v>Sellador lijable</v>
          </cell>
        </row>
        <row r="1414">
          <cell r="B1414" t="str">
            <v>Sellador para madera</v>
          </cell>
        </row>
        <row r="1415">
          <cell r="B1415" t="str">
            <v>Sellafix</v>
          </cell>
        </row>
        <row r="1416">
          <cell r="B1416" t="str">
            <v>Solución de caucho INDUPEG</v>
          </cell>
        </row>
        <row r="1417">
          <cell r="B1417" t="str">
            <v>Sombreador tr</v>
          </cell>
        </row>
        <row r="1418">
          <cell r="B1418" t="str">
            <v>Starlid</v>
          </cell>
        </row>
        <row r="1419">
          <cell r="B1419" t="str">
            <v>Suprema autobrillo</v>
          </cell>
        </row>
        <row r="1420">
          <cell r="B1420" t="str">
            <v>Thiner</v>
          </cell>
        </row>
        <row r="1421">
          <cell r="B1421" t="str">
            <v>Tinta boxer</v>
          </cell>
        </row>
        <row r="1422">
          <cell r="B1422" t="str">
            <v>Tinta marroquinera amarilla</v>
          </cell>
        </row>
        <row r="1423">
          <cell r="B1423" t="str">
            <v>Tinta marroquinera azúl celeste</v>
          </cell>
        </row>
        <row r="1424">
          <cell r="B1424" t="str">
            <v>Tinta marroquinera azúl oscuro</v>
          </cell>
        </row>
        <row r="1425">
          <cell r="B1425" t="str">
            <v>Tinta marroquinera blanco</v>
          </cell>
        </row>
        <row r="1426">
          <cell r="B1426" t="str">
            <v>Tinta marroquinera blanco mate</v>
          </cell>
        </row>
        <row r="1427">
          <cell r="B1427" t="str">
            <v>Tinta marroquinera café</v>
          </cell>
        </row>
        <row r="1428">
          <cell r="B1428" t="str">
            <v>Tinta marroquinera durazno</v>
          </cell>
        </row>
        <row r="1429">
          <cell r="B1429" t="str">
            <v>Tinta marroquinera marrón</v>
          </cell>
        </row>
        <row r="1430">
          <cell r="B1430" t="str">
            <v>Tinta marroquinera miel</v>
          </cell>
        </row>
        <row r="1431">
          <cell r="B1431" t="str">
            <v>Tinta marroquinera negra</v>
          </cell>
        </row>
        <row r="1432">
          <cell r="B1432" t="str">
            <v>Tinta marroquinera roja</v>
          </cell>
        </row>
        <row r="1433">
          <cell r="B1433" t="str">
            <v>Tinta marroquinera verde</v>
          </cell>
        </row>
        <row r="1434">
          <cell r="B1434" t="str">
            <v>Tinta marroquinera vinotinto</v>
          </cell>
        </row>
        <row r="1435">
          <cell r="B1435" t="str">
            <v>Tintas Orly</v>
          </cell>
        </row>
        <row r="1436">
          <cell r="B1436" t="str">
            <v>Tinte para cuero</v>
          </cell>
        </row>
        <row r="1437">
          <cell r="B1437" t="str">
            <v>Top brillante</v>
          </cell>
        </row>
        <row r="1438">
          <cell r="B1438" t="str">
            <v>Tranigan</v>
          </cell>
        </row>
        <row r="1439">
          <cell r="B1439" t="str">
            <v>Varsol</v>
          </cell>
        </row>
      </sheetData>
      <sheetData sheetId="3">
        <row r="2">
          <cell r="D2" t="str">
            <v>Calzado Producción</v>
          </cell>
          <cell r="F2" t="str">
            <v>COMPLEMENTARIO CALZADO</v>
          </cell>
          <cell r="H2" t="str">
            <v>Alexander Marulanda Bedoya</v>
          </cell>
          <cell r="K2" t="str">
            <v>Restar_Pedido</v>
          </cell>
          <cell r="M2" t="str">
            <v>ADHESIVOS_Solventes</v>
          </cell>
        </row>
        <row r="3">
          <cell r="B3" t="str">
            <v>Caja</v>
          </cell>
          <cell r="D3" t="str">
            <v>Calzado Formación</v>
          </cell>
          <cell r="F3" t="str">
            <v>COMPLEMENTARIO MARROQUINERIA</v>
          </cell>
          <cell r="H3" t="str">
            <v>Alina Posada Villada</v>
          </cell>
          <cell r="K3" t="str">
            <v>Amarillo</v>
          </cell>
          <cell r="M3" t="str">
            <v>CUERO</v>
          </cell>
        </row>
        <row r="4">
          <cell r="B4" t="str">
            <v>cm</v>
          </cell>
          <cell r="D4" t="str">
            <v>Marroquinería Producción</v>
          </cell>
          <cell r="F4" t="str">
            <v>EL.ART. PROD. CUERO</v>
          </cell>
          <cell r="H4" t="str">
            <v>Carlos Cruz Vasquez</v>
          </cell>
          <cell r="K4" t="str">
            <v>Azul</v>
          </cell>
          <cell r="M4" t="str">
            <v>HERRAJES</v>
          </cell>
        </row>
        <row r="5">
          <cell r="B5" t="str">
            <v>cm2</v>
          </cell>
          <cell r="D5" t="str">
            <v>Marroquinería Formación</v>
          </cell>
          <cell r="F5" t="str">
            <v>GUARNICION  CALZADO</v>
          </cell>
          <cell r="H5" t="str">
            <v>Carlos Hincapie Monsalve</v>
          </cell>
          <cell r="K5" t="str">
            <v>Blanco</v>
          </cell>
          <cell r="M5" t="str">
            <v>HERRAMIENTAS_</v>
          </cell>
        </row>
        <row r="6">
          <cell r="B6" t="str">
            <v>Cono</v>
          </cell>
          <cell r="F6" t="str">
            <v>MODELAJE CALZADO</v>
          </cell>
          <cell r="H6" t="str">
            <v>Cindy Rodriguez Armesto</v>
          </cell>
          <cell r="K6" t="str">
            <v>Café</v>
          </cell>
          <cell r="M6" t="str">
            <v>INSUMOS_COMPL_</v>
          </cell>
        </row>
        <row r="7">
          <cell r="B7" t="str">
            <v>dm</v>
          </cell>
          <cell r="F7" t="str">
            <v>MODELAJE MARROQUINERIA</v>
          </cell>
          <cell r="H7" t="str">
            <v>Diana Gutiérrez Bolívar</v>
          </cell>
          <cell r="K7" t="str">
            <v>Colores Surtidos</v>
          </cell>
          <cell r="M7" t="str">
            <v>SECUNDARIO_MEDULAR</v>
          </cell>
        </row>
        <row r="8">
          <cell r="B8" t="str">
            <v>dm2</v>
          </cell>
          <cell r="F8" t="str">
            <v>PRODCCION  CALZADO</v>
          </cell>
          <cell r="H8" t="str">
            <v>Diego Gomez Chavarria</v>
          </cell>
          <cell r="K8" t="str">
            <v>Colores Varios</v>
          </cell>
          <cell r="M8" t="str">
            <v>SiNTETICOS_TEXTILES</v>
          </cell>
        </row>
        <row r="9">
          <cell r="B9" t="str">
            <v>F</v>
          </cell>
          <cell r="F9" t="str">
            <v>PRODCCION  CALZADO Y MARROQUINERIA</v>
          </cell>
          <cell r="H9" t="str">
            <v>Elkin Zuelta Montoya</v>
          </cell>
          <cell r="K9" t="str">
            <v>Negro</v>
          </cell>
          <cell r="M9" t="str">
            <v>SUELAS</v>
          </cell>
        </row>
        <row r="10">
          <cell r="B10" t="str">
            <v>gal</v>
          </cell>
          <cell r="F10" t="str">
            <v>PRODUCCION MARROQUINERIA</v>
          </cell>
          <cell r="H10" t="str">
            <v>Emely Rivera Delgado</v>
          </cell>
          <cell r="K10" t="str">
            <v xml:space="preserve">Rojo </v>
          </cell>
          <cell r="M10" t="str">
            <v>FORMACION</v>
          </cell>
        </row>
        <row r="11">
          <cell r="B11" t="str">
            <v>gf</v>
          </cell>
          <cell r="F11" t="str">
            <v>MANTAJE Y ENSUELADO</v>
          </cell>
          <cell r="H11" t="str">
            <v>Fredy Calderón Lozano</v>
          </cell>
          <cell r="K11" t="str">
            <v>Verde</v>
          </cell>
          <cell r="M11" t="str">
            <v>PAPELERIA_P</v>
          </cell>
        </row>
        <row r="12">
          <cell r="B12" t="str">
            <v>g</v>
          </cell>
          <cell r="H12" t="str">
            <v>Gloria Pabon Yepes</v>
          </cell>
          <cell r="M12" t="str">
            <v>QUÍMICOS</v>
          </cell>
        </row>
        <row r="13">
          <cell r="B13" t="str">
            <v>Hoja</v>
          </cell>
          <cell r="H13" t="str">
            <v>Hernán Rodriguez Bedoya</v>
          </cell>
        </row>
        <row r="14">
          <cell r="B14" t="str">
            <v>kg</v>
          </cell>
          <cell r="H14" t="str">
            <v>Jorge Hernandez Cano</v>
          </cell>
        </row>
        <row r="15">
          <cell r="B15" t="str">
            <v>kit</v>
          </cell>
          <cell r="H15" t="str">
            <v>Jorge Mario Correa  Castañeda</v>
          </cell>
        </row>
        <row r="16">
          <cell r="B16" t="str">
            <v>Lámina</v>
          </cell>
          <cell r="H16" t="str">
            <v>Juan Hoyos Maya</v>
          </cell>
        </row>
        <row r="17">
          <cell r="B17" t="str">
            <v>lb</v>
          </cell>
          <cell r="H17" t="str">
            <v>Juan Velásquez Rivas</v>
          </cell>
        </row>
        <row r="18">
          <cell r="B18" t="str">
            <v>l</v>
          </cell>
          <cell r="H18" t="str">
            <v>Juan Villa Salazar</v>
          </cell>
        </row>
        <row r="19">
          <cell r="B19" t="str">
            <v>m</v>
          </cell>
          <cell r="H19" t="str">
            <v>Juan Vivas Alarcon</v>
          </cell>
        </row>
        <row r="20">
          <cell r="B20" t="str">
            <v>mg</v>
          </cell>
          <cell r="H20" t="str">
            <v>Juliana Romero Galvis</v>
          </cell>
        </row>
        <row r="21">
          <cell r="B21" t="str">
            <v>ml</v>
          </cell>
          <cell r="H21" t="str">
            <v>María Bolivar Agudelo</v>
          </cell>
        </row>
        <row r="22">
          <cell r="B22" t="str">
            <v>Ovillo</v>
          </cell>
          <cell r="H22" t="str">
            <v>Maribel Gil Zapata</v>
          </cell>
        </row>
        <row r="23">
          <cell r="B23" t="str">
            <v>paq</v>
          </cell>
          <cell r="H23" t="str">
            <v>Maybelline Aristizabal</v>
          </cell>
        </row>
        <row r="24">
          <cell r="B24" t="str">
            <v>Par</v>
          </cell>
          <cell r="H24" t="str">
            <v>Narly  Cruz Mazo</v>
          </cell>
        </row>
        <row r="25">
          <cell r="B25" t="str">
            <v>Pliego</v>
          </cell>
          <cell r="H25" t="str">
            <v>Nicolas Alvarez Muñoz</v>
          </cell>
        </row>
        <row r="26">
          <cell r="B26" t="str">
            <v>Resma</v>
          </cell>
          <cell r="H26" t="str">
            <v>Paul  Tamayo Caviedes</v>
          </cell>
        </row>
        <row r="27">
          <cell r="B27" t="str">
            <v>Rollo</v>
          </cell>
          <cell r="H27" t="str">
            <v>Ronald Quintero Aguilera</v>
          </cell>
        </row>
        <row r="28">
          <cell r="B28" t="str">
            <v>U</v>
          </cell>
          <cell r="H28" t="str">
            <v>Rubén  Patiño Ospina</v>
          </cell>
        </row>
        <row r="29">
          <cell r="H29" t="str">
            <v>Samuel  Hernandez Alvarez</v>
          </cell>
        </row>
        <row r="30">
          <cell r="H30" t="str">
            <v>Susana  Castaño Tirado</v>
          </cell>
        </row>
        <row r="31">
          <cell r="H31" t="str">
            <v>Teresa  Marulanda Carmona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E6CA6-59FA-4DB2-9DDD-1448CB183CFE}">
  <sheetPr codeName="Hoja2">
    <tabColor rgb="FF66FF33"/>
  </sheetPr>
  <dimension ref="A1:S32"/>
  <sheetViews>
    <sheetView showGridLines="0" showRowColHeaders="0" showZeros="0" tabSelected="1" zoomScaleNormal="100" workbookViewId="0">
      <pane ySplit="5" topLeftCell="A6" activePane="bottomLeft" state="frozen"/>
      <selection pane="bottomLeft" activeCell="F18" sqref="F18"/>
      <selection activeCell="D13" sqref="D13:N13"/>
    </sheetView>
  </sheetViews>
  <sheetFormatPr defaultColWidth="11.42578125" defaultRowHeight="15"/>
  <cols>
    <col min="1" max="1" width="4.7109375" customWidth="1"/>
    <col min="2" max="2" width="11.42578125" customWidth="1"/>
    <col min="3" max="3" width="7.7109375" customWidth="1"/>
    <col min="4" max="4" width="9.28515625" customWidth="1"/>
    <col min="6" max="6" width="8.7109375" customWidth="1"/>
    <col min="7" max="7" width="10.140625" customWidth="1"/>
    <col min="8" max="8" width="11.7109375" customWidth="1"/>
    <col min="9" max="9" width="10.140625" customWidth="1"/>
    <col min="10" max="10" width="10.85546875" customWidth="1"/>
    <col min="11" max="11" width="9.5703125" customWidth="1"/>
    <col min="12" max="12" width="10" customWidth="1"/>
    <col min="13" max="13" width="10.7109375" customWidth="1"/>
    <col min="14" max="14" width="15.42578125" customWidth="1"/>
    <col min="15" max="15" width="14.5703125" customWidth="1"/>
    <col min="17" max="17" width="14.7109375" customWidth="1"/>
  </cols>
  <sheetData>
    <row r="1" spans="1:19" ht="15.75" customHeight="1">
      <c r="A1" s="66"/>
      <c r="B1" s="66"/>
      <c r="C1" s="67" t="s">
        <v>0</v>
      </c>
      <c r="D1" s="67"/>
      <c r="E1" s="67"/>
      <c r="F1" s="67"/>
      <c r="G1" s="67"/>
      <c r="H1" s="67"/>
      <c r="I1" s="68" t="s">
        <v>1</v>
      </c>
      <c r="J1" s="69"/>
      <c r="K1" s="69"/>
      <c r="L1" s="70"/>
      <c r="M1" s="71">
        <f>IF('[1]Soli_citud '!O1="","",'[1]Soli_citud '!O1)</f>
        <v>45026</v>
      </c>
      <c r="N1" s="71"/>
    </row>
    <row r="2" spans="1:19" ht="15.75" customHeight="1">
      <c r="A2" s="66"/>
      <c r="B2" s="66"/>
      <c r="C2" s="67"/>
      <c r="D2" s="67"/>
      <c r="E2" s="67"/>
      <c r="F2" s="67"/>
      <c r="G2" s="67"/>
      <c r="H2" s="67"/>
      <c r="I2" s="72" t="s">
        <v>2</v>
      </c>
      <c r="J2" s="73"/>
      <c r="K2" s="73"/>
      <c r="L2" s="74"/>
      <c r="M2" s="75" t="str">
        <f>'[1]Soli_citud '!F1</f>
        <v>MG1004-1</v>
      </c>
      <c r="N2" s="75"/>
    </row>
    <row r="3" spans="1:19" ht="15.75" customHeight="1">
      <c r="A3" s="66"/>
      <c r="B3" s="66"/>
      <c r="C3" s="67"/>
      <c r="D3" s="67"/>
      <c r="E3" s="67"/>
      <c r="F3" s="67"/>
      <c r="G3" s="67"/>
      <c r="H3" s="67"/>
      <c r="I3" s="76" t="s">
        <v>3</v>
      </c>
      <c r="J3" s="76"/>
      <c r="K3" s="76"/>
      <c r="L3" s="76"/>
      <c r="M3" s="77" t="str">
        <f>IF('[1]Soli_citud '!O3="","",'[1]Soli_citud '!O3)</f>
        <v/>
      </c>
      <c r="N3" s="78"/>
      <c r="O3" s="53" t="str" cm="1">
        <f t="array" ref="O3">IFERROR(_xlfn.IFS(L4="Calzado Producción","Entrega de Producto",L4="Marroquinería  Producción","Entrega Producto"),"")</f>
        <v/>
      </c>
      <c r="P3" s="53"/>
    </row>
    <row r="4" spans="1:19" ht="15.75" customHeight="1">
      <c r="A4" s="66"/>
      <c r="B4" s="66"/>
      <c r="C4" s="67"/>
      <c r="D4" s="67"/>
      <c r="E4" s="67"/>
      <c r="F4" s="67"/>
      <c r="G4" s="67"/>
      <c r="H4" s="67"/>
      <c r="I4" s="54" t="s">
        <v>4</v>
      </c>
      <c r="J4" s="54"/>
      <c r="K4" s="54"/>
      <c r="L4" s="55" t="str">
        <f>IF('[1]Soli_citud '!O4="","",'[1]Soli_citud '!O4)</f>
        <v>Marroquinería Formación</v>
      </c>
      <c r="M4" s="55"/>
      <c r="N4" s="55"/>
      <c r="O4" s="53"/>
      <c r="P4" s="53"/>
    </row>
    <row r="5" spans="1:19" ht="2.25" customHeight="1"/>
    <row r="6" spans="1:19" ht="25.5" customHeight="1">
      <c r="A6" s="56" t="s">
        <v>5</v>
      </c>
      <c r="B6" s="56"/>
      <c r="C6" s="56"/>
      <c r="D6" s="57" t="s">
        <v>6</v>
      </c>
      <c r="E6" s="57"/>
      <c r="F6" s="57"/>
      <c r="G6" s="57"/>
      <c r="H6" s="58"/>
      <c r="I6" s="59" t="s">
        <v>7</v>
      </c>
      <c r="J6" s="60"/>
      <c r="K6" s="60"/>
      <c r="L6" s="60"/>
      <c r="M6" s="61" t="s">
        <v>8</v>
      </c>
      <c r="N6" s="62"/>
      <c r="O6" s="63" t="str">
        <f>IF(O3="","","Valor de Producción ($)")</f>
        <v/>
      </c>
      <c r="P6" s="63"/>
    </row>
    <row r="7" spans="1:19" ht="3" customHeight="1">
      <c r="A7" s="56"/>
      <c r="B7" s="56"/>
      <c r="C7" s="56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64" t="str">
        <f>IFERROR(IF(O3="","",F9*L10),"")</f>
        <v/>
      </c>
      <c r="P7" s="64"/>
    </row>
    <row r="8" spans="1:19" ht="20.25" customHeight="1">
      <c r="A8" s="65" t="str">
        <f>IF('[1]Soli_citud '!D5&lt;= 0,"",'[1]Soli_citud '!D5)</f>
        <v/>
      </c>
      <c r="B8" s="65"/>
      <c r="C8" s="65"/>
      <c r="D8" s="34" t="s">
        <v>9</v>
      </c>
      <c r="E8" s="35"/>
      <c r="F8" s="35"/>
      <c r="G8" s="35"/>
      <c r="H8" s="36"/>
      <c r="I8" s="37" t="str">
        <f>IF('[1]Soli_citud '!E2="","",'[1]Soli_citud '!E2)</f>
        <v>Maribel Gil Zapata</v>
      </c>
      <c r="J8" s="38"/>
      <c r="K8" s="38"/>
      <c r="L8" s="38"/>
      <c r="M8" s="38"/>
      <c r="N8" s="38"/>
      <c r="O8" s="64"/>
      <c r="P8" s="64"/>
    </row>
    <row r="9" spans="1:19" ht="3.75" customHeight="1">
      <c r="A9" s="39" t="s">
        <v>10</v>
      </c>
      <c r="B9" s="39"/>
      <c r="C9" s="41">
        <v>0</v>
      </c>
      <c r="D9" s="42" t="s">
        <v>11</v>
      </c>
      <c r="E9" s="42"/>
      <c r="F9" s="43" t="str">
        <f>IFERROR(IF(C9="","",ROUNDUP(A8*(1+C9),-2)),"")</f>
        <v/>
      </c>
      <c r="G9" s="44"/>
      <c r="H9" s="45"/>
      <c r="I9" s="2"/>
      <c r="J9" s="2"/>
      <c r="K9" s="2"/>
      <c r="L9" s="2"/>
      <c r="M9" s="2"/>
      <c r="N9" s="2"/>
    </row>
    <row r="10" spans="1:19" ht="27.75" customHeight="1">
      <c r="A10" s="40"/>
      <c r="B10" s="40"/>
      <c r="C10" s="41"/>
      <c r="D10" s="42"/>
      <c r="E10" s="42"/>
      <c r="F10" s="46"/>
      <c r="G10" s="47"/>
      <c r="H10" s="48"/>
      <c r="I10" s="49" t="s">
        <v>12</v>
      </c>
      <c r="J10" s="49"/>
      <c r="K10" s="50"/>
      <c r="L10" s="3">
        <f>'[1]Soli_citud '!K5</f>
        <v>100</v>
      </c>
      <c r="M10" s="51" t="s">
        <v>13</v>
      </c>
      <c r="N10" s="52"/>
      <c r="O10" s="4" t="s">
        <v>14</v>
      </c>
      <c r="P10" s="5" cm="1">
        <f t="array" ref="P10">IFERROR(_xlfn.IFS(L10=1,"",L10&gt;SUM(P12:P30),SUM(P12:P30),L10=SUM(P12:P30),"Cumplido",L10&lt;SUM(P12:P30),"Revisar"),"")</f>
        <v>0</v>
      </c>
    </row>
    <row r="11" spans="1:19" ht="45.75" customHeight="1">
      <c r="A11" s="1" t="s">
        <v>15</v>
      </c>
      <c r="B11" s="29" t="s">
        <v>16</v>
      </c>
      <c r="C11" s="30"/>
      <c r="D11" s="30"/>
      <c r="E11" s="31"/>
      <c r="F11" s="6" t="s">
        <v>17</v>
      </c>
      <c r="G11" s="6" t="s">
        <v>18</v>
      </c>
      <c r="H11" s="7" t="s">
        <v>19</v>
      </c>
      <c r="I11" s="8" t="s">
        <v>20</v>
      </c>
      <c r="J11" s="9" t="s">
        <v>21</v>
      </c>
      <c r="K11" s="32" t="s">
        <v>22</v>
      </c>
      <c r="L11" s="33"/>
      <c r="M11" s="10" t="s">
        <v>23</v>
      </c>
      <c r="N11" s="10" t="s">
        <v>24</v>
      </c>
      <c r="O11" s="11" t="s">
        <v>25</v>
      </c>
      <c r="P11" s="12" t="s">
        <v>26</v>
      </c>
      <c r="Q11" s="13" t="s">
        <v>27</v>
      </c>
      <c r="R11" s="14" t="s">
        <v>28</v>
      </c>
    </row>
    <row r="12" spans="1:19" ht="19.5" customHeight="1">
      <c r="A12" s="15">
        <v>1</v>
      </c>
      <c r="B12" s="25" t="str">
        <f>IFERROR(IF('[1]Soli_citud '!D10="","",'[1]Soli_citud '!D10),"")</f>
        <v>POLITEX-KAMBREL 100 GR</v>
      </c>
      <c r="C12" s="25"/>
      <c r="D12" s="25"/>
      <c r="E12" s="25"/>
      <c r="F12" s="16" t="str">
        <f>IF('[1]Soli_citud '!O10="","",'[1]Soli_citud '!O10)</f>
        <v>cm2</v>
      </c>
      <c r="G12" s="16" cm="1">
        <f t="array" ref="G12">_xlfn.IFS('[1]Soli_citud '!S10="","",'[1]Soli_citud '!S10&lt;=0,"",'[1]Soli_citud '!S10&gt;0,'[1]Soli_citud '!S10)</f>
        <v>145200</v>
      </c>
      <c r="H12" s="17">
        <v>45027</v>
      </c>
      <c r="I12" s="18">
        <v>145200</v>
      </c>
      <c r="J12" s="19" t="str" cm="1">
        <f t="array" ref="J12">IFERROR(_xlfn.IFS(G12="","",I12=G12,"Cumplido",I12&lt;G12,G12-I12,I12&gt;G12,"Revisar"),"")</f>
        <v>Cumplido</v>
      </c>
      <c r="K12" s="26"/>
      <c r="L12" s="27"/>
      <c r="M12" s="18">
        <v>250</v>
      </c>
      <c r="N12" s="20">
        <f t="shared" ref="N12:N30" si="0">IFERROR(G12/M12,"")</f>
        <v>580.79999999999995</v>
      </c>
      <c r="O12" s="21"/>
      <c r="P12" s="18"/>
      <c r="Q12" s="1" t="str" cm="1">
        <f t="array" ref="Q12:S12">IF('[1]Soli_citud '!A10:C10="HERRAMIENTAS_","DEVOLUTIVO","")</f>
        <v/>
      </c>
      <c r="R12" s="21" t="str">
        <v/>
      </c>
      <c r="S12" t="str">
        <v/>
      </c>
    </row>
    <row r="13" spans="1:19" ht="21" customHeight="1">
      <c r="A13" s="22">
        <v>2</v>
      </c>
      <c r="B13" s="25" t="str">
        <f>IFERROR(IF('[1]Soli_citud '!D11="","",'[1]Soli_citud '!D11),"")</f>
        <v/>
      </c>
      <c r="C13" s="25"/>
      <c r="D13" s="25"/>
      <c r="E13" s="25"/>
      <c r="F13" s="16" t="str">
        <f>IF('[1]Soli_citud '!O11="","",'[1]Soli_citud '!O11)</f>
        <v/>
      </c>
      <c r="G13" s="16" t="str" cm="1">
        <f t="array" ref="G13">_xlfn.IFS('[1]Soli_citud '!S11="","",'[1]Soli_citud '!S11&lt;=0,"",'[1]Soli_citud '!S11&gt;0,'[1]Soli_citud '!S11)</f>
        <v/>
      </c>
      <c r="H13" s="17"/>
      <c r="I13" s="23"/>
      <c r="J13" s="19" t="str" cm="1">
        <f t="array" ref="J13">IFERROR(_xlfn.IFS(G13="","",I13=G13,"Cumplido",I13&lt;G13,G13-I13,I13&gt;G13,"Revisar"),"")</f>
        <v/>
      </c>
      <c r="K13" s="26"/>
      <c r="L13" s="27"/>
      <c r="M13" s="18"/>
      <c r="N13" s="20" t="str">
        <f t="shared" si="0"/>
        <v/>
      </c>
      <c r="O13" s="18"/>
      <c r="P13" s="18"/>
      <c r="Q13" s="1" t="str" cm="1">
        <f t="array" ref="Q13:S13">IF('[1]Soli_citud '!A11:C11="HERRAMIENTAS_","DEVOLUTIVO","")</f>
        <v/>
      </c>
      <c r="R13" s="21" t="str">
        <v/>
      </c>
      <c r="S13" t="str">
        <v/>
      </c>
    </row>
    <row r="14" spans="1:19" ht="21" customHeight="1">
      <c r="A14" s="15">
        <v>3</v>
      </c>
      <c r="B14" s="25" t="str">
        <f>IFERROR(IF('[1]Soli_citud '!D12="","",'[1]Soli_citud '!D12),"")</f>
        <v/>
      </c>
      <c r="C14" s="25"/>
      <c r="D14" s="25"/>
      <c r="E14" s="25"/>
      <c r="F14" s="16" t="str">
        <f>IF('[1]Soli_citud '!O12="","",'[1]Soli_citud '!O12)</f>
        <v/>
      </c>
      <c r="G14" s="16" t="str" cm="1">
        <f t="array" ref="G14">_xlfn.IFS('[1]Soli_citud '!S12="","",'[1]Soli_citud '!S12&lt;=0,"",'[1]Soli_citud '!S12&gt;0,'[1]Soli_citud '!S12)</f>
        <v/>
      </c>
      <c r="H14" s="24"/>
      <c r="I14" s="23"/>
      <c r="J14" s="19" t="str" cm="1">
        <f t="array" ref="J14">IFERROR(_xlfn.IFS(G14="","",I14=G14,"Cumplido",I14&lt;G14,G14-I14,I14&gt;G14,"Revisar"),"")</f>
        <v/>
      </c>
      <c r="K14" s="26"/>
      <c r="L14" s="27"/>
      <c r="M14" s="18"/>
      <c r="N14" s="20" t="str">
        <f t="shared" si="0"/>
        <v/>
      </c>
      <c r="O14" s="18"/>
      <c r="P14" s="18"/>
      <c r="Q14" s="1" t="str" cm="1">
        <f t="array" ref="Q14:S14">IF('[1]Soli_citud '!A12:C12="HERRAMIENTAS_","DEVOLUTIVO","")</f>
        <v/>
      </c>
      <c r="R14" s="21" t="str">
        <v/>
      </c>
      <c r="S14" t="str">
        <v/>
      </c>
    </row>
    <row r="15" spans="1:19" ht="21" customHeight="1">
      <c r="A15" s="22">
        <v>4</v>
      </c>
      <c r="B15" s="25" t="str">
        <f>IFERROR(IF('[1]Soli_citud '!D13="","",'[1]Soli_citud '!D13),"")</f>
        <v/>
      </c>
      <c r="C15" s="25"/>
      <c r="D15" s="25"/>
      <c r="E15" s="25"/>
      <c r="F15" s="16" t="str">
        <f>IF('[1]Soli_citud '!O13="","",'[1]Soli_citud '!O13)</f>
        <v/>
      </c>
      <c r="G15" s="16" t="str" cm="1">
        <f t="array" ref="G15">_xlfn.IFS('[1]Soli_citud '!S13="","",'[1]Soli_citud '!S13&lt;=0,"",'[1]Soli_citud '!S13&gt;0,'[1]Soli_citud '!S13)</f>
        <v/>
      </c>
      <c r="H15" s="24"/>
      <c r="I15" s="23"/>
      <c r="J15" s="19" t="str" cm="1">
        <f t="array" ref="J15">IFERROR(_xlfn.IFS(G15="","",I15=G15,"Cumplido",I15&lt;G15,G15-I15,I15&gt;G15,"Revisar"),"")</f>
        <v/>
      </c>
      <c r="K15" s="26"/>
      <c r="L15" s="27"/>
      <c r="M15" s="18"/>
      <c r="N15" s="20" t="str">
        <f t="shared" si="0"/>
        <v/>
      </c>
      <c r="O15" s="18"/>
      <c r="P15" s="18"/>
      <c r="Q15" s="1" t="str" cm="1">
        <f t="array" ref="Q15:S15">IF('[1]Soli_citud '!A13:C13="HERRAMIENTAS_","DEVOLUTIVO","")</f>
        <v/>
      </c>
      <c r="R15" s="21" t="str">
        <v/>
      </c>
      <c r="S15" t="str">
        <v/>
      </c>
    </row>
    <row r="16" spans="1:19" ht="21" customHeight="1">
      <c r="A16" s="15">
        <v>5</v>
      </c>
      <c r="B16" s="25" t="str">
        <f>IFERROR(IF('[1]Soli_citud '!D14="","",'[1]Soli_citud '!D14),"")</f>
        <v/>
      </c>
      <c r="C16" s="25"/>
      <c r="D16" s="25"/>
      <c r="E16" s="25"/>
      <c r="F16" s="16" t="str">
        <f>IF('[1]Soli_citud '!O14="","",'[1]Soli_citud '!O14)</f>
        <v/>
      </c>
      <c r="G16" s="16" t="str" cm="1">
        <f t="array" ref="G16">_xlfn.IFS('[1]Soli_citud '!S14="","",'[1]Soli_citud '!S14&lt;=0,"",'[1]Soli_citud '!S14&gt;0,'[1]Soli_citud '!S14)</f>
        <v/>
      </c>
      <c r="H16" s="24"/>
      <c r="I16" s="23"/>
      <c r="J16" s="19" t="str" cm="1">
        <f t="array" ref="J16">IFERROR(_xlfn.IFS(G16="","",I16=G16,"Cumplido",I16&lt;G16,G16-I16,I16&gt;G16,"Revisar"),"")</f>
        <v/>
      </c>
      <c r="K16" s="26"/>
      <c r="L16" s="27"/>
      <c r="M16" s="18"/>
      <c r="N16" s="20" t="str">
        <f>IFERROR(G16/M16,"")</f>
        <v/>
      </c>
      <c r="O16" s="18"/>
      <c r="P16" s="18"/>
      <c r="Q16" s="1" t="str" cm="1">
        <f t="array" ref="Q16:S16">IF('[1]Soli_citud '!A14:C14="HERRAMIENTAS_","DEVOLUTIVO","")</f>
        <v/>
      </c>
      <c r="R16" s="21" t="str">
        <v/>
      </c>
      <c r="S16" t="str">
        <v/>
      </c>
    </row>
    <row r="17" spans="1:19" ht="34.5" customHeight="1">
      <c r="A17" s="22">
        <v>6</v>
      </c>
      <c r="B17" s="25" t="str">
        <f>IFERROR(IF('[1]Soli_citud '!D15="","",'[1]Soli_citud '!D15),"")</f>
        <v/>
      </c>
      <c r="C17" s="25"/>
      <c r="D17" s="25"/>
      <c r="E17" s="25"/>
      <c r="F17" s="16" t="str">
        <f>IF('[1]Soli_citud '!O15="","",'[1]Soli_citud '!O15)</f>
        <v/>
      </c>
      <c r="G17" s="16" t="str" cm="1">
        <f t="array" ref="G17">_xlfn.IFS('[1]Soli_citud '!S15="","",'[1]Soli_citud '!S15&lt;=0,"",'[1]Soli_citud '!S15&gt;0,'[1]Soli_citud '!S15)</f>
        <v/>
      </c>
      <c r="H17" s="24"/>
      <c r="I17" s="23"/>
      <c r="J17" s="19" t="str" cm="1">
        <f t="array" ref="J17">IFERROR(_xlfn.IFS(G17="","",I17=G17,"Cumplido",I17&lt;G17,G17-I17,I17&gt;G17,"Revisar"),"")</f>
        <v/>
      </c>
      <c r="K17" s="26"/>
      <c r="L17" s="27"/>
      <c r="M17" s="18"/>
      <c r="N17" s="20" t="str">
        <f t="shared" ref="N17:N35" si="1">IFERROR(G17/M17,"")</f>
        <v/>
      </c>
      <c r="O17" s="18"/>
      <c r="P17" s="18"/>
      <c r="Q17" s="1" t="str" cm="1">
        <f t="array" ref="Q17:S17">IF('[1]Soli_citud '!A15:C15="HERRAMIENTAS_","DEVOLUTIVO","")</f>
        <v/>
      </c>
      <c r="R17" s="21" t="str">
        <v/>
      </c>
      <c r="S17" t="str">
        <v/>
      </c>
    </row>
    <row r="18" spans="1:19" ht="21" customHeight="1">
      <c r="A18" s="15">
        <v>7</v>
      </c>
      <c r="B18" s="25" t="str">
        <f>IFERROR(IF('[1]Soli_citud '!D16="","",'[1]Soli_citud '!D16),"")</f>
        <v/>
      </c>
      <c r="C18" s="25"/>
      <c r="D18" s="25"/>
      <c r="E18" s="25"/>
      <c r="F18" s="16" t="str">
        <f>IF('[1]Soli_citud '!O16="","",'[1]Soli_citud '!O16)</f>
        <v/>
      </c>
      <c r="G18" s="16" t="str" cm="1">
        <f t="array" ref="G18">_xlfn.IFS('[1]Soli_citud '!S16="","",'[1]Soli_citud '!S16&lt;=0,"",'[1]Soli_citud '!S16&gt;0,'[1]Soli_citud '!S16)</f>
        <v/>
      </c>
      <c r="H18" s="24"/>
      <c r="I18" s="23"/>
      <c r="J18" s="19" t="str" cm="1">
        <f t="array" ref="J18">IFERROR(_xlfn.IFS(G18="","",I18=G18,"Cumplido",I18&lt;G18,G18-I18,I18&gt;G18,"Revisar"),"")</f>
        <v/>
      </c>
      <c r="K18" s="26"/>
      <c r="L18" s="27"/>
      <c r="M18" s="18"/>
      <c r="N18" s="20" t="str">
        <f t="shared" si="1"/>
        <v/>
      </c>
      <c r="O18" s="18"/>
      <c r="P18" s="18"/>
      <c r="Q18" s="1" t="str" cm="1">
        <f t="array" ref="Q18:S18">IF('[1]Soli_citud '!A16:C16="HERRAMIENTAS_","DEVOLUTIVO","")</f>
        <v/>
      </c>
      <c r="R18" s="21" t="str">
        <v/>
      </c>
      <c r="S18" t="str">
        <v/>
      </c>
    </row>
    <row r="19" spans="1:19" ht="21" customHeight="1">
      <c r="A19" s="22">
        <v>8</v>
      </c>
      <c r="B19" s="25" t="str">
        <f>IFERROR(IF('[1]Soli_citud '!D17="","",'[1]Soli_citud '!D17),"")</f>
        <v/>
      </c>
      <c r="C19" s="25"/>
      <c r="D19" s="25"/>
      <c r="E19" s="25"/>
      <c r="F19" s="16" t="str">
        <f>IF('[1]Soli_citud '!O17="","",'[1]Soli_citud '!O17)</f>
        <v/>
      </c>
      <c r="G19" s="16" t="str" cm="1">
        <f t="array" ref="G19">_xlfn.IFS('[1]Soli_citud '!S17="","",'[1]Soli_citud '!S17&lt;=0,"",'[1]Soli_citud '!S17&gt;0,'[1]Soli_citud '!S17)</f>
        <v/>
      </c>
      <c r="H19" s="24"/>
      <c r="I19" s="23"/>
      <c r="J19" s="19" t="str" cm="1">
        <f t="array" ref="J19">IFERROR(_xlfn.IFS(G19="","",I19=G19,"Cumplido",I19&lt;G19,G19-I19,I19&gt;G19,"Revisar"),"")</f>
        <v/>
      </c>
      <c r="K19" s="26"/>
      <c r="L19" s="27"/>
      <c r="M19" s="18"/>
      <c r="N19" s="20" t="str">
        <f t="shared" si="1"/>
        <v/>
      </c>
      <c r="O19" s="18"/>
      <c r="P19" s="18"/>
      <c r="Q19" s="1" t="str" cm="1">
        <f t="array" ref="Q19:S19">IF('[1]Soli_citud '!A17:C17="HERRAMIENTAS_","DEVOLUTIVO","")</f>
        <v/>
      </c>
      <c r="R19" s="21" t="str">
        <v/>
      </c>
      <c r="S19" t="str">
        <v/>
      </c>
    </row>
    <row r="20" spans="1:19" ht="21" customHeight="1">
      <c r="A20" s="15">
        <v>9</v>
      </c>
      <c r="B20" s="25" t="str">
        <f>IFERROR(IF('[1]Soli_citud '!D18="","",'[1]Soli_citud '!D18),"")</f>
        <v/>
      </c>
      <c r="C20" s="25"/>
      <c r="D20" s="25"/>
      <c r="E20" s="25"/>
      <c r="F20" s="16" t="str">
        <f>IF('[1]Soli_citud '!O18="","",'[1]Soli_citud '!O18)</f>
        <v/>
      </c>
      <c r="G20" s="16" t="str" cm="1">
        <f t="array" ref="G20">_xlfn.IFS('[1]Soli_citud '!S18="","",'[1]Soli_citud '!S18&lt;=0,"",'[1]Soli_citud '!S18&gt;0,'[1]Soli_citud '!S18)</f>
        <v/>
      </c>
      <c r="H20" s="24"/>
      <c r="I20" s="23"/>
      <c r="J20" s="19" t="str" cm="1">
        <f t="array" ref="J20">IFERROR(_xlfn.IFS(G20="","",I20=G20,"Cumplido",I20&lt;G20,G20-I20,I20&gt;G20,"Revisar"),"")</f>
        <v/>
      </c>
      <c r="K20" s="26"/>
      <c r="L20" s="27"/>
      <c r="M20" s="18"/>
      <c r="N20" s="20" t="str">
        <f t="shared" si="1"/>
        <v/>
      </c>
      <c r="O20" s="18"/>
      <c r="P20" s="18"/>
      <c r="Q20" s="1" t="str" cm="1">
        <f t="array" ref="Q20:S20">IF('[1]Soli_citud '!A18:C18="HERRAMIENTAS_","DEVOLUTIVO","")</f>
        <v/>
      </c>
      <c r="R20" s="21" t="str">
        <v/>
      </c>
      <c r="S20" t="str">
        <v/>
      </c>
    </row>
    <row r="21" spans="1:19" ht="21" customHeight="1">
      <c r="A21" s="15">
        <v>11</v>
      </c>
      <c r="B21" s="25" t="str">
        <f>IFERROR(IF('[1]Soli_citud '!D19="","",'[1]Soli_citud '!D19),"")</f>
        <v/>
      </c>
      <c r="C21" s="25"/>
      <c r="D21" s="25"/>
      <c r="E21" s="25"/>
      <c r="F21" s="16" t="str">
        <f>IF('[1]Soli_citud '!O19="","",'[1]Soli_citud '!O19)</f>
        <v/>
      </c>
      <c r="G21" s="16" t="str" cm="1">
        <f t="array" ref="G21">_xlfn.IFS('[1]Soli_citud '!S19="","",'[1]Soli_citud '!S19&lt;=0,"",'[1]Soli_citud '!S19&gt;0,'[1]Soli_citud '!S19)</f>
        <v/>
      </c>
      <c r="H21" s="24"/>
      <c r="I21" s="23"/>
      <c r="J21" s="19" t="str" cm="1">
        <f t="array" ref="J21">IFERROR(_xlfn.IFS(G21="","",I21=G21,"Cumplido",I21&lt;G21,G21-I21,I21&gt;G21,"Revisar"),"")</f>
        <v/>
      </c>
      <c r="K21" s="26"/>
      <c r="L21" s="27"/>
      <c r="M21" s="18"/>
      <c r="N21" s="20" t="str">
        <f t="shared" si="1"/>
        <v/>
      </c>
      <c r="O21" s="18"/>
      <c r="P21" s="18"/>
      <c r="Q21" s="1" t="str" cm="1">
        <f t="array" ref="Q21:S21">IF('[1]Soli_citud '!A19:C19="HERRAMIENTAS_","DEVOLUTIVO","")</f>
        <v/>
      </c>
      <c r="R21" s="21" t="str">
        <v/>
      </c>
      <c r="S21" t="str">
        <v/>
      </c>
    </row>
    <row r="22" spans="1:19" ht="21" customHeight="1">
      <c r="A22" s="22">
        <v>12</v>
      </c>
      <c r="B22" s="25" t="str">
        <f>IFERROR(IF('[1]Soli_citud '!D20="","",'[1]Soli_citud '!D20),"")</f>
        <v/>
      </c>
      <c r="C22" s="25"/>
      <c r="D22" s="25"/>
      <c r="E22" s="25"/>
      <c r="F22" s="16" t="str">
        <f>IF('[1]Soli_citud '!O20="","",'[1]Soli_citud '!O20)</f>
        <v/>
      </c>
      <c r="G22" s="16" t="str" cm="1">
        <f t="array" ref="G22">_xlfn.IFS('[1]Soli_citud '!S20="","",'[1]Soli_citud '!S20&lt;=0,"",'[1]Soli_citud '!S20&gt;0,'[1]Soli_citud '!S20)</f>
        <v/>
      </c>
      <c r="H22" s="24"/>
      <c r="I22" s="23"/>
      <c r="J22" s="19" t="str" cm="1">
        <f t="array" ref="J22">IFERROR(_xlfn.IFS(G22="","",I22=G22,"Cumplido",I22&lt;G22,G22-I22,I22&gt;G22,"Revisar"),"")</f>
        <v/>
      </c>
      <c r="K22" s="26"/>
      <c r="L22" s="27"/>
      <c r="M22" s="18"/>
      <c r="N22" s="20" t="str">
        <f t="shared" si="1"/>
        <v/>
      </c>
      <c r="O22" s="18"/>
      <c r="P22" s="18"/>
      <c r="Q22" s="1" t="str" cm="1">
        <f t="array" ref="Q22:S22">IF('[1]Soli_citud '!A20:C20="HERRAMIENTAS_","DEVOLUTIVO","")</f>
        <v/>
      </c>
      <c r="R22" s="21" t="str">
        <v/>
      </c>
      <c r="S22" t="str">
        <v/>
      </c>
    </row>
    <row r="23" spans="1:19" ht="21" customHeight="1">
      <c r="A23" s="15">
        <v>13</v>
      </c>
      <c r="B23" s="25" t="str">
        <f>IFERROR(IF('[1]Soli_citud '!D21="","",'[1]Soli_citud '!D21),"")</f>
        <v/>
      </c>
      <c r="C23" s="25"/>
      <c r="D23" s="25"/>
      <c r="E23" s="25"/>
      <c r="F23" s="16" t="str">
        <f>IF('[1]Soli_citud '!O21="","",'[1]Soli_citud '!O21)</f>
        <v/>
      </c>
      <c r="G23" s="16" t="str" cm="1">
        <f t="array" ref="G23">_xlfn.IFS('[1]Soli_citud '!S21="","",'[1]Soli_citud '!S21&lt;=0,"",'[1]Soli_citud '!S21&gt;0,'[1]Soli_citud '!S21)</f>
        <v/>
      </c>
      <c r="H23" s="24"/>
      <c r="I23" s="23"/>
      <c r="J23" s="19" t="str" cm="1">
        <f t="array" ref="J23">IFERROR(_xlfn.IFS(G23="","",I23=G23,"Cumplido",I23&lt;G23,G23-I23,I23&gt;G23,"Revisar"),"")</f>
        <v/>
      </c>
      <c r="K23" s="26"/>
      <c r="L23" s="27"/>
      <c r="M23" s="18"/>
      <c r="N23" s="20" t="str">
        <f t="shared" si="1"/>
        <v/>
      </c>
      <c r="O23" s="18"/>
      <c r="P23" s="18"/>
      <c r="Q23" s="1" t="str" cm="1">
        <f t="array" ref="Q23:S23">IF('[1]Soli_citud '!A21:C21="HERRAMIENTAS_","DEVOLUTIVO","")</f>
        <v/>
      </c>
      <c r="R23" s="21" t="str">
        <v/>
      </c>
      <c r="S23" t="str">
        <v/>
      </c>
    </row>
    <row r="24" spans="1:19" ht="21" customHeight="1">
      <c r="A24" s="22">
        <v>14</v>
      </c>
      <c r="B24" s="25" t="str">
        <f>IFERROR(IF('[1]Soli_citud '!D22="","",'[1]Soli_citud '!D22),"")</f>
        <v/>
      </c>
      <c r="C24" s="25"/>
      <c r="D24" s="25"/>
      <c r="E24" s="25"/>
      <c r="F24" s="16" t="str">
        <f>IF('[1]Soli_citud '!O22="","",'[1]Soli_citud '!O22)</f>
        <v/>
      </c>
      <c r="G24" s="16" t="str" cm="1">
        <f t="array" ref="G24">_xlfn.IFS('[1]Soli_citud '!S22="","",'[1]Soli_citud '!S22&lt;=0,"",'[1]Soli_citud '!S22&gt;0,'[1]Soli_citud '!S22)</f>
        <v/>
      </c>
      <c r="H24" s="24"/>
      <c r="I24" s="23"/>
      <c r="J24" s="19" t="str" cm="1">
        <f t="array" ref="J24">IFERROR(_xlfn.IFS(G24="","",I24=G24,"Cumplido",I24&lt;G24,G24-I24,I24&gt;G24,"Revisar"),"")</f>
        <v/>
      </c>
      <c r="K24" s="26"/>
      <c r="L24" s="27"/>
      <c r="M24" s="18"/>
      <c r="N24" s="20" t="str">
        <f t="shared" si="1"/>
        <v/>
      </c>
      <c r="O24" s="18"/>
      <c r="P24" s="18"/>
      <c r="Q24" s="1" t="str" cm="1">
        <f t="array" ref="Q24:S24">IF('[1]Soli_citud '!A22:C22="HERRAMIENTAS_","DEVOLUTIVO","")</f>
        <v/>
      </c>
      <c r="R24" s="21" t="str">
        <v/>
      </c>
      <c r="S24" t="str">
        <v/>
      </c>
    </row>
    <row r="25" spans="1:19" ht="21" customHeight="1">
      <c r="A25" s="15">
        <v>15</v>
      </c>
      <c r="B25" s="25" t="str">
        <f>IFERROR(IF('[1]Soli_citud '!D23="","",'[1]Soli_citud '!D23),"")</f>
        <v/>
      </c>
      <c r="C25" s="25"/>
      <c r="D25" s="25"/>
      <c r="E25" s="25"/>
      <c r="F25" s="16" t="str">
        <f>IF('[1]Soli_citud '!O23="","",'[1]Soli_citud '!O23)</f>
        <v/>
      </c>
      <c r="G25" s="16" t="str" cm="1">
        <f t="array" ref="G25">_xlfn.IFS('[1]Soli_citud '!S23="","",'[1]Soli_citud '!S23&lt;=0,"",'[1]Soli_citud '!S23&gt;0,'[1]Soli_citud '!S23)</f>
        <v/>
      </c>
      <c r="H25" s="24"/>
      <c r="I25" s="23"/>
      <c r="J25" s="19" t="str" cm="1">
        <f t="array" ref="J25">IFERROR(_xlfn.IFS(G25="","",I25=G25,"Cumplido",I25&lt;G25,G25-I25,I25&gt;G25,"Revisar"),"")</f>
        <v/>
      </c>
      <c r="K25" s="26"/>
      <c r="L25" s="27"/>
      <c r="M25" s="18"/>
      <c r="N25" s="20" t="str">
        <f t="shared" si="1"/>
        <v/>
      </c>
      <c r="O25" s="18"/>
      <c r="P25" s="18"/>
      <c r="Q25" s="1" t="str" cm="1">
        <f t="array" ref="Q25:S25">IF('[1]Soli_citud '!A23:C23="HERRAMIENTAS_","DEVOLUTIVO","")</f>
        <v/>
      </c>
      <c r="R25" s="21" t="str">
        <v/>
      </c>
      <c r="S25" t="str">
        <v/>
      </c>
    </row>
    <row r="26" spans="1:19" ht="21" customHeight="1">
      <c r="A26" s="22">
        <v>16</v>
      </c>
      <c r="B26" s="25" t="str">
        <f>IFERROR(IF('[1]Soli_citud '!D24="","",'[1]Soli_citud '!D24),"")</f>
        <v/>
      </c>
      <c r="C26" s="25"/>
      <c r="D26" s="25"/>
      <c r="E26" s="25"/>
      <c r="F26" s="16" t="str">
        <f>IF('[1]Soli_citud '!O24="","",'[1]Soli_citud '!O24)</f>
        <v/>
      </c>
      <c r="G26" s="16" t="str" cm="1">
        <f t="array" ref="G26">_xlfn.IFS('[1]Soli_citud '!S24="","",'[1]Soli_citud '!S24&lt;=0,"",'[1]Soli_citud '!S24&gt;0,'[1]Soli_citud '!S24)</f>
        <v/>
      </c>
      <c r="H26" s="24"/>
      <c r="I26" s="23"/>
      <c r="J26" s="19" t="str" cm="1">
        <f t="array" ref="J26">IFERROR(_xlfn.IFS(G26="","",I26=G26,"Cumplido",I26&lt;G26,G26-I26,I26&gt;G26,"Revisar"),"")</f>
        <v/>
      </c>
      <c r="K26" s="26"/>
      <c r="L26" s="27"/>
      <c r="M26" s="18"/>
      <c r="N26" s="20" t="str">
        <f t="shared" si="1"/>
        <v/>
      </c>
      <c r="O26" s="18"/>
      <c r="P26" s="18"/>
      <c r="Q26" s="1" t="str" cm="1">
        <f t="array" ref="Q26:S26">IF('[1]Soli_citud '!A24:C24="HERRAMIENTAS_","DEVOLUTIVO","")</f>
        <v/>
      </c>
      <c r="R26" s="21" t="str">
        <v/>
      </c>
      <c r="S26" t="str">
        <v/>
      </c>
    </row>
    <row r="27" spans="1:19" ht="21" customHeight="1">
      <c r="A27" s="15">
        <v>17</v>
      </c>
      <c r="B27" s="25" t="str">
        <f>IFERROR(IF('[1]Soli_citud '!D25="","",'[1]Soli_citud '!D25),"")</f>
        <v/>
      </c>
      <c r="C27" s="25"/>
      <c r="D27" s="25"/>
      <c r="E27" s="25"/>
      <c r="F27" s="16" t="str">
        <f>IF('[1]Soli_citud '!O25="","",'[1]Soli_citud '!O25)</f>
        <v/>
      </c>
      <c r="G27" s="16" t="str" cm="1">
        <f t="array" ref="G27">_xlfn.IFS('[1]Soli_citud '!S25="","",'[1]Soli_citud '!S25&lt;=0,"",'[1]Soli_citud '!S25&gt;0,'[1]Soli_citud '!S25)</f>
        <v/>
      </c>
      <c r="H27" s="24"/>
      <c r="I27" s="23"/>
      <c r="J27" s="19" t="str" cm="1">
        <f t="array" ref="J27">IFERROR(_xlfn.IFS(G27="","",I27=G27,"Cumplido",I27&lt;G27,G27-I27,I27&gt;G27,"Revisar"),"")</f>
        <v/>
      </c>
      <c r="K27" s="26"/>
      <c r="L27" s="27"/>
      <c r="M27" s="18"/>
      <c r="N27" s="20" t="str">
        <f t="shared" si="1"/>
        <v/>
      </c>
      <c r="O27" s="18"/>
      <c r="P27" s="18"/>
      <c r="Q27" s="1" t="str" cm="1">
        <f t="array" ref="Q27:S27">IF('[1]Soli_citud '!A25:C25="HERRAMIENTAS_","DEVOLUTIVO","")</f>
        <v/>
      </c>
      <c r="R27" s="21" t="str">
        <v/>
      </c>
      <c r="S27" t="str">
        <v/>
      </c>
    </row>
    <row r="28" spans="1:19" ht="21" customHeight="1">
      <c r="A28" s="22">
        <v>18</v>
      </c>
      <c r="B28" s="25" t="str">
        <f>IFERROR(IF('[1]Soli_citud '!D26="","",'[1]Soli_citud '!D26),"")</f>
        <v/>
      </c>
      <c r="C28" s="25"/>
      <c r="D28" s="25"/>
      <c r="E28" s="25"/>
      <c r="F28" s="16" t="str">
        <f>IF('[1]Soli_citud '!O26="","",'[1]Soli_citud '!O26)</f>
        <v/>
      </c>
      <c r="G28" s="16" t="str" cm="1">
        <f t="array" ref="G28">_xlfn.IFS('[1]Soli_citud '!S26="","",'[1]Soli_citud '!S26&lt;=0,"",'[1]Soli_citud '!S26&gt;0,'[1]Soli_citud '!S26)</f>
        <v/>
      </c>
      <c r="H28" s="24"/>
      <c r="I28" s="23"/>
      <c r="J28" s="19" t="str" cm="1">
        <f t="array" ref="J28">IFERROR(_xlfn.IFS(G28="","",I28=G28,"Cumplido",I28&lt;G28,G28-I28,I28&gt;G28,"Revisar"),"")</f>
        <v/>
      </c>
      <c r="K28" s="26"/>
      <c r="L28" s="27"/>
      <c r="M28" s="18"/>
      <c r="N28" s="20" t="str">
        <f t="shared" si="1"/>
        <v/>
      </c>
      <c r="O28" s="18"/>
      <c r="P28" s="18"/>
      <c r="Q28" s="1" t="str" cm="1">
        <f t="array" ref="Q28:S28">IF('[1]Soli_citud '!A26:C26="HERRAMIENTAS_","DEVOLUTIVO","")</f>
        <v/>
      </c>
      <c r="R28" s="21" t="str">
        <v/>
      </c>
      <c r="S28" t="str">
        <v/>
      </c>
    </row>
    <row r="29" spans="1:19" ht="21">
      <c r="A29" s="15">
        <v>19</v>
      </c>
      <c r="B29" s="25" t="str">
        <f>IFERROR(IF('[1]Soli_citud '!D27="","",'[1]Soli_citud '!D27),"")</f>
        <v/>
      </c>
      <c r="C29" s="25"/>
      <c r="D29" s="25"/>
      <c r="E29" s="25"/>
      <c r="F29" s="16" t="str">
        <f>IF('[1]Soli_citud '!O27="","",'[1]Soli_citud '!O27)</f>
        <v/>
      </c>
      <c r="G29" s="16" t="str" cm="1">
        <f t="array" ref="G29">_xlfn.IFS('[1]Soli_citud '!S27="","",'[1]Soli_citud '!S27&lt;=0,"",'[1]Soli_citud '!S27&gt;0,'[1]Soli_citud '!S27)</f>
        <v/>
      </c>
      <c r="H29" s="24"/>
      <c r="I29" s="23"/>
      <c r="J29" s="19" t="str" cm="1">
        <f t="array" ref="J29">IFERROR(_xlfn.IFS(G29="","",I29=G29,"Cumplido",I29&lt;G29,G29-I29,I29&gt;G29,"Revisar"),"")</f>
        <v/>
      </c>
      <c r="K29" s="26"/>
      <c r="L29" s="27"/>
      <c r="M29" s="18"/>
      <c r="N29" s="20" t="str">
        <f t="shared" si="1"/>
        <v/>
      </c>
      <c r="O29" s="18"/>
      <c r="P29" s="18"/>
      <c r="Q29" s="1" t="str" cm="1">
        <f t="array" ref="Q29:S29">IF('[1]Soli_citud '!A27:C27="HERRAMIENTAS_","DEVOLUTIVO","")</f>
        <v/>
      </c>
      <c r="R29" s="21" t="str">
        <v/>
      </c>
      <c r="S29" t="str">
        <v/>
      </c>
    </row>
    <row r="30" spans="1:19" ht="21">
      <c r="A30" s="22">
        <v>20</v>
      </c>
      <c r="B30" s="25" t="str">
        <f>IFERROR(IF('[1]Soli_citud '!D28="","",'[1]Soli_citud '!D28),"")</f>
        <v/>
      </c>
      <c r="C30" s="25"/>
      <c r="D30" s="25"/>
      <c r="E30" s="25"/>
      <c r="F30" s="16" t="str">
        <f>IF('[1]Soli_citud '!O28="","",'[1]Soli_citud '!O28)</f>
        <v/>
      </c>
      <c r="G30" s="16" t="str" cm="1">
        <f t="array" ref="G30">_xlfn.IFS('[1]Soli_citud '!S28="","",'[1]Soli_citud '!S28&lt;=0,"",'[1]Soli_citud '!S28&gt;0,'[1]Soli_citud '!S28)</f>
        <v/>
      </c>
      <c r="H30" s="24"/>
      <c r="I30" s="23"/>
      <c r="J30" s="19" t="str" cm="1">
        <f t="array" ref="J30">IFERROR(_xlfn.IFS(G30="","",I30=G30,"Cumplido",I30&lt;G30,G30-I30,I30&gt;G30,"Revisar"),"")</f>
        <v/>
      </c>
      <c r="K30" s="26"/>
      <c r="L30" s="27"/>
      <c r="M30" s="18"/>
      <c r="N30" s="20" t="str">
        <f t="shared" si="1"/>
        <v/>
      </c>
      <c r="O30" s="18"/>
      <c r="P30" s="18"/>
      <c r="Q30" s="1" t="str" cm="1">
        <f t="array" ref="Q30:S30">IF('[1]Soli_citud '!A28:C28="HERRAMIENTAS_","DEVOLUTIVO","")</f>
        <v/>
      </c>
      <c r="R30" s="21" t="str">
        <v/>
      </c>
      <c r="S30" t="str">
        <v/>
      </c>
    </row>
    <row r="31" spans="1:19" ht="22.5" customHeight="1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</row>
    <row r="32" spans="1:19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</sheetData>
  <sheetProtection selectLockedCells="1" selectUnlockedCells="1"/>
  <mergeCells count="67">
    <mergeCell ref="I3:L3"/>
    <mergeCell ref="M3:N3"/>
    <mergeCell ref="O3:P4"/>
    <mergeCell ref="I4:K4"/>
    <mergeCell ref="L4:N4"/>
    <mergeCell ref="A6:C7"/>
    <mergeCell ref="D6:H6"/>
    <mergeCell ref="I6:L6"/>
    <mergeCell ref="M6:N6"/>
    <mergeCell ref="O6:P6"/>
    <mergeCell ref="O7:P8"/>
    <mergeCell ref="A8:C8"/>
    <mergeCell ref="A1:B4"/>
    <mergeCell ref="C1:H4"/>
    <mergeCell ref="I1:L1"/>
    <mergeCell ref="M1:N1"/>
    <mergeCell ref="I2:L2"/>
    <mergeCell ref="M2:N2"/>
    <mergeCell ref="D8:H8"/>
    <mergeCell ref="I8:N8"/>
    <mergeCell ref="A9:B10"/>
    <mergeCell ref="C9:C10"/>
    <mergeCell ref="D9:E10"/>
    <mergeCell ref="F9:H10"/>
    <mergeCell ref="I10:K10"/>
    <mergeCell ref="M10:N10"/>
    <mergeCell ref="B11:E11"/>
    <mergeCell ref="K11:L11"/>
    <mergeCell ref="B12:E12"/>
    <mergeCell ref="K12:L12"/>
    <mergeCell ref="B13:E13"/>
    <mergeCell ref="K13:L13"/>
    <mergeCell ref="B14:E14"/>
    <mergeCell ref="K14:L14"/>
    <mergeCell ref="B15:E15"/>
    <mergeCell ref="K15:L15"/>
    <mergeCell ref="B16:E16"/>
    <mergeCell ref="K16:L16"/>
    <mergeCell ref="B17:E17"/>
    <mergeCell ref="K17:L17"/>
    <mergeCell ref="B18:E18"/>
    <mergeCell ref="K18:L18"/>
    <mergeCell ref="B19:E19"/>
    <mergeCell ref="K19:L19"/>
    <mergeCell ref="B20:E20"/>
    <mergeCell ref="K20:L20"/>
    <mergeCell ref="B21:E21"/>
    <mergeCell ref="K21:L21"/>
    <mergeCell ref="B22:E22"/>
    <mergeCell ref="K22:L22"/>
    <mergeCell ref="B23:E23"/>
    <mergeCell ref="K23:L23"/>
    <mergeCell ref="B24:E24"/>
    <mergeCell ref="K24:L24"/>
    <mergeCell ref="B25:E25"/>
    <mergeCell ref="K25:L25"/>
    <mergeCell ref="B26:E26"/>
    <mergeCell ref="K26:L26"/>
    <mergeCell ref="B27:E27"/>
    <mergeCell ref="K27:L27"/>
    <mergeCell ref="B28:E28"/>
    <mergeCell ref="K28:L28"/>
    <mergeCell ref="B29:E29"/>
    <mergeCell ref="K29:L29"/>
    <mergeCell ref="B30:E30"/>
    <mergeCell ref="K30:L30"/>
    <mergeCell ref="A31:N32"/>
  </mergeCells>
  <conditionalFormatting sqref="C9">
    <cfRule type="containsBlanks" dxfId="12" priority="13">
      <formula>LEN(TRIM(C9))=0</formula>
    </cfRule>
  </conditionalFormatting>
  <conditionalFormatting sqref="J12:J30">
    <cfRule type="containsText" dxfId="11" priority="11" operator="containsText" text="Revisar">
      <formula>NOT(ISERROR(SEARCH("Revisar",J12)))</formula>
    </cfRule>
    <cfRule type="containsText" dxfId="10" priority="12" operator="containsText" text="Cumplido">
      <formula>NOT(ISERROR(SEARCH("Cumplido",J12)))</formula>
    </cfRule>
  </conditionalFormatting>
  <conditionalFormatting sqref="H12:I30">
    <cfRule type="containsBlanks" dxfId="9" priority="10">
      <formula>LEN(TRIM(H12))=0</formula>
    </cfRule>
  </conditionalFormatting>
  <conditionalFormatting sqref="O12:P30">
    <cfRule type="containsBlanks" dxfId="8" priority="9">
      <formula>LEN(TRIM(O12))=0</formula>
    </cfRule>
  </conditionalFormatting>
  <conditionalFormatting sqref="M12:M30">
    <cfRule type="containsBlanks" dxfId="7" priority="8">
      <formula>LEN(TRIM(M12))=0</formula>
    </cfRule>
  </conditionalFormatting>
  <conditionalFormatting sqref="P10">
    <cfRule type="containsText" dxfId="6" priority="7" operator="containsText" text="Cumplido">
      <formula>NOT(ISERROR(SEARCH("Cumplido",P10)))</formula>
    </cfRule>
  </conditionalFormatting>
  <conditionalFormatting sqref="Q12:Q30">
    <cfRule type="containsText" dxfId="5" priority="6" operator="containsText" text="DEVOLUTIVO">
      <formula>NOT(ISERROR(SEARCH("DEVOLUTIVO",Q12)))</formula>
    </cfRule>
  </conditionalFormatting>
  <conditionalFormatting sqref="B12:E30">
    <cfRule type="expression" dxfId="4" priority="5">
      <formula>Q12="DEVOLUTIVO"</formula>
    </cfRule>
  </conditionalFormatting>
  <conditionalFormatting sqref="R12:R30">
    <cfRule type="containsBlanks" dxfId="3" priority="4">
      <formula>LEN(TRIM(R12))=0</formula>
    </cfRule>
  </conditionalFormatting>
  <conditionalFormatting sqref="O3:P4">
    <cfRule type="containsText" dxfId="2" priority="3" operator="containsText" text="Entrega de Producto">
      <formula>NOT(ISERROR(SEARCH("Entrega de Producto",O3)))</formula>
    </cfRule>
  </conditionalFormatting>
  <conditionalFormatting sqref="O7:P8">
    <cfRule type="cellIs" dxfId="1" priority="2" operator="greaterThanOrEqual">
      <formula>1</formula>
    </cfRule>
  </conditionalFormatting>
  <conditionalFormatting sqref="M6:N6">
    <cfRule type="containsText" dxfId="0" priority="1" operator="containsText" text="Aprobar Pedido">
      <formula>NOT(ISERROR(SEARCH("Aprobar Pedido",M6)))</formula>
    </cfRule>
  </conditionalFormatting>
  <dataValidations count="2">
    <dataValidation type="list" allowBlank="1" showInputMessage="1" showErrorMessage="1" sqref="M6:N6" xr:uid="{C72507AC-4660-44E3-827F-5E616A30D956}">
      <formula1>"Aprobar Pedido,Modificar Pedido,Condicionado"</formula1>
    </dataValidation>
    <dataValidation type="list" allowBlank="1" showInputMessage="1" sqref="I6" xr:uid="{F122F465-7D88-4FF4-8549-B7E31C1400E6}">
      <formula1>"Paul Ernestto Tamayo Caviedes"</formula1>
    </dataValidation>
  </dataValidations>
  <pageMargins left="0.23622047244094491" right="0.23622047244094491" top="0.35433070866141736" bottom="0" header="0.31496062992125984" footer="0.31496062992125984"/>
  <pageSetup paperSize="9" orientation="landscape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Rutelio Pérez Cardona</dc:creator>
  <cp:keywords/>
  <dc:description/>
  <cp:lastModifiedBy>Juan Felipe Escobar Calle</cp:lastModifiedBy>
  <cp:revision/>
  <dcterms:created xsi:type="dcterms:W3CDTF">2023-04-11T14:15:38Z</dcterms:created>
  <dcterms:modified xsi:type="dcterms:W3CDTF">2023-07-24T21:18:07Z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99739c-ad3d-4908-806e-4d91151a6e13_Enabled">
    <vt:lpwstr>true</vt:lpwstr>
  </property>
  <property fmtid="{D5CDD505-2E9C-101B-9397-08002B2CF9AE}" pid="3" name="MSIP_Label_1299739c-ad3d-4908-806e-4d91151a6e13_SetDate">
    <vt:lpwstr>2023-04-11T14:15:56Z</vt:lpwstr>
  </property>
  <property fmtid="{D5CDD505-2E9C-101B-9397-08002B2CF9AE}" pid="4" name="MSIP_Label_1299739c-ad3d-4908-806e-4d91151a6e13_Method">
    <vt:lpwstr>Standard</vt:lpwstr>
  </property>
  <property fmtid="{D5CDD505-2E9C-101B-9397-08002B2CF9AE}" pid="5" name="MSIP_Label_1299739c-ad3d-4908-806e-4d91151a6e13_Name">
    <vt:lpwstr>All Employees (Unrestricted)</vt:lpwstr>
  </property>
  <property fmtid="{D5CDD505-2E9C-101B-9397-08002B2CF9AE}" pid="6" name="MSIP_Label_1299739c-ad3d-4908-806e-4d91151a6e13_SiteId">
    <vt:lpwstr>cbc2c381-2f2e-4d93-91d1-506c9316ace7</vt:lpwstr>
  </property>
  <property fmtid="{D5CDD505-2E9C-101B-9397-08002B2CF9AE}" pid="7" name="MSIP_Label_1299739c-ad3d-4908-806e-4d91151a6e13_ActionId">
    <vt:lpwstr>e8a34029-8644-4732-886e-671a2438fa15</vt:lpwstr>
  </property>
  <property fmtid="{D5CDD505-2E9C-101B-9397-08002B2CF9AE}" pid="8" name="MSIP_Label_1299739c-ad3d-4908-806e-4d91151a6e13_ContentBits">
    <vt:lpwstr>0</vt:lpwstr>
  </property>
</Properties>
</file>