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2024\SENA\FORMACIONES\COPACABANA\"/>
    </mc:Choice>
  </mc:AlternateContent>
  <xr:revisionPtr revIDLastSave="41" documentId="8_{EE5A877C-C19B-4A6E-8D7E-806A041D09CD}" xr6:coauthVersionLast="47" xr6:coauthVersionMax="47" xr10:uidLastSave="{1A5DAD62-193F-4D9D-979E-BD96FE3657F9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S15" i="43"/>
  <c r="G17" i="59" s="1" a="1"/>
  <c r="S16" i="43"/>
  <c r="S17" i="43"/>
  <c r="S18" i="43"/>
  <c r="S19" i="43"/>
  <c r="G21" i="59" s="1" a="1"/>
  <c r="S20" i="43"/>
  <c r="S21" i="43"/>
  <c r="G23" i="59" s="1" a="1"/>
  <c r="G23" i="59" s="1"/>
  <c r="S22" i="43"/>
  <c r="S23" i="43"/>
  <c r="S24" i="43"/>
  <c r="S25" i="43"/>
  <c r="G27" i="59" s="1" a="1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6" i="59" a="1"/>
  <c r="G26" i="59" a="1"/>
  <c r="G20" i="59" a="1"/>
  <c r="G25" i="59" a="1"/>
  <c r="G30" i="59" a="1"/>
  <c r="G28" i="59" a="1"/>
  <c r="G24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N23" i="59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<sst xmlns="http://schemas.openxmlformats.org/spreadsheetml/2006/main" count="4127" uniqueCount="1158">
  <si>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</si>
  <si>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</si>
  <si>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</si>
  <si>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</si>
  <si>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</si>
  <si>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</si>
  <si>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</si>
  <si>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</si>
  <si>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</si>
  <si>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</si>
  <si>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</si>
  <si>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</si>
  <si>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messenger pequeño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</si>
  <si>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</si>
  <si>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</si>
  <si>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</si>
  <si>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</si>
  <si>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</si>
  <si>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</si>
  <si>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</si>
  <si>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</si>
  <si>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</si>
  <si>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</si>
  <si>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</si>
  <si>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</si>
  <si>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</si>
  <si>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</si>
  <si>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INSUMOS_COMPL_</t>
  </si>
  <si>
    <t xml:space="preserve">CARTULINA PLANA </t>
  </si>
  <si>
    <t>CINTA  DE ENMASCARAR</t>
  </si>
  <si>
    <t>SECUNDARIO_MEDULAR</t>
  </si>
  <si>
    <t xml:space="preserve">HILO NYLON #20
</t>
  </si>
  <si>
    <t xml:space="preserve">HILO ENCERADO </t>
  </si>
  <si>
    <t>HERRAJES</t>
  </si>
  <si>
    <t>BROCHE CAZUELA MEDIANO, PAVÓN</t>
  </si>
  <si>
    <t>LLAVE METÁLICA DESLIZADOR   #3 PARA CREMALLERA - PAVÓN</t>
  </si>
  <si>
    <t>CREMALLERA POLIÉSTER #3</t>
  </si>
  <si>
    <t>0.5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</si>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</sst>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74547</xdr:colOff>
      <xdr:row>0</xdr:row>
      <xdr:rowOff>57978</xdr:rowOff>
    </xdr:from>
    <xdr:to>
      <xdr:col>24</xdr:col>
      <xdr:colOff>198785</xdr:colOff>
      <xdr:row>6</xdr:row>
      <xdr:rowOff>200606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007F06-8810-4F73-8B9E-7C8A1DDD7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590" y="57978"/>
          <a:ext cx="2244586" cy="191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JH1204-1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45394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2976625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152321.01937549538</v>
      </c>
      <c r="E5" s="366"/>
      <c r="F5" s="367"/>
      <c r="G5" s="351" t="s">
        <v>16</v>
      </c>
      <c r="H5" s="368"/>
      <c r="I5" s="368"/>
      <c r="J5" s="352"/>
      <c r="K5" s="326">
        <v>27</v>
      </c>
      <c r="L5" s="326"/>
      <c r="M5" s="327" t="s">
        <v>17</v>
      </c>
      <c r="N5" s="327"/>
      <c r="O5" s="316">
        <f ca="1">IFERROR(IF(K5=0,"",D5*K5),"")</f>
        <v>4112667.523138375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3.7037037037037035E-2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/>
      </c>
      <c r="P10" s="283"/>
      <c r="Q10" s="372"/>
      <c r="R10" s="285"/>
      <c r="S10" s="286">
        <f>IFERROR(IF(Q10="Unidad","1",(Q10*$K$5)),"")</f>
        <v>0</v>
      </c>
      <c r="T10" s="287"/>
      <c r="U10" s="288"/>
      <c r="V10" s="373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0.4</v>
      </c>
      <c r="R11" s="285"/>
      <c r="S11" s="286">
        <f t="shared" ref="S11:S31" si="1">IFERROR(IF(Q11="Unidad","1",(Q11*$K$5)),"")</f>
        <v>10.8</v>
      </c>
      <c r="T11" s="287"/>
      <c r="U11" s="288"/>
      <c r="V11" s="288"/>
      <c r="W11" s="289">
        <f ca="1">IFERROR(IF(D11="","",INDEX(Tabla_Completa,MATCH('Soli_citud '!D11,Materiales,0),7)*S11),"")</f>
        <v>17098.056</v>
      </c>
      <c r="X11" s="289"/>
      <c r="Y11" s="289"/>
    </row>
    <row r="12" spans="1:28" ht="15.75" customHeight="1">
      <c r="A12" s="276" t="s">
        <v>27</v>
      </c>
      <c r="B12" s="277"/>
      <c r="C12" s="278"/>
      <c r="D12" s="374" t="s">
        <v>29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1.08</v>
      </c>
      <c r="T12" s="287"/>
      <c r="U12" s="288"/>
      <c r="V12" s="288"/>
      <c r="W12" s="289">
        <f ca="1">IFERROR(IF(D12="","",INDEX(Tabla_Completa,MATCH('Soli_citud '!D12,Materiales,0),7)*S12),"")</f>
        <v>4514.4000000000005</v>
      </c>
      <c r="X12" s="289"/>
      <c r="Y12" s="289"/>
    </row>
    <row r="13" spans="1:28" ht="15.75" customHeight="1">
      <c r="A13" s="276" t="s">
        <v>30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0.1</v>
      </c>
      <c r="R13" s="285"/>
      <c r="S13" s="286">
        <f t="shared" si="1"/>
        <v>2.7</v>
      </c>
      <c r="T13" s="287"/>
      <c r="U13" s="288"/>
      <c r="V13" s="288"/>
      <c r="W13" s="289">
        <f ca="1">IFERROR(IF(D13="","",INDEX(Tabla_Completa,MATCH('Soli_citud '!D13,Materiales,0),7)*S13),"")</f>
        <v>19620.000000000004</v>
      </c>
      <c r="X13" s="289"/>
      <c r="Y13" s="289"/>
    </row>
    <row r="14" spans="1:28" ht="17.25" customHeight="1">
      <c r="A14" s="276" t="s">
        <v>30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0.1</v>
      </c>
      <c r="R14" s="285"/>
      <c r="S14" s="286">
        <f t="shared" si="1"/>
        <v>2.7</v>
      </c>
      <c r="T14" s="287"/>
      <c r="U14" s="288"/>
      <c r="V14" s="288"/>
      <c r="W14" s="289">
        <f ca="1">IFERROR(IF(D14="","",INDEX(Tabla_Completa,MATCH('Soli_citud '!D14,Materiales,0),7)*S14),"")</f>
        <v>18900</v>
      </c>
      <c r="X14" s="289"/>
      <c r="Y14" s="289"/>
    </row>
    <row r="15" spans="1:28" ht="15.75" customHeight="1">
      <c r="A15" s="276" t="s">
        <v>33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27</v>
      </c>
      <c r="T15" s="287"/>
      <c r="U15" s="288"/>
      <c r="V15" s="288"/>
      <c r="W15" s="289">
        <f ca="1">IFERROR(IF(D15="","",INDEX(Tabla_Completa,MATCH('Soli_citud '!D15,Materiales,0),7)*S15),"")</f>
        <v>4787.37</v>
      </c>
      <c r="X15" s="289"/>
      <c r="Y15" s="289"/>
    </row>
    <row r="16" spans="1:28" ht="15.75" customHeight="1">
      <c r="A16" s="276" t="s">
        <v>33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27</v>
      </c>
      <c r="T16" s="287"/>
      <c r="U16" s="288"/>
      <c r="V16" s="288"/>
      <c r="W16" s="289">
        <f ca="1">IFERROR(IF(D16="","",INDEX(Tabla_Completa,MATCH('Soli_citud '!D16,Materiales,0),7)*S16),"")</f>
        <v>12302.98875</v>
      </c>
      <c r="X16" s="289"/>
      <c r="Y16" s="289"/>
    </row>
    <row r="17" spans="1:25" ht="15.75" customHeight="1">
      <c r="A17" s="276" t="s">
        <v>30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 t="s">
        <v>37</v>
      </c>
      <c r="R17" s="285"/>
      <c r="S17" s="286">
        <f t="shared" si="1"/>
        <v>13.5</v>
      </c>
      <c r="T17" s="287"/>
      <c r="U17" s="288"/>
      <c r="V17" s="288"/>
      <c r="W17" s="289">
        <f ca="1">IFERROR(IF(D17="","",INDEX(Tabla_Completa,MATCH('Soli_citud '!D17,Materiales,0),7)*S17),"")</f>
        <v>12737.25</v>
      </c>
      <c r="X17" s="289"/>
      <c r="Y17" s="289"/>
    </row>
    <row r="18" spans="1:25" ht="15.75" customHeight="1">
      <c r="A18" s="276" t="s">
        <v>38</v>
      </c>
      <c r="B18" s="277"/>
      <c r="C18" s="278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50</v>
      </c>
      <c r="R18" s="285"/>
      <c r="S18" s="286">
        <f t="shared" si="1"/>
        <v>1350</v>
      </c>
      <c r="T18" s="287"/>
      <c r="U18" s="288"/>
      <c r="V18" s="288"/>
      <c r="W18" s="289">
        <f ca="1">IFERROR(IF(D18="","",INDEX(Tabla_Completa,MATCH('Soli_citud '!D18,Materiales,0),7)*S18),"")</f>
        <v>10129.458388375166</v>
      </c>
      <c r="X18" s="289"/>
      <c r="Y18" s="289"/>
    </row>
    <row r="19" spans="1:25" ht="15.75">
      <c r="A19" s="276" t="s">
        <v>40</v>
      </c>
      <c r="B19" s="277"/>
      <c r="C19" s="278"/>
      <c r="D19" s="279" t="s">
        <v>41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0.27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42</v>
      </c>
      <c r="B20" s="277"/>
      <c r="C20" s="278"/>
      <c r="D20" s="279" t="s">
        <v>43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31000</v>
      </c>
      <c r="R20" s="285"/>
      <c r="S20" s="286">
        <f t="shared" si="1"/>
        <v>837000</v>
      </c>
      <c r="T20" s="287"/>
      <c r="U20" s="288"/>
      <c r="V20" s="288"/>
      <c r="W20" s="289">
        <f ca="1">IFERROR(IF(D20="","",INDEX(Tabla_Completa,MATCH('Soli_citud '!D20,Materiales,0),7)*S20),"")</f>
        <v>2337621.4285714286</v>
      </c>
      <c r="X20" s="289"/>
      <c r="Y20" s="289"/>
    </row>
    <row r="21" spans="1:25" ht="15.75">
      <c r="A21" s="276" t="s">
        <v>42</v>
      </c>
      <c r="B21" s="277"/>
      <c r="C21" s="278"/>
      <c r="D21" s="279" t="s">
        <v>44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31000</v>
      </c>
      <c r="R21" s="285"/>
      <c r="S21" s="286">
        <f t="shared" si="1"/>
        <v>837000</v>
      </c>
      <c r="T21" s="287"/>
      <c r="U21" s="288"/>
      <c r="V21" s="288"/>
      <c r="W21" s="289">
        <f ca="1">IFERROR(IF(D21="","",INDEX(Tabla_Completa,MATCH('Soli_citud '!D21,Materiales,0),7)*S21),"")</f>
        <v>1674956.5714285716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45</v>
      </c>
      <c r="B39" s="292"/>
      <c r="C39" s="292"/>
      <c r="D39" s="293" t="s">
        <v>46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47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48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49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38</v>
      </c>
      <c r="O44" s="303"/>
      <c r="P44" s="303"/>
      <c r="Q44" s="303"/>
      <c r="R44" s="300" t="s">
        <v>50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52</v>
      </c>
      <c r="O45" s="303"/>
      <c r="P45" s="303"/>
      <c r="Q45" s="303"/>
      <c r="R45" s="301" t="s">
        <v>53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54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55</v>
      </c>
      <c r="O46" s="303"/>
      <c r="P46" s="303"/>
      <c r="Q46" s="303"/>
      <c r="R46" s="302" t="s">
        <v>56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58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60</v>
      </c>
      <c r="O48" s="303"/>
      <c r="P48" s="303"/>
      <c r="Q48" s="303"/>
      <c r="R48" s="302" t="s">
        <v>61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63</v>
      </c>
      <c r="O49" s="304"/>
      <c r="P49" s="304"/>
      <c r="Q49" s="304"/>
      <c r="R49" s="301" t="s">
        <v>64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26</v>
      </c>
      <c r="O50" s="303"/>
      <c r="P50" s="303"/>
      <c r="Q50" s="303"/>
      <c r="R50" s="302" t="s">
        <v>65</v>
      </c>
      <c r="S50" s="302"/>
      <c r="T50" s="302"/>
      <c r="U50" s="302"/>
      <c r="V50" s="302"/>
      <c r="W50" s="302"/>
      <c r="X50" s="302"/>
    </row>
    <row r="51" spans="1:24" ht="15.75">
      <c r="N51" s="303" t="s">
        <v>42</v>
      </c>
      <c r="O51" s="303"/>
      <c r="P51" s="303"/>
      <c r="Q51" s="303"/>
      <c r="R51" s="302" t="s">
        <v>66</v>
      </c>
      <c r="S51" s="302"/>
      <c r="T51" s="302"/>
      <c r="U51" s="302"/>
      <c r="V51" s="302"/>
      <c r="W51" s="302"/>
      <c r="X51" s="302"/>
    </row>
    <row r="52" spans="1:24" ht="15.75">
      <c r="N52" s="303" t="s">
        <v>67</v>
      </c>
      <c r="O52" s="303"/>
      <c r="P52" s="303"/>
      <c r="Q52" s="303"/>
      <c r="R52" s="302" t="s">
        <v>58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K25" sqref="K25:L2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15" customWidth="1"/>
    <col min="7" max="7" width="23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68</v>
      </c>
      <c r="D1" s="395"/>
      <c r="E1" s="395"/>
      <c r="F1" s="395"/>
      <c r="G1" s="395"/>
      <c r="H1" s="395"/>
      <c r="I1" s="401" t="s">
        <v>69</v>
      </c>
      <c r="J1" s="402"/>
      <c r="K1" s="402"/>
      <c r="L1" s="403"/>
      <c r="M1" s="396">
        <f>IF('Soli_citud '!O1="","",'Soli_citud '!O1)</f>
        <v>45394</v>
      </c>
      <c r="N1" s="397"/>
      <c r="O1" s="430" t="s">
        <v>70</v>
      </c>
      <c r="P1" s="431"/>
      <c r="Q1" s="426" t="str">
        <f>IF('Soli_citud '!D4="","",'Soli_citud '!D4)</f>
        <v>bolso messenger pequeño</v>
      </c>
      <c r="R1" s="427"/>
      <c r="Z1" s="271" t="s">
        <v>71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72</v>
      </c>
      <c r="J2" s="405"/>
      <c r="K2" s="405"/>
      <c r="L2" s="406"/>
      <c r="M2" s="398" t="str">
        <f>'Soli_citud '!F1</f>
        <v>JH1204-1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73</v>
      </c>
      <c r="J3" s="400"/>
      <c r="K3" s="400"/>
      <c r="L3" s="400"/>
      <c r="M3" s="407">
        <f>IF('Soli_citud '!O3="","",'Soli_citud '!O3)</f>
        <v>2976625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74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75</v>
      </c>
      <c r="B6" s="392"/>
      <c r="C6" s="392"/>
      <c r="D6" s="377" t="s">
        <v>76</v>
      </c>
      <c r="E6" s="377"/>
      <c r="F6" s="377"/>
      <c r="G6" s="377"/>
      <c r="H6" s="378"/>
      <c r="I6" s="424" t="s">
        <v>77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152321.01937549538</v>
      </c>
      <c r="B8" s="393"/>
      <c r="C8" s="393"/>
      <c r="D8" s="379" t="s">
        <v>78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79</v>
      </c>
      <c r="B9" s="385"/>
      <c r="C9" s="409"/>
      <c r="D9" s="384" t="s">
        <v>80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81</v>
      </c>
      <c r="J10" s="442"/>
      <c r="K10" s="443"/>
      <c r="L10" s="259">
        <f>'Soli_citud '!K5</f>
        <v>27</v>
      </c>
      <c r="M10" s="439" t="s">
        <v>82</v>
      </c>
      <c r="N10" s="440"/>
      <c r="O10" s="434"/>
      <c r="P10" s="435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0" t="s">
        <v>85</v>
      </c>
      <c r="C11" s="411"/>
      <c r="D11" s="411"/>
      <c r="E11" s="412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9" t="s">
        <v>24</v>
      </c>
      <c r="L11" s="441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375" t="str">
        <f>IFERROR(IF('Soli_citud '!D10="","",'Soli_citud '!D10),"")</f>
        <v/>
      </c>
      <c r="C12" s="375"/>
      <c r="D12" s="375"/>
      <c r="E12" s="375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10.8</v>
      </c>
      <c r="H13" s="240">
        <v>45420</v>
      </c>
      <c r="I13" s="242">
        <v>10.8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1.08</v>
      </c>
      <c r="H14" s="240">
        <v>45420</v>
      </c>
      <c r="I14" s="242">
        <v>1.08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#20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2.7</v>
      </c>
      <c r="H15" s="240">
        <v>45420</v>
      </c>
      <c r="I15" s="242">
        <v>2.7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2.7</v>
      </c>
      <c r="H16" s="240">
        <v>45420</v>
      </c>
      <c r="I16" s="242">
        <v>2</v>
      </c>
      <c r="J16" s="215" cm="1">
        <f t="array" ref="J16">IFERROR(_xlfn.IFS(G16="","",I16=G16,"Cumplido",I16&lt;G16,G16-I16,I16&gt;G16,"Revisar"),"")</f>
        <v>0.70000000000000018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BROCHE CAZUELA MEDIANO, PAVÓN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27</v>
      </c>
      <c r="H17" s="240">
        <v>45420</v>
      </c>
      <c r="I17" s="242">
        <v>27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27</v>
      </c>
      <c r="H18" s="240">
        <v>45420</v>
      </c>
      <c r="I18" s="242">
        <v>27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13.5</v>
      </c>
      <c r="H19" s="240">
        <v>45420</v>
      </c>
      <c r="I19" s="242">
        <v>13.5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1350</v>
      </c>
      <c r="H20" s="240">
        <v>45420</v>
      </c>
      <c r="I20" s="242">
        <v>1350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0.27</v>
      </c>
      <c r="H21" s="240">
        <v>45420</v>
      </c>
      <c r="I21" s="242">
        <v>0</v>
      </c>
      <c r="J21" s="215" cm="1">
        <f t="array" ref="J21">IFERROR(_xlfn.IFS(G21="","",I21=G21,"Cumplido",I21&lt;G21,G21-I21,I21&gt;G21,"Revisar"),"")</f>
        <v>0.27</v>
      </c>
      <c r="K21" s="387" t="s">
        <v>97</v>
      </c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837000</v>
      </c>
      <c r="H22" s="240">
        <v>45420</v>
      </c>
      <c r="I22" s="242">
        <v>837000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5978.5714285714284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837000</v>
      </c>
      <c r="H23" s="240">
        <v>45420</v>
      </c>
      <c r="I23" s="242">
        <v>837000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5978.5714285714284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98</v>
      </c>
      <c r="F1" s="452"/>
      <c r="Z1" s="271" t="s">
        <v>71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50"/>
      <c r="D6" s="451"/>
      <c r="H6" s="448" t="s">
        <v>100</v>
      </c>
      <c r="I6" s="448"/>
    </row>
    <row r="7" spans="1:26" ht="47.25">
      <c r="A7" s="76" t="s">
        <v>84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38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38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38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38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38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38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38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38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38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38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39</v>
      </c>
      <c r="C18" s="144" t="s">
        <v>38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123</v>
      </c>
      <c r="C19" s="144" t="s">
        <v>38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125</v>
      </c>
      <c r="C34" s="229" t="s">
        <v>126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127</v>
      </c>
      <c r="C35" s="229" t="s">
        <v>126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128</v>
      </c>
      <c r="C36" s="229" t="s">
        <v>126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129</v>
      </c>
      <c r="C37" s="229" t="s">
        <v>126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130</v>
      </c>
      <c r="C38" s="229" t="s">
        <v>126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131</v>
      </c>
      <c r="C39" s="229" t="s">
        <v>126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132</v>
      </c>
      <c r="C40" s="229" t="s">
        <v>126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133</v>
      </c>
      <c r="C41" s="229" t="s">
        <v>126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134</v>
      </c>
      <c r="C42" s="229" t="s">
        <v>126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135</v>
      </c>
      <c r="C43" s="229" t="s">
        <v>126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136</v>
      </c>
      <c r="C44" s="229" t="s">
        <v>126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137</v>
      </c>
      <c r="C45" s="229" t="s">
        <v>126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138</v>
      </c>
      <c r="C46" s="229" t="s">
        <v>126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139</v>
      </c>
      <c r="C47" s="229" t="s">
        <v>126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140</v>
      </c>
      <c r="C48" s="229" t="s">
        <v>126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141</v>
      </c>
      <c r="C49" s="229" t="s">
        <v>126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142</v>
      </c>
      <c r="C50" s="229" t="s">
        <v>126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143</v>
      </c>
      <c r="C51" s="229" t="s">
        <v>126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144</v>
      </c>
      <c r="C52" s="229" t="s">
        <v>126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145</v>
      </c>
      <c r="C53" s="229" t="s">
        <v>126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146</v>
      </c>
      <c r="C54" s="229" t="s">
        <v>126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147</v>
      </c>
      <c r="C55" s="229" t="s">
        <v>126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148</v>
      </c>
      <c r="C56" s="229" t="s">
        <v>126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149</v>
      </c>
      <c r="C57" s="229" t="s">
        <v>126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150</v>
      </c>
      <c r="C58" s="229" t="s">
        <v>126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151</v>
      </c>
      <c r="C59" s="229" t="s">
        <v>126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152</v>
      </c>
      <c r="C60" s="229" t="s">
        <v>126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153</v>
      </c>
      <c r="C61" s="229" t="s">
        <v>126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154</v>
      </c>
      <c r="C62" s="229" t="s">
        <v>126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155</v>
      </c>
      <c r="C63" s="229" t="s">
        <v>126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156</v>
      </c>
      <c r="C64" s="229" t="s">
        <v>126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157</v>
      </c>
      <c r="C65" s="229" t="s">
        <v>126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158</v>
      </c>
      <c r="C66" s="229" t="s">
        <v>126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159</v>
      </c>
      <c r="C67" s="229" t="s">
        <v>126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160</v>
      </c>
      <c r="C68" s="229" t="s">
        <v>126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161</v>
      </c>
      <c r="C69" s="229" t="s">
        <v>126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162</v>
      </c>
      <c r="C70" s="229" t="s">
        <v>126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163</v>
      </c>
      <c r="C71" s="229" t="s">
        <v>126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164</v>
      </c>
      <c r="C72" s="229" t="s">
        <v>126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165</v>
      </c>
      <c r="C73" s="229" t="s">
        <v>126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166</v>
      </c>
      <c r="C74" s="229" t="s">
        <v>126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167</v>
      </c>
      <c r="C75" s="229" t="s">
        <v>126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168</v>
      </c>
      <c r="C76" s="229" t="s">
        <v>126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169</v>
      </c>
      <c r="C77" s="229" t="s">
        <v>126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170</v>
      </c>
      <c r="C78" s="229" t="s">
        <v>126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171</v>
      </c>
      <c r="C79" s="229" t="s">
        <v>126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172</v>
      </c>
      <c r="C80" s="229" t="s">
        <v>126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173</v>
      </c>
      <c r="C81" s="229" t="s">
        <v>126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174</v>
      </c>
      <c r="C82" s="229" t="s">
        <v>126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175</v>
      </c>
      <c r="C83" s="229" t="s">
        <v>126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176</v>
      </c>
      <c r="C84" s="229" t="s">
        <v>126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177</v>
      </c>
      <c r="C85" s="229" t="s">
        <v>126</v>
      </c>
      <c r="D85" s="51" t="s">
        <v>178</v>
      </c>
      <c r="E85" s="46">
        <v>97321</v>
      </c>
      <c r="F85" s="193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179</v>
      </c>
      <c r="C86" s="229" t="s">
        <v>126</v>
      </c>
      <c r="D86" s="51" t="s">
        <v>178</v>
      </c>
      <c r="E86" s="46">
        <v>99191</v>
      </c>
      <c r="F86" s="193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180</v>
      </c>
      <c r="C87" s="229" t="s">
        <v>126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181</v>
      </c>
      <c r="C88" s="229" t="s">
        <v>126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182</v>
      </c>
      <c r="C89" s="229" t="s">
        <v>126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183</v>
      </c>
      <c r="C90" s="229" t="s">
        <v>126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184</v>
      </c>
      <c r="C91" s="229" t="s">
        <v>126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185</v>
      </c>
      <c r="C92" s="229" t="s">
        <v>126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186</v>
      </c>
      <c r="C93" s="229" t="s">
        <v>126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187</v>
      </c>
      <c r="C94" s="229" t="s">
        <v>126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188</v>
      </c>
      <c r="C95" s="229" t="s">
        <v>126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189</v>
      </c>
      <c r="C96" s="229" t="s">
        <v>126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190</v>
      </c>
      <c r="C97" s="229" t="s">
        <v>126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191</v>
      </c>
      <c r="C98" s="229" t="s">
        <v>126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192</v>
      </c>
      <c r="C99" s="229" t="s">
        <v>126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193</v>
      </c>
      <c r="C100" s="229" t="s">
        <v>126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194</v>
      </c>
      <c r="C101" s="229" t="s">
        <v>126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195</v>
      </c>
      <c r="C102" s="229" t="s">
        <v>126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196</v>
      </c>
      <c r="C103" s="229" t="s">
        <v>126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197</v>
      </c>
      <c r="C104" s="229" t="s">
        <v>126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198</v>
      </c>
      <c r="C105" s="229" t="s">
        <v>126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199</v>
      </c>
      <c r="C106" s="229" t="s">
        <v>126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200</v>
      </c>
      <c r="C107" s="229" t="s">
        <v>126</v>
      </c>
      <c r="D107" s="51" t="s">
        <v>178</v>
      </c>
      <c r="E107" s="46">
        <v>47662</v>
      </c>
      <c r="F107" s="193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201</v>
      </c>
      <c r="C108" s="229" t="s">
        <v>126</v>
      </c>
      <c r="D108" s="51" t="s">
        <v>178</v>
      </c>
      <c r="E108" s="46">
        <v>8533</v>
      </c>
      <c r="F108" s="193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202</v>
      </c>
      <c r="C109" s="229" t="s">
        <v>126</v>
      </c>
      <c r="D109" s="51" t="s">
        <v>178</v>
      </c>
      <c r="E109" s="46">
        <v>8367</v>
      </c>
      <c r="F109" s="193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203</v>
      </c>
      <c r="C110" s="229" t="s">
        <v>126</v>
      </c>
      <c r="D110" s="51" t="s">
        <v>178</v>
      </c>
      <c r="E110" s="46">
        <v>32859</v>
      </c>
      <c r="F110" s="193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204</v>
      </c>
      <c r="C111" s="229" t="s">
        <v>126</v>
      </c>
      <c r="D111" s="51" t="s">
        <v>178</v>
      </c>
      <c r="E111" s="46">
        <v>9366</v>
      </c>
      <c r="F111" s="193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205</v>
      </c>
      <c r="C112" s="229" t="s">
        <v>126</v>
      </c>
      <c r="D112" s="51" t="s">
        <v>178</v>
      </c>
      <c r="E112" s="46">
        <v>54502</v>
      </c>
      <c r="F112" s="193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206</v>
      </c>
      <c r="C113" s="229" t="s">
        <v>126</v>
      </c>
      <c r="D113" s="51" t="s">
        <v>207</v>
      </c>
      <c r="E113" s="46">
        <v>14170</v>
      </c>
      <c r="F113" s="193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208</v>
      </c>
      <c r="C114" s="229" t="s">
        <v>126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209</v>
      </c>
      <c r="C115" s="229" t="s">
        <v>126</v>
      </c>
      <c r="D115" s="51" t="s">
        <v>210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211</v>
      </c>
      <c r="C116" s="229" t="s">
        <v>126</v>
      </c>
      <c r="D116" s="51" t="s">
        <v>212</v>
      </c>
      <c r="E116" s="46">
        <v>50178</v>
      </c>
      <c r="F116" s="193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213</v>
      </c>
      <c r="C117" s="229" t="s">
        <v>126</v>
      </c>
      <c r="D117" s="51" t="s">
        <v>178</v>
      </c>
      <c r="E117" s="46">
        <v>35105</v>
      </c>
      <c r="F117" s="193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214</v>
      </c>
      <c r="C118" s="229" t="s">
        <v>126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215</v>
      </c>
      <c r="C119" s="229" t="s">
        <v>126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216</v>
      </c>
      <c r="C120" s="229" t="s">
        <v>126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217</v>
      </c>
      <c r="C121" s="229" t="s">
        <v>126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218</v>
      </c>
      <c r="C122" s="229" t="s">
        <v>126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219</v>
      </c>
      <c r="C123" s="229" t="s">
        <v>126</v>
      </c>
      <c r="D123" s="51" t="s">
        <v>220</v>
      </c>
      <c r="E123" s="46">
        <v>38591.666666666664</v>
      </c>
      <c r="F123" s="193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221</v>
      </c>
      <c r="C124" s="229" t="s">
        <v>126</v>
      </c>
      <c r="D124" s="51" t="s">
        <v>178</v>
      </c>
      <c r="E124" s="46">
        <v>22134</v>
      </c>
      <c r="F124" s="193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222</v>
      </c>
      <c r="C125" s="229" t="s">
        <v>126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223</v>
      </c>
      <c r="C126" s="229" t="s">
        <v>126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224</v>
      </c>
      <c r="C127" s="229" t="s">
        <v>126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225</v>
      </c>
      <c r="C128" s="229" t="s">
        <v>126</v>
      </c>
      <c r="D128" s="51" t="s">
        <v>178</v>
      </c>
      <c r="E128" s="46">
        <v>149370</v>
      </c>
      <c r="F128" s="193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226</v>
      </c>
      <c r="C129" s="229" t="s">
        <v>126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227</v>
      </c>
      <c r="C130" s="229" t="s">
        <v>126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228</v>
      </c>
      <c r="C131" s="229" t="s">
        <v>126</v>
      </c>
      <c r="D131" s="51" t="s">
        <v>212</v>
      </c>
      <c r="E131" s="46">
        <v>8850</v>
      </c>
      <c r="F131" s="193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229</v>
      </c>
      <c r="C132" s="229" t="s">
        <v>126</v>
      </c>
      <c r="D132" s="51" t="s">
        <v>230</v>
      </c>
      <c r="E132" s="46">
        <v>135533.5</v>
      </c>
      <c r="F132" s="193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231</v>
      </c>
      <c r="C133" s="229" t="s">
        <v>126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232</v>
      </c>
      <c r="C134" s="229" t="s">
        <v>126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233</v>
      </c>
      <c r="C135" s="229" t="s">
        <v>126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234</v>
      </c>
      <c r="C136" s="229" t="s">
        <v>126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235</v>
      </c>
      <c r="C137" s="229" t="s">
        <v>126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236</v>
      </c>
      <c r="C138" s="229" t="s">
        <v>126</v>
      </c>
      <c r="D138" s="51" t="s">
        <v>220</v>
      </c>
      <c r="E138" s="46">
        <v>90800</v>
      </c>
      <c r="F138" s="193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237</v>
      </c>
      <c r="C139" s="229" t="s">
        <v>126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238</v>
      </c>
      <c r="C140" s="229" t="s">
        <v>126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239</v>
      </c>
      <c r="C141" s="229" t="s">
        <v>126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240</v>
      </c>
      <c r="C162" s="229" t="s">
        <v>30</v>
      </c>
      <c r="D162" s="51" t="s">
        <v>178</v>
      </c>
      <c r="E162" s="46">
        <v>760</v>
      </c>
      <c r="F162" s="193" t="s">
        <v>178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241</v>
      </c>
      <c r="C163" s="229" t="s">
        <v>30</v>
      </c>
      <c r="D163" s="51" t="s">
        <v>242</v>
      </c>
      <c r="E163" s="46">
        <v>45667</v>
      </c>
      <c r="F163" s="193" t="s">
        <v>242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243</v>
      </c>
      <c r="C164" s="229" t="s">
        <v>30</v>
      </c>
      <c r="D164" s="51" t="s">
        <v>244</v>
      </c>
      <c r="E164" s="46">
        <v>41000</v>
      </c>
      <c r="F164" s="193" t="s">
        <v>245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246</v>
      </c>
      <c r="C165" s="229" t="s">
        <v>30</v>
      </c>
      <c r="D165" s="51" t="s">
        <v>244</v>
      </c>
      <c r="E165" s="46">
        <v>58500</v>
      </c>
      <c r="F165" s="193" t="s">
        <v>245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30</v>
      </c>
      <c r="D166" s="51" t="s">
        <v>242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30</v>
      </c>
      <c r="D167" s="51" t="s">
        <v>178</v>
      </c>
      <c r="E167" s="46">
        <v>639</v>
      </c>
      <c r="F167" s="51" t="s">
        <v>178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30</v>
      </c>
      <c r="D168" s="51" t="s">
        <v>178</v>
      </c>
      <c r="E168" s="46">
        <v>639</v>
      </c>
      <c r="F168" s="51" t="s">
        <v>178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30</v>
      </c>
      <c r="D169" s="51" t="s">
        <v>178</v>
      </c>
      <c r="E169" s="46">
        <v>639</v>
      </c>
      <c r="F169" s="51" t="s">
        <v>178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30</v>
      </c>
      <c r="D170" s="51" t="s">
        <v>178</v>
      </c>
      <c r="E170" s="46">
        <v>639</v>
      </c>
      <c r="F170" s="51" t="s">
        <v>178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30</v>
      </c>
      <c r="D171" s="51" t="s">
        <v>178</v>
      </c>
      <c r="E171" s="46">
        <v>639</v>
      </c>
      <c r="F171" s="51" t="s">
        <v>178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30</v>
      </c>
      <c r="D172" s="51" t="s">
        <v>178</v>
      </c>
      <c r="E172" s="46">
        <v>639</v>
      </c>
      <c r="F172" s="51" t="s">
        <v>178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30</v>
      </c>
      <c r="D173" s="51" t="s">
        <v>178</v>
      </c>
      <c r="E173" s="46">
        <v>639</v>
      </c>
      <c r="F173" s="51" t="s">
        <v>178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30</v>
      </c>
      <c r="D174" s="51" t="s">
        <v>178</v>
      </c>
      <c r="E174" s="46">
        <v>639</v>
      </c>
      <c r="F174" s="51" t="s">
        <v>178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30</v>
      </c>
      <c r="D175" s="51" t="s">
        <v>178</v>
      </c>
      <c r="E175" s="46">
        <v>639</v>
      </c>
      <c r="F175" s="51" t="s">
        <v>178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30</v>
      </c>
      <c r="D176" s="51" t="s">
        <v>178</v>
      </c>
      <c r="E176" s="46">
        <v>639</v>
      </c>
      <c r="F176" s="51" t="s">
        <v>178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30</v>
      </c>
      <c r="D177" s="51" t="s">
        <v>178</v>
      </c>
      <c r="E177" s="46">
        <v>639</v>
      </c>
      <c r="F177" s="51" t="s">
        <v>178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30</v>
      </c>
      <c r="D178" s="51" t="s">
        <v>178</v>
      </c>
      <c r="E178" s="46">
        <v>639</v>
      </c>
      <c r="F178" s="51" t="s">
        <v>178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30</v>
      </c>
      <c r="D179" s="51" t="s">
        <v>178</v>
      </c>
      <c r="E179" s="46">
        <v>639</v>
      </c>
      <c r="F179" s="51" t="s">
        <v>178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30</v>
      </c>
      <c r="D180" s="51" t="s">
        <v>178</v>
      </c>
      <c r="E180" s="46">
        <v>639</v>
      </c>
      <c r="F180" s="51" t="s">
        <v>178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30</v>
      </c>
      <c r="D181" s="51" t="s">
        <v>178</v>
      </c>
      <c r="E181" s="46">
        <v>639</v>
      </c>
      <c r="F181" s="51" t="s">
        <v>178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30</v>
      </c>
      <c r="D182" s="51" t="s">
        <v>178</v>
      </c>
      <c r="E182" s="65">
        <v>475.34</v>
      </c>
      <c r="F182" s="51" t="s">
        <v>178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30</v>
      </c>
      <c r="D183" s="51" t="s">
        <v>178</v>
      </c>
      <c r="E183" s="65">
        <v>475.34</v>
      </c>
      <c r="F183" s="51" t="s">
        <v>178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30</v>
      </c>
      <c r="D184" s="51" t="s">
        <v>178</v>
      </c>
      <c r="E184" s="65">
        <v>475.34</v>
      </c>
      <c r="F184" s="51" t="s">
        <v>178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30</v>
      </c>
      <c r="D185" s="51" t="s">
        <v>178</v>
      </c>
      <c r="E185" s="65">
        <v>475.34</v>
      </c>
      <c r="F185" s="51" t="s">
        <v>178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30</v>
      </c>
      <c r="D186" s="51" t="s">
        <v>178</v>
      </c>
      <c r="E186" s="65">
        <v>475.34</v>
      </c>
      <c r="F186" s="51" t="s">
        <v>178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30</v>
      </c>
      <c r="D187" s="51" t="s">
        <v>178</v>
      </c>
      <c r="E187" s="65">
        <v>475.34</v>
      </c>
      <c r="F187" s="51" t="s">
        <v>178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30</v>
      </c>
      <c r="D188" s="51" t="s">
        <v>178</v>
      </c>
      <c r="E188" s="65">
        <v>475.34</v>
      </c>
      <c r="F188" s="51" t="s">
        <v>178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30</v>
      </c>
      <c r="D189" s="51" t="s">
        <v>178</v>
      </c>
      <c r="E189" s="65">
        <v>475.34</v>
      </c>
      <c r="F189" s="51" t="s">
        <v>178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30</v>
      </c>
      <c r="D190" s="51" t="s">
        <v>178</v>
      </c>
      <c r="E190" s="65">
        <v>475.34</v>
      </c>
      <c r="F190" s="51" t="s">
        <v>178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30</v>
      </c>
      <c r="D191" s="51" t="s">
        <v>178</v>
      </c>
      <c r="E191" s="65">
        <v>475.34</v>
      </c>
      <c r="F191" s="51" t="s">
        <v>178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30</v>
      </c>
      <c r="D192" s="61" t="s">
        <v>245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30</v>
      </c>
      <c r="D193" s="61" t="s">
        <v>245</v>
      </c>
      <c r="E193" s="65">
        <v>943.5</v>
      </c>
      <c r="F193" s="196" t="s">
        <v>245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276</v>
      </c>
      <c r="C194" s="229" t="s">
        <v>30</v>
      </c>
      <c r="D194" s="61" t="s">
        <v>245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277</v>
      </c>
      <c r="C195" s="229" t="s">
        <v>30</v>
      </c>
      <c r="D195" s="61" t="s">
        <v>245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30</v>
      </c>
      <c r="D196" s="251" t="s">
        <v>242</v>
      </c>
      <c r="E196" s="65">
        <v>16471.25</v>
      </c>
      <c r="F196" s="252" t="s">
        <v>242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30</v>
      </c>
      <c r="D197" s="251" t="s">
        <v>242</v>
      </c>
      <c r="E197" s="65">
        <v>32931.5</v>
      </c>
      <c r="F197" s="252" t="s">
        <v>242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30</v>
      </c>
      <c r="D198" s="251" t="s">
        <v>242</v>
      </c>
      <c r="E198" s="65">
        <v>16209.5</v>
      </c>
      <c r="F198" s="252" t="s">
        <v>242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30</v>
      </c>
      <c r="D199" s="52" t="s">
        <v>242</v>
      </c>
      <c r="E199" s="46">
        <v>32417</v>
      </c>
      <c r="F199" s="197" t="s">
        <v>242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30</v>
      </c>
      <c r="D200" s="52" t="s">
        <v>242</v>
      </c>
      <c r="E200" s="46">
        <v>50250</v>
      </c>
      <c r="F200" s="197" t="s">
        <v>242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30</v>
      </c>
      <c r="D201" s="52" t="s">
        <v>242</v>
      </c>
      <c r="E201" s="46">
        <v>25131.5</v>
      </c>
      <c r="F201" s="197" t="s">
        <v>242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30</v>
      </c>
      <c r="D202" s="155" t="s">
        <v>244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30</v>
      </c>
      <c r="D203" s="51" t="s">
        <v>245</v>
      </c>
      <c r="E203" s="46">
        <v>92</v>
      </c>
      <c r="F203" s="193" t="s">
        <v>245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30</v>
      </c>
      <c r="D204" s="155" t="s">
        <v>245</v>
      </c>
      <c r="E204" s="156">
        <v>92</v>
      </c>
      <c r="F204" s="193" t="s">
        <v>245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30</v>
      </c>
      <c r="D205" s="155" t="s">
        <v>245</v>
      </c>
      <c r="E205" s="156">
        <v>92</v>
      </c>
      <c r="F205" s="193" t="s">
        <v>245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30</v>
      </c>
      <c r="D206" s="155" t="s">
        <v>245</v>
      </c>
      <c r="E206" s="156">
        <v>8591.7999999999993</v>
      </c>
      <c r="F206" s="193" t="s">
        <v>245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289</v>
      </c>
      <c r="C207" s="229" t="s">
        <v>30</v>
      </c>
      <c r="D207" s="155" t="s">
        <v>245</v>
      </c>
      <c r="E207" s="156">
        <v>10740.701999999999</v>
      </c>
      <c r="F207" s="193" t="s">
        <v>245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290</v>
      </c>
      <c r="C208" s="229" t="s">
        <v>30</v>
      </c>
      <c r="D208" s="155" t="s">
        <v>245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291</v>
      </c>
      <c r="C209" s="229" t="s">
        <v>30</v>
      </c>
      <c r="D209" s="155" t="s">
        <v>245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30</v>
      </c>
      <c r="D210" s="155" t="s">
        <v>245</v>
      </c>
      <c r="E210" s="156">
        <v>7000</v>
      </c>
      <c r="F210" s="193" t="s">
        <v>292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293</v>
      </c>
      <c r="C211" s="229" t="s">
        <v>30</v>
      </c>
      <c r="D211" s="51" t="s">
        <v>244</v>
      </c>
      <c r="E211" s="46">
        <v>12000</v>
      </c>
      <c r="F211" s="193" t="s">
        <v>292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30</v>
      </c>
      <c r="D212" s="155" t="s">
        <v>117</v>
      </c>
      <c r="E212" s="156">
        <v>7266.666666666667</v>
      </c>
      <c r="F212" s="193" t="s">
        <v>292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294</v>
      </c>
      <c r="C213" s="229" t="s">
        <v>30</v>
      </c>
      <c r="D213" s="155" t="s">
        <v>117</v>
      </c>
      <c r="E213" s="156">
        <v>7266.666666666667</v>
      </c>
      <c r="F213" s="193" t="s">
        <v>292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295</v>
      </c>
      <c r="C214" s="229" t="s">
        <v>30</v>
      </c>
      <c r="D214" s="155" t="s">
        <v>117</v>
      </c>
      <c r="E214" s="156">
        <v>7266.665</v>
      </c>
      <c r="F214" s="193" t="s">
        <v>292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296</v>
      </c>
      <c r="C215" s="229" t="s">
        <v>30</v>
      </c>
      <c r="D215" s="155" t="s">
        <v>244</v>
      </c>
      <c r="E215" s="156">
        <v>5000</v>
      </c>
      <c r="F215" s="193" t="s">
        <v>292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297</v>
      </c>
      <c r="C216" s="229" t="s">
        <v>30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298</v>
      </c>
      <c r="C217" s="229" t="s">
        <v>30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299</v>
      </c>
      <c r="C218" s="229" t="s">
        <v>30</v>
      </c>
      <c r="D218" s="51" t="s">
        <v>242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300</v>
      </c>
      <c r="C219" s="229" t="s">
        <v>30</v>
      </c>
      <c r="D219" s="51" t="s">
        <v>242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301</v>
      </c>
      <c r="C220" s="229" t="s">
        <v>30</v>
      </c>
      <c r="D220" s="51" t="s">
        <v>242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302</v>
      </c>
      <c r="C221" s="229" t="s">
        <v>30</v>
      </c>
      <c r="D221" s="51" t="s">
        <v>210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303</v>
      </c>
      <c r="C222" s="229" t="s">
        <v>30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304</v>
      </c>
      <c r="C223" s="229" t="s">
        <v>30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305</v>
      </c>
      <c r="C224" s="229" t="s">
        <v>30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306</v>
      </c>
      <c r="C225" s="229" t="s">
        <v>30</v>
      </c>
      <c r="D225" s="51" t="s">
        <v>245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307</v>
      </c>
      <c r="C226" s="229" t="s">
        <v>30</v>
      </c>
      <c r="D226" s="51" t="s">
        <v>245</v>
      </c>
      <c r="E226" s="170">
        <v>1057</v>
      </c>
      <c r="F226" s="198" t="s">
        <v>245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308</v>
      </c>
      <c r="C227" s="229" t="s">
        <v>30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309</v>
      </c>
      <c r="C228" s="229" t="s">
        <v>30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310</v>
      </c>
      <c r="C229" s="229" t="s">
        <v>30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311</v>
      </c>
      <c r="C230" s="229" t="s">
        <v>30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30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30</v>
      </c>
      <c r="D232" s="51" t="s">
        <v>245</v>
      </c>
      <c r="E232" s="170">
        <v>819.99999999999989</v>
      </c>
      <c r="F232" s="198" t="s">
        <v>245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30</v>
      </c>
      <c r="D233" s="51" t="s">
        <v>245</v>
      </c>
      <c r="E233" s="170">
        <v>1170</v>
      </c>
      <c r="F233" s="198" t="s">
        <v>245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30</v>
      </c>
      <c r="D234" s="51" t="s">
        <v>245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30</v>
      </c>
      <c r="D235" s="51" t="s">
        <v>245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30</v>
      </c>
      <c r="D236" s="51" t="s">
        <v>245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30</v>
      </c>
      <c r="D237" s="51" t="s">
        <v>245</v>
      </c>
      <c r="E237" s="170">
        <v>13999.16</v>
      </c>
      <c r="F237" s="198" t="s">
        <v>245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30</v>
      </c>
      <c r="D238" s="51" t="s">
        <v>242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30</v>
      </c>
      <c r="D239" s="51" t="s">
        <v>220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30</v>
      </c>
      <c r="D240" s="51" t="s">
        <v>245</v>
      </c>
      <c r="E240" s="46">
        <v>1035.3</v>
      </c>
      <c r="F240" s="199" t="s">
        <v>245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30</v>
      </c>
      <c r="D241" s="51" t="s">
        <v>244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30</v>
      </c>
      <c r="D242" s="51" t="s">
        <v>244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30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30</v>
      </c>
      <c r="D244" s="51" t="s">
        <v>245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30</v>
      </c>
      <c r="D245" s="51" t="s">
        <v>245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30</v>
      </c>
      <c r="D246" s="51" t="s">
        <v>245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84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328</v>
      </c>
      <c r="C519" s="229" t="s">
        <v>55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55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55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55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55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55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55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55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55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55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55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55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55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55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55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55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55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55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55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55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55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55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55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84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352</v>
      </c>
      <c r="C565" s="229" t="s">
        <v>33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33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33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33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33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33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33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33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33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33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33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33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33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33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33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33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33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33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33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33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33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33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33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33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33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33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33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33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33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33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33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33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33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33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33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33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33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33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33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33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33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33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33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33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33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33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33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33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33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33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33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33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33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33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33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33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33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33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33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34</v>
      </c>
      <c r="C624" s="229" t="s">
        <v>33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33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33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33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33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33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33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33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33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33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33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33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33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33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33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33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33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33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33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33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33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33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33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33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33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33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33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33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33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33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33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33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33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33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33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33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33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33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33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33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33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33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33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33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33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33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33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33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33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33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33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33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33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33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33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33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33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33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33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33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33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33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33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33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33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33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33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33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33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33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33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33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33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33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33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33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33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33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33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33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33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33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33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33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33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33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33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33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33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33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33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33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33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33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33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33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33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33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33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33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33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33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33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33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33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33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33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33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33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33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33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33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33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33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33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33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33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33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33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33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33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33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33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33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33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33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33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33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33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33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33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33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33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33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33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33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33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33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33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33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33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33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33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33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554</v>
      </c>
      <c r="C768" s="229" t="s">
        <v>33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33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33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33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33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33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33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33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33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33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33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33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33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33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33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33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33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33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33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33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33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33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33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577</v>
      </c>
      <c r="C791" s="229" t="s">
        <v>33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578</v>
      </c>
      <c r="C792" s="229" t="s">
        <v>33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579</v>
      </c>
      <c r="C793" s="229" t="s">
        <v>33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580</v>
      </c>
      <c r="C794" s="229" t="s">
        <v>33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581</v>
      </c>
      <c r="C795" s="229" t="s">
        <v>33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582</v>
      </c>
      <c r="C796" s="229" t="s">
        <v>33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583</v>
      </c>
      <c r="C797" s="229" t="s">
        <v>33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584</v>
      </c>
      <c r="C798" s="229" t="s">
        <v>33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585</v>
      </c>
      <c r="C799" s="229" t="s">
        <v>33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586</v>
      </c>
      <c r="C800" s="229" t="s">
        <v>33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587</v>
      </c>
      <c r="C801" s="229" t="s">
        <v>33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588</v>
      </c>
      <c r="C802" s="229" t="s">
        <v>33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589</v>
      </c>
      <c r="C803" s="229" t="s">
        <v>33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35</v>
      </c>
      <c r="C804" s="229" t="s">
        <v>33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590</v>
      </c>
      <c r="C805" s="229" t="s">
        <v>33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591</v>
      </c>
      <c r="C806" s="229" t="s">
        <v>33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592</v>
      </c>
      <c r="C807" s="229" t="s">
        <v>33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593</v>
      </c>
      <c r="C808" s="229" t="s">
        <v>33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594</v>
      </c>
      <c r="C809" s="229" t="s">
        <v>33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33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33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33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33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33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33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33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33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33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33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33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33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33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33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33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33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33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33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33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33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33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33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33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33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33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33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33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33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33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33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33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33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33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33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33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33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33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33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33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33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33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33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33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33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33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33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33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33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33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33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33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33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33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33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33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33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33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33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33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33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33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33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33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33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33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33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33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33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33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33</v>
      </c>
      <c r="D879" s="51" t="s">
        <v>117</v>
      </c>
      <c r="E879" s="46">
        <v>131.97</v>
      </c>
      <c r="F879" s="193" t="s">
        <v>245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33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33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33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33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33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33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33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33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33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33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33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33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33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33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33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33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33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33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33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33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33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33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33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33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33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33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33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33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33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33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33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33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33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33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33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33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33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33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33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33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33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33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33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33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33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33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33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33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33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33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33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33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33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33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33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33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33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33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33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33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33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33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33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33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33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33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33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33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33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33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33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33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33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33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33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33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33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33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33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33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33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33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33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33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33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33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33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33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33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33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33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33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757</v>
      </c>
      <c r="C972" s="229" t="s">
        <v>33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758</v>
      </c>
      <c r="C973" s="229" t="s">
        <v>33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759</v>
      </c>
      <c r="C974" s="229" t="s">
        <v>33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760</v>
      </c>
      <c r="C975" s="229" t="s">
        <v>33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761</v>
      </c>
      <c r="C976" s="229" t="s">
        <v>33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762</v>
      </c>
      <c r="C977" s="229" t="s">
        <v>33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763</v>
      </c>
      <c r="C978" s="229" t="s">
        <v>33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764</v>
      </c>
      <c r="C979" s="229" t="s">
        <v>33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765</v>
      </c>
      <c r="C980" s="229" t="s">
        <v>33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766</v>
      </c>
      <c r="C981" s="229" t="s">
        <v>33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767</v>
      </c>
      <c r="C982" s="229" t="s">
        <v>33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768</v>
      </c>
      <c r="C983" s="229" t="s">
        <v>33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769</v>
      </c>
      <c r="C984" s="229" t="s">
        <v>33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770</v>
      </c>
      <c r="C985" s="229" t="s">
        <v>33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84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771</v>
      </c>
      <c r="C1014" s="164" t="s">
        <v>42</v>
      </c>
      <c r="D1014" s="51" t="s">
        <v>245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42</v>
      </c>
      <c r="D1015" s="51" t="s">
        <v>245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42</v>
      </c>
      <c r="D1016" s="51" t="s">
        <v>245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42</v>
      </c>
      <c r="D1017" s="51" t="s">
        <v>245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44</v>
      </c>
      <c r="C1018" s="164" t="s">
        <v>42</v>
      </c>
      <c r="D1018" s="51" t="s">
        <v>244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775</v>
      </c>
      <c r="C1019" s="164" t="s">
        <v>42</v>
      </c>
      <c r="D1019" s="51" t="s">
        <v>244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42</v>
      </c>
      <c r="D1020" s="51" t="s">
        <v>245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42</v>
      </c>
      <c r="D1021" s="51" t="s">
        <v>245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42</v>
      </c>
      <c r="D1022" s="51" t="s">
        <v>244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42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42</v>
      </c>
      <c r="D1024" s="155" t="s">
        <v>245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42</v>
      </c>
      <c r="D1025" s="155" t="s">
        <v>245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42</v>
      </c>
      <c r="D1026" s="155" t="s">
        <v>245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42</v>
      </c>
      <c r="D1027" s="155" t="s">
        <v>245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42</v>
      </c>
      <c r="D1028" s="155" t="s">
        <v>245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42</v>
      </c>
      <c r="D1029" s="155" t="s">
        <v>245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42</v>
      </c>
      <c r="D1030" s="155" t="s">
        <v>245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42</v>
      </c>
      <c r="D1031" s="155" t="s">
        <v>245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42</v>
      </c>
      <c r="D1032" s="155" t="s">
        <v>245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789</v>
      </c>
      <c r="C1033" s="164" t="s">
        <v>42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790</v>
      </c>
      <c r="C1034" s="164" t="s">
        <v>42</v>
      </c>
      <c r="D1034" s="155" t="s">
        <v>245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791</v>
      </c>
      <c r="C1035" s="164" t="s">
        <v>42</v>
      </c>
      <c r="D1035" s="155" t="s">
        <v>245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792</v>
      </c>
      <c r="C1036" s="164" t="s">
        <v>42</v>
      </c>
      <c r="D1036" s="155" t="s">
        <v>245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793</v>
      </c>
      <c r="C1037" s="164" t="s">
        <v>42</v>
      </c>
      <c r="D1037" s="155" t="s">
        <v>245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794</v>
      </c>
      <c r="C1038" s="164" t="s">
        <v>42</v>
      </c>
      <c r="D1038" s="155" t="s">
        <v>245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795</v>
      </c>
      <c r="C1039" s="164" t="s">
        <v>42</v>
      </c>
      <c r="D1039" s="155" t="s">
        <v>244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43</v>
      </c>
      <c r="C1040" s="164" t="s">
        <v>42</v>
      </c>
      <c r="D1040" s="155" t="s">
        <v>244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796</v>
      </c>
      <c r="C1041" s="164" t="s">
        <v>42</v>
      </c>
      <c r="D1041" s="51" t="s">
        <v>244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797</v>
      </c>
      <c r="C1042" s="164" t="s">
        <v>42</v>
      </c>
      <c r="D1042" s="51" t="s">
        <v>245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798</v>
      </c>
      <c r="C1043" s="164" t="s">
        <v>42</v>
      </c>
      <c r="D1043" s="155" t="s">
        <v>244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799</v>
      </c>
      <c r="C1044" s="164" t="s">
        <v>42</v>
      </c>
      <c r="D1044" s="51" t="s">
        <v>244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800</v>
      </c>
      <c r="C1045" s="164" t="s">
        <v>42</v>
      </c>
      <c r="D1045" s="51" t="s">
        <v>244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42</v>
      </c>
      <c r="D1046" s="51" t="s">
        <v>245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802</v>
      </c>
      <c r="C1070" s="229" t="s">
        <v>67</v>
      </c>
      <c r="D1070" s="51" t="s">
        <v>242</v>
      </c>
      <c r="E1070" s="46">
        <v>49000</v>
      </c>
      <c r="F1070" s="193" t="s">
        <v>242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803</v>
      </c>
      <c r="C1071" s="229" t="s">
        <v>67</v>
      </c>
      <c r="D1071" s="51" t="s">
        <v>178</v>
      </c>
      <c r="E1071" s="46">
        <v>14150</v>
      </c>
      <c r="F1071" s="193" t="s">
        <v>178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67</v>
      </c>
      <c r="D1072" s="51" t="s">
        <v>178</v>
      </c>
      <c r="E1072" s="46">
        <v>16000</v>
      </c>
      <c r="F1072" s="193" t="s">
        <v>178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805</v>
      </c>
      <c r="C1073" s="229" t="s">
        <v>67</v>
      </c>
      <c r="D1073" s="51" t="s">
        <v>178</v>
      </c>
      <c r="E1073" s="46">
        <v>18633.3</v>
      </c>
      <c r="F1073" s="193" t="s">
        <v>178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806</v>
      </c>
      <c r="C1074" s="229" t="s">
        <v>67</v>
      </c>
      <c r="D1074" s="51" t="s">
        <v>178</v>
      </c>
      <c r="E1074" s="46">
        <v>8550</v>
      </c>
      <c r="F1074" s="193" t="s">
        <v>178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807</v>
      </c>
      <c r="C1075" s="229" t="s">
        <v>67</v>
      </c>
      <c r="D1075" s="51" t="s">
        <v>178</v>
      </c>
      <c r="E1075" s="46">
        <v>14000</v>
      </c>
      <c r="F1075" s="193" t="s">
        <v>178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808</v>
      </c>
      <c r="C1076" s="229" t="s">
        <v>67</v>
      </c>
      <c r="D1076" s="51" t="s">
        <v>178</v>
      </c>
      <c r="E1076" s="46">
        <v>24800</v>
      </c>
      <c r="F1076" s="193" t="s">
        <v>178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84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809</v>
      </c>
      <c r="C1110" s="40" t="s">
        <v>810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811</v>
      </c>
      <c r="C1111" s="40" t="s">
        <v>810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812</v>
      </c>
      <c r="C1112" s="40" t="s">
        <v>810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813</v>
      </c>
      <c r="C1113" s="40" t="s">
        <v>810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814</v>
      </c>
      <c r="C1114" s="40" t="s">
        <v>810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815</v>
      </c>
      <c r="C1115" s="40" t="s">
        <v>810</v>
      </c>
      <c r="D1115" s="51" t="s">
        <v>178</v>
      </c>
      <c r="E1115" s="46">
        <v>61500</v>
      </c>
      <c r="F1115" s="193" t="s">
        <v>178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816</v>
      </c>
      <c r="C1116" s="40" t="s">
        <v>810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817</v>
      </c>
      <c r="C1117" s="40" t="s">
        <v>810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818</v>
      </c>
      <c r="C1118" s="40" t="s">
        <v>810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819</v>
      </c>
      <c r="C1119" s="40" t="s">
        <v>810</v>
      </c>
      <c r="D1119" s="51" t="s">
        <v>820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821</v>
      </c>
      <c r="C1120" s="40" t="s">
        <v>810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822</v>
      </c>
      <c r="C1121" s="40" t="s">
        <v>810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823</v>
      </c>
      <c r="C1122" s="40" t="s">
        <v>810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824</v>
      </c>
      <c r="C1123" s="40" t="s">
        <v>810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825</v>
      </c>
      <c r="C1124" s="40" t="s">
        <v>810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826</v>
      </c>
      <c r="C1125" s="40" t="s">
        <v>810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827</v>
      </c>
      <c r="C1126" s="40" t="s">
        <v>810</v>
      </c>
      <c r="D1126" s="51" t="s">
        <v>820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828</v>
      </c>
      <c r="C1127" s="40" t="s">
        <v>810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828</v>
      </c>
      <c r="C1128" s="40" t="s">
        <v>810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829</v>
      </c>
      <c r="C1129" s="40" t="s">
        <v>810</v>
      </c>
      <c r="D1129" s="51" t="s">
        <v>830</v>
      </c>
      <c r="E1129" s="46">
        <v>10166.700000000001</v>
      </c>
      <c r="F1129" s="193" t="s">
        <v>830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831</v>
      </c>
      <c r="C1130" s="40" t="s">
        <v>810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832</v>
      </c>
      <c r="C1131" s="40" t="s">
        <v>810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833</v>
      </c>
      <c r="C1132" s="40" t="s">
        <v>810</v>
      </c>
      <c r="D1132" s="51" t="s">
        <v>210</v>
      </c>
      <c r="E1132" s="46">
        <v>62000</v>
      </c>
      <c r="F1132" s="193" t="s">
        <v>210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834</v>
      </c>
      <c r="C1133" s="40" t="s">
        <v>810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835</v>
      </c>
      <c r="C1134" s="40" t="s">
        <v>810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84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836</v>
      </c>
      <c r="C1157" s="40" t="s">
        <v>27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27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27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27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27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27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27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27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27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27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27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27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27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27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27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27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27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27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27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27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856</v>
      </c>
      <c r="C1177" s="40" t="s">
        <v>27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857</v>
      </c>
      <c r="C1178" s="40" t="s">
        <v>27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859</v>
      </c>
      <c r="C1179" s="40" t="s">
        <v>27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861</v>
      </c>
      <c r="C1180" s="40" t="s">
        <v>27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863</v>
      </c>
      <c r="C1181" s="40" t="s">
        <v>27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864</v>
      </c>
      <c r="C1182" s="40" t="s">
        <v>27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27</v>
      </c>
      <c r="D1183" s="51" t="s">
        <v>866</v>
      </c>
      <c r="E1183" s="46">
        <v>1583.1533333333334</v>
      </c>
      <c r="F1183" s="193" t="s">
        <v>866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27</v>
      </c>
      <c r="D1184" s="51" t="s">
        <v>244</v>
      </c>
      <c r="E1184" s="46">
        <v>4180</v>
      </c>
      <c r="F1184" s="193" t="s">
        <v>244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27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27</v>
      </c>
      <c r="D1186" s="101" t="s">
        <v>245</v>
      </c>
      <c r="E1186" s="46">
        <v>0</v>
      </c>
      <c r="F1186" s="193" t="s">
        <v>245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27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27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27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27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27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27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27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27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27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27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27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27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27</v>
      </c>
      <c r="D1199" s="51" t="s">
        <v>242</v>
      </c>
      <c r="E1199" s="46">
        <v>867804</v>
      </c>
      <c r="F1199" s="193" t="s">
        <v>242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27</v>
      </c>
      <c r="D1200" s="51" t="s">
        <v>242</v>
      </c>
      <c r="E1200" s="46">
        <v>1097662</v>
      </c>
      <c r="F1200" s="193" t="s">
        <v>242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27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27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27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27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27</v>
      </c>
      <c r="D1205" s="171" t="s">
        <v>866</v>
      </c>
      <c r="E1205" s="65">
        <v>513.33285714285716</v>
      </c>
      <c r="F1205" s="196" t="s">
        <v>866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27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27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27</v>
      </c>
      <c r="D1208" s="60" t="s">
        <v>178</v>
      </c>
      <c r="E1208" s="46">
        <v>3200</v>
      </c>
      <c r="F1208" s="193" t="s">
        <v>178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27</v>
      </c>
      <c r="D1209" s="90" t="s">
        <v>220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27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27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27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84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897</v>
      </c>
      <c r="C1257" s="229" t="s">
        <v>26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26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26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26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26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26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26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26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26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26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26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26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26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26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26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26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26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26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26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26</v>
      </c>
      <c r="D1276" s="51" t="s">
        <v>866</v>
      </c>
      <c r="E1276" s="46">
        <v>3215</v>
      </c>
      <c r="F1276" s="193" t="s">
        <v>866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26</v>
      </c>
      <c r="D1277" s="51" t="s">
        <v>866</v>
      </c>
      <c r="E1277" s="46">
        <v>8300</v>
      </c>
      <c r="F1277" s="193" t="s">
        <v>866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26</v>
      </c>
      <c r="D1278" s="51" t="s">
        <v>866</v>
      </c>
      <c r="E1278" s="46">
        <v>3276</v>
      </c>
      <c r="F1278" s="193" t="s">
        <v>866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26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26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26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26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26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26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26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26</v>
      </c>
      <c r="D1286" s="51" t="s">
        <v>866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26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26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26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26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26</v>
      </c>
      <c r="D1291" s="51" t="s">
        <v>220</v>
      </c>
      <c r="E1291" s="46">
        <v>98275.666666666672</v>
      </c>
      <c r="F1291" s="193" t="s">
        <v>220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26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26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26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26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26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26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26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26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26</v>
      </c>
      <c r="D1300" s="51" t="s">
        <v>242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26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26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26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26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26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26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26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26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26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26</v>
      </c>
      <c r="D1310" s="51" t="s">
        <v>212</v>
      </c>
      <c r="E1310" s="46">
        <v>3130</v>
      </c>
      <c r="F1310" s="193" t="s">
        <v>212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26</v>
      </c>
      <c r="D1311" s="51" t="s">
        <v>212</v>
      </c>
      <c r="E1311" s="46">
        <v>5010</v>
      </c>
      <c r="F1311" s="193" t="s">
        <v>212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26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26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26</v>
      </c>
      <c r="D1314" s="51" t="s">
        <v>244</v>
      </c>
      <c r="E1314" s="46">
        <v>107770</v>
      </c>
      <c r="F1314" s="193" t="s">
        <v>244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26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26</v>
      </c>
      <c r="D1316" s="51" t="s">
        <v>212</v>
      </c>
      <c r="E1316" s="46">
        <v>21800</v>
      </c>
      <c r="F1316" s="193" t="s">
        <v>212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26</v>
      </c>
      <c r="D1317" s="51" t="s">
        <v>866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26</v>
      </c>
      <c r="D1318" s="51" t="s">
        <v>866</v>
      </c>
      <c r="E1318" s="46">
        <v>9275</v>
      </c>
      <c r="F1318" s="193" t="s">
        <v>866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26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26</v>
      </c>
      <c r="D1320" s="51" t="s">
        <v>244</v>
      </c>
      <c r="E1320" s="46">
        <v>38155</v>
      </c>
      <c r="F1320" s="193" t="s">
        <v>244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26</v>
      </c>
      <c r="D1321" s="51" t="s">
        <v>866</v>
      </c>
      <c r="E1321" s="46">
        <v>189.5</v>
      </c>
      <c r="F1321" s="193" t="s">
        <v>866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26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26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26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26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26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26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26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26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26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26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26</v>
      </c>
      <c r="D1332" s="51" t="s">
        <v>220</v>
      </c>
      <c r="E1332" s="46">
        <v>45500</v>
      </c>
      <c r="F1332" s="193" t="s">
        <v>220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26</v>
      </c>
      <c r="D1333" s="51" t="s">
        <v>220</v>
      </c>
      <c r="E1333" s="46">
        <v>44156.666666666664</v>
      </c>
      <c r="F1333" s="193" t="s">
        <v>220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26</v>
      </c>
      <c r="D1334" s="51" t="s">
        <v>220</v>
      </c>
      <c r="E1334" s="46">
        <v>43333.333333333336</v>
      </c>
      <c r="F1334" s="193" t="s">
        <v>220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26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26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26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26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27</v>
      </c>
      <c r="D1339" s="51" t="s">
        <v>866</v>
      </c>
      <c r="E1339" s="46">
        <v>1583.1533333333334</v>
      </c>
      <c r="F1339" s="193" t="s">
        <v>866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84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983</v>
      </c>
      <c r="C1351" s="104" t="s">
        <v>40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40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40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40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40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40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40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40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40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40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40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40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40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40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40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40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40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41</v>
      </c>
      <c r="C1368" s="104" t="s">
        <v>40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40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40</v>
      </c>
      <c r="D1370" s="97" t="s">
        <v>830</v>
      </c>
      <c r="E1370" s="98"/>
      <c r="F1370" s="204" t="s">
        <v>830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40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40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40</v>
      </c>
      <c r="D1373" s="97" t="s">
        <v>830</v>
      </c>
      <c r="E1373" s="98"/>
      <c r="F1373" s="204" t="s">
        <v>830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40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40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40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40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40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40</v>
      </c>
      <c r="D1379" s="97" t="s">
        <v>830</v>
      </c>
      <c r="E1379" s="98"/>
      <c r="F1379" s="204" t="s">
        <v>830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40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40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40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40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40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40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40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40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40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40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40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40</v>
      </c>
      <c r="D1391" s="100" t="s">
        <v>830</v>
      </c>
      <c r="E1391" s="98"/>
      <c r="F1391" s="203" t="s">
        <v>830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40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40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40</v>
      </c>
      <c r="D1394" s="100" t="s">
        <v>830</v>
      </c>
      <c r="E1394" s="98"/>
      <c r="F1394" s="203" t="s">
        <v>830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40</v>
      </c>
      <c r="D1395" s="97" t="s">
        <v>830</v>
      </c>
      <c r="E1395" s="98"/>
      <c r="F1395" s="204" t="s">
        <v>830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40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40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40</v>
      </c>
      <c r="D1398" s="97" t="s">
        <v>820</v>
      </c>
      <c r="E1398" s="166">
        <v>205766.7</v>
      </c>
      <c r="F1398" s="204" t="s">
        <v>820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40</v>
      </c>
      <c r="D1399" s="97" t="s">
        <v>830</v>
      </c>
      <c r="E1399" s="98"/>
      <c r="F1399" s="204" t="s">
        <v>830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40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40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40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40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40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40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40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40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40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40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40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40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40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40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40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40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40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40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40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40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40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40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40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40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40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40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40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40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40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40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40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40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40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40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40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40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40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38</v>
      </c>
    </row>
    <row r="3" spans="1:13" outlineLevel="1">
      <c r="A3" s="3" t="s">
        <v>1082</v>
      </c>
      <c r="B3" s="5" t="s">
        <v>220</v>
      </c>
      <c r="D3" s="12" t="s">
        <v>1083</v>
      </c>
      <c r="F3" s="2" t="s">
        <v>9</v>
      </c>
      <c r="H3" s="21" t="s">
        <v>1084</v>
      </c>
      <c r="I3" s="22">
        <v>43687423</v>
      </c>
      <c r="K3" t="s">
        <v>1085</v>
      </c>
      <c r="M3" s="82" t="s">
        <v>55</v>
      </c>
    </row>
    <row r="4" spans="1:13" ht="30" outlineLevel="1">
      <c r="A4" s="2" t="s">
        <v>1086</v>
      </c>
      <c r="B4" s="5" t="s">
        <v>275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33</v>
      </c>
    </row>
    <row r="5" spans="1:13" ht="30" outlineLevel="1">
      <c r="A5" s="3" t="s">
        <v>1091</v>
      </c>
      <c r="B5" s="5" t="s">
        <v>1092</v>
      </c>
      <c r="D5" s="13" t="s">
        <v>14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810</v>
      </c>
    </row>
    <row r="6" spans="1:13" outlineLevel="1">
      <c r="A6" s="2" t="s">
        <v>292</v>
      </c>
      <c r="B6" s="5" t="s">
        <v>292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27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30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42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67</v>
      </c>
    </row>
    <row r="10" spans="1:13" outlineLevel="1">
      <c r="A10" s="2" t="s">
        <v>1113</v>
      </c>
      <c r="B10" s="5" t="s">
        <v>111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126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26</v>
      </c>
    </row>
    <row r="12" spans="1:13" outlineLevel="1">
      <c r="A12" s="3" t="s">
        <v>1122</v>
      </c>
      <c r="B12" s="5" t="s">
        <v>830</v>
      </c>
      <c r="F12" s="3"/>
      <c r="H12" s="30" t="s">
        <v>1123</v>
      </c>
      <c r="I12" s="31">
        <v>32184975</v>
      </c>
      <c r="M12" s="247" t="s">
        <v>40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210</v>
      </c>
      <c r="B15" s="5" t="s">
        <v>210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242</v>
      </c>
      <c r="H16" s="273" t="s">
        <v>6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986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245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112</v>
      </c>
      <c r="H21" s="24" t="s">
        <v>1142</v>
      </c>
      <c r="I21" s="25">
        <v>1032366226</v>
      </c>
    </row>
    <row r="22" spans="1:9" outlineLevel="1">
      <c r="A22" t="s">
        <v>207</v>
      </c>
      <c r="B22" s="5" t="s">
        <v>207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212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178</v>
      </c>
      <c r="H24" s="24" t="s">
        <v>1147</v>
      </c>
      <c r="I24" s="25">
        <v>1128404319</v>
      </c>
    </row>
    <row r="25" spans="1:9" outlineLevel="1">
      <c r="A25" s="4" t="s">
        <v>866</v>
      </c>
      <c r="B25" s="5" t="s">
        <v>866</v>
      </c>
      <c r="H25" s="27" t="s">
        <v>1148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244</v>
      </c>
      <c r="B27" s="5" t="s">
        <v>244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117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2024-10-24T20:19:07Z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