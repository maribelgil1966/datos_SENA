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0" documentId="13_ncr:1_{C76D8712-ED46-4A39-A5E1-5EFAA24102C5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<sst xmlns="http://schemas.openxmlformats.org/spreadsheetml/2006/main" count="5053" uniqueCount="1394">
  <si>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</si>
  <si>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</si>
  <si>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</si>
  <si>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</si>
  <si>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</si>
  <si>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</si>
  <si>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</si>
  <si>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</si>
  <si>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</si>
  <si>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</si>
  <si>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</si>
  <si>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</si>
  <si>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</si>
  <si>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</si>
  <si>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</si>
  <si>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</si>
  <si>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</si>
  <si>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</si>
  <si>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</si>
  <si>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</si>
  <si>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</si>
  <si>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</si>
  <si>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</si>
  <si>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</si>
  <si>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</si>
  <si>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</si>
  <si>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</si>
  <si>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</si>
  <si>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</si>
  <si>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</si>
  <si>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</si>
  <si>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</si>
  <si>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</si>
  <si>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</si>
  <si>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</si>
  <si>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</si>
  <si>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</si>
  <si>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</si>
  <si>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</si>
  <si>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</si>
  <si>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</si>
  <si>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</si>
  <si>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</si>
  <si>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</si>
  <si>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</si>
  <si>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</si>
  <si>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</si>
  <si>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</si>
  <si>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</si>
  <si>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</si>
  <si>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</si>
  <si>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</si>
  <si>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</si>
  <si>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</si>
  <si>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</si>
  <si>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</si>
  <si>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</si>
  <si>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</si>
  <si>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</si>
  <si>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</si>
  <si>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</si>
  <si>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</si>
  <si>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</si>
  <si>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</si>
  <si>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</si>
  <si>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</si>
  <si>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</si>
  <si>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</si>
  <si>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</si>
  <si>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</si>
  <si>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</si>
  <si>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</si>
  <si>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</si>
  <si>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</si>
  <si>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</si>
  <si>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</si>
  <si>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</si>
  <si>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</si>
  <si>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</si>
  <si>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</si>
  <si>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</si>
  <si>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</si>
  <si>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</si>
  <si>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</si>
  <si>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</si>
  <si>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</si>
  <si>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</si>
  <si>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</si>
  <si>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</si>
  <si>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</si>
  <si>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</si>
  <si>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</si>
  <si>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</si>
  <si>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</si>
  <si>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</si>
  <si>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</si>
  <si>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</si>
  <si>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</si>
  <si>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</si>
  <si>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</si>
  <si>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</si>
  <si>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</si>
  <si>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</si>
  <si>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</si>
  <si>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</si>
  <si>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</si>
  <si>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</si>
  <si>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</si>
  <si>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</si>
  <si>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</si>
  <si>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</si>
  <si>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</si>
  <si>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</si>
  <si>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</si>
  <si>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</si>
  <si>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</si>
  <si>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</si>
  <si>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</si>
  <si>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</si>
  <si>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</si>
  <si>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</si>
  <si>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</si>
  <si>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</si>
  <si>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</si>
  <si>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</si>
  <si>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</si>
  <si>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</si>
  <si>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</si>
  <si>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</si>
  <si>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</si>
  <si>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</si>
  <si>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</si>
  <si>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</si>
  <si>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</si>
  <si>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</si>
  <si>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</si>
  <si>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</si>
  <si>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</si>
  <si>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</si>
  <si>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</si>
  <si>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</si>
  <si>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</si>
  <si>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</si>
  <si>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</si>
  <si>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</si>
  <si>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</si>
  <si>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</si>
  <si>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</si>
  <si>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</si>
  <si>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</si>
  <si>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</si>
  <si>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</si>
  <si>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</si>
  <si>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</si>
  <si>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</si>
  <si>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</si>
  <si>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</si>
  <si>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</si>
  <si>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</si>
  <si>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</si>
  <si>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</si>
  <si>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</si>
  <si>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</si>
  <si>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</si>
  <si>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</si>
  <si>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</si>
  <si>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</si>
  <si>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</si>
  <si>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</si>
  <si>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</si>
  <si>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</si>
  <si>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</si>
  <si>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</si>
  <si>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</si>
  <si>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</si>
  <si>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</si>
  <si>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</si>
  <si>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</si>
  <si>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</si>
  <si>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</si>
  <si>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</si>
  <si>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</si>
  <si>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</si>
  <si>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</si>
  <si>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</si>
  <si>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</si>
  <si>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</si>
  <si>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</si>
  <si>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</si>
  <si>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</si>
  <si>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</si>
  <si>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</si>
  <si>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</si>
  <si>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</si>
  <si>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</si>
  <si>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</si>
  <si>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</si>
  <si>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</si>
  <si>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</si>
  <si>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</si>
  <si>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</si>
  <si>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</si>
  <si>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</si>
  <si>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</si>
  <si>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</si>
  <si>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</si>
  <si>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</si>
  <si>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</si>
  <si>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</si>
  <si>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</si>
  <si>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</si>
  <si>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</si>
  <si>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</si>
  <si>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</si>
  <si>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</si>
  <si>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</si>
  <si>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</si>
  <si>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</si>
  <si>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</si>
  <si>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</si>
  <si>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</si>
  <si>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</si>
  <si>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</si>
  <si>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</si>
  <si>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</si>
  <si>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</si>
  <si>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</si>
  <si>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</si>
  <si>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</si>
  <si>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</si>
  <si>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</si>
  <si>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</si>
  <si>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</si>
  <si>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</si>
  <si>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</si>
  <si>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</si>
  <si>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</si>
  <si>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</si>
  <si>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</si>
  <si>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</si>
  <si>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</si>
  <si>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</si>
  <si>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</si>
  <si>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</si>
  <si>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</si>
  <si>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</si>
  <si>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</si>
  <si>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</si>
  <si>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</si>
  <si>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</si>
  <si>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</si>
  <si>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</si>
  <si>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</si>
  <si>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</si>
  <si>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</si>
  <si>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</si>
  <si>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</si>
  <si>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</si>
  <si>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</si>
  <si>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</si>
  <si>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</si>
  <si>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</si>
  <si>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</si>
  <si>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</si>
  <si>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</si>
  <si>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</si>
  <si>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</si>
  <si>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</si>
  <si>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</si>
  <si>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</si>
  <si>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</si>
  <si>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</si>
  <si>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</si>
  <si>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</si>
  <si>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</si>
  <si>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</si>
  <si>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</si>
  <si>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</si>
  <si>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</si>
  <si>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</si>
  <si>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</si>
  <si>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</si>
  <si>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</si>
  <si>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</si>
  <si>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</si>
  <si>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</si>
  <si>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</si>
  <si>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</si>
  <si>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</si>
  <si>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</si>
  <si>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</si>
  <si>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</si>
  <si>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</si>
  <si>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</si>
  <si>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</si>
  <si>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</si>
  <si>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</si>
  <si>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</si>
  <si>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</si>
  <si>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</si>
  <si>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</si>
  <si>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</si>
  <si>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</si>
  <si>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</si>
  <si>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</si>
  <si>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</si>
  <si>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</si>
  <si>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</si>
  <si>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</si>
  <si>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</si>
  <si>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</si>
  <si>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</si>
  <si>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</si>
  <si>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</si>
  <si>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</si>
  <si>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</si>
  <si>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</si>
  <si>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</si>
  <si>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</si>
  <si>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</si>
  <si>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</si>
  <si>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</si>
  <si>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</si>
  <si>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</si>
  <si>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</si>
  <si>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</si>
  <si>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</si>
  <si>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</si>
  <si>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</si>
  <si>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</si>
  <si>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</si>
  <si>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</si>
  <si>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</si>
  <si>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</si>
  <si>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</si>
  <si>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</si>
  <si>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</si>
  <si>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</si>
  <si>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</si>
  <si>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</si>
  <si>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</si>
  <si>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</si>
  <si>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</si>
  <si>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</si>
  <si>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</si>
  <si>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</si>
  <si>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</si>
  <si>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</si>
  <si>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</si>
  <si>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</si>
  <si>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</si>
  <si>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</si>
  <si>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</si>
  <si>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</si>
  <si>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</si>
  <si>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</si>
  <si>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</si>
  <si>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</si>
  <si>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</si>
  <si>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</si>
  <si>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</si>
  <si>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</si>
  <si>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</si>
  <si>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</si>
  <si>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</si>
  <si>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</si>
  <si>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</si>
  <si>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</si>
  <si>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</si>
  <si>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</si>
  <si>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</si>
  <si>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</si>
  <si>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</si>
  <si>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</si>
  <si>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</si>
  <si>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</si>
  <si>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</si>
  <si>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</si>
  <si>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</si>
  <si>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</si>
  <si>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</si>
  <si>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</si>
  <si>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</si>
  <si>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</si>
  <si>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</si>
  <si>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</si>
  <si>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</si>
  <si>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</si>
  <si>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</si>
  <si>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</si>
  <si>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</si>
  <si>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</si>
  <si>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</si>
  <si>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</si>
  <si>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</si>
  <si>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</si>
  <si>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</si>
  <si>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</si>
  <si>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</si>
  <si>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</si>
  <si>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</si>
  <si>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</si>
  <si>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</si>
  <si>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</si>
  <si>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</si>
  <si>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</si>
  <si>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</si>
  <si>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</si>
  <si>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</si>
  <si>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</si>
  <si>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</si>
  <si>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</si>
  <si>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</si>
  <si>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</si>
  <si>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</si>
  <si>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</si>
  <si>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</si>
  <si>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</si>
  <si>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</si>
  <si>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</si>
  <si>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</si>
  <si>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</si>
  <si>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</si>
  <si>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</si>
  <si>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</si>
  <si>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</si>
  <si>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</si>
  <si>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</si>
  <si>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</si>
  <si>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</si>
  <si>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</si>
  <si>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</si>
  <si>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</si>
  <si>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</si>
  <si>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</si>
  <si>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</si>
  <si>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</si>
  <si>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</si>
  <si>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</si>
  <si>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</si>
  <si>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</si>
  <si>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</si>
  <si>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</si>
  <si>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</si>
  <si>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</si>
  <si>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</si>
  <si>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</si>
  <si>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</si>
  <si>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</si>
  <si>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</si>
  <si>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</si>
  <si>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</si>
  <si>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</si>
  <si>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</si>
  <si>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</si>
  <si>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</si>
  <si>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</si>
  <si>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</si>
  <si>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</si>
  <si>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</si>
  <si>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</si>
  <si>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</si>
  <si>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</si>
  <si>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</si>
  <si>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</si>
  <si>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</si>
  <si>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</si>
  <si>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</si>
  <si>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</si>
  <si>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</si>
  <si>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</si>
  <si>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</si>
  <si>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</si>
  <si>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</si>
  <si>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</si>
  <si>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</si>
  <si>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</si>
  <si>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</si>
  <si>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</si>
  <si>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</si>
  <si>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</si>
  <si>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</si>
  <si>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</si>
  <si>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</si>
  <si>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</si>
  <si>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</si>
  <si>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</si>
  <si>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</si>
  <si>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</si>
  <si>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</si>
  <si>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</si>
  <si>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</si>
  <si>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</si>
  <si>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</si>
  <si>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</si>
  <si>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</si>
  <si>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</si>
  <si>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</si>
  <si>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</si>
  <si>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</si>
  <si>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</si>
  <si>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</si>
  <si>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</si>
  <si>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</si>
  <si>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</si>
  <si>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</si>
  <si>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</si>
  <si>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</si>
  <si>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</si>
  <si>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</si>
  <si>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</si>
  <si>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</si>
  <si>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</si>
  <si>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</si>
  <si>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</si>
  <si>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</si>
  <si>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</si>
  <si>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</si>
  <si>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</si>
  <si>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</si>
  <si>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</si>
  <si>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</si>
  <si>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</si>
  <si>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</si>
  <si>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</si>
  <si>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</si>
  <si>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</si>
  <si>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</si>
  <si>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</si>
  <si>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</si>
  <si>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</si>
  <si>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</si>
  <si>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</si>
  <si>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</si>
  <si>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</si>
  <si>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</si>
  <si>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</si>
  <si>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</si>
  <si>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</si>
  <si>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</si>
  <si>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</si>
  <si>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</si>
  <si>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</si>
  <si>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</si>
  <si>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</si>
  <si>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</si>
  <si>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</si>
  <si>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</si>
  <si>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</si>
  <si>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</si>
  <si>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</si>
  <si>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</si>
  <si>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</si>
  <si>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</si>
  <si>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</si>
  <si>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</si>
  <si>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</si>
  <si>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</si>
  <si>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</si>
  <si>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</si>
  <si>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</si>
  <si>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</si>
  <si>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</si>
  <si>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</si>
  <si>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</si>
  <si>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</si>
  <si>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</si>
  <si>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</si>
  <si>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</si>
  <si>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</si>
  <si>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</si>
  <si>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</si>
  <si>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</si>
  <si>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</si>
  <si>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</si>
  <si>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</si>
  <si>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</si>
  <si>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</si>
  <si>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</si>
  <si>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</si>
  <si>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</si>
  <si>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</si>
  <si>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</si>
  <si>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</si>
  <si>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</si>
  <si>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</si>
  <si>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</si>
  <si>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</si>
  <si>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</si>
  <si>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</si>
  <si>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</si>
  <si>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</si>
  <si>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</si>
  <si>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</si>
  <si>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</si>
  <si>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</si>
  <si>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</si>
  <si>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</si>
  <si>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</si>
  <si>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</si>
  <si>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</si>
  <si>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</si>
  <si>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</si>
  <si>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</si>
  <si>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</si>
  <si>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</si>
  <si>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</si>
  <si>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</si>
  <si>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</si>
  <si>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</si>
  <si>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</si>
  <si>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</si>
  <si>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</si>
  <si>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</si>
  <si>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</si>
  <si>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</si>
  <si>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</si>
  <si>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</si>
  <si>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</si>
  <si>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</si>
  <si>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</si>
  <si>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</si>
  <si>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</si>
  <si>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</si>
  <si>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</si>
  <si>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</si>
  <si>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</si>
  <si>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</si>
  <si>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</si>
  <si>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</si>
  <si>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</si>
  <si>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</si>
  <si>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</si>
  <si>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</si>
  <si>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</si>
  <si>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</si>
  <si>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</si>
  <si>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</si>
  <si>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</si>
  <si>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</si>
  <si>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</si>
  <si>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</si>
  <si>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</si>
  <si>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</si>
  <si>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</si>
  <si>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</si>
  <si>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</si>
  <si>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</si>
  <si>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</si>
  <si>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</si>
  <si>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</si>
  <si>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</si>
  <si>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</si>
  <si>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</si>
  <si>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</si>
  <si>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</si>
  <si>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</si>
  <si>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</si>
  <si>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</si>
  <si>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</si>
  <si>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</si>
  <si>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</si>
  <si>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</si>
  <si>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</si>
  <si>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</si>
  <si>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</si>
  <si>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</si>
  <si>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</si>
  <si>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</si>
  <si>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</si>
  <si>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</si>
  <si>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</si>
  <si>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</si>
  <si>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</si>
  <si>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</si>
  <si>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</si>
  <si>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</si>
  <si>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</si>
  <si>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</si>
  <si>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</si>
  <si>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</si>
  <si>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</si>
  <si>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</si>
  <si>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</si>
  <si>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</si>
  <si>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</si>
  <si>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</si>
  <si>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</si>
  <si>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</si>
  <si>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</si>
  <si>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</si>
  <si>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</si>
  <si>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</si>
  <si>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</si>
  <si>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</si>
  <si>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</si>
  <si>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</si>
  <si>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</si>
  <si>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</si>
  <si>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</si>
  <si>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</si>
  <si>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</si>
  <si>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</si>
  <si>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</si>
  <si>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</si>
  <si>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</si>
  <si>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</si>
  <si>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</si>
  <si>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</si>
  <si>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</si>
  <si>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</si>
  <si>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</si>
  <si>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</si>
  <si>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</si>
  <si>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</si>
  <si>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</si>
  <si>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</si>
  <si>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</si>
  <si>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</si>
  <si>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</si>
  <si>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</si>
  <si>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</si>
  <si>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</si>
  <si>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</si>
  <si>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</si>
  <si>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</si>
  <si>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</si>
  <si>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</si>
  <si>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</si>
  <si>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</si>
  <si>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</si>
  <si>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</si>
  <si>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</si>
  <si>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</si>
  <si>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</si>
  <si>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</si>
  <si>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</si>
  <si>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</si>
  <si>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</si>
  <si>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</si>
  <si>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</si>
  <si>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</si>
  <si>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</si>
  <si>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</si>
  <si>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</si>
  <si>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</si>
  <si>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</si>
  <si>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</si>
  <si>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</si>
  <si>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</si>
  <si>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</si>
  <si>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</si>
  <si>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</si>
  <si>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</si>
  <si>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</si>
  <si>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</si>
  <si>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</si>
  <si>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</si>
  <si>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</si>
  <si>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</si>
  <si>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</si>
  <si>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</si>
  <si>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</si>
  <si>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</si>
  <si>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</si>
  <si>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</si>
  <si>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</si>
  <si>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</si>
  <si>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</si>
  <si>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</si>
  <si>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</si>
  <si>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</si>
  <si>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</si>
  <si>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</si>
  <si>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</si>
  <si>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</si>
  <si>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</si>
  <si>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</si>
  <si>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</si>
  <si>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</si>
  <si>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</si>
  <si>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</si>
  <si>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</si>
  <si>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</si>
  <si>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</si>
  <si>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</si>
  <si>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</si>
  <si>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</si>
  <si>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</si>
  <si>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</si>
  <si>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</si>
  <si>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</si>
  <si>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</si>
  <si>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</si>
  <si>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</si>
  <si>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</si>
  <si>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</si>
  <si>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</si>
  <si>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</si>
  <si>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</si>
  <si>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</si>
  <si>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</si>
  <si>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</si>
  <si>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</si>
  <si>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</si>
  <si>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</si>
  <si>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</si>
  <si>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</si>
  <si>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</si>
  <si>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</si>
  <si>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</si>
  <si>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</si>
  <si>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</si>
  <si>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</si>
  <si>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</si>
  <si>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</si>
  <si>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</si>
  <si>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</si>
  <si>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</si>
  <si>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</si>
  <si>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</si>
  <si>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</si>
  <si>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</si>
  <si>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</si>
  <si>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</si>
  <si>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</si>
  <si>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</si>
  <si>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</si>
  <si>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</si>
  <si>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</si>
  <si>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</si>
  <si>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</si>
  <si>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</si>
  <si>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</si>
  <si>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</si>
  <si>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</si>
  <si>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</si>
  <si>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</si>
  <si>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</si>
  <si>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</si>
  <si>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</si>
  <si>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</si>
  <si>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</si>
  <si>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</si>
  <si>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</si>
  <si>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</si>
  <si>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</si>
  <si>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</si>
  <si>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</si>
  <si>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</si>
  <si>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</si>
  <si>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</si>
  <si>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</si>
  <si>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</si>
  <si>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</si>
  <si>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</si>
  <si>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</si>
  <si>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</si>
  <si>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</si>
  <si>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</si>
  <si>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</si>
  <si>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</si>
  <si>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</si>
  <si>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</si>
  <si>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</si>
  <si>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</si>
  <si>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</si>
  <si>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</si>
  <si>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</si>
  <si>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</si>
  <si>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</si>
  <si>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</si>
  <si>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</si>
  <si>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</si>
  <si>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</si>
  <si>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</si>
  <si>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</si>
  <si>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</si>
  <si>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</si>
  <si>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</si>
  <si>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</si>
  <si>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</si>
  <si>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</si>
  <si>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</si>
  <si>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</si>
  <si>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</si>
  <si>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</si>
  <si>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</si>
  <si>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</si>
  <si>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</si>
  <si>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</si>
  <si>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</si>
  <si>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</si>
  <si>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</si>
  <si>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</si>
  <si>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</si>
  <si>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</si>
  <si>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</si>
  <si>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</si>
  <si>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</si>
  <si>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</si>
  <si>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</si>
  <si>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</si>
  <si>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</si>
  <si>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</si>
  <si>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</si>
  <si>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</si>
  <si>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</si>
  <si>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</si>
  <si>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</si>
  <si>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</si>
  <si>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</si>
  <si>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</si>
  <si>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</si>
  <si>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</si>
  <si>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</si>
  <si>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</si>
  <si>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</si>
  <si>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</si>
  <si>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</si>
  <si>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</si>
  <si>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</si>
  <si>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</si>
  <si>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</si>
  <si>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</si>
  <si>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</si>
  <si>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</si>
  <si>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</si>
  <si>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</si>
  <si>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</si>
  <si>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</si>
  <si>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</si>
  <si>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</si>
  <si>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</si>
  <si>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</si>
  <si>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</si>
  <si>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</si>
  <si>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</si>
  <si>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</si>
  <si>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</si>
  <si>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</si>
  <si>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</si>
  <si>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</si>
  <si>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</si>
  <si>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</si>
  <si>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</si>
  <si>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</si>
  <si>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</si>
  <si>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</si>
  <si>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</si>
  <si>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</si>
  <si>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</si>
  <si>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</si>
  <si>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</si>
  <si>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</si>
  <si>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</si>
  <si>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</si>
  <si>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</si>
  <si>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</si>
  <si>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</si>
  <si>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</si>
  <si>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</si>
  <si>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</si>
  <si>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</si>
  <si>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</si>
  <si>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</si>
  <si>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</si>
  <si>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</si>
  <si>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</si>
  <si>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</si>
  <si>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</si>
  <si>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</si>
  <si>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</si>
  <si>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</si>
  <si>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</si>
  <si>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</si>
  <si>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</si>
  <si>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</si>
  <si>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</si>
  <si>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</si>
  <si>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</si>
  <si>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</si>
  <si>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</si>
  <si>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</si>
  <si>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</si>
  <si>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</si>
  <si>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</si>
  <si>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</si>
  <si>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</si>
  <si>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</si>
  <si>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</si>
  <si>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</si>
  <si>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</si>
  <si>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</si>
  <si>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</si>
  <si>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</si>
  <si>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</si>
  <si>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</si>
  <si>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</si>
  <si>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</si>
  <si>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</si>
  <si>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</si>
  <si>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</si>
  <si>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</si>
  <si>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</si>
  <si>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</si>
  <si>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</si>
  <si>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</si>
  <si>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</si>
  <si>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</si>
  <si>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</si>
  <si>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</si>
  <si>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</si>
  <si>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</si>
  <si>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</si>
  <si>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</si>
  <si>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</si>
  <si>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</si>
  <si>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</si>
  <si>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</si>
  <si>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</si>
  <si>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</si>
  <si>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</si>
  <si>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</si>
  <si>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</si>
  <si>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</si>
  <si>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</si>
  <si>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</si>
  <si>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</si>
  <si>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</si>
  <si>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</si>
  <si>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</si>
  <si>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</si>
  <si>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</si>
  <si>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</si>
  <si>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</si>
  <si>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</si>
  <si>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</si>
  <si>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</si>
  <si>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</si>
  <si>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</si>
  <si>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</si>
  <si>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</si>
  <si>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</si>
  <si>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</si>
  <si>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</si>
  <si>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</si>
  <si>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</si>
  <si>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</si>
  <si>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</si>
  <si>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</si>
  <si>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</si>
  <si>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</si>
  <si>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</si>
  <si>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</si>
  <si>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</si>
  <si>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</si>
  <si>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</si>
  <si>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</si>
  <si>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</si>
  <si>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</si>
  <si>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</si>
  <si>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</si>
  <si>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</si>
  <si>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</si>
  <si>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</si>
  <si>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</si>
  <si>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</si>
  <si>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</si>
  <si>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</si>
  <si>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</si>
  <si>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</si>
  <si>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</si>
  <si>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</si>
  <si>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</si>
  <si>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</si>
  <si>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</si>
  <si>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</si>
  <si>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</si>
  <si>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</si>
  <si>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</si>
  <si>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</si>
  <si>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</si>
  <si>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</si>
  <si>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</si>
  <si>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</si>
  <si>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</si>
  <si>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</si>
  <si>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</si>
  <si>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</si>
  <si>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</si>
  <si>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</si>
  <si>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</si>
  <si>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</si>
  <si>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</si>
  <si>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</si>
  <si>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</si>
  <si>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</si>
  <si>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</si>
  <si>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</si>
  <si>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</si>
  <si>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</si>
  <si>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</si>
  <si>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</si>
  <si>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</si>
  <si>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</si>
  <si>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</si>
  <si>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</si>
  <si>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</si>
  <si>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</si>
  <si>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</si>
  <si>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</si>
  <si>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</si>
  <si>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</si>
  <si>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</si>
  <si>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</si>
  <si>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</si>
  <si>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</si>
  <si>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</si>
  <si>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</si>
  <si>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</si>
  <si>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</si>
  <si>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</si>
  <si>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</si>
  <si>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</si>
  <si>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</si>
  <si>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</si>
  <si>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</si>
  <si>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</si>
  <si>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</si>
  <si>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</si>
  <si>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</si>
  <si>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</si>
  <si>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</si>
  <si>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</si>
  <si>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</si>
  <si>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</si>
  <si>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</si>
  <si>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</si>
  <si>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</si>
  <si>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</si>
  <si>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</si>
  <si>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</si>
  <si>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</si>
  <si>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</si>
  <si>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</si>
  <si>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</si>
  <si>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</si>
  <si>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</si>
  <si>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</si>
  <si>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</si>
  <si>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</si>
  <si>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</si>
  <si>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</si>
  <si>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</si>
  <si>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</si>
  <si>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</si>
  <si>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</si>
  <si>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</si>
  <si>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</si>
  <si>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</si>
  <si>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</si>
  <si>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</si>
  <si>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</si>
  <si>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</si>
  <si>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</si>
  <si>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</si>
  <si>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</si>
  <si>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</si>
  <si>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</si>
  <si>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</si>
  <si>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</si>
  <si>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</si>
  <si>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</si>
  <si>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</si>
  <si>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</si>
  <si>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</si>
  <si>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</si>
  <si>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</si>
  <si>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</si>
  <si>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</si>
  <si>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</si>
  <si>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</si>
  <si>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</si>
  <si>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</si>
  <si>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</si>
  <si>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</si>
  <si>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</si>
  <si>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</si>
  <si>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</si>
  <si>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</si>
  <si>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</si>
  <si>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</si>
  <si>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</si>
  <si>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</si>
  <si>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</si>
  <si>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</si>
  <si>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</si>
  <si>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</si>
  <si>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</si>
  <si>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</si>
  <si>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</si>
  <si>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</si>
  <si>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</si>
  <si>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</si>
  <si>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</si>
  <si>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</si>
  <si>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</si>
  <si>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</si>
  <si>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</si>
  <si>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</si>
  <si>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</si>
  <si>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</si>
  <si>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</si>
  <si>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</si>
  <si>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</si>
  <si>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</si>
  <si>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</si>
  <si>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</si>
  <si>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</si>
  <si>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</si>
  <si>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</si>
  <si>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</si>
  <si>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</si>
  <si>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</si>
  <si>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</si>
  <si>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</si>
  <si>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</si>
  <si>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</si>
  <si>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</si>
  <si>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</si>
  <si>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</si>
  <si>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</si>
  <si>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</si>
  <si>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</si>
  <si>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</si>
  <si>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</si>
  <si>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</si>
  <si>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</si>
  <si>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</si>
  <si>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</si>
  <si>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</si>
  <si>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</si>
  <si>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</si>
  <si>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</si>
  <si>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</si>
  <si>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</si>
  <si>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</si>
  <si>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</si>
  <si>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</si>
  <si>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</si>
  <si>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</si>
  <si>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</si>
  <si>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</si>
  <si>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</si>
  <si>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</si>
  <si>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</si>
  <si>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</si>
  <si>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</si>
  <si>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</si>
  <si>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</si>
  <si>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</si>
  <si>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</si>
  <si>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</si>
  <si>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</si>
  <si>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</si>
  <si>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</si>
  <si>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</si>
  <si>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</si>
  <si>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</si>
  <si>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</si>
  <si>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</si>
  <si>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</si>
  <si>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</si>
  <si>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</si>
  <si>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</si>
  <si>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</si>
  <si>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</si>
  <si>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</si>
  <si>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</si>
  <si>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</si>
  <si>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</si>
  <si>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</si>
  <si>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</si>
  <si>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</si>
  <si>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</si>
  <si>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</si>
  <si>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</si>
  <si>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</si>
  <si>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</si>
  <si>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</si>
  <si>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</si>
  <si>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</si>
  <si>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</si>
  <si>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</si>
  <si>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</si>
  <si>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</si>
  <si>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</si>
  <si>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</si>
  <si>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</si>
  <si>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</si>
  <si>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</si>
  <si>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</si>
  <si>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</si>
  <si>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</si>
  <si>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</si>
  <si>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</si>
  <si>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</si>
  <si>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</si>
  <si>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</si>
  <si>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</si>
  <si>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</si>
  <si>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</si>
  <si>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</si>
  <si>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</si>
  <si>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</si>
  <si>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</si>
  <si>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</si>
  <si>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</si>
  <si>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</si>
  <si>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</si>
  <si>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</si>
  <si>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</si>
  <si>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</si>
  <si>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</si>
  <si>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</si>
  <si>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</si>
  <si>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</si>
  <si>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</si>
  <si>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</si>
  <si>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</si>
  <si>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</si>
  <si>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</si>
  <si>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</si>
  <si>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</si>
  <si>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</si>
  <si>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</si>
  <si>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</si>
  <si>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</si>
  <si>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</si>
  <si>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</si>
  <si>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</si>
  <si>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</si>
  <si>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</si>
  <si>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</si>
  <si>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</si>
  <si>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</si>
  <si>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</si>
  <si>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</si>
  <si>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</si>
  <si>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</si>
  <si>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</si>
  <si>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</si>
  <si>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</si>
  <si>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</si>
  <si>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</si>
  <si>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</si>
  <si>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</si>
  <si>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</si>
  <si>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</si>
  <si>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</si>
  <si>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</si>
  <si>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</si>
  <si>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</si>
  <si>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</si>
  <si>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</si>
  <si>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</si>
  <si>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</si>
  <si>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</si>
  <si>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</si>
  <si>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</si>
  <si>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</si>
  <si>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</si>
  <si>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</si>
  <si>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</si>
  <si>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</si>
  <si>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</si>
  <si>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</si>
  <si>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</si>
  <si>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</si>
  <si>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</si>
  <si>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</si>
  <si>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</si>
  <si>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</si>
  <si>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</si>
  <si>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</si>
  <si>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</si>
  <si>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</si>
  <si>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</si>
  <si>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</si>
  <si>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</si>
  <si>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</si>
  <si>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 xml:space="preserve">EJERCICOS DE COSTURA </t>
  </si>
  <si>
    <t>02/15/2023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</si>
</sst>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fill>
        <patternFill>
          <bgColor rgb="FFFFC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6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5">
      <calculatedColumnFormula>A7+1</calculatedColumnFormula>
    </tableColumn>
    <tableColumn id="2" xr3:uid="{00000000-0010-0000-0100-000002000000}" name="Material" dataDxfId="134"/>
    <tableColumn id="3" xr3:uid="{00000000-0010-0000-0100-000003000000}" name="Categoría" dataDxfId="133"/>
    <tableColumn id="4" xr3:uid="{00000000-0010-0000-0100-000004000000}" name="Unidad de Compra Almacen" dataDxfId="132"/>
    <tableColumn id="5" xr3:uid="{00000000-0010-0000-0100-000005000000}" name="Precio_x000a_Unidad de Compra ( $)" dataDxfId="131" dataCellStyle="Millares"/>
    <tableColumn id="6" xr3:uid="{00000000-0010-0000-0100-000006000000}" name="Unidad Despacho Almacen" dataDxfId="130"/>
    <tableColumn id="7" xr3:uid="{00000000-0010-0000-0100-000007000000}" name="Valor /U Despacho en Almacen" dataDxfId="129">
      <calculatedColumnFormula>IF(BD!$E8="","",(E8/(H8*I8)))</calculatedColumnFormula>
    </tableColumn>
    <tableColumn id="8" xr3:uid="{00000000-0010-0000-0100-000008000000}" name="Magnitud_x000a_1 en U" dataDxfId="128" dataCellStyle="Normal 3"/>
    <tableColumn id="9" xr3:uid="{00000000-0010-0000-0100-000009000000}" name="Magnitud_x000a_2 en U" dataDxfId="127" dataCellStyle="Normal 3"/>
    <tableColumn id="10" xr3:uid="{00000000-0010-0000-0100-00000A000000}" name="Codigo en el  Almacén" dataDxfId="126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5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4">
      <calculatedColumnFormula>A33+1</calculatedColumnFormula>
    </tableColumn>
    <tableColumn id="2" xr3:uid="{00000000-0010-0000-0200-000002000000}" name="Material" dataDxfId="123"/>
    <tableColumn id="3" xr3:uid="{00000000-0010-0000-0200-000003000000}" name="Categoría" dataDxfId="122"/>
    <tableColumn id="4" xr3:uid="{00000000-0010-0000-0200-000004000000}" name="Unidad de Compra Almacen" dataDxfId="121"/>
    <tableColumn id="5" xr3:uid="{00000000-0010-0000-0200-000005000000}" name="Precio_x000a_Unidad de Compra ( $)" dataDxfId="120" dataCellStyle="Millares"/>
    <tableColumn id="6" xr3:uid="{00000000-0010-0000-0200-000006000000}" name="Unidad Despacho Almacen" dataDxfId="119"/>
    <tableColumn id="7" xr3:uid="{00000000-0010-0000-0200-000007000000}" name="Valor /U Despacho en Almacen" dataDxfId="118">
      <calculatedColumnFormula>IF(BD!$E34="","",(E34/(H34*I34)))</calculatedColumnFormula>
    </tableColumn>
    <tableColumn id="8" xr3:uid="{00000000-0010-0000-0200-000008000000}" name="Magnitud_x000a_1 en U" dataDxfId="117" dataCellStyle="Normal 3"/>
    <tableColumn id="9" xr3:uid="{00000000-0010-0000-0200-000009000000}" name="Magnitud_x000a_2 en U" dataDxfId="116" dataCellStyle="Normal 3"/>
    <tableColumn id="10" xr3:uid="{00000000-0010-0000-0200-00000A000000}" name="Codigo en el  Almacén" dataDxfId="115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4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3"/>
    <tableColumn id="2" xr3:uid="{00000000-0010-0000-0300-000002000000}" name="Material" dataDxfId="112"/>
    <tableColumn id="3" xr3:uid="{00000000-0010-0000-0300-000003000000}" name="Categoría" dataDxfId="111"/>
    <tableColumn id="4" xr3:uid="{00000000-0010-0000-0300-000004000000}" name="Unidad de Compra Almacen" dataDxfId="110"/>
    <tableColumn id="5" xr3:uid="{00000000-0010-0000-0300-000005000000}" name="Precio_x000a_Unidad de Compra ( $)" dataDxfId="109" dataCellStyle="Millares"/>
    <tableColumn id="6" xr3:uid="{00000000-0010-0000-0300-000006000000}" name="Unidad Despacho Almacen" dataDxfId="108"/>
    <tableColumn id="7" xr3:uid="{00000000-0010-0000-0300-000007000000}" name="Valor /U Despacho en Almacen" dataDxfId="107">
      <calculatedColumnFormula>IF(BD!$E162="","",(E162/(H162*I162)))</calculatedColumnFormula>
    </tableColumn>
    <tableColumn id="8" xr3:uid="{00000000-0010-0000-0300-000008000000}" name="Magnitud_x000a_1 en U" dataDxfId="106" dataCellStyle="Normal 3"/>
    <tableColumn id="9" xr3:uid="{00000000-0010-0000-0300-000009000000}" name="Magnitud_x000a_2 en U" dataDxfId="105" dataCellStyle="Normal 3"/>
    <tableColumn id="10" xr3:uid="{00000000-0010-0000-0300-00000A000000}" name="Codigo en el  Almacén" dataDxfId="104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3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2">
      <calculatedColumnFormula>A1010+1</calculatedColumnFormula>
    </tableColumn>
    <tableColumn id="2" xr3:uid="{00000000-0010-0000-0500-000002000000}" name="Material" dataDxfId="101"/>
    <tableColumn id="3" xr3:uid="{00000000-0010-0000-0500-000003000000}" name="Categoría" dataDxfId="100"/>
    <tableColumn id="4" xr3:uid="{00000000-0010-0000-0500-000004000000}" name="Unidad de Compra Almacen" dataDxfId="99"/>
    <tableColumn id="5" xr3:uid="{00000000-0010-0000-0500-000005000000}" name="Precio_x000a_Unidad de Compra ( $)" dataDxfId="98" dataCellStyle="Millares"/>
    <tableColumn id="6" xr3:uid="{00000000-0010-0000-0500-000006000000}" name="Unidad Despacho Almacen" dataDxfId="97"/>
    <tableColumn id="7" xr3:uid="{00000000-0010-0000-0500-000007000000}" name="Valor /U Despacho en Almacen" dataDxfId="96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5" dataCellStyle="Normal 3"/>
    <tableColumn id="9" xr3:uid="{00000000-0010-0000-0500-000009000000}" name="Magnitud_x000a_2 en U" dataDxfId="94" dataCellStyle="Normal 3"/>
    <tableColumn id="10" xr3:uid="{00000000-0010-0000-0500-00000A000000}" name="Codigo en el  Almacén" dataDxfId="93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2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90"/>
    <tableColumn id="2" xr3:uid="{00000000-0010-0000-0600-000002000000}" name="Material" dataDxfId="89"/>
    <tableColumn id="3" xr3:uid="{00000000-0010-0000-0600-000003000000}" name="Categoría" dataDxfId="88"/>
    <tableColumn id="4" xr3:uid="{00000000-0010-0000-0600-000004000000}" name="Unidad de Compra Almacen" dataDxfId="87"/>
    <tableColumn id="5" xr3:uid="{00000000-0010-0000-0600-000005000000}" name="Precio_x000a_Unidad de Compra ( $)" dataDxfId="86" dataCellStyle="Millares"/>
    <tableColumn id="6" xr3:uid="{00000000-0010-0000-0600-000006000000}" name="Unidad Despacho Almacen" dataDxfId="85"/>
    <tableColumn id="7" xr3:uid="{00000000-0010-0000-0600-000007000000}" name="Valor /U Despacho en Almacen" dataDxfId="84">
      <calculatedColumnFormula>IF(BD!$E1428="","",(E1428/(H1428*I1428)))</calculatedColumnFormula>
    </tableColumn>
    <tableColumn id="8" xr3:uid="{00000000-0010-0000-0600-000008000000}" name="Magnitud_x000a_1 en U" dataDxfId="83" dataCellStyle="Normal 3"/>
    <tableColumn id="9" xr3:uid="{00000000-0010-0000-0600-000009000000}" name="Magnitud_x000a_2 en U" dataDxfId="82" dataCellStyle="Normal 3"/>
    <tableColumn id="10" xr3:uid="{00000000-0010-0000-0600-00000A000000}" name="Codigo en el  Almacén" dataDxfId="81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80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9"/>
    <tableColumn id="2" xr3:uid="{00000000-0010-0000-0800-000002000000}" name="Categoría" dataDxfId="78"/>
    <tableColumn id="3" xr3:uid="{00000000-0010-0000-0800-000003000000}" name="Unidad de Compra Almacen" dataDxfId="77"/>
    <tableColumn id="4" xr3:uid="{00000000-0010-0000-0800-000004000000}" name="Precio_x000a_Unidad de Compra ( $)" dataDxfId="76" dataCellStyle="Millares"/>
    <tableColumn id="5" xr3:uid="{00000000-0010-0000-0800-000005000000}" name="Unidad Despacho Almacen" dataDxfId="75"/>
    <tableColumn id="6" xr3:uid="{00000000-0010-0000-0800-000006000000}" name="Valor /U Despacho en Almacen" dataDxfId="74"/>
    <tableColumn id="7" xr3:uid="{00000000-0010-0000-0800-000007000000}" name="Magnitud_x000a_1 en U" dataDxfId="73"/>
    <tableColumn id="8" xr3:uid="{00000000-0010-0000-0800-000008000000}" name="Magnitud_x000a_2 en U" dataDxfId="72"/>
    <tableColumn id="9" xr3:uid="{00000000-0010-0000-0800-000009000000}" name="Codigo en el  Almacén" dataDxfId="7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70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9"/>
    <tableColumn id="2" xr3:uid="{00000000-0010-0000-0900-000002000000}" name="Material" dataDxfId="68"/>
    <tableColumn id="3" xr3:uid="{00000000-0010-0000-0900-000003000000}" name="Categoría" dataDxfId="67"/>
    <tableColumn id="4" xr3:uid="{00000000-0010-0000-0900-000004000000}" name="Unidad de Compra Almacen" dataDxfId="66"/>
    <tableColumn id="5" xr3:uid="{00000000-0010-0000-0900-000005000000}" name="Precio_x000a_Unidad de Compra ( $)" dataDxfId="65" dataCellStyle="Millares"/>
    <tableColumn id="6" xr3:uid="{00000000-0010-0000-0900-000006000000}" name="Unidad Despacho Almacen" dataDxfId="64"/>
    <tableColumn id="7" xr3:uid="{00000000-0010-0000-0900-000007000000}" name="Valor /U Despacho en Almacen" dataDxfId="63">
      <calculatedColumnFormula>IF(BD!$E516="","",(E516/(H516*I516)))</calculatedColumnFormula>
    </tableColumn>
    <tableColumn id="8" xr3:uid="{00000000-0010-0000-0900-000008000000}" name="Magnitud_x000a_1 en U" dataDxfId="62" dataCellStyle="Normal 3"/>
    <tableColumn id="9" xr3:uid="{00000000-0010-0000-0900-000009000000}" name="Magnitud_x000a_2 en U" dataDxfId="61" dataCellStyle="Normal 3"/>
    <tableColumn id="10" xr3:uid="{00000000-0010-0000-0900-00000A000000}" name="Codigo en el  Almacén" dataDxfId="60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9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8">
      <calculatedColumnFormula>A561+1</calculatedColumnFormula>
    </tableColumn>
    <tableColumn id="2" xr3:uid="{EF277268-DC8D-46DF-90C7-1B2C0FF72222}" name="Material" dataDxfId="57"/>
    <tableColumn id="3" xr3:uid="{25316170-B013-4C6B-B9E5-A994940C097E}" name="Categoría" dataDxfId="56"/>
    <tableColumn id="4" xr3:uid="{9E206350-3B1D-4B47-9E08-DE240B7C0634}" name="Unidad de Compra Almacen" dataDxfId="55"/>
    <tableColumn id="5" xr3:uid="{66190489-3E1B-472E-8639-125099846ECE}" name="Precio_x000a_Unidad de Compra ( $)" dataDxfId="54" dataCellStyle="Millares"/>
    <tableColumn id="6" xr3:uid="{C0643F26-3A8D-4F3C-A595-F5D54C7CC0DA}" name="Unidad Despacho Almacen" dataDxfId="53"/>
    <tableColumn id="7" xr3:uid="{0C7A2E71-C924-4DA1-9FF0-A6BE65C6DC18}" name="Valor /U Despacho en Almacen" dataDxfId="52">
      <calculatedColumnFormula>IF(Tabla9[[#This Row],[Precio
Unidad de Compra ( $)]]="","",(E562/(H562*I562)))</calculatedColumnFormula>
    </tableColumn>
    <tableColumn id="8" xr3:uid="{2A9C4429-9C1E-4736-9831-2A94C249CFEF}" name="Magnitud_x000a_1 en U" dataDxfId="51" dataCellStyle="Normal 3"/>
    <tableColumn id="9" xr3:uid="{533C6C2B-CC20-439D-BFB9-ACB20E7E2D9E}" name="Magnitud_x000a_2 en U" dataDxfId="50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9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8"/>
    <tableColumn id="2" xr3:uid="{0B5F05EF-8DE5-43F8-BCDB-C58EB922C38B}" name="Categoría" dataDxfId="47"/>
    <tableColumn id="3" xr3:uid="{38B15AD8-488F-4D82-8F77-8CACE55EAE76}" name="Unidad de Compra Almacen" dataDxfId="46"/>
    <tableColumn id="4" xr3:uid="{68BCE66F-8464-4FE7-AFCB-316BFC906D44}" name="Precio_x000a_Unidad de Compra ( $)" dataDxfId="45" dataCellStyle="Millares"/>
    <tableColumn id="5" xr3:uid="{CC562903-3DA4-4ED7-9AC8-B90AF4ED0946}" name="Unidad Despacho Almacen" dataDxfId="44"/>
    <tableColumn id="6" xr3:uid="{72FB2BF8-D2B2-4A5A-8311-A64CABA79780}" name="Valor /U Despacho en Almacen" dataDxfId="43">
      <calculatedColumnFormula>IF(BD!$E1107="","",(E1107/(H1107*I1107)))</calculatedColumnFormula>
    </tableColumn>
    <tableColumn id="7" xr3:uid="{62D60037-B9DA-4D52-87A3-A7F22979F35D}" name="Magnitud_x000a_1 en U" dataDxfId="42" dataCellStyle="Normal 3 2"/>
    <tableColumn id="8" xr3:uid="{7BC099BB-67EB-443A-8DBA-A3E1B1E6538E}" name="Magnitud_x000a_2 en U" dataDxfId="41" dataCellStyle="Normal 3 2"/>
    <tableColumn id="9" xr3:uid="{D23BEB26-5F61-4AB5-81E4-3400821882E0}" name="Codigo en el  Almacén" dataDxfId="40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9">
  <autoFilter ref="B1066:J1073" xr:uid="{52362945-1D2A-4263-B50C-C2740374164C}"/>
  <tableColumns count="9">
    <tableColumn id="1" xr3:uid="{7DE1BDCA-E3CB-4BCF-B873-B7A5859ED004}" name="Material" dataDxfId="38"/>
    <tableColumn id="2" xr3:uid="{2CECDA36-48EF-4864-ADA7-3CAE930C4298}" name="Categoría" dataDxfId="37"/>
    <tableColumn id="3" xr3:uid="{3141C17B-FB4B-4222-B198-D0C4707B5443}" name="Unidad de Compra Almacen" dataDxfId="36"/>
    <tableColumn id="4" xr3:uid="{EC58C9E8-55CC-4316-A683-CA2EEFD02D08}" name="Precio_x000a_Unidad de Compra ( $)" dataDxfId="35" dataCellStyle="Millares"/>
    <tableColumn id="5" xr3:uid="{D7DFD78B-E2B6-45A6-B96A-342A7C598E1D}" name="Unidad Despacho Almacen" dataDxfId="34"/>
    <tableColumn id="6" xr3:uid="{7FE18E8D-131C-4935-AB30-8BC1585A3AD9}" name="Valor /U Despacho en Almacen" dataDxfId="33">
      <calculatedColumnFormula>IF(BD!$E1066="","",(E1067/(H1067*I1067)))</calculatedColumnFormula>
    </tableColumn>
    <tableColumn id="7" xr3:uid="{E01BE011-2259-4E02-8FF4-033D1C695C04}" name="Magnitud_x000a_1 en U" dataDxfId="32" dataCellStyle="Normal 3"/>
    <tableColumn id="8" xr3:uid="{E07F1540-99AD-4243-8758-9B5EDA904D8A}" name="Magnitud_x000a_2 en U" dataDxfId="31" dataCellStyle="Normal 3"/>
    <tableColumn id="9" xr3:uid="{7BC56EAC-6C3D-4996-B6F0-DA938848BDAA}" name="Codigo en el  Almacén" dataDxfId="30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9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8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7"/>
    <tableColumn id="4" xr3:uid="{E01F503B-FDAF-450D-9DAE-385FDB2640E7}" name="Unidad de Compra Almacen"/>
    <tableColumn id="5" xr3:uid="{B1D10BA0-2D24-4780-8C49-90949EABDF33}" name="Precio_x000a_Unidad de Compra ( $)" dataDxfId="26" dataCellStyle="Millares"/>
    <tableColumn id="6" xr3:uid="{E51D9CD5-91C0-49F5-87CD-CBA494872BBB}" name="Unidad Despacho Almacen" dataDxfId="25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3" headerRowBorderDxfId="22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20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9" dataDxfId="18" tableBorderDxfId="17">
  <autoFilter ref="F1:F12" xr:uid="{00000000-0009-0000-0100-000002000000}"/>
  <tableColumns count="1">
    <tableColumn id="1" xr3:uid="{00000000-0010-0000-0B00-000001000000}" name="Programas" dataDxf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5" headerRowBorderDxfId="14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2" headerRowBorderDxfId="11" tableBorderDxfId="10">
  <autoFilter ref="M1:M12" xr:uid="{00000000-0009-0000-0100-000007000000}"/>
  <sortState xmlns:xlrd2="http://schemas.microsoft.com/office/spreadsheetml/2017/richdata2" ref="M2:M12">
    <sortCondition sortBy="cellColor" ref="M1:M12" dxfId="9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8" headerRowBorderDxfId="7" tableBorderDxfId="6" totalsRowBorderDxfId="5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4" headerRowBorderDxfId="3" tableBorderDxfId="2" totalsRowBorderDxfId="1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A13" sqref="A13:C13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ER1302-1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44605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1349</v>
      </c>
      <c r="F2" s="354"/>
      <c r="G2" s="354"/>
      <c r="H2" s="354"/>
      <c r="I2" s="354"/>
      <c r="J2" s="354"/>
      <c r="K2" s="355"/>
      <c r="L2" s="374" t="s">
        <v>6</v>
      </c>
      <c r="M2" s="375"/>
      <c r="N2" s="334"/>
      <c r="O2" s="376">
        <f>IF(E2="","",INDEX(Tabla3[],MATCH('Soli_citud '!E2,Intructores,0),2))</f>
        <v>32142539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7</v>
      </c>
      <c r="D3" s="361"/>
      <c r="E3" s="362" t="s">
        <v>1348</v>
      </c>
      <c r="F3" s="363"/>
      <c r="G3" s="363"/>
      <c r="H3" s="363"/>
      <c r="I3" s="363"/>
      <c r="J3" s="363"/>
      <c r="K3" s="364"/>
      <c r="L3" s="374" t="s">
        <v>8</v>
      </c>
      <c r="M3" s="375"/>
      <c r="N3" s="334"/>
      <c r="O3" s="313">
        <v>2693493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9</v>
      </c>
      <c r="B4" s="344"/>
      <c r="C4" s="344"/>
      <c r="D4" s="338" t="s">
        <v>1392</v>
      </c>
      <c r="E4" s="339"/>
      <c r="F4" s="339"/>
      <c r="G4" s="339"/>
      <c r="H4" s="339"/>
      <c r="I4" s="339"/>
      <c r="J4" s="339"/>
      <c r="K4" s="339"/>
      <c r="L4" s="340" t="s">
        <v>10</v>
      </c>
      <c r="M4" s="340"/>
      <c r="N4" s="340"/>
      <c r="O4" s="341"/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11</v>
      </c>
      <c r="B5" s="365"/>
      <c r="C5" s="365"/>
      <c r="D5" s="366">
        <f>IF(K5="","",(SUM(W10:Y28)-(SUMIF(U10:V28,"Restar_Pedido",W10:Y28)))/$K$5)</f>
        <v>17582.524999999998</v>
      </c>
      <c r="E5" s="367"/>
      <c r="F5" s="368"/>
      <c r="G5" s="351" t="s">
        <v>12</v>
      </c>
      <c r="H5" s="369"/>
      <c r="I5" s="369"/>
      <c r="J5" s="352"/>
      <c r="K5" s="325">
        <v>16</v>
      </c>
      <c r="L5" s="325"/>
      <c r="M5" s="326" t="s">
        <v>13</v>
      </c>
      <c r="N5" s="326"/>
      <c r="O5" s="379">
        <f>IFERROR(IF(K5=0,"",D5*K5),"")</f>
        <v>281320.39999999997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14</v>
      </c>
      <c r="B7" s="356"/>
      <c r="C7" s="356"/>
      <c r="D7" s="357" t="s">
        <v>15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16</v>
      </c>
      <c r="P7" s="358"/>
      <c r="Q7" s="359" t="s">
        <v>17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18</v>
      </c>
      <c r="T8" s="371"/>
      <c r="U8" s="371"/>
      <c r="V8" s="372">
        <f>IF(K5="","",1/K5)</f>
        <v>6.25E-2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19</v>
      </c>
      <c r="T9" s="370"/>
      <c r="U9" s="358" t="s">
        <v>20</v>
      </c>
      <c r="V9" s="358"/>
      <c r="W9" s="358" t="s">
        <v>21</v>
      </c>
      <c r="X9" s="358"/>
      <c r="Y9" s="358"/>
    </row>
    <row r="10" spans="1:28" ht="17.25" customHeight="1">
      <c r="A10" s="306" t="s">
        <v>46</v>
      </c>
      <c r="B10" s="306"/>
      <c r="C10" s="307"/>
      <c r="D10" s="319" t="s">
        <v>809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si="0">IFERROR(IF(D10="","",INDEX(Tabla_Completa,MATCH(D10,Materiales,0),6)),"")</f>
        <v>cm2</v>
      </c>
      <c r="P10" s="312"/>
      <c r="Q10" s="313">
        <v>14000</v>
      </c>
      <c r="R10" s="314"/>
      <c r="S10" s="315">
        <f>IFERROR(IF(Q10="Unidad","1",(Q10*$K$5)),"")</f>
        <v>224000</v>
      </c>
      <c r="T10" s="316"/>
      <c r="U10" s="317"/>
      <c r="V10" s="323"/>
      <c r="W10" s="318">
        <f>IFERROR(IF(D10="","",INDEX(Tabla_Completa,MATCH('Soli_citud '!D10,Materiales,0),7)*S10),"")</f>
        <v>154067.19999999998</v>
      </c>
      <c r="X10" s="318"/>
      <c r="Y10" s="318"/>
      <c r="Z10" s="34"/>
    </row>
    <row r="11" spans="1:28" ht="17.25" customHeight="1">
      <c r="A11" s="305" t="s">
        <v>1031</v>
      </c>
      <c r="B11" s="306"/>
      <c r="C11" s="307"/>
      <c r="D11" s="319" t="s">
        <v>1045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si="0"/>
        <v>U</v>
      </c>
      <c r="P11" s="312"/>
      <c r="Q11" s="313">
        <v>2</v>
      </c>
      <c r="R11" s="314"/>
      <c r="S11" s="315">
        <f t="shared" ref="S11:S31" si="1">IFERROR(IF(Q11="Unidad","1",(Q11*$K$5)),"")</f>
        <v>32</v>
      </c>
      <c r="T11" s="316"/>
      <c r="U11" s="317"/>
      <c r="V11" s="317"/>
      <c r="W11" s="318">
        <f>IFERROR(IF(D11="","",INDEX(Tabla_Completa,MATCH('Soli_citud '!D11,Materiales,0),7)*S11),"")</f>
        <v>10986.56</v>
      </c>
      <c r="X11" s="318"/>
      <c r="Y11" s="318"/>
    </row>
    <row r="12" spans="1:28" ht="15.75" customHeight="1">
      <c r="A12" s="305" t="s">
        <v>224</v>
      </c>
      <c r="B12" s="306"/>
      <c r="C12" s="307"/>
      <c r="D12" s="322" t="s">
        <v>318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si="2">IFERROR(IF(D12="","",INDEX(Tabla_Completa,MATCH(D12,Materiales,0),6)),"")</f>
        <v>Cono</v>
      </c>
      <c r="P12" s="312"/>
      <c r="Q12" s="313">
        <v>1</v>
      </c>
      <c r="R12" s="314"/>
      <c r="S12" s="315">
        <f t="shared" si="1"/>
        <v>16</v>
      </c>
      <c r="T12" s="316"/>
      <c r="U12" s="317"/>
      <c r="V12" s="317"/>
      <c r="W12" s="318">
        <f>IFERROR(IF(D12="","",INDEX(Tabla_Completa,MATCH('Soli_citud '!D12,Materiales,0),7)*S12),"")</f>
        <v>116266.64</v>
      </c>
      <c r="X12" s="318"/>
      <c r="Y12" s="318"/>
    </row>
    <row r="13" spans="1:28" ht="15.75" customHeight="1">
      <c r="A13" s="305"/>
      <c r="B13" s="306"/>
      <c r="C13" s="307"/>
      <c r="D13" s="319"/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si="0"/>
        <v/>
      </c>
      <c r="P13" s="312"/>
      <c r="Q13" s="313"/>
      <c r="R13" s="314"/>
      <c r="S13" s="315">
        <f t="shared" si="1"/>
        <v>0</v>
      </c>
      <c r="T13" s="316"/>
      <c r="U13" s="317"/>
      <c r="V13" s="317"/>
      <c r="W13" s="318" t="str">
        <f>IFERROR(IF(D13="","",INDEX(Tabla_Completa,MATCH('Soli_citud '!D13,Materiales,0),7)*S13),"")</f>
        <v/>
      </c>
      <c r="X13" s="318"/>
      <c r="Y13" s="318"/>
    </row>
    <row r="14" spans="1:28" ht="17.25" customHeight="1">
      <c r="A14" s="305"/>
      <c r="B14" s="306"/>
      <c r="C14" s="307"/>
      <c r="D14" s="319"/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si="0"/>
        <v/>
      </c>
      <c r="P14" s="312"/>
      <c r="Q14" s="313"/>
      <c r="R14" s="314"/>
      <c r="S14" s="315">
        <f t="shared" si="1"/>
        <v>0</v>
      </c>
      <c r="T14" s="316"/>
      <c r="U14" s="317"/>
      <c r="V14" s="317"/>
      <c r="W14" s="318" t="str">
        <f>IFERROR(IF(D14="","",INDEX(Tabla_Completa,MATCH('Soli_citud '!D14,Materiales,0),7)*S14),"")</f>
        <v/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22</v>
      </c>
      <c r="B39" s="399"/>
      <c r="C39" s="399"/>
      <c r="D39" s="400" t="s">
        <v>23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24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25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26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27</v>
      </c>
      <c r="O44" s="389"/>
      <c r="P44" s="389"/>
      <c r="Q44" s="389"/>
      <c r="R44" s="395" t="s">
        <v>28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29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30</v>
      </c>
      <c r="O45" s="389"/>
      <c r="P45" s="389"/>
      <c r="Q45" s="389"/>
      <c r="R45" s="396" t="s">
        <v>31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32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33</v>
      </c>
      <c r="O46" s="389"/>
      <c r="P46" s="389"/>
      <c r="Q46" s="389"/>
      <c r="R46" s="388" t="s">
        <v>34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35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36</v>
      </c>
      <c r="O47" s="389"/>
      <c r="P47" s="389"/>
      <c r="Q47" s="389"/>
      <c r="R47" s="388" t="s">
        <v>37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38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39</v>
      </c>
      <c r="O48" s="389"/>
      <c r="P48" s="389"/>
      <c r="Q48" s="389"/>
      <c r="R48" s="388" t="s">
        <v>40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41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42</v>
      </c>
      <c r="O49" s="390"/>
      <c r="P49" s="390"/>
      <c r="Q49" s="390"/>
      <c r="R49" s="396" t="s">
        <v>43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44</v>
      </c>
      <c r="O50" s="389"/>
      <c r="P50" s="389"/>
      <c r="Q50" s="389"/>
      <c r="R50" s="388" t="s">
        <v>45</v>
      </c>
      <c r="S50" s="388"/>
      <c r="T50" s="388"/>
      <c r="U50" s="388"/>
      <c r="V50" s="388"/>
      <c r="W50" s="388"/>
      <c r="X50" s="388"/>
    </row>
    <row r="51" spans="1:24" ht="15.75">
      <c r="N51" s="389" t="s">
        <v>46</v>
      </c>
      <c r="O51" s="389"/>
      <c r="P51" s="389"/>
      <c r="Q51" s="389"/>
      <c r="R51" s="388" t="s">
        <v>47</v>
      </c>
      <c r="S51" s="388"/>
      <c r="T51" s="388"/>
      <c r="U51" s="388"/>
      <c r="V51" s="388"/>
      <c r="W51" s="388"/>
      <c r="X51" s="388"/>
    </row>
    <row r="52" spans="1:24" ht="15.75">
      <c r="N52" s="389" t="s">
        <v>48</v>
      </c>
      <c r="O52" s="389"/>
      <c r="P52" s="389"/>
      <c r="Q52" s="389"/>
      <c r="R52" s="388" t="s">
        <v>37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J15" sqref="J15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49</v>
      </c>
      <c r="E1" s="472"/>
      <c r="F1" s="472"/>
      <c r="G1" s="472"/>
      <c r="H1" s="472"/>
      <c r="I1" s="472"/>
      <c r="J1" s="477" t="s">
        <v>50</v>
      </c>
      <c r="K1" s="478"/>
      <c r="L1" s="478"/>
      <c r="M1" s="479"/>
      <c r="N1" s="473">
        <f>IF('Soli_citud '!O1="","",'Soli_citud '!O1)</f>
        <v>44605</v>
      </c>
      <c r="O1" s="474"/>
      <c r="P1" s="407" t="s">
        <v>51</v>
      </c>
      <c r="Q1" s="408"/>
      <c r="R1" s="403" t="str">
        <f>IF('Soli_citud '!D4="","",'Soli_citud '!D4)</f>
        <v xml:space="preserve">EJERCICOS DE COSTURA </v>
      </c>
      <c r="S1" s="404"/>
      <c r="Z1" t="s">
        <v>52</v>
      </c>
      <c r="AA1" s="252" t="s">
        <v>52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53</v>
      </c>
      <c r="K2" s="455"/>
      <c r="L2" s="455"/>
      <c r="M2" s="456"/>
      <c r="N2" s="475" t="str">
        <f>'Soli_citud '!F1</f>
        <v>ER1302-1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54</v>
      </c>
      <c r="K3" s="476"/>
      <c r="L3" s="476"/>
      <c r="M3" s="476"/>
      <c r="N3" s="463">
        <f>IF('Soli_citud '!O3="","",'Soli_citud '!O3)</f>
        <v>2693493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55</v>
      </c>
      <c r="K4" s="468"/>
      <c r="L4" s="468"/>
      <c r="M4" s="469" t="str">
        <f>IF('Soli_citud '!O4="","",'Soli_citud '!O4)</f>
        <v/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56</v>
      </c>
      <c r="C6" s="449"/>
      <c r="D6" s="450"/>
      <c r="E6" s="465" t="s">
        <v>57</v>
      </c>
      <c r="F6" s="465"/>
      <c r="G6" s="465"/>
      <c r="H6" s="465"/>
      <c r="I6" s="466"/>
      <c r="J6" s="439" t="s">
        <v>58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>IFERROR(IF(R3="","",G9*M10),"")</f>
        <v/>
      </c>
      <c r="S7" s="419"/>
    </row>
    <row r="8" spans="1:27" ht="20.25" customHeight="1">
      <c r="A8" s="257"/>
      <c r="B8" s="426">
        <f>IF('Soli_citud '!D5&lt;= 0,"",'Soli_citud '!D5)</f>
        <v>17582.524999999998</v>
      </c>
      <c r="C8" s="427"/>
      <c r="D8" s="428"/>
      <c r="E8" s="445" t="s">
        <v>59</v>
      </c>
      <c r="F8" s="446"/>
      <c r="G8" s="446"/>
      <c r="H8" s="446"/>
      <c r="I8" s="447"/>
      <c r="J8" s="441" t="str">
        <f>IF('Soli_citud '!E2="","",'Soli_citud '!E2)</f>
        <v>Emely Rivera Delgado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60</v>
      </c>
      <c r="C9" s="430"/>
      <c r="D9" s="422"/>
      <c r="E9" s="421" t="s">
        <v>61</v>
      </c>
      <c r="F9" s="421"/>
      <c r="G9" s="433" t="str">
        <f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62</v>
      </c>
      <c r="K10" s="461"/>
      <c r="L10" s="462"/>
      <c r="M10" s="242">
        <f>'Soli_citud '!K5</f>
        <v>16</v>
      </c>
      <c r="N10" s="443" t="s">
        <v>63</v>
      </c>
      <c r="O10" s="444"/>
      <c r="P10" s="411"/>
      <c r="Q10" s="412"/>
      <c r="R10" s="243" t="s">
        <v>64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4" t="s">
        <v>66</v>
      </c>
      <c r="C11" s="423" t="s">
        <v>67</v>
      </c>
      <c r="D11" s="424"/>
      <c r="E11" s="424"/>
      <c r="F11" s="425"/>
      <c r="G11" s="112" t="s">
        <v>68</v>
      </c>
      <c r="H11" s="112" t="s">
        <v>69</v>
      </c>
      <c r="I11" s="237" t="s">
        <v>70</v>
      </c>
      <c r="J11" s="110" t="s">
        <v>71</v>
      </c>
      <c r="K11" s="223" t="s">
        <v>72</v>
      </c>
      <c r="L11" s="459" t="s">
        <v>20</v>
      </c>
      <c r="M11" s="460"/>
      <c r="N11" s="240" t="s">
        <v>73</v>
      </c>
      <c r="O11" s="240" t="s">
        <v>74</v>
      </c>
      <c r="P11" s="244" t="s">
        <v>75</v>
      </c>
      <c r="Q11" s="245" t="s">
        <v>76</v>
      </c>
      <c r="R11" s="236" t="s">
        <v>77</v>
      </c>
      <c r="S11" s="224" t="s">
        <v>78</v>
      </c>
    </row>
    <row r="12" spans="1:27" ht="19.5" customHeight="1">
      <c r="A12" s="78">
        <v>1</v>
      </c>
      <c r="B12" s="265" t="str">
        <f>IF(H12="","",$N$2)</f>
        <v>ER1302-1</v>
      </c>
      <c r="C12" s="420" t="str">
        <f>IFERROR(IF('Soli_citud '!D10="","",'Soli_citud '!D10),"")</f>
        <v>INTERLON</v>
      </c>
      <c r="D12" s="420"/>
      <c r="E12" s="420"/>
      <c r="F12" s="420"/>
      <c r="G12" s="226" t="str">
        <f>IF('Soli_citud '!O10="","",'Soli_citud '!O10)</f>
        <v>cm2</v>
      </c>
      <c r="H12" s="226" cm="1">
        <f t="array" ref="H12">_xlfn.IFS('Soli_citud '!S10="","",'Soli_citud '!S10&lt;=0,"",'Soli_citud '!S10&gt;0,'Soli_citud '!S10)</f>
        <v>224000</v>
      </c>
      <c r="I12" s="227" t="s">
        <v>1393</v>
      </c>
      <c r="J12" s="228">
        <v>140000</v>
      </c>
      <c r="K12" s="207" cm="1">
        <f t="array" ref="K12">IFERROR(_xlfn.IFS(H12="","",J12=H12,"Cumplido",J12&lt;H12,H12-J12,J12&gt;H12,"Revisar"),"")</f>
        <v>84000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ER1302-1</v>
      </c>
      <c r="C13" s="420" t="str">
        <f>IFERROR(IF('Soli_citud '!D11="","",'Soli_citud '!D11),"")</f>
        <v>AGUJA LARGA CABO GRUESO 110</v>
      </c>
      <c r="D13" s="420"/>
      <c r="E13" s="420"/>
      <c r="F13" s="420"/>
      <c r="G13" s="226" t="str">
        <f>IF('Soli_citud '!O11="","",'Soli_citud '!O11)</f>
        <v>U</v>
      </c>
      <c r="H13" s="226" cm="1">
        <f t="array" ref="H13">_xlfn.IFS('Soli_citud '!S11="","",'Soli_citud '!S11&lt;=0,"",'Soli_citud '!S11&gt;0,'Soli_citud '!S11)</f>
        <v>32</v>
      </c>
      <c r="I13" s="227" t="s">
        <v>1393</v>
      </c>
      <c r="J13" s="229">
        <v>20</v>
      </c>
      <c r="K13" s="207" cm="1">
        <f t="array" ref="K13">IFERROR(_xlfn.IFS(H13="","",J13=H13,"Cumplido",J13&lt;H13,H13-J13,J13&gt;H13,"Revisar"),"")</f>
        <v>12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ER1302-1</v>
      </c>
      <c r="C14" s="420" t="str">
        <f>IFERROR(IF('Soli_citud '!D12="","",'Soli_citud '!D12),"")</f>
        <v xml:space="preserve">HILO NYLON #60
</v>
      </c>
      <c r="D14" s="420"/>
      <c r="E14" s="420"/>
      <c r="F14" s="420"/>
      <c r="G14" s="226" t="str">
        <f>IF('Soli_citud '!O12="","",'Soli_citud '!O12)</f>
        <v>Cono</v>
      </c>
      <c r="H14" s="226" cm="1">
        <f t="array" ref="H14">_xlfn.IFS('Soli_citud '!S12="","",'Soli_citud '!S12&lt;=0,"",'Soli_citud '!S12&gt;0,'Soli_citud '!S12)</f>
        <v>16</v>
      </c>
      <c r="I14" s="227" t="s">
        <v>1393</v>
      </c>
      <c r="J14" s="229">
        <v>10</v>
      </c>
      <c r="K14" s="207" cm="1">
        <f t="array" ref="K14">IFERROR(_xlfn.IFS(H14="","",J14=H14,"Cumplido",J14&lt;H14,H14-J14,J14&gt;H14,"Revisar"),"")</f>
        <v>6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20" t="str">
        <f>IFERROR(IF('Soli_citud '!D13="","",'Soli_citud '!D13),"")</f>
        <v/>
      </c>
      <c r="D15" s="420"/>
      <c r="E15" s="420"/>
      <c r="F15" s="420"/>
      <c r="G15" s="226" t="str">
        <f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20" t="str">
        <f>IFERROR(IF('Soli_citud '!D14="","",'Soli_citud '!D14),"")</f>
        <v/>
      </c>
      <c r="D16" s="420"/>
      <c r="E16" s="420"/>
      <c r="F16" s="420"/>
      <c r="G16" s="226" t="str">
        <f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6" t="str">
        <f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6" t="str">
        <f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0" priority="11">
      <formula>LEN(TRIM(I12))=0</formula>
    </cfRule>
  </conditionalFormatting>
  <conditionalFormatting sqref="R12:S32">
    <cfRule type="containsBlanks" dxfId="172" priority="10">
      <formula>LEN(TRIM(R12))=0</formula>
    </cfRule>
  </conditionalFormatting>
  <conditionalFormatting sqref="N12:N32">
    <cfRule type="containsBlanks" dxfId="171" priority="8">
      <formula>LEN(TRIM(N12))=0</formula>
    </cfRule>
  </conditionalFormatting>
  <conditionalFormatting sqref="S10">
    <cfRule type="containsText" dxfId="170" priority="7" operator="containsText" text="Cumplido">
      <formula>NOT(ISERROR(SEARCH("Cumplido",S10)))</formula>
    </cfRule>
  </conditionalFormatting>
  <conditionalFormatting sqref="P12:P32">
    <cfRule type="containsText" dxfId="169" priority="6" operator="containsText" text="DEVOLUTIVO">
      <formula>NOT(ISERROR(SEARCH("DEVOLUTIVO",P12)))</formula>
    </cfRule>
  </conditionalFormatting>
  <conditionalFormatting sqref="Q12:Q32">
    <cfRule type="containsBlanks" dxfId="168" priority="4">
      <formula>LEN(TRIM(Q12))=0</formula>
    </cfRule>
  </conditionalFormatting>
  <conditionalFormatting sqref="R3:S4">
    <cfRule type="containsText" dxfId="167" priority="3" operator="containsText" text="Entrega de Producto">
      <formula>NOT(ISERROR(SEARCH("Entrega de Producto",R3)))</formula>
    </cfRule>
  </conditionalFormatting>
  <conditionalFormatting sqref="R7:S8">
    <cfRule type="cellIs" dxfId="166" priority="2" operator="greaterThanOrEqual">
      <formula>1</formula>
    </cfRule>
  </conditionalFormatting>
  <conditionalFormatting sqref="N6:O6">
    <cfRule type="containsText" dxfId="165" priority="1" operator="containsText" text="Aprobar Pedido">
      <formula>NOT(ISERROR(SEARCH("Aprobar Pedido",N6)))</formula>
    </cfRule>
  </conditionalFormatting>
  <conditionalFormatting sqref="E12:F32">
    <cfRule type="expression" dxfId="164" priority="664">
      <formula>#REF!="DEVOLUTIVO"</formula>
    </cfRule>
  </conditionalFormatting>
  <conditionalFormatting sqref="C12:D32">
    <cfRule type="expression" dxfId="163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79</v>
      </c>
      <c r="F1" s="486"/>
      <c r="Z1" s="252" t="s">
        <v>52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80</v>
      </c>
      <c r="B6" s="304">
        <f>SUBTOTAL(3,(BD!$B$8:$B$20))</f>
        <v>13</v>
      </c>
      <c r="C6" s="482"/>
      <c r="D6" s="483"/>
      <c r="H6" s="480" t="s">
        <v>81</v>
      </c>
      <c r="I6" s="480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106</v>
      </c>
      <c r="C20" s="275" t="s">
        <v>27</v>
      </c>
      <c r="D20" s="48" t="s">
        <v>93</v>
      </c>
      <c r="E20" s="43"/>
      <c r="F20" s="188" t="s">
        <v>93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108</v>
      </c>
      <c r="C34" s="219" t="s">
        <v>109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110</v>
      </c>
      <c r="C35" s="219" t="s">
        <v>109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111</v>
      </c>
      <c r="C36" s="219" t="s">
        <v>109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112</v>
      </c>
      <c r="C37" s="219" t="s">
        <v>109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113</v>
      </c>
      <c r="C38" s="219" t="s">
        <v>109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114</v>
      </c>
      <c r="C39" s="219" t="s">
        <v>109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115</v>
      </c>
      <c r="C40" s="219" t="s">
        <v>109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116</v>
      </c>
      <c r="C41" s="219" t="s">
        <v>109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117</v>
      </c>
      <c r="C42" s="219" t="s">
        <v>109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118</v>
      </c>
      <c r="C43" s="219" t="s">
        <v>109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119</v>
      </c>
      <c r="C44" s="219" t="s">
        <v>109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120</v>
      </c>
      <c r="C45" s="219" t="s">
        <v>109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121</v>
      </c>
      <c r="C46" s="219" t="s">
        <v>109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122</v>
      </c>
      <c r="C47" s="219" t="s">
        <v>109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123</v>
      </c>
      <c r="C48" s="219" t="s">
        <v>109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124</v>
      </c>
      <c r="C49" s="219" t="s">
        <v>109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125</v>
      </c>
      <c r="C50" s="219" t="s">
        <v>109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126</v>
      </c>
      <c r="C51" s="219" t="s">
        <v>109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127</v>
      </c>
      <c r="C52" s="219" t="s">
        <v>109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128</v>
      </c>
      <c r="C53" s="219" t="s">
        <v>109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129</v>
      </c>
      <c r="C54" s="219" t="s">
        <v>109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130</v>
      </c>
      <c r="C55" s="219" t="s">
        <v>109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131</v>
      </c>
      <c r="C56" s="219" t="s">
        <v>109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132</v>
      </c>
      <c r="C57" s="219" t="s">
        <v>109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133</v>
      </c>
      <c r="C58" s="219" t="s">
        <v>109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134</v>
      </c>
      <c r="C59" s="219" t="s">
        <v>109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135</v>
      </c>
      <c r="C60" s="219" t="s">
        <v>109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136</v>
      </c>
      <c r="C61" s="219" t="s">
        <v>109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137</v>
      </c>
      <c r="C62" s="219" t="s">
        <v>109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138</v>
      </c>
      <c r="C63" s="219" t="s">
        <v>109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139</v>
      </c>
      <c r="C64" s="219" t="s">
        <v>109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140</v>
      </c>
      <c r="C65" s="219" t="s">
        <v>109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141</v>
      </c>
      <c r="C66" s="219" t="s">
        <v>109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142</v>
      </c>
      <c r="C67" s="219" t="s">
        <v>109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143</v>
      </c>
      <c r="C68" s="219" t="s">
        <v>109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144</v>
      </c>
      <c r="C69" s="219" t="s">
        <v>109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145</v>
      </c>
      <c r="C70" s="219" t="s">
        <v>109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146</v>
      </c>
      <c r="C71" s="219" t="s">
        <v>109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147</v>
      </c>
      <c r="C72" s="219" t="s">
        <v>109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148</v>
      </c>
      <c r="C73" s="219" t="s">
        <v>109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149</v>
      </c>
      <c r="C74" s="219" t="s">
        <v>109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150</v>
      </c>
      <c r="C75" s="219" t="s">
        <v>109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151</v>
      </c>
      <c r="C76" s="219" t="s">
        <v>109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152</v>
      </c>
      <c r="C77" s="219" t="s">
        <v>109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153</v>
      </c>
      <c r="C78" s="219" t="s">
        <v>109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154</v>
      </c>
      <c r="C79" s="219" t="s">
        <v>109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155</v>
      </c>
      <c r="C80" s="219" t="s">
        <v>109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156</v>
      </c>
      <c r="C81" s="219" t="s">
        <v>109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157</v>
      </c>
      <c r="C82" s="219" t="s">
        <v>109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158</v>
      </c>
      <c r="C83" s="219" t="s">
        <v>109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159</v>
      </c>
      <c r="C84" s="219" t="s">
        <v>109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160</v>
      </c>
      <c r="C85" s="219" t="s">
        <v>109</v>
      </c>
      <c r="D85" s="48" t="s">
        <v>161</v>
      </c>
      <c r="E85" s="43">
        <v>97321</v>
      </c>
      <c r="F85" s="188" t="s">
        <v>161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162</v>
      </c>
      <c r="C86" s="219" t="s">
        <v>109</v>
      </c>
      <c r="D86" s="48" t="s">
        <v>161</v>
      </c>
      <c r="E86" s="43">
        <v>99191</v>
      </c>
      <c r="F86" s="188" t="s">
        <v>161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163</v>
      </c>
      <c r="C87" s="219" t="s">
        <v>109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164</v>
      </c>
      <c r="C88" s="219" t="s">
        <v>109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165</v>
      </c>
      <c r="C89" s="219" t="s">
        <v>109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166</v>
      </c>
      <c r="C90" s="219" t="s">
        <v>109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167</v>
      </c>
      <c r="C91" s="219" t="s">
        <v>109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168</v>
      </c>
      <c r="C92" s="219" t="s">
        <v>109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169</v>
      </c>
      <c r="C93" s="219" t="s">
        <v>109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170</v>
      </c>
      <c r="C94" s="219" t="s">
        <v>109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171</v>
      </c>
      <c r="C95" s="219" t="s">
        <v>109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172</v>
      </c>
      <c r="C96" s="219" t="s">
        <v>109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173</v>
      </c>
      <c r="C97" s="219" t="s">
        <v>109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174</v>
      </c>
      <c r="C98" s="219" t="s">
        <v>109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175</v>
      </c>
      <c r="C99" s="219" t="s">
        <v>109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176</v>
      </c>
      <c r="C100" s="219" t="s">
        <v>109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177</v>
      </c>
      <c r="C101" s="219" t="s">
        <v>109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178</v>
      </c>
      <c r="C102" s="219" t="s">
        <v>109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179</v>
      </c>
      <c r="C103" s="219" t="s">
        <v>109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180</v>
      </c>
      <c r="C104" s="219" t="s">
        <v>109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181</v>
      </c>
      <c r="C105" s="219" t="s">
        <v>109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182</v>
      </c>
      <c r="C106" s="219" t="s">
        <v>109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183</v>
      </c>
      <c r="C107" s="219" t="s">
        <v>109</v>
      </c>
      <c r="D107" s="48" t="s">
        <v>161</v>
      </c>
      <c r="E107" s="43">
        <v>47662</v>
      </c>
      <c r="F107" s="188" t="s">
        <v>161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184</v>
      </c>
      <c r="C108" s="219" t="s">
        <v>109</v>
      </c>
      <c r="D108" s="48" t="s">
        <v>161</v>
      </c>
      <c r="E108" s="43">
        <v>8533</v>
      </c>
      <c r="F108" s="188" t="s">
        <v>161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185</v>
      </c>
      <c r="C109" s="219" t="s">
        <v>109</v>
      </c>
      <c r="D109" s="48" t="s">
        <v>161</v>
      </c>
      <c r="E109" s="43">
        <v>8367</v>
      </c>
      <c r="F109" s="188" t="s">
        <v>161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186</v>
      </c>
      <c r="C110" s="219" t="s">
        <v>109</v>
      </c>
      <c r="D110" s="48" t="s">
        <v>161</v>
      </c>
      <c r="E110" s="43">
        <v>32859</v>
      </c>
      <c r="F110" s="188" t="s">
        <v>161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187</v>
      </c>
      <c r="C111" s="219" t="s">
        <v>109</v>
      </c>
      <c r="D111" s="48" t="s">
        <v>161</v>
      </c>
      <c r="E111" s="43">
        <v>9366</v>
      </c>
      <c r="F111" s="188" t="s">
        <v>161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188</v>
      </c>
      <c r="C112" s="219" t="s">
        <v>109</v>
      </c>
      <c r="D112" s="48" t="s">
        <v>161</v>
      </c>
      <c r="E112" s="43">
        <v>54502</v>
      </c>
      <c r="F112" s="188" t="s">
        <v>161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189</v>
      </c>
      <c r="C113" s="219" t="s">
        <v>109</v>
      </c>
      <c r="D113" s="48" t="s">
        <v>190</v>
      </c>
      <c r="E113" s="43">
        <v>14170</v>
      </c>
      <c r="F113" s="188" t="s">
        <v>190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191</v>
      </c>
      <c r="C114" s="219" t="s">
        <v>109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192</v>
      </c>
      <c r="C115" s="219" t="s">
        <v>109</v>
      </c>
      <c r="D115" s="48" t="s">
        <v>193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194</v>
      </c>
      <c r="C116" s="219" t="s">
        <v>109</v>
      </c>
      <c r="D116" s="48" t="s">
        <v>195</v>
      </c>
      <c r="E116" s="43">
        <v>50178</v>
      </c>
      <c r="F116" s="188" t="s">
        <v>195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196</v>
      </c>
      <c r="C117" s="219" t="s">
        <v>109</v>
      </c>
      <c r="D117" s="48" t="s">
        <v>161</v>
      </c>
      <c r="E117" s="43">
        <v>35105</v>
      </c>
      <c r="F117" s="188" t="s">
        <v>161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197</v>
      </c>
      <c r="C118" s="219" t="s">
        <v>109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198</v>
      </c>
      <c r="C119" s="219" t="s">
        <v>109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199</v>
      </c>
      <c r="C120" s="219" t="s">
        <v>109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200</v>
      </c>
      <c r="C121" s="219" t="s">
        <v>109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201</v>
      </c>
      <c r="C122" s="219" t="s">
        <v>109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202</v>
      </c>
      <c r="C123" s="219" t="s">
        <v>109</v>
      </c>
      <c r="D123" s="48" t="s">
        <v>203</v>
      </c>
      <c r="E123" s="43">
        <v>38591.666666666664</v>
      </c>
      <c r="F123" s="188" t="s">
        <v>203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204</v>
      </c>
      <c r="C124" s="219" t="s">
        <v>109</v>
      </c>
      <c r="D124" s="48" t="s">
        <v>161</v>
      </c>
      <c r="E124" s="43">
        <v>22134</v>
      </c>
      <c r="F124" s="188" t="s">
        <v>161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205</v>
      </c>
      <c r="C125" s="219" t="s">
        <v>109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206</v>
      </c>
      <c r="C126" s="219" t="s">
        <v>109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207</v>
      </c>
      <c r="C127" s="219" t="s">
        <v>109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208</v>
      </c>
      <c r="C128" s="219" t="s">
        <v>109</v>
      </c>
      <c r="D128" s="48" t="s">
        <v>161</v>
      </c>
      <c r="E128" s="43">
        <v>149370</v>
      </c>
      <c r="F128" s="188" t="s">
        <v>161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209</v>
      </c>
      <c r="C129" s="219" t="s">
        <v>109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210</v>
      </c>
      <c r="C130" s="219" t="s">
        <v>109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211</v>
      </c>
      <c r="C131" s="219" t="s">
        <v>109</v>
      </c>
      <c r="D131" s="48" t="s">
        <v>195</v>
      </c>
      <c r="E131" s="43">
        <v>8850</v>
      </c>
      <c r="F131" s="188" t="s">
        <v>195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212</v>
      </c>
      <c r="C132" s="219" t="s">
        <v>109</v>
      </c>
      <c r="D132" s="48" t="s">
        <v>213</v>
      </c>
      <c r="E132" s="43">
        <v>135533.5</v>
      </c>
      <c r="F132" s="188" t="s">
        <v>213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214</v>
      </c>
      <c r="C133" s="219" t="s">
        <v>109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215</v>
      </c>
      <c r="C134" s="219" t="s">
        <v>109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216</v>
      </c>
      <c r="C135" s="219" t="s">
        <v>109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217</v>
      </c>
      <c r="C136" s="219" t="s">
        <v>109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218</v>
      </c>
      <c r="C137" s="219" t="s">
        <v>109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219</v>
      </c>
      <c r="C138" s="219" t="s">
        <v>109</v>
      </c>
      <c r="D138" s="48" t="s">
        <v>203</v>
      </c>
      <c r="E138" s="43">
        <v>90800</v>
      </c>
      <c r="F138" s="188" t="s">
        <v>203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220</v>
      </c>
      <c r="C139" s="219" t="s">
        <v>109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221</v>
      </c>
      <c r="C140" s="219" t="s">
        <v>109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222</v>
      </c>
      <c r="C141" s="219" t="s">
        <v>109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223</v>
      </c>
      <c r="C162" s="219" t="s">
        <v>224</v>
      </c>
      <c r="D162" s="48" t="s">
        <v>161</v>
      </c>
      <c r="E162" s="43">
        <v>760</v>
      </c>
      <c r="F162" s="188" t="s">
        <v>161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225</v>
      </c>
      <c r="C163" s="219" t="s">
        <v>224</v>
      </c>
      <c r="D163" s="48" t="s">
        <v>226</v>
      </c>
      <c r="E163" s="43">
        <v>45667</v>
      </c>
      <c r="F163" s="188" t="s">
        <v>226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227</v>
      </c>
      <c r="C164" s="219" t="s">
        <v>224</v>
      </c>
      <c r="D164" s="48" t="s">
        <v>228</v>
      </c>
      <c r="E164" s="43">
        <v>41000</v>
      </c>
      <c r="F164" s="188" t="s">
        <v>229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230</v>
      </c>
      <c r="C165" s="219" t="s">
        <v>224</v>
      </c>
      <c r="D165" s="48" t="s">
        <v>228</v>
      </c>
      <c r="E165" s="43">
        <v>58500</v>
      </c>
      <c r="F165" s="188" t="s">
        <v>229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231</v>
      </c>
      <c r="C166" s="219" t="s">
        <v>224</v>
      </c>
      <c r="D166" s="48" t="s">
        <v>226</v>
      </c>
      <c r="E166" s="43">
        <v>17830</v>
      </c>
      <c r="F166" s="188" t="s">
        <v>232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233</v>
      </c>
      <c r="C167" s="219" t="s">
        <v>224</v>
      </c>
      <c r="D167" s="48" t="s">
        <v>161</v>
      </c>
      <c r="E167" s="43">
        <v>639</v>
      </c>
      <c r="F167" s="48" t="s">
        <v>161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234</v>
      </c>
      <c r="C168" s="219" t="s">
        <v>224</v>
      </c>
      <c r="D168" s="48" t="s">
        <v>161</v>
      </c>
      <c r="E168" s="43">
        <v>639</v>
      </c>
      <c r="F168" s="48" t="s">
        <v>161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235</v>
      </c>
      <c r="C169" s="219" t="s">
        <v>224</v>
      </c>
      <c r="D169" s="48" t="s">
        <v>161</v>
      </c>
      <c r="E169" s="43">
        <v>639</v>
      </c>
      <c r="F169" s="48" t="s">
        <v>161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236</v>
      </c>
      <c r="C170" s="219" t="s">
        <v>224</v>
      </c>
      <c r="D170" s="48" t="s">
        <v>161</v>
      </c>
      <c r="E170" s="43">
        <v>639</v>
      </c>
      <c r="F170" s="48" t="s">
        <v>161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237</v>
      </c>
      <c r="C171" s="219" t="s">
        <v>224</v>
      </c>
      <c r="D171" s="48" t="s">
        <v>161</v>
      </c>
      <c r="E171" s="43">
        <v>639</v>
      </c>
      <c r="F171" s="48" t="s">
        <v>161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238</v>
      </c>
      <c r="C172" s="219" t="s">
        <v>224</v>
      </c>
      <c r="D172" s="48" t="s">
        <v>161</v>
      </c>
      <c r="E172" s="43">
        <v>639</v>
      </c>
      <c r="F172" s="48" t="s">
        <v>161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239</v>
      </c>
      <c r="C173" s="219" t="s">
        <v>224</v>
      </c>
      <c r="D173" s="48" t="s">
        <v>161</v>
      </c>
      <c r="E173" s="43">
        <v>639</v>
      </c>
      <c r="F173" s="48" t="s">
        <v>161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240</v>
      </c>
      <c r="C174" s="219" t="s">
        <v>224</v>
      </c>
      <c r="D174" s="48" t="s">
        <v>161</v>
      </c>
      <c r="E174" s="43">
        <v>639</v>
      </c>
      <c r="F174" s="48" t="s">
        <v>161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241</v>
      </c>
      <c r="C175" s="219" t="s">
        <v>224</v>
      </c>
      <c r="D175" s="48" t="s">
        <v>161</v>
      </c>
      <c r="E175" s="43">
        <v>639</v>
      </c>
      <c r="F175" s="48" t="s">
        <v>161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242</v>
      </c>
      <c r="C176" s="219" t="s">
        <v>224</v>
      </c>
      <c r="D176" s="48" t="s">
        <v>161</v>
      </c>
      <c r="E176" s="43">
        <v>639</v>
      </c>
      <c r="F176" s="48" t="s">
        <v>161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243</v>
      </c>
      <c r="C177" s="219" t="s">
        <v>224</v>
      </c>
      <c r="D177" s="48" t="s">
        <v>161</v>
      </c>
      <c r="E177" s="43">
        <v>639</v>
      </c>
      <c r="F177" s="48" t="s">
        <v>161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244</v>
      </c>
      <c r="C178" s="219" t="s">
        <v>224</v>
      </c>
      <c r="D178" s="48" t="s">
        <v>161</v>
      </c>
      <c r="E178" s="43">
        <v>475</v>
      </c>
      <c r="F178" s="48" t="s">
        <v>161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245</v>
      </c>
      <c r="C179" s="219" t="s">
        <v>224</v>
      </c>
      <c r="D179" s="48" t="s">
        <v>161</v>
      </c>
      <c r="E179" s="43">
        <v>475</v>
      </c>
      <c r="F179" s="48" t="s">
        <v>161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246</v>
      </c>
      <c r="C180" s="219" t="s">
        <v>224</v>
      </c>
      <c r="D180" s="48" t="s">
        <v>161</v>
      </c>
      <c r="E180" s="43">
        <v>475</v>
      </c>
      <c r="F180" s="48" t="s">
        <v>161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247</v>
      </c>
      <c r="C181" s="219" t="s">
        <v>224</v>
      </c>
      <c r="D181" s="48" t="s">
        <v>161</v>
      </c>
      <c r="E181" s="43">
        <v>475</v>
      </c>
      <c r="F181" s="48" t="s">
        <v>161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248</v>
      </c>
      <c r="C182" s="219" t="s">
        <v>224</v>
      </c>
      <c r="D182" s="48" t="s">
        <v>161</v>
      </c>
      <c r="E182" s="43">
        <v>475</v>
      </c>
      <c r="F182" s="48" t="s">
        <v>161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249</v>
      </c>
      <c r="C183" s="219" t="s">
        <v>224</v>
      </c>
      <c r="D183" s="48" t="s">
        <v>161</v>
      </c>
      <c r="E183" s="43">
        <v>475</v>
      </c>
      <c r="F183" s="48" t="s">
        <v>161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250</v>
      </c>
      <c r="C184" s="219" t="s">
        <v>224</v>
      </c>
      <c r="D184" s="48" t="s">
        <v>161</v>
      </c>
      <c r="E184" s="43">
        <v>475</v>
      </c>
      <c r="F184" s="48" t="s">
        <v>161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251</v>
      </c>
      <c r="C185" s="219" t="s">
        <v>224</v>
      </c>
      <c r="D185" s="48" t="s">
        <v>161</v>
      </c>
      <c r="E185" s="43">
        <v>475</v>
      </c>
      <c r="F185" s="48" t="s">
        <v>161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252</v>
      </c>
      <c r="C186" s="219" t="s">
        <v>224</v>
      </c>
      <c r="D186" s="48" t="s">
        <v>161</v>
      </c>
      <c r="E186" s="43">
        <v>475</v>
      </c>
      <c r="F186" s="48" t="s">
        <v>161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253</v>
      </c>
      <c r="C187" s="219" t="s">
        <v>224</v>
      </c>
      <c r="D187" s="48" t="s">
        <v>161</v>
      </c>
      <c r="E187" s="43">
        <v>475</v>
      </c>
      <c r="F187" s="48" t="s">
        <v>161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254</v>
      </c>
      <c r="C188" s="219" t="s">
        <v>224</v>
      </c>
      <c r="D188" s="48" t="s">
        <v>161</v>
      </c>
      <c r="E188" s="43">
        <v>475</v>
      </c>
      <c r="F188" s="48" t="s">
        <v>161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255</v>
      </c>
      <c r="C189" s="219" t="s">
        <v>224</v>
      </c>
      <c r="D189" s="48" t="s">
        <v>161</v>
      </c>
      <c r="E189" s="43">
        <v>475</v>
      </c>
      <c r="F189" s="48" t="s">
        <v>161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256</v>
      </c>
      <c r="C190" s="219" t="s">
        <v>224</v>
      </c>
      <c r="D190" s="48" t="s">
        <v>161</v>
      </c>
      <c r="E190" s="43">
        <v>475</v>
      </c>
      <c r="F190" s="48" t="s">
        <v>161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257</v>
      </c>
      <c r="C191" s="219" t="s">
        <v>224</v>
      </c>
      <c r="D191" s="58" t="s">
        <v>161</v>
      </c>
      <c r="E191" s="43">
        <v>475</v>
      </c>
      <c r="F191" s="58" t="s">
        <v>161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258</v>
      </c>
      <c r="C192" s="219" t="s">
        <v>224</v>
      </c>
      <c r="D192" s="58" t="s">
        <v>161</v>
      </c>
      <c r="E192" s="43">
        <v>475</v>
      </c>
      <c r="F192" s="58" t="s">
        <v>161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259</v>
      </c>
      <c r="C193" s="219" t="s">
        <v>224</v>
      </c>
      <c r="D193" s="58" t="s">
        <v>161</v>
      </c>
      <c r="E193" s="43">
        <v>475</v>
      </c>
      <c r="F193" s="58" t="s">
        <v>161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260</v>
      </c>
      <c r="C194" s="219" t="s">
        <v>224</v>
      </c>
      <c r="D194" s="58" t="s">
        <v>161</v>
      </c>
      <c r="E194" s="43">
        <v>475</v>
      </c>
      <c r="F194" s="58" t="s">
        <v>161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261</v>
      </c>
      <c r="C195" s="219" t="s">
        <v>224</v>
      </c>
      <c r="D195" s="58" t="s">
        <v>161</v>
      </c>
      <c r="E195" s="43">
        <v>475</v>
      </c>
      <c r="F195" s="58" t="s">
        <v>161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262</v>
      </c>
      <c r="C196" s="219" t="s">
        <v>224</v>
      </c>
      <c r="D196" s="58" t="s">
        <v>161</v>
      </c>
      <c r="E196" s="43">
        <v>475</v>
      </c>
      <c r="F196" s="58" t="s">
        <v>161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263</v>
      </c>
      <c r="C197" s="219" t="s">
        <v>224</v>
      </c>
      <c r="D197" s="58" t="s">
        <v>161</v>
      </c>
      <c r="E197" s="43">
        <v>475</v>
      </c>
      <c r="F197" s="58" t="s">
        <v>161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264</v>
      </c>
      <c r="C198" s="219" t="s">
        <v>224</v>
      </c>
      <c r="D198" s="48" t="s">
        <v>161</v>
      </c>
      <c r="E198" s="43">
        <v>475</v>
      </c>
      <c r="F198" s="48" t="s">
        <v>161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265</v>
      </c>
      <c r="C199" s="219" t="s">
        <v>224</v>
      </c>
      <c r="D199" s="48" t="s">
        <v>161</v>
      </c>
      <c r="E199" s="43">
        <v>475</v>
      </c>
      <c r="F199" s="48" t="s">
        <v>161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266</v>
      </c>
      <c r="C200" s="219" t="s">
        <v>224</v>
      </c>
      <c r="D200" s="48" t="s">
        <v>161</v>
      </c>
      <c r="E200" s="43">
        <v>475</v>
      </c>
      <c r="F200" s="48" t="s">
        <v>161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267</v>
      </c>
      <c r="C201" s="219" t="s">
        <v>224</v>
      </c>
      <c r="D201" s="151" t="s">
        <v>161</v>
      </c>
      <c r="E201" s="43">
        <v>475</v>
      </c>
      <c r="F201" s="48" t="s">
        <v>161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268</v>
      </c>
      <c r="C202" s="219" t="s">
        <v>224</v>
      </c>
      <c r="D202" s="48" t="s">
        <v>161</v>
      </c>
      <c r="E202" s="43">
        <v>475</v>
      </c>
      <c r="F202" s="48" t="s">
        <v>161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269</v>
      </c>
      <c r="C203" s="219" t="s">
        <v>224</v>
      </c>
      <c r="D203" s="151" t="s">
        <v>161</v>
      </c>
      <c r="E203" s="152">
        <v>639</v>
      </c>
      <c r="F203" s="48" t="s">
        <v>161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270</v>
      </c>
      <c r="C204" s="219" t="s">
        <v>224</v>
      </c>
      <c r="D204" s="151" t="s">
        <v>161</v>
      </c>
      <c r="E204" s="152">
        <v>639</v>
      </c>
      <c r="F204" s="48" t="s">
        <v>161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271</v>
      </c>
      <c r="C205" s="219" t="s">
        <v>224</v>
      </c>
      <c r="D205" s="151" t="s">
        <v>161</v>
      </c>
      <c r="E205" s="152">
        <v>639</v>
      </c>
      <c r="F205" s="48" t="s">
        <v>161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272</v>
      </c>
      <c r="C206" s="219" t="s">
        <v>224</v>
      </c>
      <c r="D206" s="151" t="s">
        <v>161</v>
      </c>
      <c r="E206" s="152">
        <v>639</v>
      </c>
      <c r="F206" s="48" t="s">
        <v>161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273</v>
      </c>
      <c r="C207" s="219" t="s">
        <v>224</v>
      </c>
      <c r="D207" s="151" t="s">
        <v>161</v>
      </c>
      <c r="E207" s="152">
        <v>639</v>
      </c>
      <c r="F207" s="48" t="s">
        <v>161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274</v>
      </c>
      <c r="C208" s="219" t="s">
        <v>224</v>
      </c>
      <c r="D208" s="151" t="s">
        <v>161</v>
      </c>
      <c r="E208" s="152">
        <v>639</v>
      </c>
      <c r="F208" s="48" t="s">
        <v>161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275</v>
      </c>
      <c r="C209" s="219" t="s">
        <v>224</v>
      </c>
      <c r="D209" s="151" t="s">
        <v>161</v>
      </c>
      <c r="E209" s="152">
        <v>639</v>
      </c>
      <c r="F209" s="48" t="s">
        <v>161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276</v>
      </c>
      <c r="C210" s="219" t="s">
        <v>224</v>
      </c>
      <c r="D210" s="48" t="s">
        <v>161</v>
      </c>
      <c r="E210" s="43">
        <v>639</v>
      </c>
      <c r="F210" s="48" t="s">
        <v>161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277</v>
      </c>
      <c r="C211" s="219" t="s">
        <v>224</v>
      </c>
      <c r="D211" s="151" t="s">
        <v>161</v>
      </c>
      <c r="E211" s="152">
        <v>639</v>
      </c>
      <c r="F211" s="48" t="s">
        <v>161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278</v>
      </c>
      <c r="C212" s="219" t="s">
        <v>224</v>
      </c>
      <c r="D212" s="151" t="s">
        <v>161</v>
      </c>
      <c r="E212" s="152">
        <v>639</v>
      </c>
      <c r="F212" s="48" t="s">
        <v>161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279</v>
      </c>
      <c r="C213" s="219" t="s">
        <v>224</v>
      </c>
      <c r="D213" s="151" t="s">
        <v>161</v>
      </c>
      <c r="E213" s="152">
        <v>639</v>
      </c>
      <c r="F213" s="48" t="s">
        <v>161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280</v>
      </c>
      <c r="C214" s="219" t="s">
        <v>224</v>
      </c>
      <c r="D214" s="151" t="s">
        <v>161</v>
      </c>
      <c r="E214" s="152">
        <v>639</v>
      </c>
      <c r="F214" s="48" t="s">
        <v>161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281</v>
      </c>
      <c r="C215" s="219" t="s">
        <v>224</v>
      </c>
      <c r="D215" s="151" t="s">
        <v>161</v>
      </c>
      <c r="E215" s="152">
        <v>639</v>
      </c>
      <c r="F215" s="48" t="s">
        <v>161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282</v>
      </c>
      <c r="C216" s="219" t="s">
        <v>224</v>
      </c>
      <c r="D216" s="48" t="s">
        <v>161</v>
      </c>
      <c r="E216" s="43">
        <v>639</v>
      </c>
      <c r="F216" s="48" t="s">
        <v>161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283</v>
      </c>
      <c r="C217" s="219" t="s">
        <v>224</v>
      </c>
      <c r="D217" s="48" t="s">
        <v>161</v>
      </c>
      <c r="E217" s="166">
        <v>639</v>
      </c>
      <c r="F217" s="86" t="s">
        <v>161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284</v>
      </c>
      <c r="C218" s="219" t="s">
        <v>224</v>
      </c>
      <c r="D218" s="48" t="s">
        <v>161</v>
      </c>
      <c r="E218" s="166">
        <v>475.34</v>
      </c>
      <c r="F218" s="86" t="s">
        <v>161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285</v>
      </c>
      <c r="C219" s="219" t="s">
        <v>224</v>
      </c>
      <c r="D219" s="48" t="s">
        <v>161</v>
      </c>
      <c r="E219" s="166">
        <v>475.34</v>
      </c>
      <c r="F219" s="86" t="s">
        <v>161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286</v>
      </c>
      <c r="C220" s="219" t="s">
        <v>224</v>
      </c>
      <c r="D220" s="48" t="s">
        <v>161</v>
      </c>
      <c r="E220" s="166">
        <v>475.34</v>
      </c>
      <c r="F220" s="86" t="s">
        <v>161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287</v>
      </c>
      <c r="C221" s="219" t="s">
        <v>224</v>
      </c>
      <c r="D221" s="48" t="s">
        <v>161</v>
      </c>
      <c r="E221" s="43">
        <v>475.34</v>
      </c>
      <c r="F221" s="300" t="s">
        <v>161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288</v>
      </c>
      <c r="C222" s="219" t="s">
        <v>224</v>
      </c>
      <c r="D222" s="48" t="s">
        <v>161</v>
      </c>
      <c r="E222" s="166">
        <v>475.34</v>
      </c>
      <c r="F222" s="86" t="s">
        <v>161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289</v>
      </c>
      <c r="C223" s="219" t="s">
        <v>224</v>
      </c>
      <c r="D223" s="48" t="s">
        <v>161</v>
      </c>
      <c r="E223" s="166">
        <v>475.34</v>
      </c>
      <c r="F223" s="86" t="s">
        <v>161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290</v>
      </c>
      <c r="C224" s="219" t="s">
        <v>224</v>
      </c>
      <c r="D224" s="48" t="s">
        <v>161</v>
      </c>
      <c r="E224" s="166">
        <v>475.34</v>
      </c>
      <c r="F224" s="86" t="s">
        <v>161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291</v>
      </c>
      <c r="C225" s="219" t="s">
        <v>224</v>
      </c>
      <c r="D225" s="48" t="s">
        <v>161</v>
      </c>
      <c r="E225" s="166">
        <v>475.34</v>
      </c>
      <c r="F225" s="86" t="s">
        <v>161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292</v>
      </c>
      <c r="C226" s="219" t="s">
        <v>224</v>
      </c>
      <c r="D226" s="48" t="s">
        <v>161</v>
      </c>
      <c r="E226" s="166">
        <v>475.34</v>
      </c>
      <c r="F226" s="86" t="s">
        <v>161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293</v>
      </c>
      <c r="C227" s="219" t="s">
        <v>224</v>
      </c>
      <c r="D227" s="48" t="s">
        <v>161</v>
      </c>
      <c r="E227" s="166">
        <v>475.34</v>
      </c>
      <c r="F227" s="86" t="s">
        <v>161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294</v>
      </c>
      <c r="C228" s="219" t="s">
        <v>224</v>
      </c>
      <c r="D228" s="48" t="s">
        <v>229</v>
      </c>
      <c r="E228" s="166">
        <v>9800</v>
      </c>
      <c r="F228" s="192" t="s">
        <v>295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296</v>
      </c>
      <c r="C229" s="219" t="s">
        <v>224</v>
      </c>
      <c r="D229" s="48" t="s">
        <v>229</v>
      </c>
      <c r="E229" s="166">
        <v>943.5</v>
      </c>
      <c r="F229" s="192" t="s">
        <v>295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297</v>
      </c>
      <c r="C230" s="219" t="s">
        <v>224</v>
      </c>
      <c r="D230" s="48" t="s">
        <v>229</v>
      </c>
      <c r="E230" s="166">
        <v>943.5</v>
      </c>
      <c r="F230" s="192" t="s">
        <v>295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298</v>
      </c>
      <c r="C231" s="219" t="s">
        <v>224</v>
      </c>
      <c r="D231" s="48" t="s">
        <v>229</v>
      </c>
      <c r="E231" s="166">
        <v>1223</v>
      </c>
      <c r="F231" s="192" t="s">
        <v>295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299</v>
      </c>
      <c r="C232" s="219" t="s">
        <v>224</v>
      </c>
      <c r="D232" s="49" t="s">
        <v>226</v>
      </c>
      <c r="E232" s="166">
        <v>16471.25</v>
      </c>
      <c r="F232" s="301" t="s">
        <v>226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300</v>
      </c>
      <c r="C233" s="219" t="s">
        <v>224</v>
      </c>
      <c r="D233" s="49" t="s">
        <v>226</v>
      </c>
      <c r="E233" s="166">
        <v>32931.5</v>
      </c>
      <c r="F233" s="301" t="s">
        <v>226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301</v>
      </c>
      <c r="C234" s="219" t="s">
        <v>224</v>
      </c>
      <c r="D234" s="49" t="s">
        <v>226</v>
      </c>
      <c r="E234" s="166">
        <v>16209.5</v>
      </c>
      <c r="F234" s="301" t="s">
        <v>226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302</v>
      </c>
      <c r="C235" s="219" t="s">
        <v>224</v>
      </c>
      <c r="D235" s="49" t="s">
        <v>226</v>
      </c>
      <c r="E235" s="166">
        <v>32417</v>
      </c>
      <c r="F235" s="301" t="s">
        <v>226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303</v>
      </c>
      <c r="C236" s="219" t="s">
        <v>224</v>
      </c>
      <c r="D236" s="49" t="s">
        <v>226</v>
      </c>
      <c r="E236" s="166">
        <v>50250</v>
      </c>
      <c r="F236" s="301" t="s">
        <v>226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304</v>
      </c>
      <c r="C237" s="219" t="s">
        <v>224</v>
      </c>
      <c r="D237" s="49" t="s">
        <v>226</v>
      </c>
      <c r="E237" s="166">
        <v>25131.5</v>
      </c>
      <c r="F237" s="301" t="s">
        <v>226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305</v>
      </c>
      <c r="C238" s="219" t="s">
        <v>224</v>
      </c>
      <c r="D238" s="48" t="s">
        <v>228</v>
      </c>
      <c r="E238" s="166">
        <v>3700</v>
      </c>
      <c r="F238" s="192" t="s">
        <v>232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306</v>
      </c>
      <c r="C239" s="219" t="s">
        <v>224</v>
      </c>
      <c r="D239" s="48" t="s">
        <v>229</v>
      </c>
      <c r="E239" s="43">
        <v>92</v>
      </c>
      <c r="F239" s="193" t="s">
        <v>229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307</v>
      </c>
      <c r="C240" s="219" t="s">
        <v>224</v>
      </c>
      <c r="D240" s="48" t="s">
        <v>229</v>
      </c>
      <c r="E240" s="43">
        <v>92</v>
      </c>
      <c r="F240" s="193" t="s">
        <v>229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308</v>
      </c>
      <c r="C241" s="219" t="s">
        <v>224</v>
      </c>
      <c r="D241" s="48" t="s">
        <v>229</v>
      </c>
      <c r="E241" s="43">
        <v>92</v>
      </c>
      <c r="F241" s="193" t="s">
        <v>229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309</v>
      </c>
      <c r="C242" s="219" t="s">
        <v>224</v>
      </c>
      <c r="D242" s="48" t="s">
        <v>232</v>
      </c>
      <c r="E242" s="43">
        <v>8591.7999999999993</v>
      </c>
      <c r="F242" s="193" t="s">
        <v>229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310</v>
      </c>
      <c r="C243" s="219" t="s">
        <v>224</v>
      </c>
      <c r="D243" s="48" t="s">
        <v>229</v>
      </c>
      <c r="E243" s="43">
        <v>10740.701999999999</v>
      </c>
      <c r="F243" s="193" t="s">
        <v>229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311</v>
      </c>
      <c r="C244" s="219" t="s">
        <v>224</v>
      </c>
      <c r="D244" s="48" t="s">
        <v>229</v>
      </c>
      <c r="E244" s="43">
        <v>26000</v>
      </c>
      <c r="F244" s="193" t="s">
        <v>232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312</v>
      </c>
      <c r="C245" s="219" t="s">
        <v>224</v>
      </c>
      <c r="D245" s="48" t="s">
        <v>229</v>
      </c>
      <c r="E245" s="43">
        <v>13000</v>
      </c>
      <c r="F245" s="193" t="s">
        <v>232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313</v>
      </c>
      <c r="C246" s="276" t="s">
        <v>224</v>
      </c>
      <c r="D246" s="48" t="s">
        <v>229</v>
      </c>
      <c r="E246" s="141">
        <v>7000</v>
      </c>
      <c r="F246" s="193" t="s">
        <v>314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315</v>
      </c>
      <c r="C247" s="276" t="s">
        <v>224</v>
      </c>
      <c r="D247" s="48" t="s">
        <v>228</v>
      </c>
      <c r="E247" s="141">
        <v>12000</v>
      </c>
      <c r="F247" s="193" t="s">
        <v>314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316</v>
      </c>
      <c r="C248" s="276" t="s">
        <v>224</v>
      </c>
      <c r="D248" s="48" t="s">
        <v>98</v>
      </c>
      <c r="E248" s="141">
        <v>7266.666666666667</v>
      </c>
      <c r="F248" s="193" t="s">
        <v>314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317</v>
      </c>
      <c r="C249" s="276" t="s">
        <v>224</v>
      </c>
      <c r="D249" s="48" t="s">
        <v>98</v>
      </c>
      <c r="E249" s="141">
        <v>7266.666666666667</v>
      </c>
      <c r="F249" s="193" t="s">
        <v>314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318</v>
      </c>
      <c r="C250" s="276" t="s">
        <v>224</v>
      </c>
      <c r="D250" s="277" t="s">
        <v>98</v>
      </c>
      <c r="E250" s="141">
        <v>7266.665</v>
      </c>
      <c r="F250" s="278" t="s">
        <v>314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319</v>
      </c>
      <c r="C251" s="276" t="s">
        <v>224</v>
      </c>
      <c r="D251" s="277" t="s">
        <v>228</v>
      </c>
      <c r="E251" s="141">
        <v>5000</v>
      </c>
      <c r="F251" s="278" t="s">
        <v>314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320</v>
      </c>
      <c r="C252" s="276" t="s">
        <v>224</v>
      </c>
      <c r="D252" s="277" t="s">
        <v>229</v>
      </c>
      <c r="E252" s="303">
        <v>7183</v>
      </c>
      <c r="F252" s="278" t="s">
        <v>232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321</v>
      </c>
      <c r="C253" s="276" t="s">
        <v>224</v>
      </c>
      <c r="D253" s="277" t="s">
        <v>229</v>
      </c>
      <c r="E253" s="303">
        <v>10597</v>
      </c>
      <c r="F253" s="278" t="s">
        <v>232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322</v>
      </c>
      <c r="C254" s="276" t="s">
        <v>224</v>
      </c>
      <c r="D254" s="277" t="s">
        <v>98</v>
      </c>
      <c r="E254" s="141">
        <v>2866.6666666666665</v>
      </c>
      <c r="F254" s="278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323</v>
      </c>
      <c r="C255" s="276" t="s">
        <v>224</v>
      </c>
      <c r="D255" s="277" t="s">
        <v>98</v>
      </c>
      <c r="E255" s="141">
        <v>2866.6666666666665</v>
      </c>
      <c r="F255" s="278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324</v>
      </c>
      <c r="C256" s="276" t="s">
        <v>224</v>
      </c>
      <c r="D256" s="277" t="s">
        <v>232</v>
      </c>
      <c r="E256" s="141"/>
      <c r="F256" s="278" t="s">
        <v>232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325</v>
      </c>
      <c r="C257" s="276" t="s">
        <v>224</v>
      </c>
      <c r="D257" s="277" t="s">
        <v>226</v>
      </c>
      <c r="E257" s="141">
        <v>8000</v>
      </c>
      <c r="F257" s="278" t="s">
        <v>232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326</v>
      </c>
      <c r="C258" s="276" t="s">
        <v>224</v>
      </c>
      <c r="D258" s="277" t="s">
        <v>226</v>
      </c>
      <c r="E258" s="141">
        <v>10000</v>
      </c>
      <c r="F258" s="278" t="s">
        <v>232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327</v>
      </c>
      <c r="C259" s="276" t="s">
        <v>224</v>
      </c>
      <c r="D259" s="277" t="s">
        <v>226</v>
      </c>
      <c r="E259" s="141">
        <v>10000</v>
      </c>
      <c r="F259" s="278" t="s">
        <v>232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328</v>
      </c>
      <c r="C260" s="276" t="s">
        <v>224</v>
      </c>
      <c r="D260" s="277" t="s">
        <v>232</v>
      </c>
      <c r="E260" s="141"/>
      <c r="F260" s="278" t="s">
        <v>232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329</v>
      </c>
      <c r="C261" s="276" t="s">
        <v>224</v>
      </c>
      <c r="D261" s="277" t="s">
        <v>193</v>
      </c>
      <c r="E261" s="141">
        <v>636792</v>
      </c>
      <c r="F261" s="278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330</v>
      </c>
      <c r="C262" s="276" t="s">
        <v>224</v>
      </c>
      <c r="D262" s="277" t="s">
        <v>295</v>
      </c>
      <c r="E262" s="141">
        <v>28.18</v>
      </c>
      <c r="F262" s="278" t="s">
        <v>295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331</v>
      </c>
      <c r="C263" s="276" t="s">
        <v>224</v>
      </c>
      <c r="D263" s="277" t="s">
        <v>295</v>
      </c>
      <c r="E263" s="141">
        <v>2700</v>
      </c>
      <c r="F263" s="278" t="s">
        <v>295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332</v>
      </c>
      <c r="C264" s="276" t="s">
        <v>224</v>
      </c>
      <c r="D264" s="277" t="s">
        <v>295</v>
      </c>
      <c r="E264" s="141">
        <v>18.53</v>
      </c>
      <c r="F264" s="278" t="s">
        <v>295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333</v>
      </c>
      <c r="C265" s="276" t="s">
        <v>224</v>
      </c>
      <c r="D265" s="277" t="s">
        <v>229</v>
      </c>
      <c r="E265" s="141">
        <v>1800</v>
      </c>
      <c r="F265" s="278" t="s">
        <v>295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334</v>
      </c>
      <c r="C266" s="276" t="s">
        <v>224</v>
      </c>
      <c r="D266" s="277" t="s">
        <v>229</v>
      </c>
      <c r="E266" s="141">
        <v>1057</v>
      </c>
      <c r="F266" s="278" t="s">
        <v>229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335</v>
      </c>
      <c r="C267" s="276" t="s">
        <v>224</v>
      </c>
      <c r="D267" s="277" t="s">
        <v>295</v>
      </c>
      <c r="E267" s="141">
        <v>18.53</v>
      </c>
      <c r="F267" s="278" t="s">
        <v>295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336</v>
      </c>
      <c r="C268" s="276" t="s">
        <v>224</v>
      </c>
      <c r="D268" s="277" t="s">
        <v>295</v>
      </c>
      <c r="E268" s="141">
        <v>22.8</v>
      </c>
      <c r="F268" s="278" t="s">
        <v>295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337</v>
      </c>
      <c r="C269" s="276" t="s">
        <v>224</v>
      </c>
      <c r="D269" s="277" t="s">
        <v>295</v>
      </c>
      <c r="E269" s="141">
        <v>22.8</v>
      </c>
      <c r="F269" s="278" t="s">
        <v>295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338</v>
      </c>
      <c r="C270" s="276" t="s">
        <v>224</v>
      </c>
      <c r="D270" s="277" t="s">
        <v>295</v>
      </c>
      <c r="E270" s="141">
        <v>14.73</v>
      </c>
      <c r="F270" s="278" t="s">
        <v>295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339</v>
      </c>
      <c r="C271" s="276" t="s">
        <v>224</v>
      </c>
      <c r="D271" s="277" t="s">
        <v>295</v>
      </c>
      <c r="E271" s="141">
        <v>14.73</v>
      </c>
      <c r="F271" s="278" t="s">
        <v>295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340</v>
      </c>
      <c r="C272" s="276" t="s">
        <v>224</v>
      </c>
      <c r="D272" s="277" t="s">
        <v>229</v>
      </c>
      <c r="E272" s="141">
        <v>819.99999999999989</v>
      </c>
      <c r="F272" s="278" t="s">
        <v>229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341</v>
      </c>
      <c r="C273" s="276" t="s">
        <v>224</v>
      </c>
      <c r="D273" s="277" t="s">
        <v>229</v>
      </c>
      <c r="E273" s="141">
        <v>1170</v>
      </c>
      <c r="F273" s="278" t="s">
        <v>229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342</v>
      </c>
      <c r="C274" s="276" t="s">
        <v>224</v>
      </c>
      <c r="D274" s="277" t="s">
        <v>229</v>
      </c>
      <c r="E274" s="141">
        <v>8000</v>
      </c>
      <c r="F274" s="278" t="s">
        <v>232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343</v>
      </c>
      <c r="C275" s="276" t="s">
        <v>224</v>
      </c>
      <c r="D275" s="277" t="s">
        <v>229</v>
      </c>
      <c r="E275" s="141">
        <v>11000</v>
      </c>
      <c r="F275" s="278" t="s">
        <v>232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344</v>
      </c>
      <c r="C276" s="276" t="s">
        <v>224</v>
      </c>
      <c r="D276" s="277" t="s">
        <v>229</v>
      </c>
      <c r="E276" s="141">
        <v>10858</v>
      </c>
      <c r="F276" s="278" t="s">
        <v>232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345</v>
      </c>
      <c r="C277" s="276" t="s">
        <v>224</v>
      </c>
      <c r="D277" s="277" t="s">
        <v>229</v>
      </c>
      <c r="E277" s="141">
        <v>13999.16</v>
      </c>
      <c r="F277" s="278" t="s">
        <v>229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346</v>
      </c>
      <c r="C278" s="276" t="s">
        <v>224</v>
      </c>
      <c r="D278" s="277" t="s">
        <v>226</v>
      </c>
      <c r="E278" s="141"/>
      <c r="F278" s="278" t="s">
        <v>295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347</v>
      </c>
      <c r="C279" s="276" t="s">
        <v>224</v>
      </c>
      <c r="D279" s="277" t="s">
        <v>232</v>
      </c>
      <c r="E279" s="141"/>
      <c r="F279" s="278" t="s">
        <v>232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348</v>
      </c>
      <c r="C280" s="276" t="s">
        <v>224</v>
      </c>
      <c r="D280" s="277" t="s">
        <v>232</v>
      </c>
      <c r="E280" s="141"/>
      <c r="F280" s="278" t="s">
        <v>232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349</v>
      </c>
      <c r="C281" s="276" t="s">
        <v>224</v>
      </c>
      <c r="D281" s="277" t="s">
        <v>350</v>
      </c>
      <c r="E281" s="141"/>
      <c r="F281" s="277" t="s">
        <v>350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351</v>
      </c>
      <c r="C282" s="276" t="s">
        <v>224</v>
      </c>
      <c r="D282" s="277" t="s">
        <v>203</v>
      </c>
      <c r="E282" s="141">
        <v>4776.666666666667</v>
      </c>
      <c r="F282" s="278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352</v>
      </c>
      <c r="C283" s="276" t="s">
        <v>224</v>
      </c>
      <c r="D283" s="277" t="s">
        <v>229</v>
      </c>
      <c r="E283" s="141">
        <v>1035.3</v>
      </c>
      <c r="F283" s="278" t="s">
        <v>229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353</v>
      </c>
      <c r="C284" s="276" t="s">
        <v>224</v>
      </c>
      <c r="D284" s="277" t="s">
        <v>228</v>
      </c>
      <c r="E284" s="141">
        <v>700</v>
      </c>
      <c r="F284" s="278" t="s">
        <v>295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354</v>
      </c>
      <c r="C285" s="276" t="s">
        <v>224</v>
      </c>
      <c r="D285" s="277" t="s">
        <v>228</v>
      </c>
      <c r="E285" s="141">
        <v>1100</v>
      </c>
      <c r="F285" s="278" t="s">
        <v>295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355</v>
      </c>
      <c r="C286" s="276" t="s">
        <v>224</v>
      </c>
      <c r="D286" s="277" t="s">
        <v>295</v>
      </c>
      <c r="E286" s="141">
        <v>1000</v>
      </c>
      <c r="F286" s="278" t="s">
        <v>295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356</v>
      </c>
      <c r="C287" s="276" t="s">
        <v>224</v>
      </c>
      <c r="D287" s="277" t="s">
        <v>229</v>
      </c>
      <c r="E287" s="141">
        <v>700</v>
      </c>
      <c r="F287" s="278" t="s">
        <v>295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357</v>
      </c>
      <c r="C288" s="276" t="s">
        <v>224</v>
      </c>
      <c r="D288" s="48" t="s">
        <v>229</v>
      </c>
      <c r="E288" s="166">
        <v>84</v>
      </c>
      <c r="F288" s="278" t="s">
        <v>295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358</v>
      </c>
      <c r="C289" s="276" t="s">
        <v>224</v>
      </c>
      <c r="D289" s="277" t="s">
        <v>229</v>
      </c>
      <c r="E289" s="166">
        <v>10780</v>
      </c>
      <c r="F289" s="278" t="s">
        <v>232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359</v>
      </c>
      <c r="C516" s="219" t="s">
        <v>33</v>
      </c>
      <c r="D516" s="48" t="s">
        <v>360</v>
      </c>
      <c r="E516" s="43">
        <v>380</v>
      </c>
      <c r="F516" s="188" t="s">
        <v>360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361</v>
      </c>
      <c r="C517" s="219" t="s">
        <v>33</v>
      </c>
      <c r="D517" s="50" t="s">
        <v>360</v>
      </c>
      <c r="E517" s="52">
        <v>848.47</v>
      </c>
      <c r="F517" s="51" t="s">
        <v>360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362</v>
      </c>
      <c r="C518" s="219" t="s">
        <v>33</v>
      </c>
      <c r="D518" s="50" t="s">
        <v>360</v>
      </c>
      <c r="E518" s="43">
        <v>815</v>
      </c>
      <c r="F518" s="188" t="s">
        <v>360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363</v>
      </c>
      <c r="C519" s="219" t="s">
        <v>33</v>
      </c>
      <c r="D519" s="50" t="s">
        <v>360</v>
      </c>
      <c r="E519" s="43">
        <v>623.66666666666663</v>
      </c>
      <c r="F519" s="188" t="s">
        <v>360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364</v>
      </c>
      <c r="C520" s="219" t="s">
        <v>33</v>
      </c>
      <c r="D520" s="48" t="s">
        <v>360</v>
      </c>
      <c r="E520" s="43">
        <v>698.53</v>
      </c>
      <c r="F520" s="188" t="s">
        <v>360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365</v>
      </c>
      <c r="C521" s="219" t="s">
        <v>33</v>
      </c>
      <c r="D521" s="48" t="s">
        <v>360</v>
      </c>
      <c r="E521" s="43">
        <v>390.66666666666669</v>
      </c>
      <c r="F521" s="188" t="s">
        <v>360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366</v>
      </c>
      <c r="C522" s="219" t="s">
        <v>33</v>
      </c>
      <c r="D522" s="48" t="s">
        <v>360</v>
      </c>
      <c r="E522" s="43">
        <v>477.19</v>
      </c>
      <c r="F522" s="51" t="s">
        <v>360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367</v>
      </c>
      <c r="C523" s="219" t="s">
        <v>33</v>
      </c>
      <c r="D523" s="48" t="s">
        <v>360</v>
      </c>
      <c r="E523" s="43">
        <v>998.41</v>
      </c>
      <c r="F523" s="188" t="s">
        <v>360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368</v>
      </c>
      <c r="C524" s="219" t="s">
        <v>33</v>
      </c>
      <c r="D524" s="48" t="s">
        <v>360</v>
      </c>
      <c r="E524" s="43">
        <v>898.44999999999993</v>
      </c>
      <c r="F524" s="188" t="s">
        <v>360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369</v>
      </c>
      <c r="C525" s="219" t="s">
        <v>33</v>
      </c>
      <c r="D525" s="215" t="s">
        <v>360</v>
      </c>
      <c r="E525" s="217">
        <v>1500</v>
      </c>
      <c r="F525" s="174" t="s">
        <v>360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370</v>
      </c>
      <c r="C526" s="219" t="s">
        <v>33</v>
      </c>
      <c r="D526" s="48" t="s">
        <v>360</v>
      </c>
      <c r="E526" s="216">
        <v>53371.5</v>
      </c>
      <c r="F526" s="51" t="s">
        <v>360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371</v>
      </c>
      <c r="C527" s="219" t="s">
        <v>33</v>
      </c>
      <c r="D527" s="48" t="s">
        <v>360</v>
      </c>
      <c r="E527" s="43">
        <v>897.26</v>
      </c>
      <c r="F527" s="188" t="s">
        <v>360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372</v>
      </c>
      <c r="C528" s="219" t="s">
        <v>33</v>
      </c>
      <c r="D528" s="53" t="s">
        <v>360</v>
      </c>
      <c r="E528" s="43">
        <v>1673.3335</v>
      </c>
      <c r="F528" s="188" t="s">
        <v>360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373</v>
      </c>
      <c r="C529" s="219" t="s">
        <v>33</v>
      </c>
      <c r="D529" s="50" t="s">
        <v>360</v>
      </c>
      <c r="E529" s="45">
        <v>250</v>
      </c>
      <c r="F529" s="51" t="s">
        <v>360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374</v>
      </c>
      <c r="C530" s="219" t="s">
        <v>33</v>
      </c>
      <c r="D530" s="50" t="s">
        <v>360</v>
      </c>
      <c r="E530" s="52">
        <v>898.45</v>
      </c>
      <c r="F530" s="51" t="s">
        <v>360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375</v>
      </c>
      <c r="C531" s="219" t="s">
        <v>33</v>
      </c>
      <c r="D531" s="50" t="s">
        <v>360</v>
      </c>
      <c r="E531" s="52">
        <v>898.45</v>
      </c>
      <c r="F531" s="51" t="s">
        <v>360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376</v>
      </c>
      <c r="C532" s="219" t="s">
        <v>33</v>
      </c>
      <c r="D532" s="214" t="s">
        <v>360</v>
      </c>
      <c r="E532" s="145">
        <v>549.78</v>
      </c>
      <c r="F532" s="51" t="s">
        <v>360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377</v>
      </c>
      <c r="C533" s="219" t="s">
        <v>33</v>
      </c>
      <c r="D533" s="214" t="s">
        <v>360</v>
      </c>
      <c r="E533" s="218">
        <v>357</v>
      </c>
      <c r="F533" s="51" t="s">
        <v>360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378</v>
      </c>
      <c r="C534" s="219" t="s">
        <v>33</v>
      </c>
      <c r="D534" s="214" t="s">
        <v>360</v>
      </c>
      <c r="E534" s="145">
        <v>998.41</v>
      </c>
      <c r="F534" s="51" t="s">
        <v>360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379</v>
      </c>
      <c r="C535" s="219" t="s">
        <v>33</v>
      </c>
      <c r="D535" s="144" t="s">
        <v>360</v>
      </c>
      <c r="E535" s="145">
        <v>898.45</v>
      </c>
      <c r="F535" s="54" t="s">
        <v>360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380</v>
      </c>
      <c r="C536" s="219" t="s">
        <v>33</v>
      </c>
      <c r="D536" s="172" t="s">
        <v>360</v>
      </c>
      <c r="E536" s="173">
        <v>1200</v>
      </c>
      <c r="F536" s="174" t="s">
        <v>360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381</v>
      </c>
      <c r="C537" s="219" t="s">
        <v>33</v>
      </c>
      <c r="D537" s="144" t="s">
        <v>360</v>
      </c>
      <c r="E537" s="141">
        <v>1217</v>
      </c>
      <c r="F537" s="188" t="s">
        <v>360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382</v>
      </c>
      <c r="C538" s="219" t="s">
        <v>33</v>
      </c>
      <c r="D538" s="144" t="s">
        <v>360</v>
      </c>
      <c r="E538" s="145">
        <v>759.22</v>
      </c>
      <c r="F538" s="51" t="s">
        <v>360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80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2" t="s">
        <v>383</v>
      </c>
      <c r="C562" s="219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384</v>
      </c>
      <c r="C563" s="219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385</v>
      </c>
      <c r="C564" s="219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386</v>
      </c>
      <c r="C565" s="219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387</v>
      </c>
      <c r="C566" s="219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388</v>
      </c>
      <c r="C567" s="219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389</v>
      </c>
      <c r="C568" s="219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390</v>
      </c>
      <c r="C569" s="219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391</v>
      </c>
      <c r="C570" s="219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392</v>
      </c>
      <c r="C571" s="219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393</v>
      </c>
      <c r="C572" s="219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394</v>
      </c>
      <c r="C573" s="219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395</v>
      </c>
      <c r="C574" s="219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396</v>
      </c>
      <c r="C575" s="219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397</v>
      </c>
      <c r="C576" s="219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398</v>
      </c>
      <c r="C577" s="219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399</v>
      </c>
      <c r="C578" s="219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400</v>
      </c>
      <c r="C579" s="219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401</v>
      </c>
      <c r="C580" s="219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402</v>
      </c>
      <c r="C581" s="219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403</v>
      </c>
      <c r="C582" s="219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404</v>
      </c>
      <c r="C583" s="219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405</v>
      </c>
      <c r="C584" s="219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406</v>
      </c>
      <c r="C585" s="219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407</v>
      </c>
      <c r="C586" s="219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408</v>
      </c>
      <c r="C587" s="219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409</v>
      </c>
      <c r="C588" s="219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410</v>
      </c>
      <c r="C589" s="219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411</v>
      </c>
      <c r="C590" s="219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412</v>
      </c>
      <c r="C591" s="219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413</v>
      </c>
      <c r="C592" s="219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414</v>
      </c>
      <c r="C593" s="219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415</v>
      </c>
      <c r="C594" s="219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416</v>
      </c>
      <c r="C595" s="219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417</v>
      </c>
      <c r="C596" s="219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418</v>
      </c>
      <c r="C597" s="219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419</v>
      </c>
      <c r="C598" s="219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420</v>
      </c>
      <c r="C599" s="219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421</v>
      </c>
      <c r="C600" s="219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422</v>
      </c>
      <c r="C601" s="219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423</v>
      </c>
      <c r="C602" s="219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424</v>
      </c>
      <c r="C603" s="219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425</v>
      </c>
      <c r="C604" s="219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426</v>
      </c>
      <c r="C605" s="219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427</v>
      </c>
      <c r="C606" s="219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428</v>
      </c>
      <c r="C607" s="219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429</v>
      </c>
      <c r="C608" s="219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430</v>
      </c>
      <c r="C609" s="219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431</v>
      </c>
      <c r="C610" s="219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432</v>
      </c>
      <c r="C611" s="219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433</v>
      </c>
      <c r="C612" s="219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434</v>
      </c>
      <c r="C613" s="219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435</v>
      </c>
      <c r="C614" s="219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436</v>
      </c>
      <c r="C615" s="219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437</v>
      </c>
      <c r="C616" s="219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438</v>
      </c>
      <c r="C617" s="219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439</v>
      </c>
      <c r="C618" s="219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440</v>
      </c>
      <c r="C619" s="219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441</v>
      </c>
      <c r="C620" s="219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442</v>
      </c>
      <c r="C621" s="219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443</v>
      </c>
      <c r="C622" s="219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444</v>
      </c>
      <c r="C623" s="219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445</v>
      </c>
      <c r="C624" s="219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446</v>
      </c>
      <c r="C625" s="219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447</v>
      </c>
      <c r="C626" s="219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448</v>
      </c>
      <c r="C627" s="219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449</v>
      </c>
      <c r="C628" s="219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450</v>
      </c>
      <c r="C629" s="219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451</v>
      </c>
      <c r="C630" s="219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452</v>
      </c>
      <c r="C631" s="219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453</v>
      </c>
      <c r="C632" s="219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454</v>
      </c>
      <c r="C633" s="219" t="s">
        <v>36</v>
      </c>
      <c r="D633" s="48" t="s">
        <v>98</v>
      </c>
      <c r="E633" s="55">
        <v>1000</v>
      </c>
      <c r="F633" s="194" t="s">
        <v>98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455</v>
      </c>
      <c r="C634" s="219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456</v>
      </c>
      <c r="C635" s="219" t="s">
        <v>36</v>
      </c>
      <c r="D635" s="48" t="s">
        <v>98</v>
      </c>
      <c r="E635" s="55">
        <v>6957.9299999999994</v>
      </c>
      <c r="F635" s="194" t="s">
        <v>98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457</v>
      </c>
      <c r="C636" s="219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458</v>
      </c>
      <c r="C637" s="219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459</v>
      </c>
      <c r="C638" s="219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460</v>
      </c>
      <c r="C639" s="219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461</v>
      </c>
      <c r="C640" s="219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462</v>
      </c>
      <c r="C641" s="219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463</v>
      </c>
      <c r="C642" s="219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464</v>
      </c>
      <c r="C643" s="219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465</v>
      </c>
      <c r="C644" s="219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466</v>
      </c>
      <c r="C645" s="219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467</v>
      </c>
      <c r="C646" s="219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468</v>
      </c>
      <c r="C647" s="219" t="s">
        <v>36</v>
      </c>
      <c r="D647" s="48" t="s">
        <v>98</v>
      </c>
      <c r="E647" s="43">
        <v>3700</v>
      </c>
      <c r="F647" s="188" t="s">
        <v>98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469</v>
      </c>
      <c r="C648" s="219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470</v>
      </c>
      <c r="C649" s="219" t="s">
        <v>36</v>
      </c>
      <c r="D649" s="48" t="s">
        <v>98</v>
      </c>
      <c r="E649" s="55">
        <v>1200</v>
      </c>
      <c r="F649" s="194" t="s">
        <v>98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471</v>
      </c>
      <c r="C650" s="219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472</v>
      </c>
      <c r="C651" s="219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473</v>
      </c>
      <c r="C652" s="219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474</v>
      </c>
      <c r="C653" s="219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475</v>
      </c>
      <c r="C654" s="219" t="s">
        <v>36</v>
      </c>
      <c r="D654" s="48" t="s">
        <v>98</v>
      </c>
      <c r="E654" s="55">
        <v>873.94</v>
      </c>
      <c r="F654" s="194" t="s">
        <v>98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476</v>
      </c>
      <c r="C655" s="219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477</v>
      </c>
      <c r="C656" s="219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478</v>
      </c>
      <c r="C657" s="219" t="s">
        <v>36</v>
      </c>
      <c r="D657" s="48" t="s">
        <v>98</v>
      </c>
      <c r="E657" s="55">
        <v>1173.3399999999999</v>
      </c>
      <c r="F657" s="194" t="s">
        <v>98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479</v>
      </c>
      <c r="C658" s="219" t="s">
        <v>36</v>
      </c>
      <c r="D658" s="48" t="s">
        <v>98</v>
      </c>
      <c r="E658" s="55">
        <v>998.41</v>
      </c>
      <c r="F658" s="194" t="s">
        <v>98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480</v>
      </c>
      <c r="C659" s="219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481</v>
      </c>
      <c r="C660" s="219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482</v>
      </c>
      <c r="C661" s="219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483</v>
      </c>
      <c r="C662" s="219" t="s">
        <v>36</v>
      </c>
      <c r="D662" s="48" t="s">
        <v>98</v>
      </c>
      <c r="E662" s="55">
        <v>1173.3399999999999</v>
      </c>
      <c r="F662" s="194" t="s">
        <v>98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484</v>
      </c>
      <c r="C663" s="219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485</v>
      </c>
      <c r="C664" s="219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486</v>
      </c>
      <c r="C665" s="219" t="s">
        <v>36</v>
      </c>
      <c r="D665" s="48" t="s">
        <v>98</v>
      </c>
      <c r="E665" s="55">
        <v>1173.3399999999999</v>
      </c>
      <c r="F665" s="194" t="s">
        <v>98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487</v>
      </c>
      <c r="C666" s="219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488</v>
      </c>
      <c r="C667" s="219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489</v>
      </c>
      <c r="C668" s="219" t="s">
        <v>36</v>
      </c>
      <c r="D668" s="48" t="s">
        <v>98</v>
      </c>
      <c r="E668" s="55">
        <v>1018.64</v>
      </c>
      <c r="F668" s="194" t="s">
        <v>98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490</v>
      </c>
      <c r="C669" s="219" t="s">
        <v>36</v>
      </c>
      <c r="D669" s="48" t="s">
        <v>98</v>
      </c>
      <c r="E669" s="55">
        <v>1173.3399999999999</v>
      </c>
      <c r="F669" s="194" t="s">
        <v>98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491</v>
      </c>
      <c r="C670" s="219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492</v>
      </c>
      <c r="C671" s="219" t="s">
        <v>36</v>
      </c>
      <c r="D671" s="48" t="s">
        <v>98</v>
      </c>
      <c r="E671" s="55">
        <v>1018.64</v>
      </c>
      <c r="F671" s="194" t="s">
        <v>98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493</v>
      </c>
      <c r="C672" s="219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494</v>
      </c>
      <c r="C673" s="219" t="s">
        <v>36</v>
      </c>
      <c r="D673" s="48" t="s">
        <v>98</v>
      </c>
      <c r="E673" s="55">
        <v>2746.52</v>
      </c>
      <c r="F673" s="194" t="s">
        <v>98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495</v>
      </c>
      <c r="C674" s="219" t="s">
        <v>36</v>
      </c>
      <c r="D674" s="48" t="s">
        <v>98</v>
      </c>
      <c r="E674" s="55">
        <v>1173.3399999999999</v>
      </c>
      <c r="F674" s="194" t="s">
        <v>98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496</v>
      </c>
      <c r="C675" s="219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497</v>
      </c>
      <c r="C676" s="219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498</v>
      </c>
      <c r="C677" s="219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499</v>
      </c>
      <c r="C678" s="219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500</v>
      </c>
      <c r="C679" s="219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501</v>
      </c>
      <c r="C680" s="219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502</v>
      </c>
      <c r="C681" s="219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503</v>
      </c>
      <c r="C682" s="219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504</v>
      </c>
      <c r="C683" s="219" t="s">
        <v>36</v>
      </c>
      <c r="D683" s="48" t="s">
        <v>98</v>
      </c>
      <c r="E683" s="55">
        <v>2563</v>
      </c>
      <c r="F683" s="188" t="s">
        <v>98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505</v>
      </c>
      <c r="C684" s="219" t="s">
        <v>36</v>
      </c>
      <c r="D684" s="48" t="s">
        <v>98</v>
      </c>
      <c r="E684" s="43">
        <v>2364.5299999999997</v>
      </c>
      <c r="F684" s="188" t="s">
        <v>98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506</v>
      </c>
      <c r="C685" s="219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507</v>
      </c>
      <c r="C686" s="219" t="s">
        <v>36</v>
      </c>
      <c r="D686" s="48" t="s">
        <v>98</v>
      </c>
      <c r="E686" s="43">
        <v>2563</v>
      </c>
      <c r="F686" s="188" t="s">
        <v>98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508</v>
      </c>
      <c r="C687" s="219" t="s">
        <v>36</v>
      </c>
      <c r="D687" s="48" t="s">
        <v>98</v>
      </c>
      <c r="E687" s="55">
        <v>2563</v>
      </c>
      <c r="F687" s="194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509</v>
      </c>
      <c r="C688" s="219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510</v>
      </c>
      <c r="C689" s="219" t="s">
        <v>36</v>
      </c>
      <c r="D689" s="48" t="s">
        <v>98</v>
      </c>
      <c r="E689" s="43">
        <v>2440.69</v>
      </c>
      <c r="F689" s="188" t="s">
        <v>98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511</v>
      </c>
      <c r="C690" s="219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512</v>
      </c>
      <c r="C691" s="219" t="s">
        <v>36</v>
      </c>
      <c r="D691" s="48" t="s">
        <v>98</v>
      </c>
      <c r="E691" s="55">
        <v>873.94</v>
      </c>
      <c r="F691" s="194" t="s">
        <v>98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513</v>
      </c>
      <c r="C692" s="219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514</v>
      </c>
      <c r="C693" s="219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515</v>
      </c>
      <c r="C694" s="219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516</v>
      </c>
      <c r="C695" s="219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517</v>
      </c>
      <c r="C696" s="219" t="s">
        <v>36</v>
      </c>
      <c r="D696" s="48" t="s">
        <v>98</v>
      </c>
      <c r="E696" s="55">
        <v>1547</v>
      </c>
      <c r="F696" s="194" t="s">
        <v>98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518</v>
      </c>
      <c r="C697" s="219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519</v>
      </c>
      <c r="C698" s="219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520</v>
      </c>
      <c r="C699" s="219" t="s">
        <v>36</v>
      </c>
      <c r="D699" s="48" t="s">
        <v>98</v>
      </c>
      <c r="E699" s="55">
        <v>1850</v>
      </c>
      <c r="F699" s="194" t="s">
        <v>98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521</v>
      </c>
      <c r="C700" s="219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522</v>
      </c>
      <c r="C701" s="219" t="s">
        <v>36</v>
      </c>
      <c r="D701" s="48" t="s">
        <v>98</v>
      </c>
      <c r="E701" s="55">
        <v>4799.2700000000004</v>
      </c>
      <c r="F701" s="194" t="s">
        <v>98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523</v>
      </c>
      <c r="C702" s="219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524</v>
      </c>
      <c r="C703" s="219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525</v>
      </c>
      <c r="C704" s="219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526</v>
      </c>
      <c r="C705" s="219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527</v>
      </c>
      <c r="C706" s="219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528</v>
      </c>
      <c r="C707" s="219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529</v>
      </c>
      <c r="C708" s="219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530</v>
      </c>
      <c r="C709" s="219" t="s">
        <v>36</v>
      </c>
      <c r="D709" s="48" t="s">
        <v>98</v>
      </c>
      <c r="E709" s="55">
        <v>1000</v>
      </c>
      <c r="F709" s="194" t="s">
        <v>98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531</v>
      </c>
      <c r="C710" s="219" t="s">
        <v>36</v>
      </c>
      <c r="D710" s="48" t="s">
        <v>98</v>
      </c>
      <c r="E710" s="55">
        <v>8973.7900000000009</v>
      </c>
      <c r="F710" s="194" t="s">
        <v>98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532</v>
      </c>
      <c r="C711" s="219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533</v>
      </c>
      <c r="C712" s="219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534</v>
      </c>
      <c r="C713" s="219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535</v>
      </c>
      <c r="C714" s="219" t="s">
        <v>36</v>
      </c>
      <c r="D714" s="48" t="s">
        <v>98</v>
      </c>
      <c r="E714" s="55">
        <v>3844.89</v>
      </c>
      <c r="F714" s="194" t="s">
        <v>98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536</v>
      </c>
      <c r="C715" s="219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537</v>
      </c>
      <c r="C716" s="219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538</v>
      </c>
      <c r="C717" s="219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539</v>
      </c>
      <c r="C718" s="219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540</v>
      </c>
      <c r="C719" s="219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541</v>
      </c>
      <c r="C720" s="219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542</v>
      </c>
      <c r="C721" s="219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543</v>
      </c>
      <c r="C722" s="219" t="s">
        <v>36</v>
      </c>
      <c r="D722" s="48" t="s">
        <v>98</v>
      </c>
      <c r="E722" s="55">
        <v>1661.24</v>
      </c>
      <c r="F722" s="194" t="s">
        <v>98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544</v>
      </c>
      <c r="C723" s="219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545</v>
      </c>
      <c r="C724" s="219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546</v>
      </c>
      <c r="C725" s="219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547</v>
      </c>
      <c r="C726" s="219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548</v>
      </c>
      <c r="C727" s="219" t="s">
        <v>36</v>
      </c>
      <c r="D727" s="48" t="s">
        <v>98</v>
      </c>
      <c r="E727" s="55">
        <v>690.75</v>
      </c>
      <c r="F727" s="194" t="s">
        <v>98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549</v>
      </c>
      <c r="C728" s="219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550</v>
      </c>
      <c r="C729" s="219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551</v>
      </c>
      <c r="C730" s="219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552</v>
      </c>
      <c r="C731" s="219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553</v>
      </c>
      <c r="C732" s="219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554</v>
      </c>
      <c r="C733" s="219" t="s">
        <v>36</v>
      </c>
      <c r="D733" s="48" t="s">
        <v>98</v>
      </c>
      <c r="E733" s="43">
        <v>690.75</v>
      </c>
      <c r="F733" s="188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555</v>
      </c>
      <c r="C734" s="219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556</v>
      </c>
      <c r="C735" s="219" t="s">
        <v>36</v>
      </c>
      <c r="D735" s="48" t="s">
        <v>98</v>
      </c>
      <c r="E735" s="55">
        <v>690.75</v>
      </c>
      <c r="F735" s="194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557</v>
      </c>
      <c r="C736" s="219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558</v>
      </c>
      <c r="C737" s="219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559</v>
      </c>
      <c r="C738" s="219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560</v>
      </c>
      <c r="C739" s="219" t="s">
        <v>36</v>
      </c>
      <c r="D739" s="48" t="s">
        <v>98</v>
      </c>
      <c r="E739" s="43">
        <v>690.75</v>
      </c>
      <c r="F739" s="188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561</v>
      </c>
      <c r="C740" s="219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562</v>
      </c>
      <c r="C741" s="219" t="s">
        <v>36</v>
      </c>
      <c r="D741" s="48" t="s">
        <v>98</v>
      </c>
      <c r="E741" s="55">
        <v>690.75</v>
      </c>
      <c r="F741" s="194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563</v>
      </c>
      <c r="C742" s="219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564</v>
      </c>
      <c r="C743" s="219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565</v>
      </c>
      <c r="C744" s="219" t="s">
        <v>36</v>
      </c>
      <c r="D744" s="48" t="s">
        <v>98</v>
      </c>
      <c r="E744" s="43">
        <v>690.75</v>
      </c>
      <c r="F744" s="188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566</v>
      </c>
      <c r="C745" s="219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567</v>
      </c>
      <c r="C746" s="219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568</v>
      </c>
      <c r="C747" s="219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569</v>
      </c>
      <c r="C748" s="219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570</v>
      </c>
      <c r="C749" s="219" t="s">
        <v>36</v>
      </c>
      <c r="D749" s="48" t="s">
        <v>98</v>
      </c>
      <c r="E749" s="43">
        <v>690.75</v>
      </c>
      <c r="F749" s="188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571</v>
      </c>
      <c r="C750" s="219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572</v>
      </c>
      <c r="C751" s="219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573</v>
      </c>
      <c r="C752" s="219" t="s">
        <v>36</v>
      </c>
      <c r="D752" s="48" t="s">
        <v>98</v>
      </c>
      <c r="E752" s="55">
        <v>3850</v>
      </c>
      <c r="F752" s="194" t="s">
        <v>98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574</v>
      </c>
      <c r="C753" s="219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575</v>
      </c>
      <c r="C754" s="219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576</v>
      </c>
      <c r="C755" s="219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577</v>
      </c>
      <c r="C756" s="219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578</v>
      </c>
      <c r="C757" s="219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579</v>
      </c>
      <c r="C758" s="219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580</v>
      </c>
      <c r="C759" s="219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581</v>
      </c>
      <c r="C760" s="219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582</v>
      </c>
      <c r="C761" s="219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583</v>
      </c>
      <c r="C762" s="219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584</v>
      </c>
      <c r="C763" s="219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585</v>
      </c>
      <c r="C764" s="219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586</v>
      </c>
      <c r="C765" s="219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587</v>
      </c>
      <c r="C766" s="219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588</v>
      </c>
      <c r="C767" s="219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589</v>
      </c>
      <c r="C768" s="219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590</v>
      </c>
      <c r="C769" s="219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591</v>
      </c>
      <c r="C770" s="219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592</v>
      </c>
      <c r="C771" s="219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593</v>
      </c>
      <c r="C772" s="219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594</v>
      </c>
      <c r="C773" s="219" t="s">
        <v>36</v>
      </c>
      <c r="D773" s="48" t="s">
        <v>98</v>
      </c>
      <c r="E773" s="55">
        <v>8973.7900000000009</v>
      </c>
      <c r="F773" s="194" t="s">
        <v>98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595</v>
      </c>
      <c r="C774" s="219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596</v>
      </c>
      <c r="C775" s="219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597</v>
      </c>
      <c r="C776" s="219" t="s">
        <v>36</v>
      </c>
      <c r="D776" s="48" t="s">
        <v>98</v>
      </c>
      <c r="E776" s="55">
        <v>1661.24</v>
      </c>
      <c r="F776" s="194" t="s">
        <v>98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598</v>
      </c>
      <c r="C777" s="219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599</v>
      </c>
      <c r="C778" s="219" t="s">
        <v>36</v>
      </c>
      <c r="D778" s="48" t="s">
        <v>98</v>
      </c>
      <c r="E778" s="55">
        <v>690.75</v>
      </c>
      <c r="F778" s="194" t="s">
        <v>98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600</v>
      </c>
      <c r="C779" s="219" t="s">
        <v>36</v>
      </c>
      <c r="D779" s="48" t="s">
        <v>98</v>
      </c>
      <c r="E779" s="56">
        <v>1505.04</v>
      </c>
      <c r="F779" s="188" t="s">
        <v>98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601</v>
      </c>
      <c r="C780" s="219" t="s">
        <v>36</v>
      </c>
      <c r="D780" s="48" t="s">
        <v>98</v>
      </c>
      <c r="E780" s="56">
        <v>3628.57</v>
      </c>
      <c r="F780" s="188" t="s">
        <v>98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602</v>
      </c>
      <c r="C781" s="219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603</v>
      </c>
      <c r="C782" s="219" t="s">
        <v>36</v>
      </c>
      <c r="D782" s="48" t="s">
        <v>98</v>
      </c>
      <c r="E782" s="55">
        <v>2898.84</v>
      </c>
      <c r="F782" s="194" t="s">
        <v>98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604</v>
      </c>
      <c r="C783" s="219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605</v>
      </c>
      <c r="C784" s="219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606</v>
      </c>
      <c r="C785" s="219" t="s">
        <v>36</v>
      </c>
      <c r="D785" s="48" t="s">
        <v>98</v>
      </c>
      <c r="E785" s="55">
        <v>833</v>
      </c>
      <c r="F785" s="194" t="s">
        <v>98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607</v>
      </c>
      <c r="C786" s="219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608</v>
      </c>
      <c r="C787" s="219" t="s">
        <v>36</v>
      </c>
      <c r="D787" s="48" t="s">
        <v>98</v>
      </c>
      <c r="E787" s="55">
        <v>1266.6666666666667</v>
      </c>
      <c r="F787" s="194" t="s">
        <v>98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609</v>
      </c>
      <c r="C788" s="219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610</v>
      </c>
      <c r="C789" s="219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611</v>
      </c>
      <c r="C790" s="219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612</v>
      </c>
      <c r="C791" s="219" t="s">
        <v>36</v>
      </c>
      <c r="D791" s="48" t="s">
        <v>98</v>
      </c>
      <c r="E791" s="43">
        <v>1266.6666666666667</v>
      </c>
      <c r="F791" s="188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613</v>
      </c>
      <c r="C792" s="219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614</v>
      </c>
      <c r="C793" s="219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615</v>
      </c>
      <c r="C794" s="219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616</v>
      </c>
      <c r="C795" s="219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617</v>
      </c>
      <c r="C796" s="219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618</v>
      </c>
      <c r="C797" s="219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619</v>
      </c>
      <c r="C798" s="219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620</v>
      </c>
      <c r="C799" s="219" t="s">
        <v>36</v>
      </c>
      <c r="D799" s="48" t="s">
        <v>98</v>
      </c>
      <c r="E799" s="55">
        <v>455.66624999999999</v>
      </c>
      <c r="F799" s="194" t="s">
        <v>98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621</v>
      </c>
      <c r="C800" s="219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622</v>
      </c>
      <c r="C801" s="219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623</v>
      </c>
      <c r="C802" s="219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624</v>
      </c>
      <c r="C803" s="219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625</v>
      </c>
      <c r="C804" s="219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626</v>
      </c>
      <c r="C805" s="219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627</v>
      </c>
      <c r="C806" s="219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628</v>
      </c>
      <c r="C807" s="219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629</v>
      </c>
      <c r="C808" s="219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630</v>
      </c>
      <c r="C809" s="219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631</v>
      </c>
      <c r="C810" s="219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632</v>
      </c>
      <c r="C811" s="219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633</v>
      </c>
      <c r="C812" s="219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634</v>
      </c>
      <c r="C813" s="219" t="s">
        <v>36</v>
      </c>
      <c r="D813" s="48" t="s">
        <v>98</v>
      </c>
      <c r="E813" s="43">
        <v>3356</v>
      </c>
      <c r="F813" s="188" t="s">
        <v>98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635</v>
      </c>
      <c r="C814" s="219" t="s">
        <v>36</v>
      </c>
      <c r="D814" s="48" t="s">
        <v>98</v>
      </c>
      <c r="E814" s="55">
        <v>1900</v>
      </c>
      <c r="F814" s="194" t="s">
        <v>98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636</v>
      </c>
      <c r="C815" s="219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637</v>
      </c>
      <c r="C816" s="219" t="s">
        <v>36</v>
      </c>
      <c r="D816" s="48" t="s">
        <v>98</v>
      </c>
      <c r="E816" s="55">
        <v>23075</v>
      </c>
      <c r="F816" s="194" t="s">
        <v>98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638</v>
      </c>
      <c r="C817" s="219" t="s">
        <v>36</v>
      </c>
      <c r="D817" s="48" t="s">
        <v>98</v>
      </c>
      <c r="E817" s="55">
        <v>23075.289999999997</v>
      </c>
      <c r="F817" s="188" t="s">
        <v>98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639</v>
      </c>
      <c r="C818" s="219" t="s">
        <v>36</v>
      </c>
      <c r="D818" s="48" t="s">
        <v>98</v>
      </c>
      <c r="E818" s="55">
        <v>1018.64</v>
      </c>
      <c r="F818" s="194" t="s">
        <v>98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640</v>
      </c>
      <c r="C819" s="219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641</v>
      </c>
      <c r="C820" s="219" t="s">
        <v>36</v>
      </c>
      <c r="D820" s="48" t="s">
        <v>98</v>
      </c>
      <c r="E820" s="43">
        <v>3356</v>
      </c>
      <c r="F820" s="188" t="s">
        <v>98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642</v>
      </c>
      <c r="C821" s="219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643</v>
      </c>
      <c r="C822" s="219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644</v>
      </c>
      <c r="C823" s="219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645</v>
      </c>
      <c r="C824" s="219" t="s">
        <v>36</v>
      </c>
      <c r="D824" s="48" t="s">
        <v>98</v>
      </c>
      <c r="E824" s="55">
        <v>3356</v>
      </c>
      <c r="F824" s="194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646</v>
      </c>
      <c r="C825" s="219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647</v>
      </c>
      <c r="C826" s="219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648</v>
      </c>
      <c r="C827" s="219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649</v>
      </c>
      <c r="C828" s="219" t="s">
        <v>36</v>
      </c>
      <c r="D828" s="48" t="s">
        <v>98</v>
      </c>
      <c r="E828" s="55">
        <v>198</v>
      </c>
      <c r="F828" s="194" t="s">
        <v>98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650</v>
      </c>
      <c r="C829" s="219" t="s">
        <v>36</v>
      </c>
      <c r="D829" s="48" t="s">
        <v>98</v>
      </c>
      <c r="E829" s="55">
        <v>3356</v>
      </c>
      <c r="F829" s="194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651</v>
      </c>
      <c r="C830" s="219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652</v>
      </c>
      <c r="C831" s="219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653</v>
      </c>
      <c r="C832" s="219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654</v>
      </c>
      <c r="C833" s="219" t="s">
        <v>36</v>
      </c>
      <c r="D833" s="48" t="s">
        <v>98</v>
      </c>
      <c r="E833" s="43">
        <v>198</v>
      </c>
      <c r="F833" s="188" t="s">
        <v>98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655</v>
      </c>
      <c r="C834" s="219" t="s">
        <v>36</v>
      </c>
      <c r="D834" s="48" t="s">
        <v>98</v>
      </c>
      <c r="E834" s="55">
        <v>198</v>
      </c>
      <c r="F834" s="194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656</v>
      </c>
      <c r="C835" s="219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657</v>
      </c>
      <c r="C836" s="219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658</v>
      </c>
      <c r="C837" s="219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659</v>
      </c>
      <c r="C838" s="219" t="s">
        <v>36</v>
      </c>
      <c r="D838" s="48" t="s">
        <v>98</v>
      </c>
      <c r="E838" s="55">
        <v>3356</v>
      </c>
      <c r="F838" s="194" t="s">
        <v>98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660</v>
      </c>
      <c r="C839" s="219" t="s">
        <v>36</v>
      </c>
      <c r="D839" s="48" t="s">
        <v>98</v>
      </c>
      <c r="E839" s="55">
        <v>1100</v>
      </c>
      <c r="F839" s="194" t="s">
        <v>98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661</v>
      </c>
      <c r="C840" s="219" t="s">
        <v>36</v>
      </c>
      <c r="D840" s="48" t="s">
        <v>98</v>
      </c>
      <c r="E840" s="55">
        <v>1350</v>
      </c>
      <c r="F840" s="194" t="s">
        <v>98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662</v>
      </c>
      <c r="C841" s="219" t="s">
        <v>36</v>
      </c>
      <c r="D841" s="48" t="s">
        <v>98</v>
      </c>
      <c r="E841" s="55">
        <v>925</v>
      </c>
      <c r="F841" s="194" t="s">
        <v>98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663</v>
      </c>
      <c r="C842" s="219" t="s">
        <v>36</v>
      </c>
      <c r="D842" s="48" t="s">
        <v>98</v>
      </c>
      <c r="E842" s="43">
        <v>3373</v>
      </c>
      <c r="F842" s="188" t="s">
        <v>98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664</v>
      </c>
      <c r="C843" s="219" t="s">
        <v>36</v>
      </c>
      <c r="D843" s="48" t="s">
        <v>98</v>
      </c>
      <c r="E843" s="56">
        <v>1275.68</v>
      </c>
      <c r="F843" s="188" t="s">
        <v>98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665</v>
      </c>
      <c r="C844" s="219" t="s">
        <v>36</v>
      </c>
      <c r="D844" s="48" t="s">
        <v>98</v>
      </c>
      <c r="E844" s="55">
        <v>3373</v>
      </c>
      <c r="F844" s="194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666</v>
      </c>
      <c r="C845" s="219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667</v>
      </c>
      <c r="C846" s="219" t="s">
        <v>36</v>
      </c>
      <c r="D846" s="48" t="s">
        <v>98</v>
      </c>
      <c r="E846" s="43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668</v>
      </c>
      <c r="C847" s="219" t="s">
        <v>36</v>
      </c>
      <c r="D847" s="48" t="s">
        <v>98</v>
      </c>
      <c r="E847" s="55">
        <v>2746.52</v>
      </c>
      <c r="F847" s="194" t="s">
        <v>98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669</v>
      </c>
      <c r="C848" s="219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670</v>
      </c>
      <c r="C849" s="219" t="s">
        <v>36</v>
      </c>
      <c r="D849" s="48" t="s">
        <v>98</v>
      </c>
      <c r="E849" s="43">
        <v>1225.7</v>
      </c>
      <c r="F849" s="188" t="s">
        <v>98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671</v>
      </c>
      <c r="C850" s="219" t="s">
        <v>36</v>
      </c>
      <c r="D850" s="48" t="s">
        <v>98</v>
      </c>
      <c r="E850" s="43">
        <v>3881.78</v>
      </c>
      <c r="F850" s="188" t="s">
        <v>98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672</v>
      </c>
      <c r="C851" s="219" t="s">
        <v>36</v>
      </c>
      <c r="D851" s="48" t="s">
        <v>98</v>
      </c>
      <c r="E851" s="43">
        <v>1275.68</v>
      </c>
      <c r="F851" s="188" t="s">
        <v>98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673</v>
      </c>
      <c r="C852" s="219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674</v>
      </c>
      <c r="C853" s="219" t="s">
        <v>36</v>
      </c>
      <c r="D853" s="48" t="s">
        <v>98</v>
      </c>
      <c r="E853" s="55">
        <v>1225.7</v>
      </c>
      <c r="F853" s="194" t="s">
        <v>98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675</v>
      </c>
      <c r="C854" s="219" t="s">
        <v>36</v>
      </c>
      <c r="D854" s="48" t="s">
        <v>98</v>
      </c>
      <c r="E854" s="43">
        <v>1225.7</v>
      </c>
      <c r="F854" s="188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676</v>
      </c>
      <c r="C855" s="219" t="s">
        <v>36</v>
      </c>
      <c r="D855" s="48" t="s">
        <v>98</v>
      </c>
      <c r="E855" s="43">
        <v>2400</v>
      </c>
      <c r="F855" s="188" t="s">
        <v>98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677</v>
      </c>
      <c r="C856" s="219" t="s">
        <v>36</v>
      </c>
      <c r="D856" s="48" t="s">
        <v>98</v>
      </c>
      <c r="E856" s="43">
        <v>1275.68</v>
      </c>
      <c r="F856" s="188" t="s">
        <v>98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678</v>
      </c>
      <c r="C857" s="219" t="s">
        <v>36</v>
      </c>
      <c r="D857" s="48" t="s">
        <v>98</v>
      </c>
      <c r="E857" s="43">
        <v>1225.7</v>
      </c>
      <c r="F857" s="188" t="s">
        <v>98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679</v>
      </c>
      <c r="C858" s="219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680</v>
      </c>
      <c r="C859" s="219" t="s">
        <v>36</v>
      </c>
      <c r="D859" s="48" t="s">
        <v>98</v>
      </c>
      <c r="E859" s="43">
        <v>2400</v>
      </c>
      <c r="F859" s="188" t="s">
        <v>98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681</v>
      </c>
      <c r="C860" s="219" t="s">
        <v>36</v>
      </c>
      <c r="D860" s="48" t="s">
        <v>98</v>
      </c>
      <c r="E860" s="55">
        <v>873.94</v>
      </c>
      <c r="F860" s="194" t="s">
        <v>98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682</v>
      </c>
      <c r="C861" s="219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683</v>
      </c>
      <c r="C862" s="219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684</v>
      </c>
      <c r="C863" s="219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685</v>
      </c>
      <c r="C864" s="219" t="s">
        <v>36</v>
      </c>
      <c r="D864" s="48" t="s">
        <v>98</v>
      </c>
      <c r="E864" s="43">
        <v>131.97</v>
      </c>
      <c r="F864" s="188" t="s">
        <v>98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686</v>
      </c>
      <c r="C865" s="219" t="s">
        <v>36</v>
      </c>
      <c r="D865" s="48" t="s">
        <v>98</v>
      </c>
      <c r="E865" s="55">
        <v>5450</v>
      </c>
      <c r="F865" s="194" t="s">
        <v>98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687</v>
      </c>
      <c r="C866" s="219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688</v>
      </c>
      <c r="C867" s="219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689</v>
      </c>
      <c r="C868" s="219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690</v>
      </c>
      <c r="C869" s="219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691</v>
      </c>
      <c r="C870" s="219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692</v>
      </c>
      <c r="C871" s="219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693</v>
      </c>
      <c r="C872" s="219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694</v>
      </c>
      <c r="C873" s="219" t="s">
        <v>36</v>
      </c>
      <c r="D873" s="48" t="s">
        <v>98</v>
      </c>
      <c r="E873" s="43">
        <v>131.97</v>
      </c>
      <c r="F873" s="188" t="s">
        <v>98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695</v>
      </c>
      <c r="C874" s="219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696</v>
      </c>
      <c r="C875" s="219" t="s">
        <v>36</v>
      </c>
      <c r="D875" s="48" t="s">
        <v>98</v>
      </c>
      <c r="E875" s="43">
        <v>249.9</v>
      </c>
      <c r="F875" s="188" t="s">
        <v>98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697</v>
      </c>
      <c r="C876" s="219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698</v>
      </c>
      <c r="C877" s="219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699</v>
      </c>
      <c r="C878" s="219" t="s">
        <v>36</v>
      </c>
      <c r="D878" s="48" t="s">
        <v>98</v>
      </c>
      <c r="E878" s="55">
        <v>131.97</v>
      </c>
      <c r="F878" s="194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700</v>
      </c>
      <c r="C879" s="219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701</v>
      </c>
      <c r="C880" s="219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702</v>
      </c>
      <c r="C881" s="219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703</v>
      </c>
      <c r="C882" s="219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704</v>
      </c>
      <c r="C883" s="219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705</v>
      </c>
      <c r="C884" s="219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706</v>
      </c>
      <c r="C885" s="219" t="s">
        <v>36</v>
      </c>
      <c r="D885" s="48" t="s">
        <v>98</v>
      </c>
      <c r="E885" s="43">
        <v>131.97</v>
      </c>
      <c r="F885" s="194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707</v>
      </c>
      <c r="C886" s="219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708</v>
      </c>
      <c r="C887" s="219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709</v>
      </c>
      <c r="C888" s="219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710</v>
      </c>
      <c r="C889" s="219" t="s">
        <v>36</v>
      </c>
      <c r="D889" s="48" t="s">
        <v>98</v>
      </c>
      <c r="E889" s="55">
        <v>131.97</v>
      </c>
      <c r="F889" s="194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711</v>
      </c>
      <c r="C890" s="219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712</v>
      </c>
      <c r="C891" s="219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713</v>
      </c>
      <c r="C892" s="219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714</v>
      </c>
      <c r="C893" s="219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715</v>
      </c>
      <c r="C894" s="219" t="s">
        <v>36</v>
      </c>
      <c r="D894" s="48" t="s">
        <v>98</v>
      </c>
      <c r="E894" s="55">
        <v>131.97</v>
      </c>
      <c r="F894" s="194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716</v>
      </c>
      <c r="C895" s="219" t="s">
        <v>36</v>
      </c>
      <c r="D895" s="48" t="s">
        <v>98</v>
      </c>
      <c r="E895" s="55">
        <v>6957.9299999999994</v>
      </c>
      <c r="F895" s="194" t="s">
        <v>98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717</v>
      </c>
      <c r="C896" s="219" t="s">
        <v>36</v>
      </c>
      <c r="D896" s="48" t="s">
        <v>98</v>
      </c>
      <c r="E896" s="55">
        <v>2563</v>
      </c>
      <c r="F896" s="194" t="s">
        <v>98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718</v>
      </c>
      <c r="C897" s="219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719</v>
      </c>
      <c r="C898" s="219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720</v>
      </c>
      <c r="C899" s="219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721</v>
      </c>
      <c r="C900" s="219" t="s">
        <v>36</v>
      </c>
      <c r="D900" s="48" t="s">
        <v>98</v>
      </c>
      <c r="E900" s="55">
        <v>2885.5</v>
      </c>
      <c r="F900" s="194" t="s">
        <v>98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722</v>
      </c>
      <c r="C901" s="219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723</v>
      </c>
      <c r="C902" s="219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724</v>
      </c>
      <c r="C903" s="219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725</v>
      </c>
      <c r="C904" s="219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726</v>
      </c>
      <c r="C905" s="219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727</v>
      </c>
      <c r="C906" s="219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728</v>
      </c>
      <c r="C907" s="219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729</v>
      </c>
      <c r="C908" s="219" t="s">
        <v>36</v>
      </c>
      <c r="D908" s="48" t="s">
        <v>98</v>
      </c>
      <c r="E908" s="55">
        <v>2785.5</v>
      </c>
      <c r="F908" s="194" t="s">
        <v>98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730</v>
      </c>
      <c r="C909" s="219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731</v>
      </c>
      <c r="C910" s="219" t="s">
        <v>36</v>
      </c>
      <c r="D910" s="48" t="s">
        <v>98</v>
      </c>
      <c r="E910" s="55">
        <v>1</v>
      </c>
      <c r="F910" s="194" t="s">
        <v>98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732</v>
      </c>
      <c r="C911" s="219" t="s">
        <v>36</v>
      </c>
      <c r="D911" s="48" t="s">
        <v>98</v>
      </c>
      <c r="E911" s="55">
        <v>1200</v>
      </c>
      <c r="F911" s="194" t="s">
        <v>98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733</v>
      </c>
      <c r="C912" s="219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734</v>
      </c>
      <c r="C913" s="219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735</v>
      </c>
      <c r="C914" s="219" t="s">
        <v>36</v>
      </c>
      <c r="D914" s="48" t="s">
        <v>98</v>
      </c>
      <c r="E914" s="55">
        <v>500</v>
      </c>
      <c r="F914" s="194" t="s">
        <v>98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736</v>
      </c>
      <c r="C915" s="219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737</v>
      </c>
      <c r="C916" s="219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738</v>
      </c>
      <c r="C917" s="219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739</v>
      </c>
      <c r="C918" s="219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740</v>
      </c>
      <c r="C919" s="219" t="s">
        <v>36</v>
      </c>
      <c r="D919" s="48" t="s">
        <v>98</v>
      </c>
      <c r="E919" s="55">
        <v>114.24</v>
      </c>
      <c r="F919" s="194" t="s">
        <v>98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741</v>
      </c>
      <c r="C920" s="219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742</v>
      </c>
      <c r="C921" s="219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743</v>
      </c>
      <c r="C922" s="219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744</v>
      </c>
      <c r="C923" s="219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745</v>
      </c>
      <c r="C924" s="219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746</v>
      </c>
      <c r="C925" s="219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747</v>
      </c>
      <c r="C926" s="219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748</v>
      </c>
      <c r="C927" s="219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749</v>
      </c>
      <c r="C928" s="219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750</v>
      </c>
      <c r="C929" s="219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751</v>
      </c>
      <c r="C930" s="219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752</v>
      </c>
      <c r="C931" s="219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753</v>
      </c>
      <c r="C932" s="219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754</v>
      </c>
      <c r="C933" s="219" t="s">
        <v>36</v>
      </c>
      <c r="D933" s="48" t="s">
        <v>98</v>
      </c>
      <c r="E933" s="55">
        <v>1800</v>
      </c>
      <c r="F933" s="194" t="s">
        <v>98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755</v>
      </c>
      <c r="C934" s="219" t="s">
        <v>36</v>
      </c>
      <c r="D934" s="48" t="s">
        <v>98</v>
      </c>
      <c r="E934" s="55">
        <v>546</v>
      </c>
      <c r="F934" s="194" t="s">
        <v>98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756</v>
      </c>
      <c r="C935" s="219" t="s">
        <v>36</v>
      </c>
      <c r="D935" s="48" t="s">
        <v>98</v>
      </c>
      <c r="E935" s="55">
        <v>114.24</v>
      </c>
      <c r="F935" s="194" t="s">
        <v>98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757</v>
      </c>
      <c r="C936" s="219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758</v>
      </c>
      <c r="C937" s="219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759</v>
      </c>
      <c r="C938" s="219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760</v>
      </c>
      <c r="C939" s="219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761</v>
      </c>
      <c r="C940" s="219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762</v>
      </c>
      <c r="C941" s="219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763</v>
      </c>
      <c r="C942" s="219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764</v>
      </c>
      <c r="C943" s="219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765</v>
      </c>
      <c r="C944" s="219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766</v>
      </c>
      <c r="C945" s="219" t="s">
        <v>36</v>
      </c>
      <c r="D945" s="48" t="s">
        <v>98</v>
      </c>
      <c r="E945" s="55">
        <v>1550</v>
      </c>
      <c r="F945" s="194" t="s">
        <v>98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767</v>
      </c>
      <c r="C946" s="219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768</v>
      </c>
      <c r="C947" s="219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769</v>
      </c>
      <c r="C948" s="219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770</v>
      </c>
      <c r="C949" s="219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771</v>
      </c>
      <c r="C950" s="219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772</v>
      </c>
      <c r="C951" s="219" t="s">
        <v>36</v>
      </c>
      <c r="D951" s="48" t="s">
        <v>98</v>
      </c>
      <c r="E951" s="55">
        <v>952</v>
      </c>
      <c r="F951" s="194" t="s">
        <v>98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773</v>
      </c>
      <c r="C952" s="219" t="s">
        <v>36</v>
      </c>
      <c r="D952" s="48" t="s">
        <v>98</v>
      </c>
      <c r="E952" s="55">
        <v>925</v>
      </c>
      <c r="F952" s="194" t="s">
        <v>98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774</v>
      </c>
      <c r="C953" s="219" t="s">
        <v>36</v>
      </c>
      <c r="D953" s="48" t="s">
        <v>98</v>
      </c>
      <c r="E953" s="55">
        <v>1100</v>
      </c>
      <c r="F953" s="194" t="s">
        <v>98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775</v>
      </c>
      <c r="C954" s="219" t="s">
        <v>36</v>
      </c>
      <c r="D954" s="48" t="s">
        <v>98</v>
      </c>
      <c r="E954" s="55">
        <v>1350</v>
      </c>
      <c r="F954" s="194" t="s">
        <v>98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776</v>
      </c>
      <c r="C955" s="219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777</v>
      </c>
      <c r="C956" s="219" t="s">
        <v>36</v>
      </c>
      <c r="D956" s="48" t="s">
        <v>98</v>
      </c>
      <c r="E956" s="43">
        <v>2727.48</v>
      </c>
      <c r="F956" s="188" t="s">
        <v>98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778</v>
      </c>
      <c r="C957" s="219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779</v>
      </c>
      <c r="C958" s="219" t="s">
        <v>36</v>
      </c>
      <c r="D958" s="48" t="s">
        <v>98</v>
      </c>
      <c r="E958" s="55">
        <v>2727.48</v>
      </c>
      <c r="F958" s="194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780</v>
      </c>
      <c r="C959" s="219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781</v>
      </c>
      <c r="C960" s="219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782</v>
      </c>
      <c r="C961" s="219" t="s">
        <v>36</v>
      </c>
      <c r="D961" s="48" t="s">
        <v>98</v>
      </c>
      <c r="E961" s="55">
        <v>3111.85</v>
      </c>
      <c r="F961" s="194" t="s">
        <v>98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783</v>
      </c>
      <c r="C962" s="219" t="s">
        <v>36</v>
      </c>
      <c r="D962" s="48" t="s">
        <v>98</v>
      </c>
      <c r="E962" s="43">
        <v>1550</v>
      </c>
      <c r="F962" s="188" t="s">
        <v>98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784</v>
      </c>
      <c r="C963" s="219" t="s">
        <v>36</v>
      </c>
      <c r="D963" s="48" t="s">
        <v>98</v>
      </c>
      <c r="E963" s="55">
        <v>1550</v>
      </c>
      <c r="F963" s="194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785</v>
      </c>
      <c r="C964" s="219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786</v>
      </c>
      <c r="C965" s="219" t="s">
        <v>36</v>
      </c>
      <c r="D965" s="48" t="s">
        <v>98</v>
      </c>
      <c r="E965" s="43">
        <v>1550</v>
      </c>
      <c r="F965" s="188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787</v>
      </c>
      <c r="C966" s="219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788</v>
      </c>
      <c r="C967" s="219" t="s">
        <v>36</v>
      </c>
      <c r="D967" s="48" t="s">
        <v>98</v>
      </c>
      <c r="E967" s="55">
        <v>3844</v>
      </c>
      <c r="F967" s="194" t="s">
        <v>98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789</v>
      </c>
      <c r="C968" s="219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790</v>
      </c>
      <c r="C969" s="219" t="s">
        <v>36</v>
      </c>
      <c r="D969" s="48" t="s">
        <v>98</v>
      </c>
      <c r="E969" s="55">
        <v>998.41</v>
      </c>
      <c r="F969" s="194" t="s">
        <v>98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791</v>
      </c>
      <c r="C970" s="219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792</v>
      </c>
      <c r="C971" s="219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793</v>
      </c>
      <c r="C972" s="219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794</v>
      </c>
      <c r="C973" s="219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795</v>
      </c>
      <c r="C974" s="219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796</v>
      </c>
      <c r="C975" s="219" t="s">
        <v>36</v>
      </c>
      <c r="D975" s="48" t="s">
        <v>98</v>
      </c>
      <c r="E975" s="55">
        <v>3844</v>
      </c>
      <c r="F975" s="194" t="s">
        <v>98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797</v>
      </c>
      <c r="C976" s="219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798</v>
      </c>
      <c r="C977" s="219" t="s">
        <v>36</v>
      </c>
      <c r="D977" s="48" t="s">
        <v>98</v>
      </c>
      <c r="E977" s="55">
        <v>998.41</v>
      </c>
      <c r="F977" s="194" t="s">
        <v>98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799</v>
      </c>
      <c r="C978" s="219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800</v>
      </c>
      <c r="C979" s="219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801</v>
      </c>
      <c r="C980" s="219" t="s">
        <v>36</v>
      </c>
      <c r="D980" s="48" t="s">
        <v>98</v>
      </c>
      <c r="E980" s="55">
        <v>1173.3399999999999</v>
      </c>
      <c r="F980" s="194" t="s">
        <v>98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802</v>
      </c>
      <c r="C981" s="219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803</v>
      </c>
      <c r="C982" s="219" t="s">
        <v>36</v>
      </c>
      <c r="D982" s="48" t="s">
        <v>98</v>
      </c>
      <c r="E982" s="55">
        <v>1200</v>
      </c>
      <c r="F982" s="194" t="s">
        <v>98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804</v>
      </c>
      <c r="C1011" s="160" t="s">
        <v>46</v>
      </c>
      <c r="D1011" s="48" t="s">
        <v>229</v>
      </c>
      <c r="E1011" s="43">
        <v>8770.3333333333339</v>
      </c>
      <c r="F1011" s="188" t="s">
        <v>232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805</v>
      </c>
      <c r="C1012" s="160" t="s">
        <v>46</v>
      </c>
      <c r="D1012" s="48" t="s">
        <v>229</v>
      </c>
      <c r="E1012" s="43">
        <v>17830</v>
      </c>
      <c r="F1012" s="188" t="s">
        <v>232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806</v>
      </c>
      <c r="C1013" s="160" t="s">
        <v>46</v>
      </c>
      <c r="D1013" s="48" t="s">
        <v>229</v>
      </c>
      <c r="E1013" s="43">
        <v>28016</v>
      </c>
      <c r="F1013" s="188" t="s">
        <v>232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807</v>
      </c>
      <c r="C1014" s="160" t="s">
        <v>46</v>
      </c>
      <c r="D1014" s="48" t="s">
        <v>229</v>
      </c>
      <c r="E1014" s="43">
        <v>18321</v>
      </c>
      <c r="F1014" s="188" t="s">
        <v>232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808</v>
      </c>
      <c r="C1015" s="160" t="s">
        <v>46</v>
      </c>
      <c r="D1015" s="48" t="s">
        <v>228</v>
      </c>
      <c r="E1015" s="43">
        <v>28016</v>
      </c>
      <c r="F1015" s="188" t="s">
        <v>232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809</v>
      </c>
      <c r="C1016" s="160" t="s">
        <v>46</v>
      </c>
      <c r="D1016" s="48" t="s">
        <v>228</v>
      </c>
      <c r="E1016" s="43">
        <v>10317</v>
      </c>
      <c r="F1016" s="188" t="s">
        <v>232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810</v>
      </c>
      <c r="C1017" s="160" t="s">
        <v>46</v>
      </c>
      <c r="D1017" s="48" t="s">
        <v>229</v>
      </c>
      <c r="E1017" s="43">
        <v>10200</v>
      </c>
      <c r="F1017" s="188" t="s">
        <v>232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811</v>
      </c>
      <c r="C1018" s="160" t="s">
        <v>46</v>
      </c>
      <c r="D1018" s="48" t="s">
        <v>229</v>
      </c>
      <c r="E1018" s="43">
        <v>39999.47</v>
      </c>
      <c r="F1018" s="188" t="s">
        <v>232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812</v>
      </c>
      <c r="C1019" s="160" t="s">
        <v>46</v>
      </c>
      <c r="D1019" s="48" t="s">
        <v>228</v>
      </c>
      <c r="E1019" s="43">
        <v>10200</v>
      </c>
      <c r="F1019" s="188" t="s">
        <v>232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813</v>
      </c>
      <c r="C1020" s="160" t="s">
        <v>46</v>
      </c>
      <c r="D1020" s="48" t="s">
        <v>232</v>
      </c>
      <c r="E1020" s="43">
        <v>28550</v>
      </c>
      <c r="F1020" s="188" t="s">
        <v>232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814</v>
      </c>
      <c r="C1021" s="160" t="s">
        <v>46</v>
      </c>
      <c r="D1021" s="151" t="s">
        <v>229</v>
      </c>
      <c r="E1021" s="152">
        <v>34999.089999999997</v>
      </c>
      <c r="F1021" s="188" t="s">
        <v>232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815</v>
      </c>
      <c r="C1022" s="160" t="s">
        <v>46</v>
      </c>
      <c r="D1022" s="151" t="s">
        <v>229</v>
      </c>
      <c r="E1022" s="152">
        <v>24999.52</v>
      </c>
      <c r="F1022" s="188" t="s">
        <v>232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816</v>
      </c>
      <c r="C1023" s="160" t="s">
        <v>46</v>
      </c>
      <c r="D1023" s="151" t="s">
        <v>229</v>
      </c>
      <c r="E1023" s="152">
        <v>13269</v>
      </c>
      <c r="F1023" s="188" t="s">
        <v>232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817</v>
      </c>
      <c r="C1024" s="160" t="s">
        <v>46</v>
      </c>
      <c r="D1024" s="151" t="s">
        <v>229</v>
      </c>
      <c r="E1024" s="152">
        <v>20059.829999999998</v>
      </c>
      <c r="F1024" s="188" t="s">
        <v>232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818</v>
      </c>
      <c r="C1025" s="160" t="s">
        <v>46</v>
      </c>
      <c r="D1025" s="151" t="s">
        <v>229</v>
      </c>
      <c r="E1025" s="152">
        <v>31945</v>
      </c>
      <c r="F1025" s="188" t="s">
        <v>232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819</v>
      </c>
      <c r="C1026" s="160" t="s">
        <v>46</v>
      </c>
      <c r="D1026" s="151" t="s">
        <v>229</v>
      </c>
      <c r="E1026" s="152">
        <v>59308.5</v>
      </c>
      <c r="F1026" s="188" t="s">
        <v>232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820</v>
      </c>
      <c r="C1027" s="160" t="s">
        <v>46</v>
      </c>
      <c r="D1027" s="151" t="s">
        <v>229</v>
      </c>
      <c r="E1027" s="152">
        <v>22911.759999999998</v>
      </c>
      <c r="F1027" s="188" t="s">
        <v>232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821</v>
      </c>
      <c r="C1028" s="160" t="s">
        <v>46</v>
      </c>
      <c r="D1028" s="151" t="s">
        <v>229</v>
      </c>
      <c r="E1028" s="152">
        <v>39358.5</v>
      </c>
      <c r="F1028" s="188" t="s">
        <v>232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822</v>
      </c>
      <c r="C1029" s="160" t="s">
        <v>46</v>
      </c>
      <c r="D1029" s="151" t="s">
        <v>229</v>
      </c>
      <c r="E1029" s="152">
        <v>34666.660000000003</v>
      </c>
      <c r="F1029" s="188" t="s">
        <v>232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823</v>
      </c>
      <c r="C1030" s="160" t="s">
        <v>46</v>
      </c>
      <c r="D1030" s="151" t="s">
        <v>232</v>
      </c>
      <c r="E1030" s="152">
        <v>3550</v>
      </c>
      <c r="F1030" s="188" t="s">
        <v>232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824</v>
      </c>
      <c r="C1031" s="160" t="s">
        <v>46</v>
      </c>
      <c r="D1031" s="151" t="s">
        <v>229</v>
      </c>
      <c r="E1031" s="152">
        <v>6970</v>
      </c>
      <c r="F1031" s="188" t="s">
        <v>232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825</v>
      </c>
      <c r="C1032" s="160" t="s">
        <v>46</v>
      </c>
      <c r="D1032" s="151" t="s">
        <v>229</v>
      </c>
      <c r="E1032" s="152">
        <v>9500</v>
      </c>
      <c r="F1032" s="188" t="s">
        <v>232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826</v>
      </c>
      <c r="C1033" s="160" t="s">
        <v>46</v>
      </c>
      <c r="D1033" s="151" t="s">
        <v>229</v>
      </c>
      <c r="E1033" s="152">
        <v>4098</v>
      </c>
      <c r="F1033" s="188" t="s">
        <v>232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827</v>
      </c>
      <c r="C1034" s="160" t="s">
        <v>46</v>
      </c>
      <c r="D1034" s="151" t="s">
        <v>229</v>
      </c>
      <c r="E1034" s="152">
        <v>8770.3333333333339</v>
      </c>
      <c r="F1034" s="188" t="s">
        <v>232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828</v>
      </c>
      <c r="C1035" s="160" t="s">
        <v>46</v>
      </c>
      <c r="D1035" s="151" t="s">
        <v>229</v>
      </c>
      <c r="E1035" s="152">
        <v>44000</v>
      </c>
      <c r="F1035" s="188" t="s">
        <v>232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829</v>
      </c>
      <c r="C1036" s="160" t="s">
        <v>46</v>
      </c>
      <c r="D1036" s="151" t="s">
        <v>228</v>
      </c>
      <c r="E1036" s="152">
        <v>18500</v>
      </c>
      <c r="F1036" s="188" t="s">
        <v>232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830</v>
      </c>
      <c r="C1037" s="160" t="s">
        <v>46</v>
      </c>
      <c r="D1037" s="151" t="s">
        <v>228</v>
      </c>
      <c r="E1037" s="152">
        <v>39100</v>
      </c>
      <c r="F1037" s="188" t="s">
        <v>232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831</v>
      </c>
      <c r="C1038" s="160" t="s">
        <v>46</v>
      </c>
      <c r="D1038" s="48" t="s">
        <v>228</v>
      </c>
      <c r="E1038" s="43">
        <v>11950</v>
      </c>
      <c r="F1038" s="188" t="s">
        <v>232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832</v>
      </c>
      <c r="C1039" s="160" t="s">
        <v>46</v>
      </c>
      <c r="D1039" s="48" t="s">
        <v>229</v>
      </c>
      <c r="E1039" s="43">
        <v>5194</v>
      </c>
      <c r="F1039" s="188" t="s">
        <v>232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833</v>
      </c>
      <c r="C1040" s="160" t="s">
        <v>46</v>
      </c>
      <c r="D1040" s="151" t="s">
        <v>228</v>
      </c>
      <c r="E1040" s="152">
        <v>39358.5</v>
      </c>
      <c r="F1040" s="188" t="s">
        <v>232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834</v>
      </c>
      <c r="C1041" s="160" t="s">
        <v>46</v>
      </c>
      <c r="D1041" s="48" t="s">
        <v>228</v>
      </c>
      <c r="E1041" s="43">
        <v>31945</v>
      </c>
      <c r="F1041" s="188" t="s">
        <v>232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835</v>
      </c>
      <c r="C1042" s="160" t="s">
        <v>46</v>
      </c>
      <c r="D1042" s="48" t="s">
        <v>228</v>
      </c>
      <c r="E1042" s="43">
        <v>59308.5</v>
      </c>
      <c r="F1042" s="188" t="s">
        <v>232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836</v>
      </c>
      <c r="C1043" s="160" t="s">
        <v>46</v>
      </c>
      <c r="D1043" s="48" t="s">
        <v>229</v>
      </c>
      <c r="E1043" s="43">
        <v>0</v>
      </c>
      <c r="F1043" s="188" t="s">
        <v>232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837</v>
      </c>
      <c r="C1067" s="219" t="s">
        <v>48</v>
      </c>
      <c r="D1067" s="48" t="s">
        <v>226</v>
      </c>
      <c r="E1067" s="43">
        <v>49000</v>
      </c>
      <c r="F1067" s="188" t="s">
        <v>226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838</v>
      </c>
      <c r="C1068" s="219" t="s">
        <v>48</v>
      </c>
      <c r="D1068" s="48" t="s">
        <v>161</v>
      </c>
      <c r="E1068" s="43">
        <v>14150</v>
      </c>
      <c r="F1068" s="188" t="s">
        <v>161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839</v>
      </c>
      <c r="C1069" s="219" t="s">
        <v>48</v>
      </c>
      <c r="D1069" s="48" t="s">
        <v>161</v>
      </c>
      <c r="E1069" s="43">
        <v>16000</v>
      </c>
      <c r="F1069" s="188" t="s">
        <v>161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840</v>
      </c>
      <c r="C1070" s="219" t="s">
        <v>48</v>
      </c>
      <c r="D1070" s="48" t="s">
        <v>161</v>
      </c>
      <c r="E1070" s="43">
        <v>18633.3</v>
      </c>
      <c r="F1070" s="188" t="s">
        <v>161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841</v>
      </c>
      <c r="C1071" s="219" t="s">
        <v>48</v>
      </c>
      <c r="D1071" s="48" t="s">
        <v>161</v>
      </c>
      <c r="E1071" s="43">
        <v>8550</v>
      </c>
      <c r="F1071" s="188" t="s">
        <v>161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842</v>
      </c>
      <c r="C1072" s="219" t="s">
        <v>48</v>
      </c>
      <c r="D1072" s="48" t="s">
        <v>161</v>
      </c>
      <c r="E1072" s="43">
        <v>14000</v>
      </c>
      <c r="F1072" s="188" t="s">
        <v>161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843</v>
      </c>
      <c r="C1073" s="219" t="s">
        <v>48</v>
      </c>
      <c r="D1073" s="48" t="s">
        <v>161</v>
      </c>
      <c r="E1073" s="43">
        <v>24800</v>
      </c>
      <c r="F1073" s="188" t="s">
        <v>161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844</v>
      </c>
      <c r="C1107" s="37" t="s">
        <v>845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846</v>
      </c>
      <c r="C1108" s="37" t="s">
        <v>845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847</v>
      </c>
      <c r="C1109" s="37" t="s">
        <v>845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848</v>
      </c>
      <c r="C1110" s="37" t="s">
        <v>845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849</v>
      </c>
      <c r="C1111" s="37" t="s">
        <v>845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850</v>
      </c>
      <c r="C1112" s="37" t="s">
        <v>845</v>
      </c>
      <c r="D1112" s="48" t="s">
        <v>161</v>
      </c>
      <c r="E1112" s="43">
        <v>61500</v>
      </c>
      <c r="F1112" s="188" t="s">
        <v>161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851</v>
      </c>
      <c r="C1113" s="37" t="s">
        <v>845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852</v>
      </c>
      <c r="C1114" s="37" t="s">
        <v>845</v>
      </c>
      <c r="D1114" s="48" t="s">
        <v>161</v>
      </c>
      <c r="E1114" s="43"/>
      <c r="F1114" s="48" t="s">
        <v>161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853</v>
      </c>
      <c r="C1115" s="37" t="s">
        <v>845</v>
      </c>
      <c r="D1115" s="48" t="s">
        <v>161</v>
      </c>
      <c r="E1115" s="43"/>
      <c r="F1115" s="48" t="s">
        <v>161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854</v>
      </c>
      <c r="C1116" s="37" t="s">
        <v>845</v>
      </c>
      <c r="D1116" s="48" t="s">
        <v>161</v>
      </c>
      <c r="E1116" s="43"/>
      <c r="F1116" s="48" t="s">
        <v>161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855</v>
      </c>
      <c r="C1117" s="37" t="s">
        <v>845</v>
      </c>
      <c r="D1117" s="48" t="s">
        <v>161</v>
      </c>
      <c r="E1117" s="43"/>
      <c r="F1117" s="48" t="s">
        <v>161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856</v>
      </c>
      <c r="C1118" s="37" t="s">
        <v>845</v>
      </c>
      <c r="D1118" s="48" t="s">
        <v>161</v>
      </c>
      <c r="E1118" s="43"/>
      <c r="F1118" s="48" t="s">
        <v>161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857</v>
      </c>
      <c r="C1119" s="37" t="s">
        <v>845</v>
      </c>
      <c r="D1119" s="48" t="s">
        <v>161</v>
      </c>
      <c r="E1119" s="43"/>
      <c r="F1119" s="48" t="s">
        <v>161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858</v>
      </c>
      <c r="C1120" s="37" t="s">
        <v>845</v>
      </c>
      <c r="D1120" s="48" t="s">
        <v>161</v>
      </c>
      <c r="E1120" s="43"/>
      <c r="F1120" s="48" t="s">
        <v>161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859</v>
      </c>
      <c r="C1121" s="37" t="s">
        <v>845</v>
      </c>
      <c r="D1121" s="48" t="s">
        <v>161</v>
      </c>
      <c r="E1121" s="43"/>
      <c r="F1121" s="48" t="s">
        <v>161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860</v>
      </c>
      <c r="C1122" s="37" t="s">
        <v>845</v>
      </c>
      <c r="D1122" s="48" t="s">
        <v>161</v>
      </c>
      <c r="E1122" s="43"/>
      <c r="F1122" s="48" t="s">
        <v>161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861</v>
      </c>
      <c r="C1123" s="37" t="s">
        <v>845</v>
      </c>
      <c r="D1123" s="48" t="s">
        <v>161</v>
      </c>
      <c r="E1123" s="43"/>
      <c r="F1123" s="48" t="s">
        <v>161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862</v>
      </c>
      <c r="C1124" s="37" t="s">
        <v>845</v>
      </c>
      <c r="D1124" s="48" t="s">
        <v>161</v>
      </c>
      <c r="E1124" s="43"/>
      <c r="F1124" s="48" t="s">
        <v>161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863</v>
      </c>
      <c r="C1125" s="37" t="s">
        <v>845</v>
      </c>
      <c r="D1125" s="48" t="s">
        <v>161</v>
      </c>
      <c r="E1125" s="43"/>
      <c r="F1125" s="48" t="s">
        <v>161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864</v>
      </c>
      <c r="C1126" s="37" t="s">
        <v>845</v>
      </c>
      <c r="D1126" s="48" t="s">
        <v>161</v>
      </c>
      <c r="E1126" s="43"/>
      <c r="F1126" s="48" t="s">
        <v>161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865</v>
      </c>
      <c r="C1127" s="37" t="s">
        <v>845</v>
      </c>
      <c r="D1127" s="48" t="s">
        <v>161</v>
      </c>
      <c r="E1127" s="43"/>
      <c r="F1127" s="48" t="s">
        <v>161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866</v>
      </c>
      <c r="C1128" s="37" t="s">
        <v>845</v>
      </c>
      <c r="D1128" s="48" t="s">
        <v>161</v>
      </c>
      <c r="E1128" s="43"/>
      <c r="F1128" s="48" t="s">
        <v>161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867</v>
      </c>
      <c r="C1129" s="37" t="s">
        <v>845</v>
      </c>
      <c r="D1129" s="48" t="s">
        <v>161</v>
      </c>
      <c r="E1129" s="43"/>
      <c r="F1129" s="48" t="s">
        <v>161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868</v>
      </c>
      <c r="C1130" s="37" t="s">
        <v>845</v>
      </c>
      <c r="D1130" s="48" t="s">
        <v>161</v>
      </c>
      <c r="E1130" s="43"/>
      <c r="F1130" s="48" t="s">
        <v>161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869</v>
      </c>
      <c r="C1131" s="37" t="s">
        <v>845</v>
      </c>
      <c r="D1131" s="204" t="s">
        <v>161</v>
      </c>
      <c r="E1131" s="43"/>
      <c r="F1131" s="48" t="s">
        <v>161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870</v>
      </c>
      <c r="C1132" s="275" t="s">
        <v>845</v>
      </c>
      <c r="D1132" s="48" t="s">
        <v>161</v>
      </c>
      <c r="E1132" s="43"/>
      <c r="F1132" s="48" t="s">
        <v>161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871</v>
      </c>
      <c r="C1133" s="276" t="s">
        <v>845</v>
      </c>
      <c r="D1133" s="277" t="s">
        <v>161</v>
      </c>
      <c r="E1133" s="141"/>
      <c r="F1133" s="48" t="s">
        <v>161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872</v>
      </c>
      <c r="C1134" s="276" t="s">
        <v>845</v>
      </c>
      <c r="D1134" s="277" t="s">
        <v>161</v>
      </c>
      <c r="E1134" s="141"/>
      <c r="F1134" s="48" t="s">
        <v>161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873</v>
      </c>
      <c r="C1135" s="276" t="s">
        <v>845</v>
      </c>
      <c r="D1135" s="277" t="s">
        <v>161</v>
      </c>
      <c r="E1135" s="141"/>
      <c r="F1135" s="48" t="s">
        <v>161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874</v>
      </c>
      <c r="C1136" s="276" t="s">
        <v>845</v>
      </c>
      <c r="D1136" s="277" t="s">
        <v>161</v>
      </c>
      <c r="E1136" s="141"/>
      <c r="F1136" s="48" t="s">
        <v>161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875</v>
      </c>
      <c r="C1137" s="276" t="s">
        <v>845</v>
      </c>
      <c r="D1137" s="277" t="s">
        <v>161</v>
      </c>
      <c r="E1137" s="141"/>
      <c r="F1137" s="48" t="s">
        <v>161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876</v>
      </c>
      <c r="C1138" s="276" t="s">
        <v>845</v>
      </c>
      <c r="D1138" s="277" t="s">
        <v>161</v>
      </c>
      <c r="E1138" s="141"/>
      <c r="F1138" s="48" t="s">
        <v>161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877</v>
      </c>
      <c r="C1139" s="276" t="s">
        <v>845</v>
      </c>
      <c r="D1139" s="277" t="s">
        <v>161</v>
      </c>
      <c r="E1139" s="141"/>
      <c r="F1139" s="48" t="s">
        <v>161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878</v>
      </c>
      <c r="C1140" s="276" t="s">
        <v>845</v>
      </c>
      <c r="D1140" s="277" t="s">
        <v>161</v>
      </c>
      <c r="E1140" s="141"/>
      <c r="F1140" s="48" t="s">
        <v>161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879</v>
      </c>
      <c r="C1141" s="276" t="s">
        <v>845</v>
      </c>
      <c r="D1141" s="277" t="s">
        <v>161</v>
      </c>
      <c r="E1141" s="141"/>
      <c r="F1141" s="48" t="s">
        <v>161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880</v>
      </c>
      <c r="C1142" s="276" t="s">
        <v>845</v>
      </c>
      <c r="D1142" s="277" t="s">
        <v>161</v>
      </c>
      <c r="E1142" s="141"/>
      <c r="F1142" s="48" t="s">
        <v>161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881</v>
      </c>
      <c r="C1143" s="276" t="s">
        <v>845</v>
      </c>
      <c r="D1143" s="277" t="s">
        <v>161</v>
      </c>
      <c r="E1143" s="141"/>
      <c r="F1143" s="48" t="s">
        <v>161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882</v>
      </c>
      <c r="C1144" s="276" t="s">
        <v>845</v>
      </c>
      <c r="D1144" s="277" t="s">
        <v>161</v>
      </c>
      <c r="E1144" s="141"/>
      <c r="F1144" s="48" t="s">
        <v>161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883</v>
      </c>
      <c r="C1145" s="276" t="s">
        <v>845</v>
      </c>
      <c r="D1145" s="277" t="s">
        <v>161</v>
      </c>
      <c r="E1145" s="141"/>
      <c r="F1145" s="48" t="s">
        <v>161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884</v>
      </c>
      <c r="C1146" s="276" t="s">
        <v>845</v>
      </c>
      <c r="D1146" s="277" t="s">
        <v>161</v>
      </c>
      <c r="E1146" s="141"/>
      <c r="F1146" s="48" t="s">
        <v>161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885</v>
      </c>
      <c r="C1147" s="276" t="s">
        <v>845</v>
      </c>
      <c r="D1147" s="277" t="s">
        <v>161</v>
      </c>
      <c r="E1147" s="141"/>
      <c r="F1147" s="48" t="s">
        <v>161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886</v>
      </c>
      <c r="C1148" s="276" t="s">
        <v>845</v>
      </c>
      <c r="D1148" s="277" t="s">
        <v>161</v>
      </c>
      <c r="E1148" s="141"/>
      <c r="F1148" s="48" t="s">
        <v>161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887</v>
      </c>
      <c r="C1149" s="276" t="s">
        <v>845</v>
      </c>
      <c r="D1149" s="277" t="s">
        <v>161</v>
      </c>
      <c r="E1149" s="141"/>
      <c r="F1149" s="48" t="s">
        <v>161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888</v>
      </c>
      <c r="C1150" s="276" t="s">
        <v>845</v>
      </c>
      <c r="D1150" s="277" t="s">
        <v>161</v>
      </c>
      <c r="E1150" s="141"/>
      <c r="F1150" s="48" t="s">
        <v>161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889</v>
      </c>
      <c r="C1151" s="276" t="s">
        <v>845</v>
      </c>
      <c r="D1151" s="277" t="s">
        <v>161</v>
      </c>
      <c r="E1151" s="141"/>
      <c r="F1151" s="48" t="s">
        <v>161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890</v>
      </c>
      <c r="C1152" s="276" t="s">
        <v>845</v>
      </c>
      <c r="D1152" s="277" t="s">
        <v>161</v>
      </c>
      <c r="E1152" s="141"/>
      <c r="F1152" s="48" t="s">
        <v>161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891</v>
      </c>
      <c r="C1153" s="276" t="s">
        <v>845</v>
      </c>
      <c r="D1153" s="277" t="s">
        <v>161</v>
      </c>
      <c r="E1153" s="141"/>
      <c r="F1153" s="48" t="s">
        <v>161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892</v>
      </c>
      <c r="C1154" s="276" t="s">
        <v>845</v>
      </c>
      <c r="D1154" s="277" t="s">
        <v>161</v>
      </c>
      <c r="E1154" s="141"/>
      <c r="F1154" s="48" t="s">
        <v>161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893</v>
      </c>
      <c r="C1155" s="276" t="s">
        <v>845</v>
      </c>
      <c r="D1155" s="277" t="s">
        <v>161</v>
      </c>
      <c r="E1155" s="141"/>
      <c r="F1155" s="48" t="s">
        <v>161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894</v>
      </c>
      <c r="C1156" s="276" t="s">
        <v>845</v>
      </c>
      <c r="D1156" s="277" t="s">
        <v>161</v>
      </c>
      <c r="E1156" s="141"/>
      <c r="F1156" s="48" t="s">
        <v>161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895</v>
      </c>
      <c r="C1157" s="276" t="s">
        <v>845</v>
      </c>
      <c r="D1157" s="277" t="s">
        <v>161</v>
      </c>
      <c r="E1157" s="141"/>
      <c r="F1157" s="48" t="s">
        <v>161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896</v>
      </c>
      <c r="C1158" s="276" t="s">
        <v>845</v>
      </c>
      <c r="D1158" s="277" t="s">
        <v>161</v>
      </c>
      <c r="E1158" s="141"/>
      <c r="F1158" s="48" t="s">
        <v>161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897</v>
      </c>
      <c r="C1159" s="276" t="s">
        <v>845</v>
      </c>
      <c r="D1159" s="277" t="s">
        <v>161</v>
      </c>
      <c r="E1159" s="141"/>
      <c r="F1159" s="48" t="s">
        <v>161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898</v>
      </c>
      <c r="C1160" s="276" t="s">
        <v>845</v>
      </c>
      <c r="D1160" s="277" t="s">
        <v>161</v>
      </c>
      <c r="E1160" s="141"/>
      <c r="F1160" s="48" t="s">
        <v>161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899</v>
      </c>
      <c r="C1161" s="276" t="s">
        <v>845</v>
      </c>
      <c r="D1161" s="277" t="s">
        <v>161</v>
      </c>
      <c r="E1161" s="141"/>
      <c r="F1161" s="48" t="s">
        <v>161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900</v>
      </c>
      <c r="C1162" s="276" t="s">
        <v>845</v>
      </c>
      <c r="D1162" s="277" t="s">
        <v>161</v>
      </c>
      <c r="E1162" s="141"/>
      <c r="F1162" s="48" t="s">
        <v>161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901</v>
      </c>
      <c r="C1163" s="276" t="s">
        <v>845</v>
      </c>
      <c r="D1163" s="277" t="s">
        <v>161</v>
      </c>
      <c r="E1163" s="141"/>
      <c r="F1163" s="48" t="s">
        <v>161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902</v>
      </c>
      <c r="C1164" s="276" t="s">
        <v>845</v>
      </c>
      <c r="D1164" s="277" t="s">
        <v>161</v>
      </c>
      <c r="E1164" s="141"/>
      <c r="F1164" s="48" t="s">
        <v>161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903</v>
      </c>
      <c r="C1165" s="276" t="s">
        <v>845</v>
      </c>
      <c r="D1165" s="277" t="s">
        <v>161</v>
      </c>
      <c r="E1165" s="141"/>
      <c r="F1165" s="48" t="s">
        <v>161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904</v>
      </c>
      <c r="C1166" s="276" t="s">
        <v>845</v>
      </c>
      <c r="D1166" s="277" t="s">
        <v>161</v>
      </c>
      <c r="E1166" s="141"/>
      <c r="F1166" s="48" t="s">
        <v>161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905</v>
      </c>
      <c r="C1167" s="276" t="s">
        <v>845</v>
      </c>
      <c r="D1167" s="277" t="s">
        <v>161</v>
      </c>
      <c r="E1167" s="141"/>
      <c r="F1167" s="48" t="s">
        <v>161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906</v>
      </c>
      <c r="C1168" s="276" t="s">
        <v>845</v>
      </c>
      <c r="D1168" s="277" t="s">
        <v>161</v>
      </c>
      <c r="E1168" s="141"/>
      <c r="F1168" s="48" t="s">
        <v>161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907</v>
      </c>
      <c r="C1169" s="276" t="s">
        <v>845</v>
      </c>
      <c r="D1169" s="277" t="s">
        <v>161</v>
      </c>
      <c r="E1169" s="141"/>
      <c r="F1169" s="48" t="s">
        <v>161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908</v>
      </c>
      <c r="C1170" s="276" t="s">
        <v>845</v>
      </c>
      <c r="D1170" s="277" t="s">
        <v>161</v>
      </c>
      <c r="E1170" s="141"/>
      <c r="F1170" s="48" t="s">
        <v>161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909</v>
      </c>
      <c r="C1171" s="276" t="s">
        <v>845</v>
      </c>
      <c r="D1171" s="277" t="s">
        <v>161</v>
      </c>
      <c r="E1171" s="141"/>
      <c r="F1171" s="48" t="s">
        <v>161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910</v>
      </c>
      <c r="C1172" s="276" t="s">
        <v>845</v>
      </c>
      <c r="D1172" s="277" t="s">
        <v>161</v>
      </c>
      <c r="E1172" s="141"/>
      <c r="F1172" s="48" t="s">
        <v>161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911</v>
      </c>
      <c r="C1173" s="276" t="s">
        <v>845</v>
      </c>
      <c r="D1173" s="277" t="s">
        <v>161</v>
      </c>
      <c r="E1173" s="141"/>
      <c r="F1173" s="48" t="s">
        <v>161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912</v>
      </c>
      <c r="C1174" s="276" t="s">
        <v>845</v>
      </c>
      <c r="D1174" s="277" t="s">
        <v>161</v>
      </c>
      <c r="E1174" s="141"/>
      <c r="F1174" s="48" t="s">
        <v>161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913</v>
      </c>
      <c r="C1175" s="276" t="s">
        <v>845</v>
      </c>
      <c r="D1175" s="277" t="s">
        <v>161</v>
      </c>
      <c r="E1175" s="141"/>
      <c r="F1175" s="48" t="s">
        <v>161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914</v>
      </c>
      <c r="C1176" s="276" t="s">
        <v>845</v>
      </c>
      <c r="D1176" s="277" t="s">
        <v>161</v>
      </c>
      <c r="E1176" s="141"/>
      <c r="F1176" s="48" t="s">
        <v>161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915</v>
      </c>
      <c r="C1177" s="276" t="s">
        <v>845</v>
      </c>
      <c r="D1177" s="277" t="s">
        <v>161</v>
      </c>
      <c r="E1177" s="141"/>
      <c r="F1177" s="48" t="s">
        <v>161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916</v>
      </c>
      <c r="C1178" s="276" t="s">
        <v>845</v>
      </c>
      <c r="D1178" s="277" t="s">
        <v>161</v>
      </c>
      <c r="E1178" s="141"/>
      <c r="F1178" s="48" t="s">
        <v>161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917</v>
      </c>
      <c r="C1179" s="276" t="s">
        <v>845</v>
      </c>
      <c r="D1179" s="277" t="s">
        <v>161</v>
      </c>
      <c r="E1179" s="141"/>
      <c r="F1179" s="48" t="s">
        <v>161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918</v>
      </c>
      <c r="C1180" s="276" t="s">
        <v>845</v>
      </c>
      <c r="D1180" s="277" t="s">
        <v>161</v>
      </c>
      <c r="E1180" s="141"/>
      <c r="F1180" s="48" t="s">
        <v>161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919</v>
      </c>
      <c r="C1181" s="276" t="s">
        <v>845</v>
      </c>
      <c r="D1181" s="277" t="s">
        <v>161</v>
      </c>
      <c r="E1181" s="141"/>
      <c r="F1181" s="48" t="s">
        <v>161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920</v>
      </c>
      <c r="C1182" s="276" t="s">
        <v>845</v>
      </c>
      <c r="D1182" s="277" t="s">
        <v>161</v>
      </c>
      <c r="E1182" s="141"/>
      <c r="F1182" s="48" t="s">
        <v>161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921</v>
      </c>
      <c r="C1183" s="276" t="s">
        <v>845</v>
      </c>
      <c r="D1183" s="277" t="s">
        <v>161</v>
      </c>
      <c r="E1183" s="141"/>
      <c r="F1183" s="48" t="s">
        <v>161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922</v>
      </c>
      <c r="C1184" s="276" t="s">
        <v>845</v>
      </c>
      <c r="D1184" s="277" t="s">
        <v>161</v>
      </c>
      <c r="E1184" s="141"/>
      <c r="F1184" s="48" t="s">
        <v>161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923</v>
      </c>
      <c r="C1185" s="276" t="s">
        <v>845</v>
      </c>
      <c r="D1185" s="277" t="s">
        <v>161</v>
      </c>
      <c r="E1185" s="141"/>
      <c r="F1185" s="48" t="s">
        <v>161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924</v>
      </c>
      <c r="C1186" s="276" t="s">
        <v>845</v>
      </c>
      <c r="D1186" s="277" t="s">
        <v>161</v>
      </c>
      <c r="E1186" s="141"/>
      <c r="F1186" s="48" t="s">
        <v>161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925</v>
      </c>
      <c r="C1187" s="276" t="s">
        <v>845</v>
      </c>
      <c r="D1187" s="277" t="s">
        <v>161</v>
      </c>
      <c r="E1187" s="141"/>
      <c r="F1187" s="48" t="s">
        <v>161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926</v>
      </c>
      <c r="C1188" s="276" t="s">
        <v>845</v>
      </c>
      <c r="D1188" s="277" t="s">
        <v>161</v>
      </c>
      <c r="E1188" s="141"/>
      <c r="F1188" s="48" t="s">
        <v>161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927</v>
      </c>
      <c r="C1189" s="276" t="s">
        <v>845</v>
      </c>
      <c r="D1189" s="277" t="s">
        <v>161</v>
      </c>
      <c r="E1189" s="141"/>
      <c r="F1189" s="48" t="s">
        <v>161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928</v>
      </c>
      <c r="C1190" s="276" t="s">
        <v>845</v>
      </c>
      <c r="D1190" s="277" t="s">
        <v>161</v>
      </c>
      <c r="E1190" s="141"/>
      <c r="F1190" s="48" t="s">
        <v>161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929</v>
      </c>
      <c r="C1191" s="276" t="s">
        <v>845</v>
      </c>
      <c r="D1191" s="277" t="s">
        <v>161</v>
      </c>
      <c r="E1191" s="141"/>
      <c r="F1191" s="48" t="s">
        <v>161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930</v>
      </c>
      <c r="C1192" s="276" t="s">
        <v>845</v>
      </c>
      <c r="D1192" s="277" t="s">
        <v>161</v>
      </c>
      <c r="E1192" s="141"/>
      <c r="F1192" s="48" t="s">
        <v>161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931</v>
      </c>
      <c r="C1193" s="276" t="s">
        <v>845</v>
      </c>
      <c r="D1193" s="277" t="s">
        <v>161</v>
      </c>
      <c r="E1193" s="141"/>
      <c r="F1193" s="48" t="s">
        <v>161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932</v>
      </c>
      <c r="C1194" s="276" t="s">
        <v>845</v>
      </c>
      <c r="D1194" s="277" t="s">
        <v>161</v>
      </c>
      <c r="E1194" s="141"/>
      <c r="F1194" s="48" t="s">
        <v>161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933</v>
      </c>
      <c r="C1195" s="276" t="s">
        <v>845</v>
      </c>
      <c r="D1195" s="277" t="s">
        <v>161</v>
      </c>
      <c r="E1195" s="141"/>
      <c r="F1195" s="48" t="s">
        <v>161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934</v>
      </c>
      <c r="C1196" s="276" t="s">
        <v>845</v>
      </c>
      <c r="D1196" s="277" t="s">
        <v>161</v>
      </c>
      <c r="E1196" s="141"/>
      <c r="F1196" s="48" t="s">
        <v>161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935</v>
      </c>
      <c r="C1197" s="276" t="s">
        <v>845</v>
      </c>
      <c r="D1197" s="277" t="s">
        <v>161</v>
      </c>
      <c r="E1197" s="141"/>
      <c r="F1197" s="48" t="s">
        <v>161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936</v>
      </c>
      <c r="C1198" s="276" t="s">
        <v>845</v>
      </c>
      <c r="D1198" s="277" t="s">
        <v>161</v>
      </c>
      <c r="E1198" s="141"/>
      <c r="F1198" s="48" t="s">
        <v>161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937</v>
      </c>
      <c r="C1199" s="276" t="s">
        <v>845</v>
      </c>
      <c r="D1199" s="277" t="s">
        <v>161</v>
      </c>
      <c r="E1199" s="141"/>
      <c r="F1199" s="48" t="s">
        <v>161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938</v>
      </c>
      <c r="C1200" s="276" t="s">
        <v>845</v>
      </c>
      <c r="D1200" s="277" t="s">
        <v>161</v>
      </c>
      <c r="E1200" s="141"/>
      <c r="F1200" s="48" t="s">
        <v>161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939</v>
      </c>
      <c r="C1201" s="276" t="s">
        <v>845</v>
      </c>
      <c r="D1201" s="277" t="s">
        <v>161</v>
      </c>
      <c r="E1201" s="141"/>
      <c r="F1201" s="48" t="s">
        <v>161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940</v>
      </c>
      <c r="C1202" s="276" t="s">
        <v>845</v>
      </c>
      <c r="D1202" s="277" t="s">
        <v>161</v>
      </c>
      <c r="E1202" s="141"/>
      <c r="F1202" s="48" t="s">
        <v>161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941</v>
      </c>
      <c r="C1203" s="276" t="s">
        <v>845</v>
      </c>
      <c r="D1203" s="277" t="s">
        <v>161</v>
      </c>
      <c r="E1203" s="141"/>
      <c r="F1203" s="48" t="s">
        <v>161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942</v>
      </c>
      <c r="C1204" s="276" t="s">
        <v>845</v>
      </c>
      <c r="D1204" s="277" t="s">
        <v>161</v>
      </c>
      <c r="E1204" s="141"/>
      <c r="F1204" s="48" t="s">
        <v>161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943</v>
      </c>
      <c r="C1205" s="276" t="s">
        <v>845</v>
      </c>
      <c r="D1205" s="277" t="s">
        <v>161</v>
      </c>
      <c r="E1205" s="141"/>
      <c r="F1205" s="48" t="s">
        <v>161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944</v>
      </c>
      <c r="C1206" s="276" t="s">
        <v>845</v>
      </c>
      <c r="D1206" s="277" t="s">
        <v>161</v>
      </c>
      <c r="E1206" s="141"/>
      <c r="F1206" s="48" t="s">
        <v>161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945</v>
      </c>
      <c r="C1207" s="276" t="s">
        <v>845</v>
      </c>
      <c r="D1207" s="277" t="s">
        <v>161</v>
      </c>
      <c r="E1207" s="141"/>
      <c r="F1207" s="48" t="s">
        <v>161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946</v>
      </c>
      <c r="C1208" s="276" t="s">
        <v>845</v>
      </c>
      <c r="D1208" s="277" t="s">
        <v>161</v>
      </c>
      <c r="E1208" s="141"/>
      <c r="F1208" s="48" t="s">
        <v>161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947</v>
      </c>
      <c r="C1209" s="276" t="s">
        <v>845</v>
      </c>
      <c r="D1209" s="277" t="s">
        <v>161</v>
      </c>
      <c r="E1209" s="141"/>
      <c r="F1209" s="48" t="s">
        <v>161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948</v>
      </c>
      <c r="C1210" s="276" t="s">
        <v>845</v>
      </c>
      <c r="D1210" s="277" t="s">
        <v>161</v>
      </c>
      <c r="E1210" s="141"/>
      <c r="F1210" s="48" t="s">
        <v>161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949</v>
      </c>
      <c r="C1211" s="276" t="s">
        <v>845</v>
      </c>
      <c r="D1211" s="277" t="s">
        <v>161</v>
      </c>
      <c r="E1211" s="141"/>
      <c r="F1211" s="48" t="s">
        <v>161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950</v>
      </c>
      <c r="C1212" s="276" t="s">
        <v>845</v>
      </c>
      <c r="D1212" s="277" t="s">
        <v>161</v>
      </c>
      <c r="E1212" s="141"/>
      <c r="F1212" s="48" t="s">
        <v>161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951</v>
      </c>
      <c r="C1213" s="276" t="s">
        <v>845</v>
      </c>
      <c r="D1213" s="277" t="s">
        <v>161</v>
      </c>
      <c r="E1213" s="141"/>
      <c r="F1213" s="48" t="s">
        <v>161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952</v>
      </c>
      <c r="C1214" s="276" t="s">
        <v>845</v>
      </c>
      <c r="D1214" s="277" t="s">
        <v>161</v>
      </c>
      <c r="E1214" s="141"/>
      <c r="F1214" s="48" t="s">
        <v>161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953</v>
      </c>
      <c r="C1215" s="276" t="s">
        <v>845</v>
      </c>
      <c r="D1215" s="277" t="s">
        <v>161</v>
      </c>
      <c r="E1215" s="141"/>
      <c r="F1215" s="48" t="s">
        <v>161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954</v>
      </c>
      <c r="C1216" s="276" t="s">
        <v>845</v>
      </c>
      <c r="D1216" s="277" t="s">
        <v>161</v>
      </c>
      <c r="E1216" s="141"/>
      <c r="F1216" s="48" t="s">
        <v>161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955</v>
      </c>
      <c r="C1217" s="276" t="s">
        <v>845</v>
      </c>
      <c r="D1217" s="277" t="s">
        <v>161</v>
      </c>
      <c r="E1217" s="141"/>
      <c r="F1217" s="48" t="s">
        <v>161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956</v>
      </c>
      <c r="C1218" s="276" t="s">
        <v>845</v>
      </c>
      <c r="D1218" s="277" t="s">
        <v>161</v>
      </c>
      <c r="E1218" s="141"/>
      <c r="F1218" s="48" t="s">
        <v>161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957</v>
      </c>
      <c r="C1219" s="276" t="s">
        <v>845</v>
      </c>
      <c r="D1219" s="277" t="s">
        <v>161</v>
      </c>
      <c r="E1219" s="141"/>
      <c r="F1219" s="48" t="s">
        <v>161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958</v>
      </c>
      <c r="C1220" s="276" t="s">
        <v>845</v>
      </c>
      <c r="D1220" s="277" t="s">
        <v>161</v>
      </c>
      <c r="E1220" s="141"/>
      <c r="F1220" s="48" t="s">
        <v>161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959</v>
      </c>
      <c r="C1221" s="276" t="s">
        <v>845</v>
      </c>
      <c r="D1221" s="277" t="s">
        <v>161</v>
      </c>
      <c r="E1221" s="141"/>
      <c r="F1221" s="48" t="s">
        <v>161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960</v>
      </c>
      <c r="C1222" s="276" t="s">
        <v>845</v>
      </c>
      <c r="D1222" s="277" t="s">
        <v>161</v>
      </c>
      <c r="E1222" s="141"/>
      <c r="F1222" s="48" t="s">
        <v>161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961</v>
      </c>
      <c r="C1223" s="276" t="s">
        <v>845</v>
      </c>
      <c r="D1223" s="277" t="s">
        <v>161</v>
      </c>
      <c r="E1223" s="141"/>
      <c r="F1223" s="48" t="s">
        <v>161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962</v>
      </c>
      <c r="C1224" s="276" t="s">
        <v>845</v>
      </c>
      <c r="D1224" s="277" t="s">
        <v>161</v>
      </c>
      <c r="E1224" s="141"/>
      <c r="F1224" s="48" t="s">
        <v>161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963</v>
      </c>
      <c r="C1225" s="276" t="s">
        <v>845</v>
      </c>
      <c r="D1225" s="277" t="s">
        <v>161</v>
      </c>
      <c r="E1225" s="141"/>
      <c r="F1225" s="48" t="s">
        <v>161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964</v>
      </c>
      <c r="C1226" s="276" t="s">
        <v>845</v>
      </c>
      <c r="D1226" s="277" t="s">
        <v>161</v>
      </c>
      <c r="E1226" s="141"/>
      <c r="F1226" s="48" t="s">
        <v>161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965</v>
      </c>
      <c r="C1227" s="276" t="s">
        <v>845</v>
      </c>
      <c r="D1227" s="277" t="s">
        <v>161</v>
      </c>
      <c r="E1227" s="141"/>
      <c r="F1227" s="48" t="s">
        <v>161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966</v>
      </c>
      <c r="C1228" s="276" t="s">
        <v>845</v>
      </c>
      <c r="D1228" s="277" t="s">
        <v>161</v>
      </c>
      <c r="E1228" s="141"/>
      <c r="F1228" s="48" t="s">
        <v>161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967</v>
      </c>
      <c r="C1229" s="276" t="s">
        <v>845</v>
      </c>
      <c r="D1229" s="277" t="s">
        <v>161</v>
      </c>
      <c r="E1229" s="141"/>
      <c r="F1229" s="48" t="s">
        <v>161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968</v>
      </c>
      <c r="C1230" s="276" t="s">
        <v>845</v>
      </c>
      <c r="D1230" s="277" t="s">
        <v>161</v>
      </c>
      <c r="E1230" s="141"/>
      <c r="F1230" s="48" t="s">
        <v>161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969</v>
      </c>
      <c r="C1231" s="276" t="s">
        <v>845</v>
      </c>
      <c r="D1231" s="277" t="s">
        <v>161</v>
      </c>
      <c r="E1231" s="141"/>
      <c r="F1231" s="48" t="s">
        <v>161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970</v>
      </c>
      <c r="C1232" s="276" t="s">
        <v>845</v>
      </c>
      <c r="D1232" s="277" t="s">
        <v>161</v>
      </c>
      <c r="E1232" s="141"/>
      <c r="F1232" s="48" t="s">
        <v>161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971</v>
      </c>
      <c r="C1233" s="276" t="s">
        <v>845</v>
      </c>
      <c r="D1233" s="277" t="s">
        <v>161</v>
      </c>
      <c r="E1233" s="141"/>
      <c r="F1233" s="48" t="s">
        <v>161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972</v>
      </c>
      <c r="C1234" s="276" t="s">
        <v>845</v>
      </c>
      <c r="D1234" s="277" t="s">
        <v>161</v>
      </c>
      <c r="E1234" s="141"/>
      <c r="F1234" s="48" t="s">
        <v>161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973</v>
      </c>
      <c r="C1235" s="276" t="s">
        <v>845</v>
      </c>
      <c r="D1235" s="277" t="s">
        <v>161</v>
      </c>
      <c r="E1235" s="141"/>
      <c r="F1235" s="48" t="s">
        <v>161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974</v>
      </c>
      <c r="C1236" s="276" t="s">
        <v>845</v>
      </c>
      <c r="D1236" s="277" t="s">
        <v>161</v>
      </c>
      <c r="E1236" s="141"/>
      <c r="F1236" s="48" t="s">
        <v>161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975</v>
      </c>
      <c r="C1237" s="276" t="s">
        <v>845</v>
      </c>
      <c r="D1237" s="277" t="s">
        <v>161</v>
      </c>
      <c r="E1237" s="141"/>
      <c r="F1237" s="48" t="s">
        <v>161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976</v>
      </c>
      <c r="C1238" s="276" t="s">
        <v>845</v>
      </c>
      <c r="D1238" s="277" t="s">
        <v>161</v>
      </c>
      <c r="E1238" s="141"/>
      <c r="F1238" s="48" t="s">
        <v>161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977</v>
      </c>
      <c r="C1239" s="276" t="s">
        <v>845</v>
      </c>
      <c r="D1239" s="277" t="s">
        <v>161</v>
      </c>
      <c r="E1239" s="141"/>
      <c r="F1239" s="48" t="s">
        <v>161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978</v>
      </c>
      <c r="C1240" s="276" t="s">
        <v>845</v>
      </c>
      <c r="D1240" s="277" t="s">
        <v>161</v>
      </c>
      <c r="E1240" s="141"/>
      <c r="F1240" s="48" t="s">
        <v>161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979</v>
      </c>
      <c r="C1241" s="276" t="s">
        <v>845</v>
      </c>
      <c r="D1241" s="277" t="s">
        <v>161</v>
      </c>
      <c r="E1241" s="141"/>
      <c r="F1241" s="48" t="s">
        <v>161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980</v>
      </c>
      <c r="C1242" s="276" t="s">
        <v>845</v>
      </c>
      <c r="D1242" s="277" t="s">
        <v>161</v>
      </c>
      <c r="E1242" s="141"/>
      <c r="F1242" s="48" t="s">
        <v>161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981</v>
      </c>
      <c r="C1243" s="276" t="s">
        <v>845</v>
      </c>
      <c r="D1243" s="277" t="s">
        <v>161</v>
      </c>
      <c r="E1243" s="141"/>
      <c r="F1243" s="48" t="s">
        <v>161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982</v>
      </c>
      <c r="C1244" s="276" t="s">
        <v>845</v>
      </c>
      <c r="D1244" s="277" t="s">
        <v>161</v>
      </c>
      <c r="E1244" s="141"/>
      <c r="F1244" s="48" t="s">
        <v>161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983</v>
      </c>
      <c r="C1245" s="276" t="s">
        <v>845</v>
      </c>
      <c r="D1245" s="277" t="s">
        <v>161</v>
      </c>
      <c r="E1245" s="141"/>
      <c r="F1245" s="48" t="s">
        <v>161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984</v>
      </c>
      <c r="C1246" s="276" t="s">
        <v>845</v>
      </c>
      <c r="D1246" s="277" t="s">
        <v>161</v>
      </c>
      <c r="E1246" s="141"/>
      <c r="F1246" s="48" t="s">
        <v>161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985</v>
      </c>
      <c r="C1247" s="276" t="s">
        <v>845</v>
      </c>
      <c r="D1247" s="277" t="s">
        <v>161</v>
      </c>
      <c r="E1247" s="141"/>
      <c r="F1247" s="48" t="s">
        <v>161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986</v>
      </c>
      <c r="C1248" s="276" t="s">
        <v>845</v>
      </c>
      <c r="D1248" s="277" t="s">
        <v>161</v>
      </c>
      <c r="E1248" s="141"/>
      <c r="F1248" s="48" t="s">
        <v>161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987</v>
      </c>
      <c r="C1249" s="276" t="s">
        <v>845</v>
      </c>
      <c r="D1249" s="277" t="s">
        <v>161</v>
      </c>
      <c r="E1249" s="141"/>
      <c r="F1249" s="48" t="s">
        <v>161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988</v>
      </c>
      <c r="C1250" s="276" t="s">
        <v>845</v>
      </c>
      <c r="D1250" s="277" t="s">
        <v>161</v>
      </c>
      <c r="E1250" s="141"/>
      <c r="F1250" s="48" t="s">
        <v>161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989</v>
      </c>
      <c r="C1251" s="276" t="s">
        <v>845</v>
      </c>
      <c r="D1251" s="277" t="s">
        <v>161</v>
      </c>
      <c r="E1251" s="141"/>
      <c r="F1251" s="48" t="s">
        <v>161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990</v>
      </c>
      <c r="C1252" s="276" t="s">
        <v>845</v>
      </c>
      <c r="D1252" s="277" t="s">
        <v>161</v>
      </c>
      <c r="E1252" s="141"/>
      <c r="F1252" s="48" t="s">
        <v>161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991</v>
      </c>
      <c r="C1253" s="276" t="s">
        <v>845</v>
      </c>
      <c r="D1253" s="277" t="s">
        <v>161</v>
      </c>
      <c r="E1253" s="141"/>
      <c r="F1253" s="48" t="s">
        <v>161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992</v>
      </c>
      <c r="C1254" s="276" t="s">
        <v>845</v>
      </c>
      <c r="D1254" s="277" t="s">
        <v>161</v>
      </c>
      <c r="E1254" s="141"/>
      <c r="F1254" s="48" t="s">
        <v>161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993</v>
      </c>
      <c r="C1255" s="276" t="s">
        <v>845</v>
      </c>
      <c r="D1255" s="277" t="s">
        <v>161</v>
      </c>
      <c r="E1255" s="141"/>
      <c r="F1255" s="48" t="s">
        <v>161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994</v>
      </c>
      <c r="C1256" s="276" t="s">
        <v>845</v>
      </c>
      <c r="D1256" s="277" t="s">
        <v>161</v>
      </c>
      <c r="E1256" s="141"/>
      <c r="F1256" s="48" t="s">
        <v>161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995</v>
      </c>
      <c r="C1257" s="276" t="s">
        <v>845</v>
      </c>
      <c r="D1257" s="277" t="s">
        <v>161</v>
      </c>
      <c r="E1257" s="141"/>
      <c r="F1257" s="48" t="s">
        <v>161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996</v>
      </c>
      <c r="C1258" s="276" t="s">
        <v>845</v>
      </c>
      <c r="D1258" s="277" t="s">
        <v>161</v>
      </c>
      <c r="E1258" s="141"/>
      <c r="F1258" s="48" t="s">
        <v>161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997</v>
      </c>
      <c r="C1259" s="276" t="s">
        <v>845</v>
      </c>
      <c r="D1259" s="277" t="s">
        <v>161</v>
      </c>
      <c r="E1259" s="141"/>
      <c r="F1259" s="48" t="s">
        <v>161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998</v>
      </c>
      <c r="C1260" s="276" t="s">
        <v>845</v>
      </c>
      <c r="D1260" s="277" t="s">
        <v>161</v>
      </c>
      <c r="E1260" s="141"/>
      <c r="F1260" s="48" t="s">
        <v>161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999</v>
      </c>
      <c r="C1261" s="276" t="s">
        <v>845</v>
      </c>
      <c r="D1261" s="277" t="s">
        <v>161</v>
      </c>
      <c r="E1261" s="141"/>
      <c r="F1261" s="48" t="s">
        <v>161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1000</v>
      </c>
      <c r="C1262" s="276" t="s">
        <v>845</v>
      </c>
      <c r="D1262" s="277" t="s">
        <v>161</v>
      </c>
      <c r="E1262" s="141"/>
      <c r="F1262" s="48" t="s">
        <v>161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1001</v>
      </c>
      <c r="C1263" s="276" t="s">
        <v>845</v>
      </c>
      <c r="D1263" s="277" t="s">
        <v>161</v>
      </c>
      <c r="E1263" s="141"/>
      <c r="F1263" s="48" t="s">
        <v>161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1002</v>
      </c>
      <c r="C1264" s="276" t="s">
        <v>845</v>
      </c>
      <c r="D1264" s="277" t="s">
        <v>161</v>
      </c>
      <c r="E1264" s="141"/>
      <c r="F1264" s="48" t="s">
        <v>161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1003</v>
      </c>
      <c r="C1265" s="276" t="s">
        <v>845</v>
      </c>
      <c r="D1265" s="277" t="s">
        <v>161</v>
      </c>
      <c r="E1265" s="141"/>
      <c r="F1265" s="48" t="s">
        <v>161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1004</v>
      </c>
      <c r="C1266" s="276" t="s">
        <v>845</v>
      </c>
      <c r="D1266" s="277" t="s">
        <v>161</v>
      </c>
      <c r="E1266" s="141"/>
      <c r="F1266" s="48" t="s">
        <v>161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1005</v>
      </c>
      <c r="C1267" s="276" t="s">
        <v>845</v>
      </c>
      <c r="D1267" s="277" t="s">
        <v>161</v>
      </c>
      <c r="E1267" s="141"/>
      <c r="F1267" s="48" t="s">
        <v>161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1006</v>
      </c>
      <c r="C1268" s="276" t="s">
        <v>845</v>
      </c>
      <c r="D1268" s="277" t="s">
        <v>161</v>
      </c>
      <c r="E1268" s="141"/>
      <c r="F1268" s="48" t="s">
        <v>161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1007</v>
      </c>
      <c r="C1269" s="276" t="s">
        <v>845</v>
      </c>
      <c r="D1269" s="277" t="s">
        <v>161</v>
      </c>
      <c r="E1269" s="141"/>
      <c r="F1269" s="48" t="s">
        <v>161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1008</v>
      </c>
      <c r="C1270" s="276" t="s">
        <v>845</v>
      </c>
      <c r="D1270" s="277" t="s">
        <v>161</v>
      </c>
      <c r="E1270" s="141"/>
      <c r="F1270" s="48" t="s">
        <v>161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1009</v>
      </c>
      <c r="C1271" s="276" t="s">
        <v>845</v>
      </c>
      <c r="D1271" s="277" t="s">
        <v>161</v>
      </c>
      <c r="E1271" s="141"/>
      <c r="F1271" s="48" t="s">
        <v>161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1010</v>
      </c>
      <c r="C1272" s="276" t="s">
        <v>845</v>
      </c>
      <c r="D1272" s="277" t="s">
        <v>161</v>
      </c>
      <c r="E1272" s="141"/>
      <c r="F1272" s="48" t="s">
        <v>161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1011</v>
      </c>
      <c r="C1273" s="276" t="s">
        <v>845</v>
      </c>
      <c r="D1273" s="277" t="s">
        <v>98</v>
      </c>
      <c r="E1273" s="141">
        <v>44533.333333333336</v>
      </c>
      <c r="F1273" s="278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1012</v>
      </c>
      <c r="C1274" s="276" t="s">
        <v>845</v>
      </c>
      <c r="D1274" s="277" t="s">
        <v>98</v>
      </c>
      <c r="E1274" s="141">
        <v>30900</v>
      </c>
      <c r="F1274" s="278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1013</v>
      </c>
      <c r="C1275" s="276" t="s">
        <v>845</v>
      </c>
      <c r="D1275" s="277" t="s">
        <v>1014</v>
      </c>
      <c r="E1275" s="141">
        <v>44500</v>
      </c>
      <c r="F1275" s="278" t="s">
        <v>98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1015</v>
      </c>
      <c r="C1276" s="276" t="s">
        <v>845</v>
      </c>
      <c r="D1276" s="277" t="s">
        <v>98</v>
      </c>
      <c r="E1276" s="141">
        <v>22370</v>
      </c>
      <c r="F1276" s="278" t="s">
        <v>98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1016</v>
      </c>
      <c r="C1277" s="276" t="s">
        <v>845</v>
      </c>
      <c r="D1277" s="277" t="s">
        <v>98</v>
      </c>
      <c r="E1277" s="141">
        <v>184100</v>
      </c>
      <c r="F1277" s="278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1017</v>
      </c>
      <c r="C1278" s="276" t="s">
        <v>845</v>
      </c>
      <c r="D1278" s="277" t="s">
        <v>98</v>
      </c>
      <c r="E1278" s="141">
        <v>6333.3374999999996</v>
      </c>
      <c r="F1278" s="278" t="s">
        <v>98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1018</v>
      </c>
      <c r="C1279" s="276" t="s">
        <v>845</v>
      </c>
      <c r="D1279" s="277" t="s">
        <v>98</v>
      </c>
      <c r="E1279" s="141">
        <v>17266.599999999999</v>
      </c>
      <c r="F1279" s="278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1019</v>
      </c>
      <c r="C1280" s="276" t="s">
        <v>845</v>
      </c>
      <c r="D1280" s="277" t="s">
        <v>98</v>
      </c>
      <c r="E1280" s="141">
        <v>6796.7</v>
      </c>
      <c r="F1280" s="278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1020</v>
      </c>
      <c r="C1281" s="276" t="s">
        <v>845</v>
      </c>
      <c r="D1281" s="277" t="s">
        <v>98</v>
      </c>
      <c r="E1281" s="141">
        <v>182666.66666666666</v>
      </c>
      <c r="F1281" s="278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1021</v>
      </c>
      <c r="C1282" s="276" t="s">
        <v>845</v>
      </c>
      <c r="D1282" s="277" t="s">
        <v>1014</v>
      </c>
      <c r="E1282" s="141">
        <v>2500</v>
      </c>
      <c r="F1282" s="278" t="s">
        <v>98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1022</v>
      </c>
      <c r="C1283" s="276" t="s">
        <v>845</v>
      </c>
      <c r="D1283" s="277" t="s">
        <v>98</v>
      </c>
      <c r="E1283" s="141">
        <v>46996.6</v>
      </c>
      <c r="F1283" s="278" t="s">
        <v>98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1022</v>
      </c>
      <c r="C1284" s="276" t="s">
        <v>845</v>
      </c>
      <c r="D1284" s="277" t="s">
        <v>98</v>
      </c>
      <c r="E1284" s="141">
        <v>48330</v>
      </c>
      <c r="F1284" s="278" t="s">
        <v>98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1023</v>
      </c>
      <c r="C1285" s="276" t="s">
        <v>845</v>
      </c>
      <c r="D1285" s="277" t="s">
        <v>1024</v>
      </c>
      <c r="E1285" s="141">
        <v>10166.700000000001</v>
      </c>
      <c r="F1285" s="278" t="s">
        <v>1024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1025</v>
      </c>
      <c r="C1286" s="276" t="s">
        <v>845</v>
      </c>
      <c r="D1286" s="277" t="s">
        <v>98</v>
      </c>
      <c r="E1286" s="141">
        <v>104388.75</v>
      </c>
      <c r="F1286" s="278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1026</v>
      </c>
      <c r="C1287" s="276" t="s">
        <v>845</v>
      </c>
      <c r="D1287" s="277" t="s">
        <v>98</v>
      </c>
      <c r="E1287" s="141">
        <v>79760</v>
      </c>
      <c r="F1287" s="278" t="s">
        <v>98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1027</v>
      </c>
      <c r="C1288" s="276" t="s">
        <v>845</v>
      </c>
      <c r="D1288" s="277" t="s">
        <v>193</v>
      </c>
      <c r="E1288" s="141">
        <v>62000</v>
      </c>
      <c r="F1288" s="278" t="s">
        <v>193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1028</v>
      </c>
      <c r="C1289" s="276" t="s">
        <v>845</v>
      </c>
      <c r="D1289" s="277" t="s">
        <v>98</v>
      </c>
      <c r="E1289" s="141">
        <v>152500</v>
      </c>
      <c r="F1289" s="278" t="s">
        <v>98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1029</v>
      </c>
      <c r="C1290" s="276" t="s">
        <v>845</v>
      </c>
      <c r="D1290" s="277" t="s">
        <v>98</v>
      </c>
      <c r="E1290" s="141">
        <v>432050</v>
      </c>
      <c r="F1290" s="278" t="s">
        <v>98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1030</v>
      </c>
      <c r="C1328" s="37" t="s">
        <v>1031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1032</v>
      </c>
      <c r="C1329" s="37" t="s">
        <v>1031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1033</v>
      </c>
      <c r="C1330" s="37" t="s">
        <v>1031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1034</v>
      </c>
      <c r="C1331" s="37" t="s">
        <v>1031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1035</v>
      </c>
      <c r="C1332" s="37" t="s">
        <v>1031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1036</v>
      </c>
      <c r="C1333" s="37" t="s">
        <v>1031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1037</v>
      </c>
      <c r="C1334" s="37" t="s">
        <v>1031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1038</v>
      </c>
      <c r="C1335" s="37" t="s">
        <v>1031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1039</v>
      </c>
      <c r="C1336" s="37" t="s">
        <v>1031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1040</v>
      </c>
      <c r="C1337" s="37" t="s">
        <v>1031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1041</v>
      </c>
      <c r="C1338" s="37" t="s">
        <v>1031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1042</v>
      </c>
      <c r="C1339" s="37" t="s">
        <v>1031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1043</v>
      </c>
      <c r="C1340" s="37" t="s">
        <v>1031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1044</v>
      </c>
      <c r="C1341" s="37" t="s">
        <v>1031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1045</v>
      </c>
      <c r="C1342" s="37" t="s">
        <v>1031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1046</v>
      </c>
      <c r="C1343" s="37" t="s">
        <v>1031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1047</v>
      </c>
      <c r="C1344" s="37" t="s">
        <v>1031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1048</v>
      </c>
      <c r="C1345" s="37" t="s">
        <v>1031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1049</v>
      </c>
      <c r="C1346" s="37" t="s">
        <v>1031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1050</v>
      </c>
      <c r="C1347" s="37" t="s">
        <v>1031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1051</v>
      </c>
      <c r="C1348" s="37" t="s">
        <v>1031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1052</v>
      </c>
      <c r="C1349" s="37" t="s">
        <v>1031</v>
      </c>
      <c r="D1349" s="48" t="s">
        <v>1053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1054</v>
      </c>
      <c r="C1350" s="37" t="s">
        <v>1031</v>
      </c>
      <c r="D1350" s="48" t="s">
        <v>1055</v>
      </c>
      <c r="E1350" s="43">
        <v>6081.3</v>
      </c>
      <c r="F1350" s="188" t="s">
        <v>1055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1056</v>
      </c>
      <c r="C1351" s="37" t="s">
        <v>1031</v>
      </c>
      <c r="D1351" s="48" t="s">
        <v>1057</v>
      </c>
      <c r="E1351" s="43">
        <v>19776</v>
      </c>
      <c r="F1351" s="188" t="s">
        <v>228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1058</v>
      </c>
      <c r="C1352" s="37" t="s">
        <v>1031</v>
      </c>
      <c r="D1352" s="48" t="s">
        <v>1055</v>
      </c>
      <c r="E1352" s="43">
        <v>16133.3</v>
      </c>
      <c r="F1352" s="188" t="s">
        <v>195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1059</v>
      </c>
      <c r="C1353" s="37" t="s">
        <v>1031</v>
      </c>
      <c r="D1353" s="48" t="s">
        <v>1060</v>
      </c>
      <c r="E1353" s="43">
        <v>17300</v>
      </c>
      <c r="F1353" s="188" t="s">
        <v>1060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1061</v>
      </c>
      <c r="C1354" s="37" t="s">
        <v>1031</v>
      </c>
      <c r="D1354" s="48" t="s">
        <v>1062</v>
      </c>
      <c r="E1354" s="43">
        <v>1583.1533333333334</v>
      </c>
      <c r="F1354" s="188" t="s">
        <v>1062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1063</v>
      </c>
      <c r="C1355" s="37" t="s">
        <v>1031</v>
      </c>
      <c r="D1355" s="48" t="s">
        <v>228</v>
      </c>
      <c r="E1355" s="43">
        <v>4180</v>
      </c>
      <c r="F1355" s="188" t="s">
        <v>228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1064</v>
      </c>
      <c r="C1356" s="37" t="s">
        <v>1031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1065</v>
      </c>
      <c r="C1357" s="37" t="s">
        <v>1031</v>
      </c>
      <c r="D1357" s="98" t="s">
        <v>350</v>
      </c>
      <c r="E1357" s="43"/>
      <c r="F1357" s="98" t="s">
        <v>350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1066</v>
      </c>
      <c r="C1358" s="37" t="s">
        <v>1031</v>
      </c>
      <c r="D1358" s="98" t="s">
        <v>350</v>
      </c>
      <c r="E1358" s="43"/>
      <c r="F1358" s="98" t="s">
        <v>350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1067</v>
      </c>
      <c r="C1359" s="37" t="s">
        <v>1031</v>
      </c>
      <c r="D1359" s="97" t="s">
        <v>229</v>
      </c>
      <c r="E1359" s="43">
        <v>0</v>
      </c>
      <c r="F1359" s="188" t="s">
        <v>229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1068</v>
      </c>
      <c r="C1360" s="37" t="s">
        <v>1031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1069</v>
      </c>
      <c r="C1361" s="37" t="s">
        <v>1031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1070</v>
      </c>
      <c r="C1362" s="37" t="s">
        <v>1031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1071</v>
      </c>
      <c r="C1363" s="37" t="s">
        <v>1031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1072</v>
      </c>
      <c r="C1364" s="37" t="s">
        <v>1031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1073</v>
      </c>
      <c r="C1365" s="37" t="s">
        <v>1031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1074</v>
      </c>
      <c r="C1366" s="37" t="s">
        <v>1031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1075</v>
      </c>
      <c r="C1367" s="37" t="s">
        <v>1031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1076</v>
      </c>
      <c r="C1368" s="37" t="s">
        <v>1031</v>
      </c>
      <c r="D1368" s="48" t="s">
        <v>1077</v>
      </c>
      <c r="E1368" s="43">
        <v>23233.4</v>
      </c>
      <c r="F1368" s="188" t="s">
        <v>1024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1078</v>
      </c>
      <c r="C1369" s="37" t="s">
        <v>1031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1079</v>
      </c>
      <c r="C1370" s="37" t="s">
        <v>1031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1080</v>
      </c>
      <c r="C1371" s="37" t="s">
        <v>1031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1081</v>
      </c>
      <c r="C1372" s="37" t="s">
        <v>1031</v>
      </c>
      <c r="D1372" s="58" t="s">
        <v>226</v>
      </c>
      <c r="E1372" s="62">
        <v>867804</v>
      </c>
      <c r="F1372" s="191" t="s">
        <v>226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1082</v>
      </c>
      <c r="C1373" s="161" t="s">
        <v>1031</v>
      </c>
      <c r="D1373" s="297" t="s">
        <v>226</v>
      </c>
      <c r="E1373" s="62">
        <v>1097662</v>
      </c>
      <c r="F1373" s="191" t="s">
        <v>226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1083</v>
      </c>
      <c r="C1374" s="161" t="s">
        <v>1031</v>
      </c>
      <c r="D1374" s="290" t="s">
        <v>98</v>
      </c>
      <c r="E1374" s="62"/>
      <c r="F1374" s="191" t="s">
        <v>98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1084</v>
      </c>
      <c r="C1375" s="161" t="s">
        <v>1031</v>
      </c>
      <c r="D1375" s="290" t="s">
        <v>98</v>
      </c>
      <c r="E1375" s="62"/>
      <c r="F1375" s="191" t="s">
        <v>98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1085</v>
      </c>
      <c r="C1376" s="161" t="s">
        <v>1031</v>
      </c>
      <c r="D1376" s="290" t="s">
        <v>98</v>
      </c>
      <c r="E1376" s="62"/>
      <c r="F1376" s="191" t="s">
        <v>98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1086</v>
      </c>
      <c r="C1377" s="161" t="s">
        <v>1031</v>
      </c>
      <c r="D1377" s="290" t="s">
        <v>98</v>
      </c>
      <c r="E1377" s="62"/>
      <c r="F1377" s="191" t="s">
        <v>98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1087</v>
      </c>
      <c r="C1378" s="161" t="s">
        <v>1031</v>
      </c>
      <c r="D1378" s="290" t="s">
        <v>98</v>
      </c>
      <c r="E1378" s="62"/>
      <c r="F1378" s="191" t="s">
        <v>98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1088</v>
      </c>
      <c r="C1379" s="37" t="s">
        <v>1031</v>
      </c>
      <c r="D1379" s="291" t="s">
        <v>98</v>
      </c>
      <c r="E1379" s="43"/>
      <c r="F1379" s="188" t="s">
        <v>98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1089</v>
      </c>
      <c r="C1380" s="219" t="s">
        <v>1031</v>
      </c>
      <c r="D1380" s="292" t="s">
        <v>98</v>
      </c>
      <c r="E1380" s="166"/>
      <c r="F1380" s="192" t="s">
        <v>98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1090</v>
      </c>
      <c r="C1381" s="219" t="s">
        <v>1031</v>
      </c>
      <c r="D1381" s="292" t="s">
        <v>98</v>
      </c>
      <c r="E1381" s="166"/>
      <c r="F1381" s="192" t="s">
        <v>98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1091</v>
      </c>
      <c r="C1382" s="221" t="s">
        <v>1031</v>
      </c>
      <c r="D1382" s="293" t="s">
        <v>98</v>
      </c>
      <c r="E1382" s="222"/>
      <c r="F1382" s="193" t="s">
        <v>98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1092</v>
      </c>
      <c r="C1383" s="221" t="s">
        <v>1031</v>
      </c>
      <c r="D1383" s="10" t="s">
        <v>98</v>
      </c>
      <c r="E1383" s="222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1093</v>
      </c>
      <c r="C1384" s="219" t="s">
        <v>1031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1094</v>
      </c>
      <c r="C1385" s="219" t="s">
        <v>1031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1095</v>
      </c>
      <c r="C1386" s="219" t="s">
        <v>1031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1096</v>
      </c>
      <c r="C1387" s="219" t="s">
        <v>1031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1097</v>
      </c>
      <c r="C1388" s="219" t="s">
        <v>1031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1098</v>
      </c>
      <c r="C1389" s="219" t="s">
        <v>1031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1099</v>
      </c>
      <c r="C1390" s="219" t="s">
        <v>1031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1100</v>
      </c>
      <c r="C1391" s="219" t="s">
        <v>1031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1101</v>
      </c>
      <c r="C1392" s="219" t="s">
        <v>1031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1102</v>
      </c>
      <c r="C1393" s="219" t="s">
        <v>1031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1103</v>
      </c>
      <c r="C1394" s="219" t="s">
        <v>1031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1104</v>
      </c>
      <c r="C1395" s="219" t="s">
        <v>1031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1105</v>
      </c>
      <c r="C1396" s="219" t="s">
        <v>1031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1106</v>
      </c>
      <c r="C1397" s="219" t="s">
        <v>1031</v>
      </c>
      <c r="D1397" s="248" t="s">
        <v>1053</v>
      </c>
      <c r="E1397" s="166">
        <v>74866.666666666672</v>
      </c>
      <c r="F1397" s="193" t="s">
        <v>1053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1107</v>
      </c>
      <c r="C1398" s="219" t="s">
        <v>1031</v>
      </c>
      <c r="D1398" s="248" t="s">
        <v>1108</v>
      </c>
      <c r="E1398" s="166">
        <v>74866.666666666672</v>
      </c>
      <c r="F1398" s="193" t="s">
        <v>1108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1109</v>
      </c>
      <c r="C1399" s="219" t="s">
        <v>1031</v>
      </c>
      <c r="D1399" s="248" t="s">
        <v>98</v>
      </c>
      <c r="E1399" s="166">
        <v>19073</v>
      </c>
      <c r="F1399" s="193" t="s">
        <v>98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1110</v>
      </c>
      <c r="C1400" s="219" t="s">
        <v>1031</v>
      </c>
      <c r="D1400" s="248" t="s">
        <v>98</v>
      </c>
      <c r="E1400" s="166">
        <v>866.66499999999996</v>
      </c>
      <c r="F1400" s="193" t="s">
        <v>98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1111</v>
      </c>
      <c r="C1401" s="219" t="s">
        <v>1031</v>
      </c>
      <c r="D1401" s="248" t="s">
        <v>1062</v>
      </c>
      <c r="E1401" s="166">
        <v>513.33285714285716</v>
      </c>
      <c r="F1401" s="193" t="s">
        <v>1062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1112</v>
      </c>
      <c r="C1402" s="219" t="s">
        <v>1031</v>
      </c>
      <c r="D1402" s="248" t="s">
        <v>98</v>
      </c>
      <c r="E1402" s="166">
        <v>19000</v>
      </c>
      <c r="F1402" s="193" t="s">
        <v>98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1113</v>
      </c>
      <c r="C1403" s="219" t="s">
        <v>1031</v>
      </c>
      <c r="D1403" s="248" t="s">
        <v>98</v>
      </c>
      <c r="E1403" s="166">
        <v>3800</v>
      </c>
      <c r="F1403" s="193" t="s">
        <v>98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1114</v>
      </c>
      <c r="C1404" s="219" t="s">
        <v>1031</v>
      </c>
      <c r="D1404" s="248" t="s">
        <v>161</v>
      </c>
      <c r="E1404" s="166">
        <v>3200</v>
      </c>
      <c r="F1404" s="193" t="s">
        <v>161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1115</v>
      </c>
      <c r="C1405" s="219" t="s">
        <v>1031</v>
      </c>
      <c r="D1405" s="248" t="s">
        <v>203</v>
      </c>
      <c r="E1405" s="166">
        <v>7200</v>
      </c>
      <c r="F1405" s="193" t="s">
        <v>1053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1116</v>
      </c>
      <c r="C1406" s="221" t="s">
        <v>1031</v>
      </c>
      <c r="D1406" s="10" t="s">
        <v>350</v>
      </c>
      <c r="E1406" s="222"/>
      <c r="F1406" s="293" t="s">
        <v>350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1117</v>
      </c>
      <c r="C1407" s="219" t="s">
        <v>1031</v>
      </c>
      <c r="D1407" s="10" t="s">
        <v>350</v>
      </c>
      <c r="E1407" s="166"/>
      <c r="F1407" s="10" t="s">
        <v>350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1118</v>
      </c>
      <c r="C1408" s="219" t="s">
        <v>1031</v>
      </c>
      <c r="D1408" s="10" t="s">
        <v>350</v>
      </c>
      <c r="E1408" s="166"/>
      <c r="F1408" s="10" t="s">
        <v>350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1119</v>
      </c>
      <c r="C1409" s="219" t="s">
        <v>1031</v>
      </c>
      <c r="D1409" s="10" t="s">
        <v>350</v>
      </c>
      <c r="E1409" s="166"/>
      <c r="F1409" s="10" t="s">
        <v>350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1120</v>
      </c>
      <c r="C1410" s="219" t="s">
        <v>1031</v>
      </c>
      <c r="D1410" s="248" t="s">
        <v>98</v>
      </c>
      <c r="E1410" s="166">
        <v>6013.33</v>
      </c>
      <c r="F1410" s="273" t="s">
        <v>98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1121</v>
      </c>
      <c r="C1411" s="219" t="s">
        <v>1031</v>
      </c>
      <c r="D1411" s="248" t="s">
        <v>98</v>
      </c>
      <c r="E1411" s="166">
        <v>1101.5</v>
      </c>
      <c r="F1411" s="273" t="s">
        <v>98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1122</v>
      </c>
      <c r="C1412" s="219" t="s">
        <v>1031</v>
      </c>
      <c r="D1412" s="248" t="s">
        <v>98</v>
      </c>
      <c r="E1412" s="166">
        <v>11100</v>
      </c>
      <c r="F1412" s="273" t="s">
        <v>98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1123</v>
      </c>
      <c r="C1413" s="219" t="s">
        <v>1031</v>
      </c>
      <c r="D1413" s="10" t="s">
        <v>350</v>
      </c>
      <c r="E1413" s="166"/>
      <c r="F1413" s="10" t="s">
        <v>350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1124</v>
      </c>
      <c r="C1414" s="219" t="s">
        <v>1031</v>
      </c>
      <c r="D1414" s="10" t="s">
        <v>350</v>
      </c>
      <c r="E1414" s="166"/>
      <c r="F1414" s="10" t="s">
        <v>350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1125</v>
      </c>
      <c r="C1415" s="221" t="s">
        <v>1031</v>
      </c>
      <c r="D1415" s="10" t="s">
        <v>350</v>
      </c>
      <c r="E1415" s="222"/>
      <c r="F1415" s="10" t="s">
        <v>350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1126</v>
      </c>
      <c r="C1428" s="219" t="s">
        <v>44</v>
      </c>
      <c r="D1428" s="235" t="s">
        <v>1127</v>
      </c>
      <c r="E1428" s="43">
        <v>35093.533333333333</v>
      </c>
      <c r="F1428" s="188" t="s">
        <v>1127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1128</v>
      </c>
      <c r="C1429" s="219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1129</v>
      </c>
      <c r="C1430" s="219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1130</v>
      </c>
      <c r="C1431" s="219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1131</v>
      </c>
      <c r="C1432" s="219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1132</v>
      </c>
      <c r="C1433" s="219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1133</v>
      </c>
      <c r="C1434" s="219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1134</v>
      </c>
      <c r="C1435" s="219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1135</v>
      </c>
      <c r="C1436" s="219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1136</v>
      </c>
      <c r="C1437" s="219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1137</v>
      </c>
      <c r="C1438" s="219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1138</v>
      </c>
      <c r="C1439" s="219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1139</v>
      </c>
      <c r="C1440" s="219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1140</v>
      </c>
      <c r="C1441" s="219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1141</v>
      </c>
      <c r="C1442" s="219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1142</v>
      </c>
      <c r="C1443" s="219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1143</v>
      </c>
      <c r="C1444" s="219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1144</v>
      </c>
      <c r="C1445" s="219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1145</v>
      </c>
      <c r="C1446" s="219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1146</v>
      </c>
      <c r="C1447" s="219" t="s">
        <v>44</v>
      </c>
      <c r="D1447" s="48" t="s">
        <v>1062</v>
      </c>
      <c r="E1447" s="43">
        <v>3215</v>
      </c>
      <c r="F1447" s="188" t="s">
        <v>1062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1147</v>
      </c>
      <c r="C1448" s="219" t="s">
        <v>44</v>
      </c>
      <c r="D1448" s="48" t="s">
        <v>1062</v>
      </c>
      <c r="E1448" s="43">
        <v>8300</v>
      </c>
      <c r="F1448" s="188" t="s">
        <v>1062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1148</v>
      </c>
      <c r="C1449" s="219" t="s">
        <v>44</v>
      </c>
      <c r="D1449" s="48" t="s">
        <v>1062</v>
      </c>
      <c r="E1449" s="43">
        <v>3276</v>
      </c>
      <c r="F1449" s="188" t="s">
        <v>1062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1149</v>
      </c>
      <c r="C1450" s="219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1150</v>
      </c>
      <c r="C1451" s="219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1151</v>
      </c>
      <c r="C1452" s="219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1152</v>
      </c>
      <c r="C1453" s="219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1153</v>
      </c>
      <c r="C1454" s="219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1154</v>
      </c>
      <c r="C1455" s="219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1155</v>
      </c>
      <c r="C1456" s="219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1156</v>
      </c>
      <c r="C1457" s="219" t="s">
        <v>44</v>
      </c>
      <c r="D1457" s="48" t="s">
        <v>1062</v>
      </c>
      <c r="E1457" s="43">
        <v>3145</v>
      </c>
      <c r="F1457" s="188" t="s">
        <v>232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1157</v>
      </c>
      <c r="C1458" s="219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1158</v>
      </c>
      <c r="C1459" s="219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1159</v>
      </c>
      <c r="C1460" s="219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1160</v>
      </c>
      <c r="C1461" s="219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1161</v>
      </c>
      <c r="C1462" s="219" t="s">
        <v>44</v>
      </c>
      <c r="D1462" s="48" t="s">
        <v>203</v>
      </c>
      <c r="E1462" s="43">
        <v>98275.666666666672</v>
      </c>
      <c r="F1462" s="188" t="s">
        <v>203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1162</v>
      </c>
      <c r="C1463" s="219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1163</v>
      </c>
      <c r="C1464" s="219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1164</v>
      </c>
      <c r="C1465" s="219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1165</v>
      </c>
      <c r="C1466" s="219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1166</v>
      </c>
      <c r="C1467" s="219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1167</v>
      </c>
      <c r="C1468" s="219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1168</v>
      </c>
      <c r="C1469" s="219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1169</v>
      </c>
      <c r="C1470" s="219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1170</v>
      </c>
      <c r="C1471" s="219" t="s">
        <v>44</v>
      </c>
      <c r="D1471" s="48" t="s">
        <v>226</v>
      </c>
      <c r="E1471" s="43">
        <v>90973.666666666672</v>
      </c>
      <c r="F1471" s="188" t="s">
        <v>232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1171</v>
      </c>
      <c r="C1472" s="219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1172</v>
      </c>
      <c r="C1473" s="219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1173</v>
      </c>
      <c r="C1474" s="219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1174</v>
      </c>
      <c r="C1475" s="219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1175</v>
      </c>
      <c r="C1476" s="219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1176</v>
      </c>
      <c r="C1477" s="219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1177</v>
      </c>
      <c r="C1478" s="219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1178</v>
      </c>
      <c r="C1479" s="219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1179</v>
      </c>
      <c r="C1480" s="219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1180</v>
      </c>
      <c r="C1481" s="219" t="s">
        <v>44</v>
      </c>
      <c r="D1481" s="48" t="s">
        <v>195</v>
      </c>
      <c r="E1481" s="43">
        <v>3130</v>
      </c>
      <c r="F1481" s="188" t="s">
        <v>195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1181</v>
      </c>
      <c r="C1482" s="219" t="s">
        <v>44</v>
      </c>
      <c r="D1482" s="48" t="s">
        <v>195</v>
      </c>
      <c r="E1482" s="43">
        <v>5010</v>
      </c>
      <c r="F1482" s="188" t="s">
        <v>195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1182</v>
      </c>
      <c r="C1483" s="219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1183</v>
      </c>
      <c r="C1484" s="219" t="s">
        <v>44</v>
      </c>
      <c r="D1484" s="48" t="s">
        <v>1184</v>
      </c>
      <c r="E1484" s="43">
        <v>17375</v>
      </c>
      <c r="F1484" s="188" t="s">
        <v>1184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1185</v>
      </c>
      <c r="C1485" s="219" t="s">
        <v>44</v>
      </c>
      <c r="D1485" s="48" t="s">
        <v>228</v>
      </c>
      <c r="E1485" s="43">
        <v>107770</v>
      </c>
      <c r="F1485" s="188" t="s">
        <v>228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1186</v>
      </c>
      <c r="C1486" s="219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1187</v>
      </c>
      <c r="C1487" s="219" t="s">
        <v>44</v>
      </c>
      <c r="D1487" s="48" t="s">
        <v>195</v>
      </c>
      <c r="E1487" s="43">
        <v>21800</v>
      </c>
      <c r="F1487" s="188" t="s">
        <v>195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1188</v>
      </c>
      <c r="C1488" s="219" t="s">
        <v>44</v>
      </c>
      <c r="D1488" s="48" t="s">
        <v>1062</v>
      </c>
      <c r="E1488" s="43">
        <v>9196.3666666666668</v>
      </c>
      <c r="F1488" s="188" t="s">
        <v>232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1189</v>
      </c>
      <c r="C1489" s="219" t="s">
        <v>44</v>
      </c>
      <c r="D1489" s="48" t="s">
        <v>1062</v>
      </c>
      <c r="E1489" s="43">
        <v>9275</v>
      </c>
      <c r="F1489" s="188" t="s">
        <v>1062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1190</v>
      </c>
      <c r="C1490" s="219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1191</v>
      </c>
      <c r="C1491" s="219" t="s">
        <v>44</v>
      </c>
      <c r="D1491" s="48" t="s">
        <v>228</v>
      </c>
      <c r="E1491" s="43">
        <v>38155</v>
      </c>
      <c r="F1491" s="188" t="s">
        <v>228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1192</v>
      </c>
      <c r="C1492" s="219" t="s">
        <v>44</v>
      </c>
      <c r="D1492" s="48" t="s">
        <v>1062</v>
      </c>
      <c r="E1492" s="43">
        <v>189.5</v>
      </c>
      <c r="F1492" s="188" t="s">
        <v>1062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1193</v>
      </c>
      <c r="C1493" s="219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1194</v>
      </c>
      <c r="C1494" s="219" t="s">
        <v>44</v>
      </c>
      <c r="D1494" s="48" t="s">
        <v>1195</v>
      </c>
      <c r="E1494" s="43">
        <v>5850</v>
      </c>
      <c r="F1494" s="188" t="s">
        <v>1195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1196</v>
      </c>
      <c r="C1495" s="219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1197</v>
      </c>
      <c r="C1496" s="219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1198</v>
      </c>
      <c r="C1497" s="219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1199</v>
      </c>
      <c r="C1498" s="219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1200</v>
      </c>
      <c r="C1499" s="219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1201</v>
      </c>
      <c r="C1500" s="219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1202</v>
      </c>
      <c r="C1501" s="219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1203</v>
      </c>
      <c r="C1502" s="219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1204</v>
      </c>
      <c r="C1503" s="219" t="s">
        <v>44</v>
      </c>
      <c r="D1503" s="48" t="s">
        <v>203</v>
      </c>
      <c r="E1503" s="43">
        <v>45500</v>
      </c>
      <c r="F1503" s="188" t="s">
        <v>203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1205</v>
      </c>
      <c r="C1504" s="219" t="s">
        <v>44</v>
      </c>
      <c r="D1504" s="48" t="s">
        <v>203</v>
      </c>
      <c r="E1504" s="43">
        <v>44156.666666666664</v>
      </c>
      <c r="F1504" s="188" t="s">
        <v>203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1206</v>
      </c>
      <c r="C1505" s="219" t="s">
        <v>44</v>
      </c>
      <c r="D1505" s="48" t="s">
        <v>203</v>
      </c>
      <c r="E1505" s="43">
        <v>43333.333333333336</v>
      </c>
      <c r="F1505" s="188" t="s">
        <v>203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1207</v>
      </c>
      <c r="C1506" s="219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1208</v>
      </c>
      <c r="C1507" s="219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1209</v>
      </c>
      <c r="C1508" s="219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1210</v>
      </c>
      <c r="C1509" s="219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1211</v>
      </c>
      <c r="C1510" s="37" t="s">
        <v>1031</v>
      </c>
      <c r="D1510" s="48" t="s">
        <v>1062</v>
      </c>
      <c r="E1510" s="43">
        <v>1583.1533333333334</v>
      </c>
      <c r="F1510" s="188" t="s">
        <v>1062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1212</v>
      </c>
      <c r="C1522" s="100" t="s">
        <v>1213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1214</v>
      </c>
      <c r="C1523" s="100" t="s">
        <v>1213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1215</v>
      </c>
      <c r="C1524" s="100" t="s">
        <v>1213</v>
      </c>
      <c r="D1524" s="93" t="s">
        <v>1216</v>
      </c>
      <c r="E1524" s="94"/>
      <c r="F1524" s="198" t="s">
        <v>1216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1217</v>
      </c>
      <c r="C1525" s="100" t="s">
        <v>1213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1218</v>
      </c>
      <c r="C1526" s="100" t="s">
        <v>1213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1219</v>
      </c>
      <c r="C1527" s="100" t="s">
        <v>1213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1220</v>
      </c>
      <c r="C1528" s="100" t="s">
        <v>1213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1221</v>
      </c>
      <c r="C1529" s="100" t="s">
        <v>1213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1222</v>
      </c>
      <c r="C1530" s="100" t="s">
        <v>1213</v>
      </c>
      <c r="D1530" s="93" t="s">
        <v>1223</v>
      </c>
      <c r="E1530" s="94"/>
      <c r="F1530" s="198" t="s">
        <v>1223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1224</v>
      </c>
      <c r="C1531" s="100" t="s">
        <v>1213</v>
      </c>
      <c r="D1531" s="96" t="s">
        <v>1216</v>
      </c>
      <c r="E1531" s="94"/>
      <c r="F1531" s="197" t="s">
        <v>1216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1225</v>
      </c>
      <c r="C1532" s="100" t="s">
        <v>1213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1226</v>
      </c>
      <c r="C1533" s="100" t="s">
        <v>1213</v>
      </c>
      <c r="D1533" s="93" t="s">
        <v>1216</v>
      </c>
      <c r="E1533" s="94"/>
      <c r="F1533" s="198" t="s">
        <v>1216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1227</v>
      </c>
      <c r="C1534" s="100" t="s">
        <v>1213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1228</v>
      </c>
      <c r="C1535" s="100" t="s">
        <v>1213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1229</v>
      </c>
      <c r="C1536" s="100" t="s">
        <v>1213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1230</v>
      </c>
      <c r="C1537" s="100" t="s">
        <v>1213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1231</v>
      </c>
      <c r="C1538" s="100" t="s">
        <v>1213</v>
      </c>
      <c r="D1538" s="93" t="s">
        <v>1223</v>
      </c>
      <c r="E1538" s="94"/>
      <c r="F1538" s="198" t="s">
        <v>1223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1232</v>
      </c>
      <c r="C1539" s="100" t="s">
        <v>1213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1233</v>
      </c>
      <c r="C1540" s="100" t="s">
        <v>1213</v>
      </c>
      <c r="D1540" s="93" t="s">
        <v>1223</v>
      </c>
      <c r="E1540" s="94"/>
      <c r="F1540" s="198" t="s">
        <v>1223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1234</v>
      </c>
      <c r="C1541" s="100" t="s">
        <v>1213</v>
      </c>
      <c r="D1541" s="93" t="s">
        <v>1024</v>
      </c>
      <c r="E1541" s="94"/>
      <c r="F1541" s="198" t="s">
        <v>1024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1235</v>
      </c>
      <c r="C1542" s="100" t="s">
        <v>1213</v>
      </c>
      <c r="D1542" s="93" t="s">
        <v>1223</v>
      </c>
      <c r="E1542" s="94"/>
      <c r="F1542" s="198" t="s">
        <v>1223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1236</v>
      </c>
      <c r="C1543" s="100" t="s">
        <v>1213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1237</v>
      </c>
      <c r="C1544" s="100" t="s">
        <v>1213</v>
      </c>
      <c r="D1544" s="93" t="s">
        <v>1024</v>
      </c>
      <c r="E1544" s="94"/>
      <c r="F1544" s="198" t="s">
        <v>1024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1238</v>
      </c>
      <c r="C1545" s="100" t="s">
        <v>1213</v>
      </c>
      <c r="D1545" s="96" t="s">
        <v>1223</v>
      </c>
      <c r="E1545" s="94"/>
      <c r="F1545" s="197" t="s">
        <v>1223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1239</v>
      </c>
      <c r="C1546" s="100" t="s">
        <v>1213</v>
      </c>
      <c r="D1546" s="96" t="s">
        <v>1223</v>
      </c>
      <c r="E1546" s="94"/>
      <c r="F1546" s="197" t="s">
        <v>1223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1240</v>
      </c>
      <c r="C1547" s="100" t="s">
        <v>1213</v>
      </c>
      <c r="D1547" s="93" t="s">
        <v>1223</v>
      </c>
      <c r="E1547" s="94"/>
      <c r="F1547" s="198" t="s">
        <v>1223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1241</v>
      </c>
      <c r="C1548" s="100" t="s">
        <v>1213</v>
      </c>
      <c r="D1548" s="93" t="s">
        <v>1223</v>
      </c>
      <c r="E1548" s="94"/>
      <c r="F1548" s="198" t="s">
        <v>1223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1242</v>
      </c>
      <c r="C1549" s="100" t="s">
        <v>1213</v>
      </c>
      <c r="D1549" s="96" t="s">
        <v>1223</v>
      </c>
      <c r="E1549" s="94"/>
      <c r="F1549" s="197" t="s">
        <v>1223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1243</v>
      </c>
      <c r="C1550" s="100" t="s">
        <v>1213</v>
      </c>
      <c r="D1550" s="93" t="s">
        <v>1024</v>
      </c>
      <c r="E1550" s="94"/>
      <c r="F1550" s="198" t="s">
        <v>1024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1244</v>
      </c>
      <c r="C1551" s="100" t="s">
        <v>1213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1245</v>
      </c>
      <c r="C1552" s="100" t="s">
        <v>1213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1246</v>
      </c>
      <c r="C1553" s="100" t="s">
        <v>1213</v>
      </c>
      <c r="D1553" s="93" t="s">
        <v>1216</v>
      </c>
      <c r="E1553" s="94"/>
      <c r="F1553" s="198" t="s">
        <v>1216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1247</v>
      </c>
      <c r="C1554" s="100" t="s">
        <v>1213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1248</v>
      </c>
      <c r="C1555" s="100" t="s">
        <v>1213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1249</v>
      </c>
      <c r="C1556" s="100" t="s">
        <v>1213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1250</v>
      </c>
      <c r="C1557" s="100" t="s">
        <v>1213</v>
      </c>
      <c r="D1557" s="96" t="s">
        <v>1223</v>
      </c>
      <c r="E1557" s="94"/>
      <c r="F1557" s="197" t="s">
        <v>1223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1251</v>
      </c>
      <c r="C1558" s="100" t="s">
        <v>1213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1252</v>
      </c>
      <c r="C1559" s="100" t="s">
        <v>1213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1253</v>
      </c>
      <c r="C1560" s="100" t="s">
        <v>1213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1254</v>
      </c>
      <c r="C1561" s="100" t="s">
        <v>1213</v>
      </c>
      <c r="D1561" s="96" t="s">
        <v>1223</v>
      </c>
      <c r="E1561" s="94"/>
      <c r="F1561" s="197" t="s">
        <v>1223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1255</v>
      </c>
      <c r="C1562" s="100" t="s">
        <v>1213</v>
      </c>
      <c r="D1562" s="96" t="s">
        <v>1024</v>
      </c>
      <c r="E1562" s="94"/>
      <c r="F1562" s="197" t="s">
        <v>1024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1256</v>
      </c>
      <c r="C1563" s="100" t="s">
        <v>1213</v>
      </c>
      <c r="D1563" s="96" t="s">
        <v>1257</v>
      </c>
      <c r="E1563" s="94"/>
      <c r="F1563" s="197" t="s">
        <v>1257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1258</v>
      </c>
      <c r="C1564" s="100" t="s">
        <v>1213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1259</v>
      </c>
      <c r="C1565" s="100" t="s">
        <v>1213</v>
      </c>
      <c r="D1565" s="96" t="s">
        <v>1024</v>
      </c>
      <c r="E1565" s="94"/>
      <c r="F1565" s="197" t="s">
        <v>1024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1260</v>
      </c>
      <c r="C1566" s="100" t="s">
        <v>1213</v>
      </c>
      <c r="D1566" s="93" t="s">
        <v>1024</v>
      </c>
      <c r="E1566" s="94"/>
      <c r="F1566" s="198" t="s">
        <v>1024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1261</v>
      </c>
      <c r="C1567" s="100" t="s">
        <v>1213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1262</v>
      </c>
      <c r="C1568" s="100" t="s">
        <v>1213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1263</v>
      </c>
      <c r="C1569" s="100" t="s">
        <v>1213</v>
      </c>
      <c r="D1569" s="93" t="s">
        <v>1014</v>
      </c>
      <c r="E1569" s="162">
        <v>205766.7</v>
      </c>
      <c r="F1569" s="198" t="s">
        <v>1014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1264</v>
      </c>
      <c r="C1570" s="100" t="s">
        <v>1213</v>
      </c>
      <c r="D1570" s="93" t="s">
        <v>1024</v>
      </c>
      <c r="E1570" s="94"/>
      <c r="F1570" s="198" t="s">
        <v>1024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1265</v>
      </c>
      <c r="C1571" s="100" t="s">
        <v>1213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1266</v>
      </c>
      <c r="C1572" s="100" t="s">
        <v>1213</v>
      </c>
      <c r="D1572" s="93" t="s">
        <v>1223</v>
      </c>
      <c r="E1572" s="94"/>
      <c r="F1572" s="198" t="s">
        <v>1223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1267</v>
      </c>
      <c r="C1573" s="100" t="s">
        <v>1213</v>
      </c>
      <c r="D1573" s="96" t="s">
        <v>1223</v>
      </c>
      <c r="E1573" s="94"/>
      <c r="F1573" s="197" t="s">
        <v>1223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1268</v>
      </c>
      <c r="C1574" s="100" t="s">
        <v>1213</v>
      </c>
      <c r="D1574" s="93" t="s">
        <v>1223</v>
      </c>
      <c r="E1574" s="94"/>
      <c r="F1574" s="198" t="s">
        <v>1223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1269</v>
      </c>
      <c r="C1575" s="100" t="s">
        <v>1213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1270</v>
      </c>
      <c r="C1576" s="100" t="s">
        <v>1213</v>
      </c>
      <c r="D1576" s="93" t="s">
        <v>1223</v>
      </c>
      <c r="E1576" s="94"/>
      <c r="F1576" s="198" t="s">
        <v>1223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1271</v>
      </c>
      <c r="C1577" s="100" t="s">
        <v>1213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1272</v>
      </c>
      <c r="C1578" s="100" t="s">
        <v>1213</v>
      </c>
      <c r="D1578" s="96" t="s">
        <v>1223</v>
      </c>
      <c r="E1578" s="94"/>
      <c r="F1578" s="197" t="s">
        <v>1223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1273</v>
      </c>
      <c r="C1579" s="100" t="s">
        <v>1213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1274</v>
      </c>
      <c r="C1580" s="100" t="s">
        <v>1213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1275</v>
      </c>
      <c r="C1581" s="100" t="s">
        <v>1213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1276</v>
      </c>
      <c r="C1582" s="100" t="s">
        <v>1213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1277</v>
      </c>
      <c r="C1583" s="100" t="s">
        <v>1213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1278</v>
      </c>
      <c r="C1584" s="100" t="s">
        <v>1213</v>
      </c>
      <c r="D1584" s="93" t="s">
        <v>1216</v>
      </c>
      <c r="E1584" s="94"/>
      <c r="F1584" s="198" t="s">
        <v>1216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1279</v>
      </c>
      <c r="C1585" s="100" t="s">
        <v>1213</v>
      </c>
      <c r="D1585" s="93" t="s">
        <v>1216</v>
      </c>
      <c r="E1585" s="94"/>
      <c r="F1585" s="198" t="s">
        <v>1216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1280</v>
      </c>
      <c r="C1586" s="100" t="s">
        <v>1213</v>
      </c>
      <c r="D1586" s="96" t="s">
        <v>1223</v>
      </c>
      <c r="E1586" s="94"/>
      <c r="F1586" s="197" t="s">
        <v>1223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1281</v>
      </c>
      <c r="C1587" s="100" t="s">
        <v>1213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1282</v>
      </c>
      <c r="C1588" s="100" t="s">
        <v>1213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1283</v>
      </c>
      <c r="C1589" s="100" t="s">
        <v>1213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1284</v>
      </c>
      <c r="C1590" s="100" t="s">
        <v>1213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1285</v>
      </c>
      <c r="C1591" s="100" t="s">
        <v>1213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1286</v>
      </c>
      <c r="C1592" s="100" t="s">
        <v>1213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1287</v>
      </c>
      <c r="C1593" s="100" t="s">
        <v>1213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1288</v>
      </c>
      <c r="C1594" s="100" t="s">
        <v>1213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1289</v>
      </c>
      <c r="C1595" s="100" t="s">
        <v>1213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1290</v>
      </c>
      <c r="C1596" s="100" t="s">
        <v>1213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1291</v>
      </c>
      <c r="C1597" s="100" t="s">
        <v>1213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1292</v>
      </c>
      <c r="C1598" s="100" t="s">
        <v>1213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1293</v>
      </c>
      <c r="C1599" s="100" t="s">
        <v>1213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1294</v>
      </c>
      <c r="C1600" s="100" t="s">
        <v>1213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1295</v>
      </c>
      <c r="C1601" s="100" t="s">
        <v>1213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1296</v>
      </c>
      <c r="C1602" s="100" t="s">
        <v>1213</v>
      </c>
      <c r="D1602" s="96" t="s">
        <v>1223</v>
      </c>
      <c r="E1602" s="94"/>
      <c r="F1602" s="197" t="s">
        <v>1223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1297</v>
      </c>
      <c r="C1603" s="100" t="s">
        <v>1213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1298</v>
      </c>
      <c r="C1604" s="100" t="s">
        <v>1213</v>
      </c>
      <c r="D1604" s="93" t="s">
        <v>1223</v>
      </c>
      <c r="E1604" s="94"/>
      <c r="F1604" s="198" t="s">
        <v>1223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1299</v>
      </c>
      <c r="C1605" s="100" t="s">
        <v>1213</v>
      </c>
      <c r="D1605" s="96" t="s">
        <v>1223</v>
      </c>
      <c r="E1605" s="94"/>
      <c r="F1605" s="197" t="s">
        <v>1223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1300</v>
      </c>
      <c r="C1606" s="100" t="s">
        <v>1213</v>
      </c>
      <c r="D1606" s="96" t="s">
        <v>1223</v>
      </c>
      <c r="E1606" s="94"/>
      <c r="F1606" s="197" t="s">
        <v>1223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1301</v>
      </c>
      <c r="C1607" s="100" t="s">
        <v>1213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2" priority="75">
      <formula>LEN(TRIM(A8))=0</formula>
    </cfRule>
  </conditionalFormatting>
  <conditionalFormatting sqref="A1071">
    <cfRule type="containsBlanks" dxfId="161" priority="66">
      <formula>LEN(TRIM(A1071))=0</formula>
    </cfRule>
  </conditionalFormatting>
  <conditionalFormatting sqref="E1449:E1451">
    <cfRule type="containsBlanks" dxfId="160" priority="56">
      <formula>LEN(TRIM(E1449))=0</formula>
    </cfRule>
  </conditionalFormatting>
  <conditionalFormatting sqref="E1452">
    <cfRule type="containsBlanks" dxfId="159" priority="55">
      <formula>LEN(TRIM(E1452))=0</formula>
    </cfRule>
  </conditionalFormatting>
  <conditionalFormatting sqref="A1072:A1073">
    <cfRule type="containsBlanks" dxfId="158" priority="40">
      <formula>LEN(TRIM(A1072))=0</formula>
    </cfRule>
  </conditionalFormatting>
  <conditionalFormatting sqref="B18:I18">
    <cfRule type="containsBlanks" dxfId="157" priority="29">
      <formula>LEN(TRIM(B18))=0</formula>
    </cfRule>
  </conditionalFormatting>
  <conditionalFormatting sqref="F19:I19 B19:D19">
    <cfRule type="containsBlanks" dxfId="156" priority="27">
      <formula>LEN(TRIM(B19))=0</formula>
    </cfRule>
  </conditionalFormatting>
  <conditionalFormatting sqref="E19">
    <cfRule type="containsBlanks" dxfId="155" priority="26">
      <formula>LEN(TRIM(E19))=0</formula>
    </cfRule>
  </conditionalFormatting>
  <conditionalFormatting sqref="D180 F180">
    <cfRule type="containsBlanks" dxfId="154" priority="23">
      <formula>LEN(TRIM(D180))=0</formula>
    </cfRule>
  </conditionalFormatting>
  <conditionalFormatting sqref="E180">
    <cfRule type="containsBlanks" dxfId="153" priority="22">
      <formula>LEN(TRIM(E180))=0</formula>
    </cfRule>
  </conditionalFormatting>
  <conditionalFormatting sqref="E1025:E1031">
    <cfRule type="expression" dxfId="152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1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0" priority="14">
      <formula>LEN(TRIM(D236))=0</formula>
    </cfRule>
  </conditionalFormatting>
  <conditionalFormatting sqref="E823:E982 E241:E245">
    <cfRule type="expression" dxfId="149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8" priority="10">
      <formula>LEN(TRIM(B1337))=0</formula>
    </cfRule>
  </conditionalFormatting>
  <conditionalFormatting sqref="B171:B182">
    <cfRule type="containsBlanks" dxfId="147" priority="9">
      <formula>LEN(TRIM(B171))=0</formula>
    </cfRule>
  </conditionalFormatting>
  <conditionalFormatting sqref="B220">
    <cfRule type="containsBlanks" dxfId="146" priority="8">
      <formula>LEN(TRIM(B220))=0</formula>
    </cfRule>
  </conditionalFormatting>
  <conditionalFormatting sqref="B237">
    <cfRule type="containsBlanks" dxfId="145" priority="7">
      <formula>LEN(TRIM(B237))=0</formula>
    </cfRule>
  </conditionalFormatting>
  <conditionalFormatting sqref="B1:B1048576">
    <cfRule type="duplicateValues" dxfId="144" priority="6"/>
  </conditionalFormatting>
  <conditionalFormatting sqref="C1107:C1274">
    <cfRule type="containsBlanks" dxfId="143" priority="5">
      <formula>LEN(TRIM(C1107))=0</formula>
    </cfRule>
  </conditionalFormatting>
  <conditionalFormatting sqref="C1383">
    <cfRule type="containsBlanks" dxfId="142" priority="4">
      <formula>LEN(TRIM(C1383))=0</formula>
    </cfRule>
  </conditionalFormatting>
  <conditionalFormatting sqref="F1042:F1043">
    <cfRule type="containsBlanks" dxfId="141" priority="3">
      <formula>LEN(TRIM(F1042))=0</formula>
    </cfRule>
  </conditionalFormatting>
  <conditionalFormatting sqref="C1510:F1510 H1510:I1510">
    <cfRule type="containsBlanks" dxfId="140" priority="2">
      <formula>LEN(TRIM(C1510))=0</formula>
    </cfRule>
  </conditionalFormatting>
  <conditionalFormatting sqref="E288:E289">
    <cfRule type="containsBlanks" dxfId="139" priority="1">
      <formula>LEN(TRIM(E288))=0</formula>
    </cfRule>
  </conditionalFormatting>
  <conditionalFormatting sqref="E211:E216">
    <cfRule type="expression" dxfId="138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7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1302</v>
      </c>
      <c r="F1" s="12" t="s">
        <v>1303</v>
      </c>
      <c r="H1" s="15" t="s">
        <v>1304</v>
      </c>
      <c r="I1" s="15" t="s">
        <v>1305</v>
      </c>
      <c r="K1" s="15" t="s">
        <v>20</v>
      </c>
      <c r="M1" s="15" t="s">
        <v>1306</v>
      </c>
    </row>
    <row r="2" spans="1:13" ht="44.25" customHeight="1" outlineLevel="1">
      <c r="A2" s="13" t="s">
        <v>1307</v>
      </c>
      <c r="B2" s="13" t="s">
        <v>1308</v>
      </c>
      <c r="D2" s="266" t="s">
        <v>1309</v>
      </c>
      <c r="F2" s="3" t="s">
        <v>1310</v>
      </c>
      <c r="H2" s="16" t="s">
        <v>1311</v>
      </c>
      <c r="I2" s="17">
        <v>71765586</v>
      </c>
      <c r="K2" t="s">
        <v>1312</v>
      </c>
      <c r="M2" s="79" t="s">
        <v>27</v>
      </c>
    </row>
    <row r="3" spans="1:13" outlineLevel="1">
      <c r="A3" s="3" t="s">
        <v>1313</v>
      </c>
      <c r="B3" s="5" t="s">
        <v>203</v>
      </c>
      <c r="D3" s="266" t="s">
        <v>1314</v>
      </c>
      <c r="F3" s="2" t="s">
        <v>1315</v>
      </c>
      <c r="H3" s="18" t="s">
        <v>1316</v>
      </c>
      <c r="I3" s="19">
        <v>43687423</v>
      </c>
      <c r="K3" t="s">
        <v>1317</v>
      </c>
      <c r="M3" s="79" t="s">
        <v>33</v>
      </c>
    </row>
    <row r="4" spans="1:13" ht="30" outlineLevel="1">
      <c r="A4" s="2" t="s">
        <v>1318</v>
      </c>
      <c r="B4" s="5" t="s">
        <v>295</v>
      </c>
      <c r="D4" s="267" t="s">
        <v>1319</v>
      </c>
      <c r="F4" s="3" t="s">
        <v>1320</v>
      </c>
      <c r="H4" s="16" t="s">
        <v>1321</v>
      </c>
      <c r="I4" s="20">
        <v>3353808</v>
      </c>
      <c r="K4" t="s">
        <v>1322</v>
      </c>
      <c r="M4" s="79" t="s">
        <v>36</v>
      </c>
    </row>
    <row r="5" spans="1:13" ht="30" outlineLevel="1">
      <c r="A5" s="3" t="s">
        <v>1323</v>
      </c>
      <c r="B5" s="5" t="s">
        <v>1324</v>
      </c>
      <c r="D5" s="269" t="s">
        <v>1325</v>
      </c>
      <c r="F5" s="2" t="s">
        <v>1326</v>
      </c>
      <c r="H5" s="21" t="s">
        <v>1327</v>
      </c>
      <c r="I5" s="22">
        <v>1036620040</v>
      </c>
      <c r="K5" t="s">
        <v>1328</v>
      </c>
      <c r="M5" s="79" t="s">
        <v>845</v>
      </c>
    </row>
    <row r="6" spans="1:13" outlineLevel="1">
      <c r="A6" s="2" t="s">
        <v>314</v>
      </c>
      <c r="B6" s="5" t="s">
        <v>314</v>
      </c>
      <c r="D6" t="s">
        <v>1329</v>
      </c>
      <c r="F6" s="3" t="s">
        <v>1330</v>
      </c>
      <c r="H6" s="16" t="s">
        <v>1331</v>
      </c>
      <c r="I6" s="23">
        <v>1033686182</v>
      </c>
      <c r="K6" t="s">
        <v>1332</v>
      </c>
      <c r="M6" s="113" t="s">
        <v>1031</v>
      </c>
    </row>
    <row r="7" spans="1:13" outlineLevel="1">
      <c r="A7" s="2" t="s">
        <v>1333</v>
      </c>
      <c r="B7" s="5" t="s">
        <v>1334</v>
      </c>
      <c r="F7" s="2" t="s">
        <v>1335</v>
      </c>
      <c r="H7" s="21" t="s">
        <v>1336</v>
      </c>
      <c r="I7" s="22">
        <v>32209568</v>
      </c>
      <c r="K7" t="s">
        <v>1337</v>
      </c>
      <c r="M7" s="79" t="s">
        <v>224</v>
      </c>
    </row>
    <row r="8" spans="1:13" outlineLevel="1">
      <c r="A8" s="3" t="s">
        <v>1338</v>
      </c>
      <c r="B8" s="5" t="s">
        <v>1339</v>
      </c>
      <c r="F8" s="3" t="s">
        <v>1340</v>
      </c>
      <c r="H8" s="24" t="s">
        <v>1341</v>
      </c>
      <c r="I8" s="20">
        <v>71292446</v>
      </c>
      <c r="K8" t="s">
        <v>1342</v>
      </c>
      <c r="M8" s="79" t="s">
        <v>46</v>
      </c>
    </row>
    <row r="9" spans="1:13" outlineLevel="1">
      <c r="A9" s="2" t="s">
        <v>1343</v>
      </c>
      <c r="B9" s="5" t="s">
        <v>1195</v>
      </c>
      <c r="F9" s="2" t="s">
        <v>1344</v>
      </c>
      <c r="H9" t="s">
        <v>1345</v>
      </c>
      <c r="I9">
        <v>70323724</v>
      </c>
      <c r="K9" t="s">
        <v>1346</v>
      </c>
      <c r="M9" s="79" t="s">
        <v>48</v>
      </c>
    </row>
    <row r="10" spans="1:13" outlineLevel="1">
      <c r="A10" s="2" t="s">
        <v>1347</v>
      </c>
      <c r="B10" s="5" t="s">
        <v>92</v>
      </c>
      <c r="F10" s="3" t="s">
        <v>1348</v>
      </c>
      <c r="H10" s="24" t="s">
        <v>1349</v>
      </c>
      <c r="I10" s="20">
        <v>32142539</v>
      </c>
      <c r="K10" t="s">
        <v>1350</v>
      </c>
      <c r="M10" s="233" t="s">
        <v>109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3" t="s">
        <v>44</v>
      </c>
    </row>
    <row r="12" spans="1:13" ht="30" outlineLevel="1">
      <c r="A12" s="3" t="s">
        <v>1356</v>
      </c>
      <c r="B12" s="5" t="s">
        <v>1024</v>
      </c>
      <c r="F12" s="302" t="s">
        <v>1357</v>
      </c>
      <c r="H12" s="27" t="s">
        <v>1358</v>
      </c>
      <c r="I12" s="28">
        <v>32184975</v>
      </c>
      <c r="M12" s="233" t="s">
        <v>1213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1223</v>
      </c>
      <c r="H14" s="24" t="s">
        <v>1362</v>
      </c>
      <c r="I14" s="20">
        <v>70512283</v>
      </c>
    </row>
    <row r="15" spans="1:13" outlineLevel="1">
      <c r="A15" s="2" t="s">
        <v>193</v>
      </c>
      <c r="B15" s="5" t="s">
        <v>193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226</v>
      </c>
      <c r="H16" s="254" t="s">
        <v>1365</v>
      </c>
      <c r="I16" s="22">
        <v>71278905</v>
      </c>
    </row>
    <row r="17" spans="1:9" outlineLevel="1">
      <c r="A17" s="2" t="s">
        <v>1366</v>
      </c>
      <c r="B17" s="5" t="s">
        <v>350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1216</v>
      </c>
      <c r="H18" s="25" t="s">
        <v>1369</v>
      </c>
      <c r="I18" s="256" t="s">
        <v>1370</v>
      </c>
    </row>
    <row r="19" spans="1:9" outlineLevel="1">
      <c r="A19" s="3" t="s">
        <v>1371</v>
      </c>
      <c r="B19" s="5" t="s">
        <v>229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93</v>
      </c>
      <c r="H21" s="21" t="s">
        <v>1377</v>
      </c>
      <c r="I21" s="22">
        <v>1032366226</v>
      </c>
    </row>
    <row r="22" spans="1:9" outlineLevel="1">
      <c r="A22" t="s">
        <v>190</v>
      </c>
      <c r="B22" s="5" t="s">
        <v>190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195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161</v>
      </c>
      <c r="H24" s="21" t="s">
        <v>1382</v>
      </c>
      <c r="I24" s="22">
        <v>1128404319</v>
      </c>
    </row>
    <row r="25" spans="1:9" outlineLevel="1">
      <c r="A25" s="4" t="s">
        <v>1062</v>
      </c>
      <c r="B25" s="5" t="s">
        <v>1062</v>
      </c>
      <c r="H25" s="24" t="s">
        <v>1383</v>
      </c>
      <c r="I25" s="20">
        <v>1037584367</v>
      </c>
    </row>
    <row r="26" spans="1:9" outlineLevel="1">
      <c r="A26" t="s">
        <v>1184</v>
      </c>
      <c r="B26" s="5" t="s">
        <v>1184</v>
      </c>
      <c r="H26" s="25" t="s">
        <v>1384</v>
      </c>
      <c r="I26" s="26">
        <v>70114326</v>
      </c>
    </row>
    <row r="27" spans="1:9" outlineLevel="1">
      <c r="A27" t="s">
        <v>228</v>
      </c>
      <c r="B27" s="5" t="s">
        <v>228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98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5" t="s">
        <v>1390</v>
      </c>
      <c r="I31" s="255">
        <v>43874217</v>
      </c>
    </row>
    <row r="32" spans="1:9" outlineLevel="1">
      <c r="H32" s="4" t="s">
        <v>1391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2023-06-20T16:06:33Z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