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33" documentId="11_236597DFA9F9E730FB47352453834B466B582688" xr6:coauthVersionLast="47" xr6:coauthVersionMax="47" xr10:uidLastSave="{5002D9A3-F74E-4AFB-B9A3-5A904473AB2D}"/>
  <bookViews>
    <workbookView xWindow="0" yWindow="0" windowWidth="19200" windowHeight="6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29" i="59" a="1"/>
  <c r="P29" i="59" s="1"/>
  <c r="P30" i="59" a="1"/>
  <c r="P30" i="59" s="1"/>
  <c r="P12" i="59" a="1"/>
  <c r="P12" i="59" s="1"/>
  <c r="P28" i="59" a="1"/>
  <c r="P27" i="59" a="1"/>
  <c r="P26" i="59" a="1"/>
  <c r="P25" i="59" a="1"/>
  <c r="P24" i="59" a="1"/>
  <c r="P23" i="59" a="1"/>
  <c r="P22" i="59" a="1"/>
  <c r="P21" i="59" a="1"/>
  <c r="P20" i="59" a="1"/>
  <c r="P19" i="59" a="1"/>
  <c r="P18" i="59" a="1"/>
  <c r="P17" i="59" a="1"/>
  <c r="P28" i="59" l="1"/>
  <c r="P27" i="59"/>
  <c r="P26" i="59"/>
  <c r="P25" i="59"/>
  <c r="P24" i="59"/>
  <c r="P23" i="59"/>
  <c r="P22" i="59"/>
  <c r="P21" i="59"/>
  <c r="P20" i="59"/>
  <c r="P19" i="59"/>
  <c r="P18" i="59"/>
  <c r="P17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R3" i="59" a="1"/>
  <c r="S10" i="59" a="1"/>
  <c r="H12" i="59" a="1"/>
  <c r="H13" i="59" a="1"/>
  <c r="H21" i="59" a="1"/>
  <c r="H29" i="59" a="1"/>
  <c r="H31" i="59" a="1"/>
  <c r="H22" i="59" a="1"/>
  <c r="H30" i="59" a="1"/>
  <c r="H32" i="59" a="1"/>
  <c r="H14" i="59" a="1"/>
  <c r="H15" i="59" a="1"/>
  <c r="H16" i="59" a="1"/>
  <c r="H17" i="59" a="1"/>
  <c r="H25" i="59" a="1"/>
  <c r="H27" i="59" a="1"/>
  <c r="H20" i="59" a="1"/>
  <c r="H28" i="59" a="1"/>
  <c r="H23" i="59" a="1"/>
  <c r="H24" i="59" a="1"/>
  <c r="H18" i="59" a="1"/>
  <c r="H26" i="59" a="1"/>
  <c r="H19" i="59" a="1"/>
  <c r="W18" i="43" l="1"/>
  <c r="W19" i="43"/>
  <c r="W20" i="43"/>
  <c r="W21" i="43"/>
  <c r="W22" i="43"/>
  <c r="W23" i="43"/>
  <c r="W24" i="43"/>
  <c r="W25" i="43"/>
  <c r="W26" i="43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R3" i="59"/>
  <c r="S10" i="59"/>
  <c r="H19" i="59"/>
  <c r="B19" i="59" s="1"/>
  <c r="H26" i="59"/>
  <c r="O26" i="59" s="1"/>
  <c r="H18" i="59"/>
  <c r="B18" i="59" s="1"/>
  <c r="H24" i="59"/>
  <c r="B24" i="59" s="1"/>
  <c r="H23" i="59"/>
  <c r="B23" i="59" s="1"/>
  <c r="H28" i="59"/>
  <c r="O28" i="59" s="1"/>
  <c r="H20" i="59"/>
  <c r="B20" i="59" s="1"/>
  <c r="H27" i="59"/>
  <c r="O27" i="59" s="1"/>
  <c r="H25" i="59"/>
  <c r="O25" i="59" s="1"/>
  <c r="H17" i="59"/>
  <c r="O17" i="59" s="1"/>
  <c r="H16" i="59"/>
  <c r="O16" i="59" s="1"/>
  <c r="H15" i="59"/>
  <c r="B15" i="59" s="1"/>
  <c r="H14" i="59"/>
  <c r="O14" i="59" s="1"/>
  <c r="H32" i="59"/>
  <c r="B32" i="59" s="1"/>
  <c r="H30" i="59"/>
  <c r="B30" i="59" s="1"/>
  <c r="H22" i="59"/>
  <c r="O22" i="59" s="1"/>
  <c r="H31" i="59"/>
  <c r="B31" i="59" s="1"/>
  <c r="H29" i="59"/>
  <c r="B29" i="59" s="1"/>
  <c r="H21" i="59"/>
  <c r="B21" i="59" s="1"/>
  <c r="H13" i="59"/>
  <c r="O13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29" i="59" a="1"/>
  <c r="K30" i="59" a="1"/>
  <c r="K13" i="59" a="1"/>
  <c r="K15" i="59" a="1"/>
  <c r="K28" i="59" a="1"/>
  <c r="K31" i="59" a="1"/>
  <c r="K19" i="59" a="1"/>
  <c r="K20" i="59" a="1"/>
  <c r="K25" i="59" a="1"/>
  <c r="K26" i="59" a="1"/>
  <c r="K17" i="59" a="1"/>
  <c r="K24" i="59" a="1"/>
  <c r="K21" i="59" a="1"/>
  <c r="K16" i="59" a="1"/>
  <c r="K23" i="59" a="1"/>
  <c r="K18" i="59" a="1"/>
  <c r="B13" i="59" l="1"/>
  <c r="O15" i="59"/>
  <c r="O23" i="59"/>
  <c r="O24" i="59"/>
  <c r="B16" i="59"/>
  <c r="O31" i="59"/>
  <c r="B17" i="59"/>
  <c r="B25" i="59"/>
  <c r="O19" i="59"/>
  <c r="O29" i="59"/>
  <c r="B26" i="59"/>
  <c r="B14" i="59"/>
  <c r="O32" i="59"/>
  <c r="O12" i="59"/>
  <c r="B28" i="59"/>
  <c r="O30" i="59"/>
  <c r="K18" i="59"/>
  <c r="K23" i="59"/>
  <c r="K16" i="59"/>
  <c r="K21" i="59"/>
  <c r="K24" i="59"/>
  <c r="K17" i="59"/>
  <c r="K26" i="59"/>
  <c r="K25" i="59"/>
  <c r="K20" i="59"/>
  <c r="K19" i="59"/>
  <c r="K31" i="59"/>
  <c r="K28" i="59"/>
  <c r="K15" i="59"/>
  <c r="K13" i="59"/>
  <c r="K30" i="59"/>
  <c r="K29" i="59"/>
  <c r="O18" i="59"/>
  <c r="O21" i="59"/>
  <c r="B27" i="59"/>
  <c r="B22" i="59"/>
  <c r="O20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2" i="59" a="1"/>
  <c r="K32" i="59" a="1"/>
  <c r="K14" i="59" a="1"/>
  <c r="K27" i="59" a="1"/>
  <c r="K22" i="59" a="1"/>
  <c r="K22" i="59" l="1"/>
  <c r="K27" i="59"/>
  <c r="K14" i="59"/>
  <c r="K32" i="59"/>
  <c r="K12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<sst xmlns="http://schemas.openxmlformats.org/spreadsheetml/2006/main" count="5068" uniqueCount="1394">
  <si>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</si>
  <si>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</si>
  <si>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</si>
  <si>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</si>
  <si>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</si>
  <si>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</si>
  <si>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</si>
  <si>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</si>
  <si>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</si>
  <si>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FICHA(#)</t>
  </si>
  <si>
    <t>NOMBRE DEL PRODUCTO</t>
  </si>
  <si>
    <t>MORRAL CITY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</si>
  <si>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</si>
  <si>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</si>
  <si>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</si>
  <si>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</si>
  <si>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</si>
  <si>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</si>
  <si>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</si>
  <si>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</si>
  <si>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</si>
  <si>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</si>
  <si>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</si>
  <si>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</si>
  <si>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</si>
  <si>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</si>
  <si>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NOBUCK</t>
  </si>
  <si>
    <t>CUERO GRASO</t>
  </si>
  <si>
    <t>SiNTETICOS_TEXTILES</t>
  </si>
  <si>
    <t>LONA HURACAN  LAFAYETTE</t>
  </si>
  <si>
    <t>SECUNDARIO_MEDULAR</t>
  </si>
  <si>
    <t>lAMBRILLA 3 mm ( EVA)</t>
  </si>
  <si>
    <t>SEDA 30-100 O SEDA TIFON</t>
  </si>
  <si>
    <t xml:space="preserve">CREMALLERA EVERBRIGTH #5
</t>
  </si>
  <si>
    <t>HERRAJES</t>
  </si>
  <si>
    <t xml:space="preserve">LLAVE DESLIZADOR METALICO EVERBRIGHT ORO, PALETA PEQUEÑA </t>
  </si>
  <si>
    <t>SALPA 0.5mm</t>
  </si>
  <si>
    <t>SALPA 0.8mm</t>
  </si>
  <si>
    <t>MICROFIBRA BASE 0,5 Y 0,7</t>
  </si>
  <si>
    <t>GUATA</t>
  </si>
  <si>
    <t xml:space="preserve">TRABILLA 1" ORO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</si>
  <si>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</si>
  <si>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</si>
  <si>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</si>
  <si>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</si>
  <si>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</si>
  <si>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</si>
  <si>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</si>
  <si>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</si>
  <si>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</si>
  <si>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</si>
  <si>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</si>
  <si>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</si>
  <si>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</si>
  <si>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</si>
  <si>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</si>
  <si>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</si>
  <si>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</si>
  <si>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</si>
  <si>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</si>
  <si>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</si>
  <si>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</si>
  <si>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</si>
  <si>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</si>
  <si>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</si>
  <si>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</si>
  <si>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</si>
  <si>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</si>
  <si>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</si>
  <si>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</si>
  <si>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</si>
  <si>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</si>
  <si>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</si>
  <si>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</si>
  <si>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</si>
  <si>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</si>
  <si>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</si>
  <si>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</si>
  <si>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</si>
  <si>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</si>
  <si>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</si>
  <si>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</si>
  <si>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</si>
  <si>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</si>
  <si>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</si>
  <si>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</si>
  <si>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</si>
  <si>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</si>
  <si>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</si>
  <si>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</si>
  <si>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</si>
  <si>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</si>
  <si>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</si>
  <si>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</si>
  <si>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</si>
  <si>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</si>
  <si>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</si>
  <si>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</si>
  <si>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</si>
  <si>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</si>
  <si>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</si>
  <si>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</si>
  <si>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</si>
  <si>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</si>
  <si>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</si>
  <si>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</si>
  <si>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</si>
  <si>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</si>
  <si>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</si>
  <si>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</si>
  <si>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</si>
  <si>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</si>
  <si>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</si>
  <si>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</si>
  <si>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</si>
  <si>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</si>
  <si>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</si>
  <si>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</si>
  <si>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</si>
  <si>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</si>
  <si>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</si>
  <si>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</si>
  <si>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</si>
  <si>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</si>
  <si>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</si>
  <si>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</si>
  <si>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</si>
  <si>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</si>
  <si>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</si>
  <si>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</si>
  <si>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</si>
  <si>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</si>
  <si>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</si>
  <si>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</si>
  <si>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</si>
  <si>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</si>
  <si>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</si>
  <si>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</si>
  <si>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</si>
  <si>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</si>
  <si>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</si>
  <si>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</si>
  <si>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</si>
  <si>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</si>
  <si>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</si>
  <si>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</si>
  <si>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</si>
  <si>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</si>
  <si>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</si>
  <si>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</si>
  <si>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</si>
  <si>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</si>
  <si>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</si>
  <si>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</si>
  <si>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</si>
  <si>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</si>
  <si>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</si>
  <si>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</si>
  <si>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</si>
  <si>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</si>
  <si>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</si>
  <si>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</si>
  <si>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</si>
  <si>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</si>
  <si>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</si>
  <si>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</si>
  <si>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</si>
  <si>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</si>
  <si>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</si>
  <si>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</si>
  <si>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</si>
  <si>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</si>
  <si>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</si>
  <si>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</si>
  <si>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</si>
  <si>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</si>
  <si>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</si>
  <si>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</si>
  <si>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</si>
  <si>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</si>
  <si>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</si>
  <si>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</si>
  <si>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</si>
  <si>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</si>
  <si>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</si>
  <si>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</si>
  <si>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</si>
  <si>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</si>
  <si>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</si>
  <si>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</si>
  <si>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</si>
  <si>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</si>
  <si>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</si>
  <si>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</si>
  <si>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</si>
  <si>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</si>
  <si>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</si>
  <si>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</si>
  <si>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</si>
  <si>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</si>
  <si>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</si>
  <si>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</si>
  <si>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</si>
  <si>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</si>
  <si>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</si>
  <si>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</si>
  <si>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</si>
  <si>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</si>
  <si>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</si>
  <si>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</si>
  <si>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</si>
  <si>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</si>
  <si>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</si>
  <si>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</si>
  <si>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</si>
  <si>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</si>
  <si>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</si>
  <si>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</si>
  <si>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</si>
  <si>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</si>
  <si>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</si>
  <si>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</si>
  <si>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</si>
  <si>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</si>
  <si>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</si>
  <si>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</si>
  <si>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</si>
  <si>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</si>
  <si>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</si>
  <si>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</si>
  <si>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</si>
  <si>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</si>
  <si>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</si>
  <si>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</si>
  <si>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</si>
  <si>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</si>
  <si>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</si>
  <si>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</si>
  <si>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</si>
  <si>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</si>
  <si>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</si>
  <si>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</si>
  <si>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</si>
  <si>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</si>
  <si>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</si>
  <si>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</si>
  <si>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</si>
  <si>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</si>
  <si>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</si>
  <si>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</si>
  <si>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</si>
  <si>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</si>
  <si>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</si>
  <si>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</si>
  <si>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</si>
  <si>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</si>
  <si>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</si>
  <si>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</si>
  <si>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</si>
  <si>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</si>
  <si>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</si>
  <si>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</si>
  <si>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</si>
  <si>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</si>
  <si>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</si>
  <si>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</si>
  <si>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</si>
  <si>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</si>
  <si>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</si>
  <si>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</si>
  <si>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</si>
  <si>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</si>
  <si>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</si>
  <si>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</si>
  <si>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</si>
  <si>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</si>
  <si>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</si>
  <si>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</si>
  <si>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</si>
  <si>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</si>
  <si>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</si>
  <si>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</si>
  <si>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</si>
  <si>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</si>
  <si>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</si>
  <si>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</si>
  <si>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</si>
  <si>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</si>
  <si>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</si>
  <si>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</si>
  <si>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</si>
  <si>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</si>
  <si>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</si>
  <si>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</si>
  <si>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</si>
  <si>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</si>
  <si>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</si>
  <si>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</si>
  <si>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</si>
  <si>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</si>
  <si>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</si>
  <si>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</si>
  <si>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</si>
  <si>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</si>
  <si>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</si>
  <si>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</si>
  <si>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</si>
  <si>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</si>
  <si>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</si>
  <si>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</si>
  <si>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</si>
  <si>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</si>
  <si>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</si>
  <si>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</si>
  <si>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</si>
  <si>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</si>
  <si>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</si>
  <si>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</si>
  <si>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</si>
  <si>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</si>
  <si>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</si>
  <si>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</si>
  <si>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</si>
  <si>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</si>
  <si>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</si>
  <si>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</si>
  <si>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</si>
  <si>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</si>
  <si>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</si>
  <si>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</si>
  <si>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</si>
  <si>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</si>
  <si>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</si>
  <si>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</si>
  <si>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</si>
  <si>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</si>
  <si>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</si>
  <si>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</si>
  <si>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</si>
  <si>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</si>
  <si>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</si>
  <si>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</si>
  <si>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</si>
  <si>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</si>
  <si>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</si>
  <si>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</si>
  <si>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</si>
  <si>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</si>
  <si>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</si>
  <si>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</si>
  <si>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</si>
  <si>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</si>
  <si>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</si>
  <si>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</si>
  <si>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</si>
  <si>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</si>
  <si>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</si>
  <si>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</si>
  <si>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</si>
  <si>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</si>
  <si>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</si>
  <si>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</si>
  <si>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</si>
  <si>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</si>
  <si>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</si>
  <si>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</si>
  <si>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</si>
  <si>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</si>
  <si>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</si>
  <si>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</si>
  <si>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</si>
  <si>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</si>
  <si>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</si>
  <si>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</si>
  <si>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</si>
  <si>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</si>
  <si>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</si>
  <si>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</si>
  <si>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</si>
  <si>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</si>
  <si>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</si>
  <si>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</si>
  <si>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</si>
  <si>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</si>
  <si>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</si>
  <si>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</si>
  <si>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</si>
  <si>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</si>
  <si>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</si>
  <si>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</si>
  <si>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</si>
  <si>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</si>
  <si>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</si>
  <si>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</si>
  <si>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</si>
  <si>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</si>
  <si>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</si>
  <si>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</si>
  <si>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</si>
  <si>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</si>
  <si>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</si>
  <si>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</si>
  <si>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</si>
  <si>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</si>
  <si>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</si>
  <si>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</si>
  <si>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</si>
  <si>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</si>
  <si>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</si>
  <si>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</si>
  <si>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</si>
  <si>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</si>
  <si>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</si>
  <si>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</si>
  <si>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</si>
  <si>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</si>
  <si>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</si>
  <si>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</si>
  <si>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</si>
  <si>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</si>
  <si>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</si>
  <si>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</si>
  <si>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</si>
  <si>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</si>
  <si>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</si>
  <si>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</si>
  <si>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</si>
  <si>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</si>
  <si>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</si>
  <si>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</si>
  <si>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</si>
  <si>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</si>
  <si>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</si>
  <si>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</si>
  <si>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</si>
  <si>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</si>
  <si>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</si>
  <si>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</si>
  <si>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</si>
  <si>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</si>
  <si>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</si>
  <si>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</si>
  <si>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</si>
  <si>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</si>
  <si>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</si>
  <si>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</si>
  <si>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</si>
  <si>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</si>
  <si>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</si>
  <si>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</si>
  <si>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</si>
  <si>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</si>
  <si>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</si>
  <si>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</si>
  <si>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</si>
  <si>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</si>
  <si>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</si>
  <si>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</si>
  <si>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</si>
  <si>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</si>
  <si>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</si>
  <si>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</si>
  <si>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</si>
  <si>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</si>
  <si>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</si>
  <si>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</si>
  <si>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</si>
  <si>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</si>
  <si>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</si>
  <si>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</si>
  <si>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</si>
  <si>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</si>
  <si>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</si>
  <si>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</si>
  <si>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</si>
  <si>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</si>
  <si>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</si>
  <si>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</si>
  <si>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</si>
  <si>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</si>
  <si>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</si>
  <si>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</si>
  <si>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</si>
  <si>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</si>
  <si>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</si>
  <si>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</si>
  <si>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</si>
  <si>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</si>
  <si>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</si>
  <si>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</si>
  <si>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</si>
  <si>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</si>
  <si>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</si>
  <si>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</si>
  <si>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</si>
  <si>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</si>
  <si>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</si>
  <si>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</si>
  <si>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</si>
  <si>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</si>
  <si>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</si>
  <si>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</si>
  <si>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</si>
  <si>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</si>
  <si>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</si>
  <si>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</si>
  <si>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</si>
  <si>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</si>
  <si>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</si>
  <si>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</si>
  <si>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</si>
  <si>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</si>
  <si>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</si>
  <si>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</si>
  <si>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</si>
  <si>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</si>
  <si>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</si>
  <si>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</si>
  <si>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</si>
  <si>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</si>
  <si>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</si>
  <si>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</si>
  <si>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</si>
  <si>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</si>
  <si>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</si>
  <si>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</si>
  <si>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</si>
  <si>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</si>
  <si>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</si>
  <si>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</si>
  <si>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</si>
  <si>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</si>
  <si>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</si>
  <si>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</si>
  <si>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</si>
  <si>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</si>
  <si>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</si>
  <si>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</si>
  <si>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</si>
  <si>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</si>
  <si>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</si>
  <si>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</si>
  <si>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</si>
  <si>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</si>
  <si>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</si>
  <si>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</si>
  <si>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</si>
  <si>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</si>
  <si>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</si>
  <si>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</si>
  <si>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</si>
  <si>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</si>
  <si>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</si>
  <si>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</si>
  <si>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</si>
  <si>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</si>
  <si>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</si>
  <si>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</si>
  <si>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</si>
  <si>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</si>
  <si>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</si>
  <si>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</si>
  <si>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</si>
  <si>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</si>
  <si>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</si>
  <si>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</si>
  <si>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</si>
  <si>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</si>
  <si>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</si>
  <si>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</si>
  <si>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</si>
  <si>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</si>
  <si>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</si>
  <si>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</si>
  <si>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</si>
  <si>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</si>
  <si>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</si>
  <si>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</si>
  <si>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</si>
  <si>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</si>
  <si>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</si>
  <si>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</si>
  <si>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</si>
  <si>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</si>
  <si>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</si>
  <si>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</si>
  <si>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</si>
  <si>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</si>
  <si>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</si>
  <si>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</si>
  <si>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</si>
  <si>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</si>
  <si>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</si>
  <si>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</si>
  <si>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</si>
  <si>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</si>
  <si>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</si>
  <si>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</si>
  <si>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</si>
  <si>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</si>
  <si>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</si>
  <si>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</si>
  <si>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</si>
  <si>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</si>
  <si>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</si>
  <si>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</si>
  <si>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</si>
  <si>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</si>
  <si>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</si>
  <si>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</si>
  <si>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</si>
  <si>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</si>
  <si>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</si>
  <si>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</si>
  <si>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</si>
  <si>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</si>
  <si>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</si>
  <si>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</si>
  <si>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</si>
  <si>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</si>
  <si>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</si>
  <si>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</si>
  <si>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</si>
  <si>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</si>
  <si>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</si>
  <si>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</si>
  <si>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</si>
  <si>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</si>
  <si>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</si>
  <si>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</si>
  <si>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</si>
  <si>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</si>
  <si>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</si>
  <si>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</si>
  <si>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</si>
  <si>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</si>
  <si>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</si>
  <si>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</si>
  <si>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</si>
  <si>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</si>
  <si>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</si>
  <si>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</si>
  <si>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</si>
  <si>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</si>
  <si>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</si>
  <si>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</si>
  <si>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</si>
  <si>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</si>
  <si>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</si>
  <si>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</si>
  <si>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</si>
  <si>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</si>
  <si>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</si>
  <si>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</si>
  <si>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</si>
  <si>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</si>
  <si>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</si>
  <si>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</si>
  <si>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</si>
  <si>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</si>
  <si>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</si>
  <si>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</si>
  <si>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</si>
  <si>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</si>
  <si>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</si>
  <si>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</si>
  <si>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</si>
  <si>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</si>
  <si>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</si>
  <si>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</si>
  <si>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</si>
  <si>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</si>
  <si>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</si>
  <si>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</si>
  <si>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</si>
  <si>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</si>
  <si>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</si>
  <si>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</si>
  <si>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</si>
  <si>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</si>
  <si>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</si>
  <si>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</si>
  <si>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</si>
  <si>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</si>
  <si>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</si>
  <si>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</si>
  <si>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</si>
  <si>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</si>
  <si>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</si>
  <si>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</si>
  <si>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</si>
  <si>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</si>
  <si>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</si>
  <si>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</si>
  <si>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</si>
  <si>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</si>
  <si>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</si>
  <si>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</si>
  <si>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</si>
  <si>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</si>
  <si>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</si>
  <si>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</si>
  <si>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</si>
  <si>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</si>
  <si>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</si>
  <si>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</si>
  <si>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</si>
  <si>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</si>
  <si>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</si>
  <si>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</si>
  <si>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</si>
  <si>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</si>
  <si>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</si>
  <si>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</si>
  <si>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</si>
  <si>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</si>
  <si>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</si>
  <si>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</si>
  <si>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</si>
  <si>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</si>
  <si>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</si>
  <si>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</si>
  <si>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</si>
  <si>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</si>
  <si>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</si>
  <si>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</si>
  <si>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</si>
  <si>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</si>
  <si>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</si>
  <si>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</si>
  <si>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</si>
  <si>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</si>
  <si>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</si>
  <si>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</si>
  <si>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</si>
  <si>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</si>
  <si>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</si>
  <si>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</si>
  <si>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</si>
  <si>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</si>
  <si>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</si>
  <si>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</si>
  <si>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</si>
  <si>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</si>
  <si>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</si>
  <si>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</si>
  <si>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</si>
  <si>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</si>
  <si>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</si>
  <si>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</si>
  <si>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</si>
  <si>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</si>
  <si>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</si>
  <si>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</si>
  <si>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</si>
  <si>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</si>
  <si>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</si>
  <si>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</si>
  <si>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</si>
  <si>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</si>
  <si>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</si>
  <si>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</si>
  <si>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</si>
  <si>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</si>
  <si>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</si>
  <si>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</si>
  <si>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</si>
  <si>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</si>
  <si>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</si>
  <si>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</si>
  <si>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</si>
  <si>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</si>
  <si>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</si>
  <si>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</si>
  <si>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</si>
  <si>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</si>
  <si>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</si>
  <si>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</si>
  <si>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</si>
  <si>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</si>
  <si>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</si>
  <si>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</si>
  <si>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</si>
  <si>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</si>
  <si>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</si>
  <si>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</si>
  <si>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</si>
  <si>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</si>
  <si>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</si>
  <si>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</si>
  <si>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</si>
  <si>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</si>
  <si>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</si>
  <si>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</si>
  <si>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</si>
  <si>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</si>
  <si>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</si>
  <si>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</si>
  <si>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</si>
  <si>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</si>
  <si>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</si>
  <si>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</si>
  <si>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</si>
  <si>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</si>
  <si>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</si>
  <si>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</si>
  <si>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</si>
  <si>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</si>
  <si>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</si>
  <si>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</si>
  <si>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</si>
  <si>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</si>
  <si>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</si>
  <si>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</si>
  <si>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</si>
  <si>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</si>
  <si>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</si>
  <si>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</si>
  <si>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LACOST</t>
  </si>
  <si>
    <t>LONA PRELAVADA ALGODÓN ( TELA CRUDA)</t>
  </si>
  <si>
    <t>LONA REEBAG LAFAYETTE</t>
  </si>
  <si>
    <t>LONA TEXTIL 2</t>
  </si>
  <si>
    <t>MALLA FABRICS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</si>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</sst>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121478</xdr:colOff>
      <xdr:row>0</xdr:row>
      <xdr:rowOff>223496</xdr:rowOff>
    </xdr:from>
    <xdr:to>
      <xdr:col>23</xdr:col>
      <xdr:colOff>60740</xdr:colOff>
      <xdr:row>6</xdr:row>
      <xdr:rowOff>243391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12" t="28535" r="5822" b="21636"/>
        <a:stretch/>
      </xdr:blipFill>
      <xdr:spPr>
        <a:xfrm>
          <a:off x="7956826" y="223496"/>
          <a:ext cx="1766957" cy="1775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H1" zoomScale="115" zoomScaleNormal="115" workbookViewId="0">
      <pane ySplit="8" topLeftCell="A20" activePane="bottomLeft" state="frozen"/>
      <selection pane="bottomLeft" activeCell="Q20" sqref="Q20:R2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ER2407-1</v>
      </c>
      <c r="G1" s="331"/>
      <c r="H1" s="332"/>
      <c r="I1" s="333" t="s">
        <v>1</v>
      </c>
      <c r="J1" s="334"/>
      <c r="K1" s="246"/>
      <c r="L1" s="335" t="s">
        <v>2</v>
      </c>
      <c r="M1" s="336"/>
      <c r="N1" s="336"/>
      <c r="O1" s="337">
        <v>45131</v>
      </c>
      <c r="P1" s="337"/>
      <c r="Q1" s="337"/>
      <c r="R1" s="338"/>
      <c r="S1" s="383" t="s">
        <v>3</v>
      </c>
      <c r="T1" s="384"/>
      <c r="U1" s="384"/>
      <c r="V1" s="384"/>
      <c r="W1" s="384"/>
      <c r="X1" s="384"/>
      <c r="Y1" s="385"/>
      <c r="Z1" s="253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75" t="s">
        <v>7</v>
      </c>
      <c r="M2" s="376"/>
      <c r="N2" s="335"/>
      <c r="O2" s="377">
        <f>IF(E2="","",INDEX(Tabla3[],MATCH('Soli_citud '!E2,Intructores,0),2))</f>
        <v>32142539</v>
      </c>
      <c r="P2" s="377"/>
      <c r="Q2" s="377"/>
      <c r="R2" s="378"/>
      <c r="S2" s="386"/>
      <c r="T2" s="387"/>
      <c r="U2" s="387"/>
      <c r="V2" s="387"/>
      <c r="W2" s="387"/>
      <c r="X2" s="387"/>
      <c r="Y2" s="388"/>
      <c r="Z2" s="30"/>
    </row>
    <row r="3" spans="1:28" ht="24.75" customHeight="1">
      <c r="A3" s="350"/>
      <c r="B3" s="351"/>
      <c r="C3" s="361" t="s">
        <v>8</v>
      </c>
      <c r="D3" s="362"/>
      <c r="E3" s="363"/>
      <c r="F3" s="364"/>
      <c r="G3" s="364"/>
      <c r="H3" s="364"/>
      <c r="I3" s="364"/>
      <c r="J3" s="364"/>
      <c r="K3" s="365"/>
      <c r="L3" s="375" t="s">
        <v>9</v>
      </c>
      <c r="M3" s="376"/>
      <c r="N3" s="335"/>
      <c r="O3" s="314">
        <v>2693493</v>
      </c>
      <c r="P3" s="379"/>
      <c r="Q3" s="379"/>
      <c r="R3" s="379"/>
      <c r="S3" s="386"/>
      <c r="T3" s="387"/>
      <c r="U3" s="387"/>
      <c r="V3" s="387"/>
      <c r="W3" s="387"/>
      <c r="X3" s="387"/>
      <c r="Y3" s="388"/>
      <c r="Z3" s="30"/>
    </row>
    <row r="4" spans="1:28" ht="30.75" customHeight="1">
      <c r="A4" s="345" t="s">
        <v>10</v>
      </c>
      <c r="B4" s="345"/>
      <c r="C4" s="345"/>
      <c r="D4" s="339" t="s">
        <v>11</v>
      </c>
      <c r="E4" s="340"/>
      <c r="F4" s="340"/>
      <c r="G4" s="340"/>
      <c r="H4" s="340"/>
      <c r="I4" s="340"/>
      <c r="J4" s="340"/>
      <c r="K4" s="340"/>
      <c r="L4" s="341" t="s">
        <v>12</v>
      </c>
      <c r="M4" s="341"/>
      <c r="N4" s="341"/>
      <c r="O4" s="342" t="s">
        <v>13</v>
      </c>
      <c r="P4" s="343"/>
      <c r="Q4" s="343"/>
      <c r="R4" s="344"/>
      <c r="S4" s="386"/>
      <c r="T4" s="387"/>
      <c r="U4" s="387"/>
      <c r="V4" s="387"/>
      <c r="W4" s="387"/>
      <c r="X4" s="387"/>
      <c r="Y4" s="388"/>
      <c r="Z4" s="30"/>
    </row>
    <row r="5" spans="1:28" ht="29.25" customHeight="1">
      <c r="A5" s="366" t="s">
        <v>14</v>
      </c>
      <c r="B5" s="366"/>
      <c r="C5" s="366"/>
      <c r="D5" s="367">
        <f ca="1">IF(K5="","",(SUM(W10:Y28)-(SUMIF(U10:V28,"Restar_Pedido",W10:Y28)))/$K$5)</f>
        <v>122397.03171833331</v>
      </c>
      <c r="E5" s="368"/>
      <c r="F5" s="369"/>
      <c r="G5" s="352" t="s">
        <v>15</v>
      </c>
      <c r="H5" s="370"/>
      <c r="I5" s="370"/>
      <c r="J5" s="353"/>
      <c r="K5" s="326">
        <v>13</v>
      </c>
      <c r="L5" s="326"/>
      <c r="M5" s="327" t="s">
        <v>16</v>
      </c>
      <c r="N5" s="327"/>
      <c r="O5" s="380">
        <f ca="1">IFERROR(IF(K5=0,"",D5*K5),"")</f>
        <v>1591161.412338333</v>
      </c>
      <c r="P5" s="381"/>
      <c r="Q5" s="381"/>
      <c r="R5" s="382"/>
      <c r="S5" s="386"/>
      <c r="T5" s="387"/>
      <c r="U5" s="387"/>
      <c r="V5" s="387"/>
      <c r="W5" s="387"/>
      <c r="X5" s="387"/>
      <c r="Y5" s="388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6"/>
      <c r="T6" s="387"/>
      <c r="U6" s="387"/>
      <c r="V6" s="387"/>
      <c r="W6" s="387"/>
      <c r="X6" s="387"/>
      <c r="Y6" s="388"/>
      <c r="Z6" s="30"/>
      <c r="AA6" s="33"/>
      <c r="AB6" s="33"/>
    </row>
    <row r="7" spans="1:28" ht="24" customHeight="1" thickBot="1">
      <c r="A7" s="357" t="s">
        <v>17</v>
      </c>
      <c r="B7" s="357"/>
      <c r="C7" s="357"/>
      <c r="D7" s="358" t="s">
        <v>18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59" t="s">
        <v>19</v>
      </c>
      <c r="P7" s="359"/>
      <c r="Q7" s="360" t="s">
        <v>20</v>
      </c>
      <c r="R7" s="360"/>
      <c r="S7" s="387"/>
      <c r="T7" s="387"/>
      <c r="U7" s="387"/>
      <c r="V7" s="387"/>
      <c r="W7" s="387"/>
      <c r="X7" s="387"/>
      <c r="Y7" s="388"/>
      <c r="Z7" s="30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59"/>
      <c r="P8" s="359"/>
      <c r="Q8" s="360"/>
      <c r="R8" s="360"/>
      <c r="S8" s="372" t="s">
        <v>21</v>
      </c>
      <c r="T8" s="372"/>
      <c r="U8" s="372"/>
      <c r="V8" s="373">
        <f>IF(K5="","",1/K5)</f>
        <v>7.6923076923076927E-2</v>
      </c>
      <c r="W8" s="374"/>
      <c r="X8" s="107"/>
      <c r="Y8" s="108">
        <f>IFERROR((V8*X8)," ")</f>
        <v>0</v>
      </c>
      <c r="Z8" s="30"/>
    </row>
    <row r="9" spans="1:28" ht="12" customHeight="1">
      <c r="A9" s="325"/>
      <c r="B9" s="325"/>
      <c r="C9" s="3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1" t="s">
        <v>22</v>
      </c>
      <c r="T9" s="371"/>
      <c r="U9" s="359" t="s">
        <v>23</v>
      </c>
      <c r="V9" s="359"/>
      <c r="W9" s="359" t="s">
        <v>24</v>
      </c>
      <c r="X9" s="359"/>
      <c r="Y9" s="359"/>
    </row>
    <row r="10" spans="1:28" ht="17.25" customHeight="1">
      <c r="A10" s="307"/>
      <c r="B10" s="307"/>
      <c r="C10" s="308"/>
      <c r="D10" s="320"/>
      <c r="E10" s="321"/>
      <c r="F10" s="321"/>
      <c r="G10" s="321"/>
      <c r="H10" s="321"/>
      <c r="I10" s="321"/>
      <c r="J10" s="321"/>
      <c r="K10" s="321"/>
      <c r="L10" s="321"/>
      <c r="M10" s="321"/>
      <c r="N10" s="322"/>
      <c r="O10" s="312" t="str">
        <f t="shared" ref="O10:O31" ca="1" si="0">IFERROR(IF(D10="","",INDEX(Tabla_Completa,MATCH(D10,Materiales,0),6)),"")</f>
        <v/>
      </c>
      <c r="P10" s="313"/>
      <c r="Q10" s="314"/>
      <c r="R10" s="315"/>
      <c r="S10" s="316">
        <f>IFERROR(IF(Q10="Unidad","1",(Q10*$K$5)),"")</f>
        <v>0</v>
      </c>
      <c r="T10" s="317"/>
      <c r="U10" s="318"/>
      <c r="V10" s="324"/>
      <c r="W10" s="319" t="str">
        <f ca="1">IFERROR(IF(D10="","",INDEX(Tabla_Completa,MATCH('Soli_citud '!D10,Materiales,0),7)*S10),"")</f>
        <v/>
      </c>
      <c r="X10" s="319"/>
      <c r="Y10" s="319"/>
      <c r="Z10" s="34"/>
    </row>
    <row r="11" spans="1:28" ht="17.25" customHeight="1">
      <c r="A11" s="306"/>
      <c r="B11" s="307"/>
      <c r="C11" s="308"/>
      <c r="D11" s="320"/>
      <c r="E11" s="321"/>
      <c r="F11" s="321"/>
      <c r="G11" s="321"/>
      <c r="H11" s="321"/>
      <c r="I11" s="321"/>
      <c r="J11" s="321"/>
      <c r="K11" s="321"/>
      <c r="L11" s="321"/>
      <c r="M11" s="321"/>
      <c r="N11" s="322"/>
      <c r="O11" s="312" t="str">
        <f t="shared" ca="1" si="0"/>
        <v/>
      </c>
      <c r="P11" s="313"/>
      <c r="Q11" s="314"/>
      <c r="R11" s="315"/>
      <c r="S11" s="316">
        <f t="shared" ref="S11:S31" si="1">IFERROR(IF(Q11="Unidad","1",(Q11*$K$5)),"")</f>
        <v>0</v>
      </c>
      <c r="T11" s="317"/>
      <c r="U11" s="318"/>
      <c r="V11" s="318"/>
      <c r="W11" s="319" t="str">
        <f ca="1">IFERROR(IF(D11="","",INDEX(Tabla_Completa,MATCH('Soli_citud '!D11,Materiales,0),7)*S11),"")</f>
        <v/>
      </c>
      <c r="X11" s="319"/>
      <c r="Y11" s="319"/>
    </row>
    <row r="12" spans="1:28" ht="15.75" customHeight="1">
      <c r="A12" s="306"/>
      <c r="B12" s="307"/>
      <c r="C12" s="308"/>
      <c r="D12" s="323"/>
      <c r="E12" s="321"/>
      <c r="F12" s="321"/>
      <c r="G12" s="321"/>
      <c r="H12" s="321"/>
      <c r="I12" s="321"/>
      <c r="J12" s="321"/>
      <c r="K12" s="321"/>
      <c r="L12" s="321"/>
      <c r="M12" s="321"/>
      <c r="N12" s="322"/>
      <c r="O12" s="312" t="str">
        <f t="shared" ref="O12" ca="1" si="2">IFERROR(IF(D12="","",INDEX(Tabla_Completa,MATCH(D12,Materiales,0),6)),"")</f>
        <v/>
      </c>
      <c r="P12" s="313"/>
      <c r="Q12" s="314"/>
      <c r="R12" s="315"/>
      <c r="S12" s="316">
        <f t="shared" si="1"/>
        <v>0</v>
      </c>
      <c r="T12" s="317"/>
      <c r="U12" s="318"/>
      <c r="V12" s="318"/>
      <c r="W12" s="319" t="str">
        <f ca="1">IFERROR(IF(D12="","",INDEX(Tabla_Completa,MATCH('Soli_citud '!D12,Materiales,0),7)*S12),"")</f>
        <v/>
      </c>
      <c r="X12" s="319"/>
      <c r="Y12" s="319"/>
    </row>
    <row r="13" spans="1:28" ht="15.75" customHeight="1">
      <c r="A13" s="306"/>
      <c r="B13" s="307"/>
      <c r="C13" s="308"/>
      <c r="D13" s="320"/>
      <c r="E13" s="321"/>
      <c r="F13" s="321"/>
      <c r="G13" s="321"/>
      <c r="H13" s="321"/>
      <c r="I13" s="321"/>
      <c r="J13" s="321"/>
      <c r="K13" s="321"/>
      <c r="L13" s="321"/>
      <c r="M13" s="321"/>
      <c r="N13" s="322"/>
      <c r="O13" s="312" t="str">
        <f t="shared" ca="1" si="0"/>
        <v/>
      </c>
      <c r="P13" s="313"/>
      <c r="Q13" s="314"/>
      <c r="R13" s="315"/>
      <c r="S13" s="316">
        <f t="shared" si="1"/>
        <v>0</v>
      </c>
      <c r="T13" s="317"/>
      <c r="U13" s="318"/>
      <c r="V13" s="318"/>
      <c r="W13" s="319" t="str">
        <f ca="1">IFERROR(IF(D13="","",INDEX(Tabla_Completa,MATCH('Soli_citud '!D13,Materiales,0),7)*S13),"")</f>
        <v/>
      </c>
      <c r="X13" s="319"/>
      <c r="Y13" s="319"/>
    </row>
    <row r="14" spans="1:28" ht="17.25" customHeight="1">
      <c r="A14" s="306"/>
      <c r="B14" s="307"/>
      <c r="C14" s="308"/>
      <c r="D14" s="320"/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12" t="str">
        <f t="shared" ca="1" si="0"/>
        <v/>
      </c>
      <c r="P14" s="313"/>
      <c r="Q14" s="314"/>
      <c r="R14" s="315"/>
      <c r="S14" s="316">
        <f t="shared" si="1"/>
        <v>0</v>
      </c>
      <c r="T14" s="317"/>
      <c r="U14" s="318"/>
      <c r="V14" s="318"/>
      <c r="W14" s="319" t="str">
        <f ca="1">IFERROR(IF(D14="","",INDEX(Tabla_Completa,MATCH('Soli_citud '!D14,Materiales,0),7)*S14),"")</f>
        <v/>
      </c>
      <c r="X14" s="319"/>
      <c r="Y14" s="319"/>
    </row>
    <row r="15" spans="1:28" ht="15.75" customHeight="1">
      <c r="A15" s="306" t="s">
        <v>25</v>
      </c>
      <c r="B15" s="307"/>
      <c r="C15" s="308"/>
      <c r="D15" s="320" t="s">
        <v>26</v>
      </c>
      <c r="E15" s="321"/>
      <c r="F15" s="321"/>
      <c r="G15" s="321"/>
      <c r="H15" s="321"/>
      <c r="I15" s="321"/>
      <c r="J15" s="321"/>
      <c r="K15" s="321"/>
      <c r="L15" s="321"/>
      <c r="M15" s="321"/>
      <c r="N15" s="322"/>
      <c r="O15" s="312" t="str">
        <f t="shared" ca="1" si="0"/>
        <v>dm2</v>
      </c>
      <c r="P15" s="313"/>
      <c r="Q15" s="314">
        <v>63.71</v>
      </c>
      <c r="R15" s="315"/>
      <c r="S15" s="316">
        <f t="shared" si="1"/>
        <v>828.23</v>
      </c>
      <c r="T15" s="317"/>
      <c r="U15" s="318"/>
      <c r="V15" s="318"/>
      <c r="W15" s="319">
        <f ca="1">IFERROR(IF(D15="","",INDEX(Tabla_Completa,MATCH('Soli_citud '!D15,Materiales,0),7)*S15),"")</f>
        <v>993876</v>
      </c>
      <c r="X15" s="319"/>
      <c r="Y15" s="319"/>
    </row>
    <row r="16" spans="1:28" ht="15.75" customHeight="1">
      <c r="A16" s="306" t="s">
        <v>25</v>
      </c>
      <c r="B16" s="307"/>
      <c r="C16" s="308"/>
      <c r="D16" s="320" t="s">
        <v>27</v>
      </c>
      <c r="E16" s="321"/>
      <c r="F16" s="321"/>
      <c r="G16" s="321"/>
      <c r="H16" s="321"/>
      <c r="I16" s="321"/>
      <c r="J16" s="321"/>
      <c r="K16" s="321"/>
      <c r="L16" s="321"/>
      <c r="M16" s="321"/>
      <c r="N16" s="322"/>
      <c r="O16" s="312" t="str">
        <f t="shared" ca="1" si="0"/>
        <v>dm2</v>
      </c>
      <c r="P16" s="313"/>
      <c r="Q16" s="314">
        <v>24.42</v>
      </c>
      <c r="R16" s="315"/>
      <c r="S16" s="316">
        <f t="shared" si="1"/>
        <v>317.46000000000004</v>
      </c>
      <c r="T16" s="317"/>
      <c r="U16" s="318"/>
      <c r="V16" s="318"/>
      <c r="W16" s="319">
        <f ca="1">IFERROR(IF(D16="","",INDEX(Tabla_Completa,MATCH('Soli_citud '!D16,Materiales,0),7)*S16),"")</f>
        <v>316955.23860000004</v>
      </c>
      <c r="X16" s="319"/>
      <c r="Y16" s="319"/>
    </row>
    <row r="17" spans="1:25" ht="15.75" customHeight="1">
      <c r="A17" s="306" t="s">
        <v>28</v>
      </c>
      <c r="B17" s="307"/>
      <c r="C17" s="308"/>
      <c r="D17" s="320" t="s">
        <v>29</v>
      </c>
      <c r="E17" s="321"/>
      <c r="F17" s="321"/>
      <c r="G17" s="321"/>
      <c r="H17" s="321"/>
      <c r="I17" s="321"/>
      <c r="J17" s="321"/>
      <c r="K17" s="321"/>
      <c r="L17" s="321"/>
      <c r="M17" s="321"/>
      <c r="N17" s="322"/>
      <c r="O17" s="312" t="str">
        <f t="shared" ca="1" si="0"/>
        <v>cm2</v>
      </c>
      <c r="P17" s="313"/>
      <c r="Q17" s="314">
        <v>19</v>
      </c>
      <c r="R17" s="315"/>
      <c r="S17" s="316">
        <f t="shared" si="1"/>
        <v>247</v>
      </c>
      <c r="T17" s="317"/>
      <c r="U17" s="318"/>
      <c r="V17" s="318"/>
      <c r="W17" s="319">
        <f ca="1">IFERROR(IF(D17="","",INDEX(Tabla_Completa,MATCH('Soli_citud '!D17,Materiales,0),7)*S17),"")</f>
        <v>705.70493500000009</v>
      </c>
      <c r="X17" s="319"/>
      <c r="Y17" s="319"/>
    </row>
    <row r="18" spans="1:25" ht="15.75" customHeight="1">
      <c r="A18" s="306" t="s">
        <v>30</v>
      </c>
      <c r="B18" s="307"/>
      <c r="C18" s="308"/>
      <c r="D18" s="320" t="s">
        <v>31</v>
      </c>
      <c r="E18" s="321"/>
      <c r="F18" s="321"/>
      <c r="G18" s="321"/>
      <c r="H18" s="321"/>
      <c r="I18" s="321"/>
      <c r="J18" s="321"/>
      <c r="K18" s="321"/>
      <c r="L18" s="321"/>
      <c r="M18" s="321"/>
      <c r="N18" s="322"/>
      <c r="O18" s="312" t="str">
        <f t="shared" ca="1" si="0"/>
        <v>cm2</v>
      </c>
      <c r="P18" s="313"/>
      <c r="Q18" s="314">
        <v>35</v>
      </c>
      <c r="R18" s="315"/>
      <c r="S18" s="316">
        <f t="shared" si="1"/>
        <v>455</v>
      </c>
      <c r="T18" s="317"/>
      <c r="U18" s="318"/>
      <c r="V18" s="318"/>
      <c r="W18" s="319">
        <f ca="1">IFERROR(IF(D18="","",INDEX(Tabla_Completa,MATCH('Soli_citud '!D18,Materiales,0),7)*S18),"")</f>
        <v>217.88433333333333</v>
      </c>
      <c r="X18" s="319"/>
      <c r="Y18" s="319"/>
    </row>
    <row r="19" spans="1:25" ht="15.6">
      <c r="A19" s="306" t="s">
        <v>28</v>
      </c>
      <c r="B19" s="307"/>
      <c r="C19" s="308"/>
      <c r="D19" s="309" t="s">
        <v>32</v>
      </c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>cm2</v>
      </c>
      <c r="P19" s="313"/>
      <c r="Q19" s="314">
        <v>15.5</v>
      </c>
      <c r="R19" s="315"/>
      <c r="S19" s="316">
        <f t="shared" si="1"/>
        <v>201.5</v>
      </c>
      <c r="T19" s="317"/>
      <c r="U19" s="318"/>
      <c r="V19" s="318"/>
      <c r="W19" s="319">
        <f ca="1">IFERROR(IF(D19="","",INDEX(Tabla_Completa,MATCH('Soli_citud '!D19,Materiales,0),7)*S19),"")</f>
        <v>100.31821428571428</v>
      </c>
      <c r="X19" s="319"/>
      <c r="Y19" s="319"/>
    </row>
    <row r="20" spans="1:25" ht="15.6">
      <c r="A20" s="306" t="s">
        <v>30</v>
      </c>
      <c r="B20" s="307"/>
      <c r="C20" s="308"/>
      <c r="D20" s="309" t="s">
        <v>33</v>
      </c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>cm</v>
      </c>
      <c r="P20" s="313"/>
      <c r="Q20" s="314">
        <v>110</v>
      </c>
      <c r="R20" s="315"/>
      <c r="S20" s="316">
        <f t="shared" si="1"/>
        <v>1430</v>
      </c>
      <c r="T20" s="317"/>
      <c r="U20" s="318"/>
      <c r="V20" s="318"/>
      <c r="W20" s="319">
        <f ca="1">IFERROR(IF(D20="","",INDEX(Tabla_Completa,MATCH('Soli_citud '!D20,Materiales,0),7)*S20),"")</f>
        <v>140140</v>
      </c>
      <c r="X20" s="319"/>
      <c r="Y20" s="319"/>
    </row>
    <row r="21" spans="1:25" ht="15.6">
      <c r="A21" s="306" t="s">
        <v>34</v>
      </c>
      <c r="B21" s="307"/>
      <c r="C21" s="308"/>
      <c r="D21" s="309" t="s">
        <v>35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>U</v>
      </c>
      <c r="P21" s="313"/>
      <c r="Q21" s="314">
        <v>3</v>
      </c>
      <c r="R21" s="315"/>
      <c r="S21" s="316">
        <f t="shared" si="1"/>
        <v>39</v>
      </c>
      <c r="T21" s="317"/>
      <c r="U21" s="318"/>
      <c r="V21" s="318"/>
      <c r="W21" s="319">
        <f ca="1">IFERROR(IF(D21="","",INDEX(Tabla_Completa,MATCH('Soli_citud '!D21,Materiales,0),7)*S21),"")</f>
        <v>113054.76000000001</v>
      </c>
      <c r="X21" s="319"/>
      <c r="Y21" s="319"/>
    </row>
    <row r="22" spans="1:25" ht="15.6">
      <c r="A22" s="306" t="s">
        <v>30</v>
      </c>
      <c r="B22" s="307"/>
      <c r="C22" s="308"/>
      <c r="D22" s="309" t="s">
        <v>36</v>
      </c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>cm2</v>
      </c>
      <c r="P22" s="313"/>
      <c r="Q22" s="314">
        <v>3.42</v>
      </c>
      <c r="R22" s="315"/>
      <c r="S22" s="316">
        <f t="shared" si="1"/>
        <v>44.46</v>
      </c>
      <c r="T22" s="317"/>
      <c r="U22" s="318"/>
      <c r="V22" s="318"/>
      <c r="W22" s="319">
        <f ca="1">IFERROR(IF(D22="","",INDEX(Tabla_Completa,MATCH('Soli_citud '!D22,Materiales,0),7)*S22),"")</f>
        <v>34.932857142857145</v>
      </c>
      <c r="X22" s="319"/>
      <c r="Y22" s="319"/>
    </row>
    <row r="23" spans="1:25" ht="15.6">
      <c r="A23" s="306" t="s">
        <v>30</v>
      </c>
      <c r="B23" s="307"/>
      <c r="C23" s="308"/>
      <c r="D23" s="309" t="s">
        <v>37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>cm2</v>
      </c>
      <c r="P23" s="313"/>
      <c r="Q23" s="314">
        <v>8</v>
      </c>
      <c r="R23" s="315"/>
      <c r="S23" s="316">
        <f t="shared" si="1"/>
        <v>104</v>
      </c>
      <c r="T23" s="317"/>
      <c r="U23" s="318"/>
      <c r="V23" s="318"/>
      <c r="W23" s="319">
        <f ca="1">IFERROR(IF(D23="","",INDEX(Tabla_Completa,MATCH('Soli_citud '!D23,Materiales,0),7)*S23),"")</f>
        <v>80.659428571428577</v>
      </c>
      <c r="X23" s="319"/>
      <c r="Y23" s="319"/>
    </row>
    <row r="24" spans="1:25" ht="15.6">
      <c r="A24" s="306" t="s">
        <v>28</v>
      </c>
      <c r="B24" s="307"/>
      <c r="C24" s="308"/>
      <c r="D24" s="309" t="s">
        <v>38</v>
      </c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>cm2</v>
      </c>
      <c r="P24" s="313"/>
      <c r="Q24" s="314">
        <v>2</v>
      </c>
      <c r="R24" s="315"/>
      <c r="S24" s="316">
        <f t="shared" si="1"/>
        <v>26</v>
      </c>
      <c r="T24" s="317"/>
      <c r="U24" s="318"/>
      <c r="V24" s="318"/>
      <c r="W24" s="319">
        <f ca="1">IFERROR(IF(D24="","",INDEX(Tabla_Completa,MATCH('Soli_citud '!D24,Materiales,0),7)*S24),"")</f>
        <v>37.253969999999995</v>
      </c>
      <c r="X24" s="319"/>
      <c r="Y24" s="319"/>
    </row>
    <row r="25" spans="1:25" ht="15.6">
      <c r="A25" s="306" t="s">
        <v>30</v>
      </c>
      <c r="B25" s="307"/>
      <c r="C25" s="308"/>
      <c r="D25" s="309" t="s">
        <v>39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>
        <v>11</v>
      </c>
      <c r="R25" s="315"/>
      <c r="S25" s="316">
        <f t="shared" si="1"/>
        <v>143</v>
      </c>
      <c r="T25" s="317"/>
      <c r="U25" s="318"/>
      <c r="V25" s="318"/>
      <c r="W25" s="319" t="str">
        <f ca="1">IFERROR(IF(D25="","",INDEX(Tabla_Completa,MATCH('Soli_citud '!D25,Materiales,0),7)*S25),"")</f>
        <v/>
      </c>
      <c r="X25" s="319"/>
      <c r="Y25" s="319"/>
    </row>
    <row r="26" spans="1:25" ht="15.6">
      <c r="A26" s="306" t="s">
        <v>34</v>
      </c>
      <c r="B26" s="307"/>
      <c r="C26" s="308"/>
      <c r="D26" s="309" t="s">
        <v>40</v>
      </c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>U</v>
      </c>
      <c r="P26" s="313"/>
      <c r="Q26" s="314">
        <v>2</v>
      </c>
      <c r="R26" s="315"/>
      <c r="S26" s="316">
        <f t="shared" si="1"/>
        <v>26</v>
      </c>
      <c r="T26" s="317"/>
      <c r="U26" s="318"/>
      <c r="V26" s="318"/>
      <c r="W26" s="319">
        <f ca="1">IFERROR(IF(D26="","",INDEX(Tabla_Completa,MATCH('Soli_citud '!D26,Materiales,0),7)*S26),"")</f>
        <v>25958.66</v>
      </c>
      <c r="X26" s="319"/>
      <c r="Y26" s="319"/>
    </row>
    <row r="27" spans="1:25" ht="15.6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18"/>
      <c r="V27" s="318"/>
      <c r="W27" s="319" t="str">
        <f ca="1">IFERROR(IF(D27="","",INDEX(Tabla_Completa,MATCH('Soli_citud '!D27,Materiales,0),7)*S27),"")</f>
        <v/>
      </c>
      <c r="X27" s="319"/>
      <c r="Y27" s="319"/>
    </row>
    <row r="28" spans="1:25" ht="15.6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18"/>
      <c r="V28" s="318"/>
      <c r="W28" s="319" t="str">
        <f ca="1">IFERROR(IF(D28="","",INDEX(Tabla_Completa,MATCH('Soli_citud '!D28,Materiales,0),7)*S28),"")</f>
        <v/>
      </c>
      <c r="X28" s="319"/>
      <c r="Y28" s="319"/>
    </row>
    <row r="29" spans="1:25" ht="15.6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18"/>
      <c r="V29" s="318"/>
      <c r="W29" s="319" t="str">
        <f ca="1">IFERROR(IF(D29="","",INDEX(Tabla_Completa,MATCH('Soli_citud '!D29,Materiales,0),7)*S29),"")</f>
        <v/>
      </c>
      <c r="X29" s="319"/>
      <c r="Y29" s="319"/>
    </row>
    <row r="30" spans="1:25" ht="15.6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18"/>
      <c r="V30" s="318"/>
      <c r="W30" s="319" t="str">
        <f ca="1">IFERROR(IF(D30="","",INDEX(Tabla_Completa,MATCH('Soli_citud '!D30,Materiales,0),7)*S30),"")</f>
        <v/>
      </c>
      <c r="X30" s="319"/>
      <c r="Y30" s="319"/>
    </row>
    <row r="31" spans="1:25" ht="15.6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18"/>
      <c r="V31" s="318"/>
      <c r="W31" s="319" t="str">
        <f ca="1">IFERROR(IF(D31="","",INDEX(Tabla_Completa,MATCH('Soli_citud '!D31,Materiales,0),7)*S31),"")</f>
        <v/>
      </c>
      <c r="X31" s="319"/>
      <c r="Y31" s="319"/>
    </row>
    <row r="32" spans="1:25" ht="15.6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18"/>
      <c r="V32" s="318"/>
      <c r="W32" s="319" t="str">
        <f ca="1">IFERROR(IF(D32="","",INDEX(Tabla_Completa,MATCH('Soli_citud '!D32,Materiales,0),7)*S32),"")</f>
        <v/>
      </c>
      <c r="X32" s="319"/>
      <c r="Y32" s="319"/>
    </row>
    <row r="33" spans="1:25" ht="15.6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18"/>
      <c r="V33" s="318"/>
      <c r="W33" s="319" t="str">
        <f ca="1">IFERROR(IF(D33="","",INDEX(Tabla_Completa,MATCH('Soli_citud '!D33,Materiales,0),7)*S33),"")</f>
        <v/>
      </c>
      <c r="X33" s="319"/>
      <c r="Y33" s="319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400" t="s">
        <v>41</v>
      </c>
      <c r="B39" s="400"/>
      <c r="C39" s="400"/>
      <c r="D39" s="401" t="s">
        <v>42</v>
      </c>
      <c r="E39" s="401"/>
      <c r="F39" s="401"/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</row>
    <row r="40" spans="1:25" ht="14.4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2" t="s">
        <v>44</v>
      </c>
      <c r="B41" s="402"/>
      <c r="C41" s="40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</row>
    <row r="42" spans="1:25" ht="14.45">
      <c r="A42" s="403"/>
      <c r="B42" s="403"/>
      <c r="C42" s="403"/>
      <c r="D42" s="403"/>
      <c r="E42" s="403"/>
      <c r="F42" s="403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</row>
    <row r="43" spans="1:25" ht="14.45">
      <c r="A43" s="403"/>
      <c r="B43" s="403"/>
      <c r="C43" s="403"/>
      <c r="D43" s="403"/>
      <c r="E43" s="403"/>
      <c r="F43" s="403"/>
      <c r="G43" s="403"/>
      <c r="H43" s="403"/>
      <c r="I43" s="403"/>
      <c r="J43" s="403"/>
      <c r="K43" s="403"/>
      <c r="L43" s="403"/>
      <c r="M43" s="403"/>
      <c r="N43" s="403"/>
      <c r="O43" s="403"/>
      <c r="P43" s="403"/>
      <c r="Q43" s="403"/>
    </row>
    <row r="44" spans="1:25" ht="18.95">
      <c r="A44" s="398" t="s">
        <v>45</v>
      </c>
      <c r="B44" s="398"/>
      <c r="C44" s="398"/>
      <c r="D44" s="398"/>
      <c r="E44" s="398"/>
      <c r="F44" s="398"/>
      <c r="G44" s="398"/>
      <c r="H44" s="398"/>
      <c r="I44" s="398"/>
      <c r="J44" s="398"/>
      <c r="K44" s="398"/>
      <c r="L44" s="398"/>
      <c r="N44" s="390" t="s">
        <v>46</v>
      </c>
      <c r="O44" s="390"/>
      <c r="P44" s="390"/>
      <c r="Q44" s="390"/>
      <c r="R44" s="396" t="s">
        <v>47</v>
      </c>
      <c r="S44" s="396"/>
      <c r="T44" s="396"/>
      <c r="U44" s="396"/>
      <c r="V44" s="396"/>
      <c r="W44" s="396"/>
      <c r="X44" s="396"/>
    </row>
    <row r="45" spans="1:25" ht="29.25" customHeight="1">
      <c r="A45" s="399" t="s">
        <v>48</v>
      </c>
      <c r="B45" s="399"/>
      <c r="C45" s="399"/>
      <c r="D45" s="399"/>
      <c r="E45" s="399"/>
      <c r="F45" s="399"/>
      <c r="G45" s="399"/>
      <c r="H45" s="399"/>
      <c r="I45" s="399"/>
      <c r="J45" s="399"/>
      <c r="K45" s="399"/>
      <c r="L45" s="399"/>
      <c r="N45" s="390" t="s">
        <v>49</v>
      </c>
      <c r="O45" s="390"/>
      <c r="P45" s="390"/>
      <c r="Q45" s="390"/>
      <c r="R45" s="397" t="s">
        <v>50</v>
      </c>
      <c r="S45" s="397"/>
      <c r="T45" s="397"/>
      <c r="U45" s="397"/>
      <c r="V45" s="397"/>
      <c r="W45" s="397"/>
      <c r="X45" s="397"/>
    </row>
    <row r="46" spans="1:25" ht="31.5" customHeight="1">
      <c r="A46" s="392" t="s">
        <v>51</v>
      </c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N46" s="390" t="s">
        <v>25</v>
      </c>
      <c r="O46" s="390"/>
      <c r="P46" s="390"/>
      <c r="Q46" s="390"/>
      <c r="R46" s="389" t="s">
        <v>52</v>
      </c>
      <c r="S46" s="389"/>
      <c r="T46" s="389"/>
      <c r="U46" s="389"/>
      <c r="V46" s="389"/>
      <c r="W46" s="389"/>
      <c r="X46" s="389"/>
    </row>
    <row r="47" spans="1:25" ht="28.5" customHeight="1">
      <c r="A47" s="393" t="s">
        <v>53</v>
      </c>
      <c r="B47" s="393"/>
      <c r="C47" s="393"/>
      <c r="D47" s="393"/>
      <c r="E47" s="393"/>
      <c r="F47" s="393"/>
      <c r="G47" s="393"/>
      <c r="H47" s="393"/>
      <c r="I47" s="393"/>
      <c r="J47" s="393"/>
      <c r="K47" s="393"/>
      <c r="L47" s="393"/>
      <c r="N47" s="390" t="s">
        <v>34</v>
      </c>
      <c r="O47" s="390"/>
      <c r="P47" s="390"/>
      <c r="Q47" s="390"/>
      <c r="R47" s="389" t="s">
        <v>54</v>
      </c>
      <c r="S47" s="389"/>
      <c r="T47" s="389"/>
      <c r="U47" s="389"/>
      <c r="V47" s="389"/>
      <c r="W47" s="389"/>
      <c r="X47" s="389"/>
    </row>
    <row r="48" spans="1:25" ht="42.75" customHeight="1">
      <c r="A48" s="394" t="s">
        <v>55</v>
      </c>
      <c r="B48" s="394"/>
      <c r="C48" s="394"/>
      <c r="D48" s="394"/>
      <c r="E48" s="394"/>
      <c r="F48" s="394"/>
      <c r="G48" s="394"/>
      <c r="H48" s="394"/>
      <c r="I48" s="394"/>
      <c r="J48" s="394"/>
      <c r="K48" s="394"/>
      <c r="L48" s="394"/>
      <c r="N48" s="390" t="s">
        <v>56</v>
      </c>
      <c r="O48" s="390"/>
      <c r="P48" s="390"/>
      <c r="Q48" s="390"/>
      <c r="R48" s="389" t="s">
        <v>57</v>
      </c>
      <c r="S48" s="389"/>
      <c r="T48" s="389"/>
      <c r="U48" s="389"/>
      <c r="V48" s="389"/>
      <c r="W48" s="389"/>
      <c r="X48" s="389"/>
    </row>
    <row r="49" spans="1:24" ht="36" customHeight="1">
      <c r="A49" s="394" t="s">
        <v>58</v>
      </c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N49" s="391" t="s">
        <v>59</v>
      </c>
      <c r="O49" s="391"/>
      <c r="P49" s="391"/>
      <c r="Q49" s="391"/>
      <c r="R49" s="397" t="s">
        <v>60</v>
      </c>
      <c r="S49" s="397"/>
      <c r="T49" s="397"/>
      <c r="U49" s="397"/>
      <c r="V49" s="397"/>
      <c r="W49" s="397"/>
      <c r="X49" s="397"/>
    </row>
    <row r="50" spans="1:24">
      <c r="A50" s="395"/>
      <c r="B50" s="395"/>
      <c r="C50" s="395"/>
      <c r="D50" s="395"/>
      <c r="N50" s="390" t="s">
        <v>61</v>
      </c>
      <c r="O50" s="390"/>
      <c r="P50" s="390"/>
      <c r="Q50" s="390"/>
      <c r="R50" s="389" t="s">
        <v>62</v>
      </c>
      <c r="S50" s="389"/>
      <c r="T50" s="389"/>
      <c r="U50" s="389"/>
      <c r="V50" s="389"/>
      <c r="W50" s="389"/>
      <c r="X50" s="389"/>
    </row>
    <row r="51" spans="1:24">
      <c r="N51" s="390" t="s">
        <v>28</v>
      </c>
      <c r="O51" s="390"/>
      <c r="P51" s="390"/>
      <c r="Q51" s="390"/>
      <c r="R51" s="389" t="s">
        <v>63</v>
      </c>
      <c r="S51" s="389"/>
      <c r="T51" s="389"/>
      <c r="U51" s="389"/>
      <c r="V51" s="389"/>
      <c r="W51" s="389"/>
      <c r="X51" s="389"/>
    </row>
    <row r="52" spans="1:24">
      <c r="N52" s="390" t="s">
        <v>64</v>
      </c>
      <c r="O52" s="390"/>
      <c r="P52" s="390"/>
      <c r="Q52" s="390"/>
      <c r="R52" s="389" t="s">
        <v>54</v>
      </c>
      <c r="S52" s="389"/>
      <c r="T52" s="389"/>
      <c r="U52" s="389"/>
      <c r="V52" s="389"/>
      <c r="W52" s="389"/>
      <c r="X52" s="38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20" activePane="bottomLeft" state="frozen"/>
      <selection pane="bottomLeft" activeCell="J27" sqref="J27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2" t="s">
        <v>65</v>
      </c>
      <c r="E1" s="473"/>
      <c r="F1" s="473"/>
      <c r="G1" s="473"/>
      <c r="H1" s="473"/>
      <c r="I1" s="473"/>
      <c r="J1" s="478" t="s">
        <v>66</v>
      </c>
      <c r="K1" s="479"/>
      <c r="L1" s="479"/>
      <c r="M1" s="480"/>
      <c r="N1" s="474">
        <f>IF('Soli_citud '!O1="","",'Soli_citud '!O1)</f>
        <v>45131</v>
      </c>
      <c r="O1" s="475"/>
      <c r="P1" s="408" t="s">
        <v>67</v>
      </c>
      <c r="Q1" s="409"/>
      <c r="R1" s="404" t="str">
        <f>IF('Soli_citud '!D4="","",'Soli_citud '!D4)</f>
        <v>MORRAL CITY</v>
      </c>
      <c r="S1" s="405"/>
      <c r="Z1" t="s">
        <v>68</v>
      </c>
      <c r="AA1" s="252" t="s">
        <v>68</v>
      </c>
    </row>
    <row r="2" spans="1:27" ht="15.75" customHeight="1" thickBot="1">
      <c r="A2" s="257"/>
      <c r="B2" s="260"/>
      <c r="C2" s="261"/>
      <c r="D2" s="472"/>
      <c r="E2" s="473"/>
      <c r="F2" s="473"/>
      <c r="G2" s="473"/>
      <c r="H2" s="473"/>
      <c r="I2" s="473"/>
      <c r="J2" s="455" t="s">
        <v>69</v>
      </c>
      <c r="K2" s="456"/>
      <c r="L2" s="456"/>
      <c r="M2" s="457"/>
      <c r="N2" s="476" t="str">
        <f>'Soli_citud '!F1</f>
        <v>ER2407-1</v>
      </c>
      <c r="O2" s="460"/>
      <c r="P2" s="410"/>
      <c r="Q2" s="411"/>
      <c r="R2" s="406"/>
      <c r="S2" s="407"/>
    </row>
    <row r="3" spans="1:27" ht="15.75" customHeight="1">
      <c r="A3" s="257"/>
      <c r="B3" s="260"/>
      <c r="C3" s="261"/>
      <c r="D3" s="472"/>
      <c r="E3" s="473"/>
      <c r="F3" s="473"/>
      <c r="G3" s="473"/>
      <c r="H3" s="473"/>
      <c r="I3" s="473"/>
      <c r="J3" s="477" t="s">
        <v>70</v>
      </c>
      <c r="K3" s="477"/>
      <c r="L3" s="477"/>
      <c r="M3" s="477"/>
      <c r="N3" s="464">
        <f>IF('Soli_citud '!O3="","",'Soli_citud '!O3)</f>
        <v>2693493</v>
      </c>
      <c r="O3" s="465"/>
      <c r="P3" s="410"/>
      <c r="Q3" s="411"/>
      <c r="R3" s="414" t="str" cm="1">
        <f t="array" ref="R3">IFERROR(_xlfn.IFS(M4="Calzado Producción","Entrega de Producto",M4="Marroquinería  Producción","Entrega Producto"),"")</f>
        <v/>
      </c>
      <c r="S3" s="415"/>
    </row>
    <row r="4" spans="1:27" ht="15.75" customHeight="1">
      <c r="A4" s="257"/>
      <c r="B4" s="262"/>
      <c r="C4" s="263"/>
      <c r="D4" s="472"/>
      <c r="E4" s="473"/>
      <c r="F4" s="473"/>
      <c r="G4" s="473"/>
      <c r="H4" s="473"/>
      <c r="I4" s="473"/>
      <c r="J4" s="469" t="s">
        <v>71</v>
      </c>
      <c r="K4" s="469"/>
      <c r="L4" s="469"/>
      <c r="M4" s="470" t="str">
        <f>IF('Soli_citud '!O4="","",'Soli_citud '!O4)</f>
        <v>Marroquinería Producción</v>
      </c>
      <c r="N4" s="470"/>
      <c r="O4" s="471"/>
      <c r="P4" s="410"/>
      <c r="Q4" s="411"/>
      <c r="R4" s="313"/>
      <c r="S4" s="416"/>
    </row>
    <row r="5" spans="1:27" ht="2.25" customHeight="1">
      <c r="A5" s="257"/>
      <c r="P5" s="410"/>
      <c r="Q5" s="411"/>
    </row>
    <row r="6" spans="1:27" ht="27" customHeight="1">
      <c r="A6" s="257"/>
      <c r="B6" s="449" t="s">
        <v>72</v>
      </c>
      <c r="C6" s="450"/>
      <c r="D6" s="451"/>
      <c r="E6" s="466" t="s">
        <v>73</v>
      </c>
      <c r="F6" s="466"/>
      <c r="G6" s="466"/>
      <c r="H6" s="466"/>
      <c r="I6" s="467"/>
      <c r="J6" s="440" t="s">
        <v>74</v>
      </c>
      <c r="K6" s="441"/>
      <c r="L6" s="441"/>
      <c r="M6" s="441"/>
      <c r="N6" s="468"/>
      <c r="O6" s="468"/>
      <c r="P6" s="410"/>
      <c r="Q6" s="411"/>
      <c r="R6" s="417" t="str">
        <f>IF(R3="","","Valor de Producción ($)")</f>
        <v/>
      </c>
      <c r="S6" s="418"/>
    </row>
    <row r="7" spans="1:27" ht="3.75" customHeight="1">
      <c r="A7" s="257"/>
      <c r="B7" s="452"/>
      <c r="C7" s="453"/>
      <c r="D7" s="454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0"/>
      <c r="Q7" s="411"/>
      <c r="R7" s="419" t="str">
        <f ca="1">IFERROR(IF(R3="","",G9*M10),"")</f>
        <v/>
      </c>
      <c r="S7" s="420"/>
    </row>
    <row r="8" spans="1:27" ht="20.25" customHeight="1">
      <c r="A8" s="257"/>
      <c r="B8" s="427">
        <f ca="1">IF('Soli_citud '!D5&lt;= 0,"",'Soli_citud '!D5)</f>
        <v>122397.03171833331</v>
      </c>
      <c r="C8" s="428"/>
      <c r="D8" s="429"/>
      <c r="E8" s="446" t="s">
        <v>75</v>
      </c>
      <c r="F8" s="447"/>
      <c r="G8" s="447"/>
      <c r="H8" s="447"/>
      <c r="I8" s="448"/>
      <c r="J8" s="442" t="str">
        <f>IF('Soli_citud '!E2="","",'Soli_citud '!E2)</f>
        <v>Emely Rivera Delgado</v>
      </c>
      <c r="K8" s="443"/>
      <c r="L8" s="443"/>
      <c r="M8" s="443"/>
      <c r="N8" s="443"/>
      <c r="O8" s="443"/>
      <c r="P8" s="410"/>
      <c r="Q8" s="411"/>
      <c r="R8" s="419"/>
      <c r="S8" s="420"/>
    </row>
    <row r="9" spans="1:27" ht="3.75" customHeight="1">
      <c r="A9" s="257"/>
      <c r="B9" s="430" t="s">
        <v>76</v>
      </c>
      <c r="C9" s="431"/>
      <c r="D9" s="423"/>
      <c r="E9" s="422" t="s">
        <v>77</v>
      </c>
      <c r="F9" s="422"/>
      <c r="G9" s="434" t="str">
        <f ca="1">IFERROR(IF(D9="","",ROUNDUP(B8*(1+D9),-2)),"")</f>
        <v/>
      </c>
      <c r="H9" s="435"/>
      <c r="I9" s="436"/>
      <c r="J9" s="109"/>
      <c r="K9" s="109"/>
      <c r="L9" s="109"/>
      <c r="M9" s="109"/>
      <c r="N9" s="109"/>
      <c r="O9" s="109"/>
      <c r="P9" s="410"/>
      <c r="Q9" s="411"/>
    </row>
    <row r="10" spans="1:27" ht="27.75" customHeight="1" thickBot="1">
      <c r="A10" s="257"/>
      <c r="B10" s="432"/>
      <c r="C10" s="433"/>
      <c r="D10" s="423"/>
      <c r="E10" s="422"/>
      <c r="F10" s="422"/>
      <c r="G10" s="437"/>
      <c r="H10" s="438"/>
      <c r="I10" s="439"/>
      <c r="J10" s="462" t="s">
        <v>78</v>
      </c>
      <c r="K10" s="462"/>
      <c r="L10" s="463"/>
      <c r="M10" s="242">
        <f>'Soli_citud '!K5</f>
        <v>13</v>
      </c>
      <c r="N10" s="444" t="s">
        <v>79</v>
      </c>
      <c r="O10" s="445"/>
      <c r="P10" s="412"/>
      <c r="Q10" s="413"/>
      <c r="R10" s="243" t="s">
        <v>80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4" t="s">
        <v>82</v>
      </c>
      <c r="C11" s="424" t="s">
        <v>83</v>
      </c>
      <c r="D11" s="425"/>
      <c r="E11" s="425"/>
      <c r="F11" s="426"/>
      <c r="G11" s="112" t="s">
        <v>84</v>
      </c>
      <c r="H11" s="112" t="s">
        <v>85</v>
      </c>
      <c r="I11" s="237" t="s">
        <v>86</v>
      </c>
      <c r="J11" s="110" t="s">
        <v>87</v>
      </c>
      <c r="K11" s="223" t="s">
        <v>88</v>
      </c>
      <c r="L11" s="460" t="s">
        <v>23</v>
      </c>
      <c r="M11" s="461"/>
      <c r="N11" s="240" t="s">
        <v>89</v>
      </c>
      <c r="O11" s="240" t="s">
        <v>90</v>
      </c>
      <c r="P11" s="244" t="s">
        <v>91</v>
      </c>
      <c r="Q11" s="245" t="s">
        <v>92</v>
      </c>
      <c r="R11" s="236" t="s">
        <v>93</v>
      </c>
      <c r="S11" s="224" t="s">
        <v>94</v>
      </c>
    </row>
    <row r="12" spans="1:27" ht="19.5" customHeight="1">
      <c r="A12" s="78">
        <v>1</v>
      </c>
      <c r="B12" s="265" t="str">
        <f>IF(H12="","",$N$2)</f>
        <v/>
      </c>
      <c r="C12" s="421" t="str">
        <f>IFERROR(IF('Soli_citud '!D10="","",'Soli_citud '!D10),"")</f>
        <v/>
      </c>
      <c r="D12" s="421"/>
      <c r="E12" s="421"/>
      <c r="F12" s="421"/>
      <c r="G12" s="226" t="str">
        <f ca="1">IF('Soli_citud '!O10="","",'Soli_citud '!O10)</f>
        <v/>
      </c>
      <c r="H12" s="226" t="str" cm="1">
        <f t="array" ref="H12">_xlfn.IFS('Soli_citud '!S10="","",'Soli_citud '!S10&lt;=0,"",'Soli_citud '!S10&gt;0,'Soli_citud '!S10)</f>
        <v/>
      </c>
      <c r="I12" s="227">
        <v>45138</v>
      </c>
      <c r="J12" s="228"/>
      <c r="K12" s="207" t="str" cm="1">
        <f t="array" ref="K12">IFERROR(_xlfn.IFS(H12="","",J12=H12,"Cumplido",J12&lt;H12,H12-J12,J12&gt;H12,"Revisar"),"")</f>
        <v/>
      </c>
      <c r="L12" s="458"/>
      <c r="M12" s="459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/>
      </c>
      <c r="C13" s="421" t="str">
        <f>IFERROR(IF('Soli_citud '!D11="","",'Soli_citud '!D11),"")</f>
        <v/>
      </c>
      <c r="D13" s="421"/>
      <c r="E13" s="421"/>
      <c r="F13" s="421"/>
      <c r="G13" s="226" t="str">
        <f ca="1">IF('Soli_citud '!O11="","",'Soli_citud '!O11)</f>
        <v/>
      </c>
      <c r="H13" s="226" t="str" cm="1">
        <f t="array" ref="H13">_xlfn.IFS('Soli_citud '!S11="","",'Soli_citud '!S11&lt;=0,"",'Soli_citud '!S11&gt;0,'Soli_citud '!S11)</f>
        <v/>
      </c>
      <c r="I13" s="227"/>
      <c r="J13" s="229"/>
      <c r="K13" s="207" t="str" cm="1">
        <f t="array" ref="K13">IFERROR(_xlfn.IFS(H13="","",J13=H13,"Cumplido",J13&lt;H13,H13-J13,J13&gt;H13,"Revisar"),"")</f>
        <v/>
      </c>
      <c r="L13" s="458"/>
      <c r="M13" s="459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21" t="str">
        <f>IFERROR(IF('Soli_citud '!D12="","",'Soli_citud '!D12),"")</f>
        <v/>
      </c>
      <c r="D14" s="421"/>
      <c r="E14" s="421"/>
      <c r="F14" s="421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58"/>
      <c r="M14" s="459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21" t="str">
        <f>IFERROR(IF('Soli_citud '!D13="","",'Soli_citud '!D13),"")</f>
        <v/>
      </c>
      <c r="D15" s="421"/>
      <c r="E15" s="421"/>
      <c r="F15" s="421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58"/>
      <c r="M15" s="459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21" t="str">
        <f>IFERROR(IF('Soli_citud '!D14="","",'Soli_citud '!D14),"")</f>
        <v/>
      </c>
      <c r="D16" s="421"/>
      <c r="E16" s="421"/>
      <c r="F16" s="421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58"/>
      <c r="M16" s="459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ER2407-1</v>
      </c>
      <c r="C17" s="421" t="str">
        <f>IFERROR(IF('Soli_citud '!D15="","",'Soli_citud '!D15),"")</f>
        <v>NOBUCK</v>
      </c>
      <c r="D17" s="421"/>
      <c r="E17" s="421"/>
      <c r="F17" s="421"/>
      <c r="G17" s="226" t="str">
        <f ca="1">IF('Soli_citud '!O15="","",'Soli_citud '!O15)</f>
        <v>dm2</v>
      </c>
      <c r="H17" s="226" cm="1">
        <f t="array" ref="H17">_xlfn.IFS('Soli_citud '!S15="","",'Soli_citud '!S15&lt;=0,"",'Soli_citud '!S15&gt;0,'Soli_citud '!S15)</f>
        <v>828.23</v>
      </c>
      <c r="I17" s="227">
        <v>45138</v>
      </c>
      <c r="J17" s="229">
        <v>828.23</v>
      </c>
      <c r="K17" s="207" t="str" cm="1">
        <f t="array" ref="K17">IFERROR(_xlfn.IFS(H17="","",J17=H17,"Cumplido",J17&lt;H17,H17-J17,J17&gt;H17,"Revisar"),"")</f>
        <v>Cumplido</v>
      </c>
      <c r="L17" s="458"/>
      <c r="M17" s="459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ER2407-1</v>
      </c>
      <c r="C18" s="421" t="str">
        <f>IFERROR(IF('Soli_citud '!D16="","",'Soli_citud '!D16),"")</f>
        <v>CUERO GRASO</v>
      </c>
      <c r="D18" s="421"/>
      <c r="E18" s="421"/>
      <c r="F18" s="421"/>
      <c r="G18" s="226" t="str">
        <f ca="1">IF('Soli_citud '!O16="","",'Soli_citud '!O16)</f>
        <v>dm2</v>
      </c>
      <c r="H18" s="226" cm="1">
        <f t="array" ref="H18">_xlfn.IFS('Soli_citud '!S16="","",'Soli_citud '!S16&lt;=0,"",'Soli_citud '!S16&gt;0,'Soli_citud '!S16)</f>
        <v>317.46000000000004</v>
      </c>
      <c r="I18" s="227">
        <v>45138</v>
      </c>
      <c r="J18" s="229">
        <v>317.45999999999998</v>
      </c>
      <c r="K18" s="207" t="str" cm="1">
        <f t="array" ref="K18">IFERROR(_xlfn.IFS(H18="","",J18=H18,"Cumplido",J18&lt;H18,H18-J18,J18&gt;H18,"Revisar"),"")</f>
        <v>Cumplido</v>
      </c>
      <c r="L18" s="458"/>
      <c r="M18" s="459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ER2407-1</v>
      </c>
      <c r="C19" s="421" t="str">
        <f>IFERROR(IF('Soli_citud '!D17="","",'Soli_citud '!D17),"")</f>
        <v>LONA HURACAN  LAFAYETTE</v>
      </c>
      <c r="D19" s="421"/>
      <c r="E19" s="421"/>
      <c r="F19" s="421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247</v>
      </c>
      <c r="I19" s="227">
        <v>45138</v>
      </c>
      <c r="J19" s="229">
        <v>247</v>
      </c>
      <c r="K19" s="207" t="str" cm="1">
        <f t="array" ref="K19">IFERROR(_xlfn.IFS(H19="","",J19=H19,"Cumplido",J19&lt;H19,H19-J19,J19&gt;H19,"Revisar"),"")</f>
        <v>Cumplido</v>
      </c>
      <c r="L19" s="458"/>
      <c r="M19" s="459"/>
      <c r="N19" s="228">
        <v>140</v>
      </c>
      <c r="O19" s="208">
        <f t="shared" si="0"/>
        <v>1.7642857142857142</v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ER2407-1</v>
      </c>
      <c r="C20" s="421" t="str">
        <f>IFERROR(IF('Soli_citud '!D18="","",'Soli_citud '!D18),"")</f>
        <v>lAMBRILLA 3 mm ( EVA)</v>
      </c>
      <c r="D20" s="421"/>
      <c r="E20" s="421"/>
      <c r="F20" s="421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455</v>
      </c>
      <c r="I20" s="227">
        <v>45138</v>
      </c>
      <c r="J20" s="229">
        <v>455</v>
      </c>
      <c r="K20" s="207" t="str" cm="1">
        <f t="array" ref="K20">IFERROR(_xlfn.IFS(H20="","",J20=H20,"Cumplido",J20&lt;H20,H20-J20,J20&gt;H20,"Revisar"),"")</f>
        <v>Cumplido</v>
      </c>
      <c r="L20" s="458"/>
      <c r="M20" s="459"/>
      <c r="N20" s="228">
        <v>140</v>
      </c>
      <c r="O20" s="208">
        <f t="shared" si="0"/>
        <v>3.25</v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ER2407-1</v>
      </c>
      <c r="C21" s="421" t="str">
        <f>IFERROR(IF('Soli_citud '!D19="","",'Soli_citud '!D19),"")</f>
        <v>SEDA 30-100 O SEDA TIFON</v>
      </c>
      <c r="D21" s="421"/>
      <c r="E21" s="421"/>
      <c r="F21" s="421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201.5</v>
      </c>
      <c r="I21" s="227">
        <v>45138</v>
      </c>
      <c r="J21" s="229">
        <v>201.5</v>
      </c>
      <c r="K21" s="207" t="str" cm="1">
        <f t="array" ref="K21">IFERROR(_xlfn.IFS(H21="","",J21=H21,"Cumplido",J21&lt;H21,H21-J21,J21&gt;H21,"Revisar"),"")</f>
        <v>Cumplido</v>
      </c>
      <c r="L21" s="458"/>
      <c r="M21" s="459"/>
      <c r="N21" s="228">
        <v>140</v>
      </c>
      <c r="O21" s="208">
        <f t="shared" si="0"/>
        <v>1.4392857142857143</v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ER2407-1</v>
      </c>
      <c r="C22" s="421" t="str">
        <f>IFERROR(IF('Soli_citud '!D20="","",'Soli_citud '!D20),"")</f>
        <v xml:space="preserve">CREMALLERA EVERBRIGTH #5
</v>
      </c>
      <c r="D22" s="421"/>
      <c r="E22" s="421"/>
      <c r="F22" s="421"/>
      <c r="G22" s="226" t="str">
        <f ca="1">IF('Soli_citud '!O20="","",'Soli_citud '!O20)</f>
        <v>cm</v>
      </c>
      <c r="H22" s="226" cm="1">
        <f t="array" ref="H22">_xlfn.IFS('Soli_citud '!S20="","",'Soli_citud '!S20&lt;=0,"",'Soli_citud '!S20&gt;0,'Soli_citud '!S20)</f>
        <v>1430</v>
      </c>
      <c r="I22" s="305">
        <v>45146</v>
      </c>
      <c r="J22" s="229">
        <v>1430</v>
      </c>
      <c r="K22" s="207" t="str" cm="1">
        <f t="array" ref="K22">IFERROR(_xlfn.IFS(H22="","",J22=H22,"Cumplido",J22&lt;H22,H22-J22,J22&gt;H22,"Revisar"),"")</f>
        <v>Cumplido</v>
      </c>
      <c r="L22" s="458"/>
      <c r="M22" s="459"/>
      <c r="N22" s="228">
        <v>500</v>
      </c>
      <c r="O22" s="208">
        <f t="shared" si="0"/>
        <v>2.86</v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ER2407-1</v>
      </c>
      <c r="C23" s="421" t="str">
        <f>IFERROR(IF('Soli_citud '!D21="","",'Soli_citud '!D21),"")</f>
        <v xml:space="preserve">LLAVE DESLIZADOR METALICO EVERBRIGHT ORO, PALETA PEQUEÑA </v>
      </c>
      <c r="D23" s="421"/>
      <c r="E23" s="421"/>
      <c r="F23" s="421"/>
      <c r="G23" s="226" t="str">
        <f ca="1">IF('Soli_citud '!O21="","",'Soli_citud '!O21)</f>
        <v>U</v>
      </c>
      <c r="H23" s="226" cm="1">
        <f t="array" ref="H23">_xlfn.IFS('Soli_citud '!S21="","",'Soli_citud '!S21&lt;=0,"",'Soli_citud '!S21&gt;0,'Soli_citud '!S21)</f>
        <v>39</v>
      </c>
      <c r="I23" s="305">
        <v>44993</v>
      </c>
      <c r="J23" s="229">
        <v>14</v>
      </c>
      <c r="K23" s="207" cm="1">
        <f t="array" ref="K23">IFERROR(_xlfn.IFS(H23="","",J23=H23,"Cumplido",J23&lt;H23,H23-J23,J23&gt;H23,"Revisar"),"")</f>
        <v>25</v>
      </c>
      <c r="L23" s="458"/>
      <c r="M23" s="459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ER2407-1</v>
      </c>
      <c r="C24" s="421" t="str">
        <f>IFERROR(IF('Soli_citud '!D22="","",'Soli_citud '!D22),"")</f>
        <v>SALPA 0.5mm</v>
      </c>
      <c r="D24" s="421"/>
      <c r="E24" s="421"/>
      <c r="F24" s="421"/>
      <c r="G24" s="226" t="str">
        <f ca="1">IF('Soli_citud '!O22="","",'Soli_citud '!O22)</f>
        <v>cm2</v>
      </c>
      <c r="H24" s="226" cm="1">
        <f t="array" ref="H24">_xlfn.IFS('Soli_citud '!S22="","",'Soli_citud '!S22&lt;=0,"",'Soli_citud '!S22&gt;0,'Soli_citud '!S22)</f>
        <v>44.46</v>
      </c>
      <c r="I24" s="230"/>
      <c r="J24" s="229"/>
      <c r="K24" s="207" cm="1">
        <f t="array" ref="K24">IFERROR(_xlfn.IFS(H24="","",J24=H24,"Cumplido",J24&lt;H24,H24-J24,J24&gt;H24,"Revisar"),"")</f>
        <v>44.46</v>
      </c>
      <c r="L24" s="458"/>
      <c r="M24" s="459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ER2407-1</v>
      </c>
      <c r="C25" s="421" t="str">
        <f>IFERROR(IF('Soli_citud '!D23="","",'Soli_citud '!D23),"")</f>
        <v>SALPA 0.8mm</v>
      </c>
      <c r="D25" s="421"/>
      <c r="E25" s="421"/>
      <c r="F25" s="421"/>
      <c r="G25" s="226" t="str">
        <f ca="1">IF('Soli_citud '!O23="","",'Soli_citud '!O23)</f>
        <v>cm2</v>
      </c>
      <c r="H25" s="226" cm="1">
        <f t="array" ref="H25">_xlfn.IFS('Soli_citud '!S23="","",'Soli_citud '!S23&lt;=0,"",'Soli_citud '!S23&gt;0,'Soli_citud '!S23)</f>
        <v>104</v>
      </c>
      <c r="I25" s="230"/>
      <c r="J25" s="229"/>
      <c r="K25" s="207" cm="1">
        <f t="array" ref="K25">IFERROR(_xlfn.IFS(H25="","",J25=H25,"Cumplido",J25&lt;H25,H25-J25,J25&gt;H25,"Revisar"),"")</f>
        <v>104</v>
      </c>
      <c r="L25" s="458"/>
      <c r="M25" s="459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>ER2407-1</v>
      </c>
      <c r="C26" s="421" t="str">
        <f>IFERROR(IF('Soli_citud '!D24="","",'Soli_citud '!D24),"")</f>
        <v>MICROFIBRA BASE 0,5 Y 0,7</v>
      </c>
      <c r="D26" s="421"/>
      <c r="E26" s="421"/>
      <c r="F26" s="421"/>
      <c r="G26" s="226" t="str">
        <f ca="1">IF('Soli_citud '!O24="","",'Soli_citud '!O24)</f>
        <v>cm2</v>
      </c>
      <c r="H26" s="226" cm="1">
        <f t="array" ref="H26">_xlfn.IFS('Soli_citud '!S24="","",'Soli_citud '!S24&lt;=0,"",'Soli_citud '!S24&gt;0,'Soli_citud '!S24)</f>
        <v>26</v>
      </c>
      <c r="I26" s="230"/>
      <c r="J26" s="229">
        <v>26</v>
      </c>
      <c r="K26" s="207" t="str" cm="1">
        <f t="array" ref="K26">IFERROR(_xlfn.IFS(H26="","",J26=H26,"Cumplido",J26&lt;H26,H26-J26,J26&gt;H26,"Revisar"),"")</f>
        <v>Cumplido</v>
      </c>
      <c r="L26" s="458"/>
      <c r="M26" s="459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>ER2407-1</v>
      </c>
      <c r="C27" s="421" t="str">
        <f>IFERROR(IF('Soli_citud '!D25="","",'Soli_citud '!D25),"")</f>
        <v>GUATA</v>
      </c>
      <c r="D27" s="421"/>
      <c r="E27" s="421"/>
      <c r="F27" s="421"/>
      <c r="G27" s="226" t="str">
        <f ca="1">IF('Soli_citud '!O25="","",'Soli_citud '!O25)</f>
        <v/>
      </c>
      <c r="H27" s="226" cm="1">
        <f t="array" ref="H27">_xlfn.IFS('Soli_citud '!S25="","",'Soli_citud '!S25&lt;=0,"",'Soli_citud '!S25&gt;0,'Soli_citud '!S25)</f>
        <v>143</v>
      </c>
      <c r="I27" s="230"/>
      <c r="J27" s="229"/>
      <c r="K27" s="207" cm="1">
        <f t="array" ref="K27">IFERROR(_xlfn.IFS(H27="","",J27=H27,"Cumplido",J27&lt;H27,H27-J27,J27&gt;H27,"Revisar"),"")</f>
        <v>143</v>
      </c>
      <c r="L27" s="458"/>
      <c r="M27" s="459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>ER2407-1</v>
      </c>
      <c r="C28" s="421" t="str">
        <f>IFERROR(IF('Soli_citud '!D26="","",'Soli_citud '!D26),"")</f>
        <v xml:space="preserve">TRABILLA 1" ORO </v>
      </c>
      <c r="D28" s="421"/>
      <c r="E28" s="421"/>
      <c r="F28" s="421"/>
      <c r="G28" s="226" t="str">
        <f ca="1">IF('Soli_citud '!O26="","",'Soli_citud '!O26)</f>
        <v>U</v>
      </c>
      <c r="H28" s="226" cm="1">
        <f t="array" ref="H28">_xlfn.IFS('Soli_citud '!S26="","",'Soli_citud '!S26&lt;=0,"",'Soli_citud '!S26&gt;0,'Soli_citud '!S26)</f>
        <v>26</v>
      </c>
      <c r="I28" s="230"/>
      <c r="J28" s="229"/>
      <c r="K28" s="207" cm="1">
        <f t="array" ref="K28">IFERROR(_xlfn.IFS(H28="","",J28=H28,"Cumplido",J28&lt;H28,H28-J28,J28&gt;H28,"Revisar"),"")</f>
        <v>26</v>
      </c>
      <c r="L28" s="458"/>
      <c r="M28" s="459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1" t="str">
        <f>IFERROR(IF('Soli_citud '!D27="","",'Soli_citud '!D27),"")</f>
        <v/>
      </c>
      <c r="D29" s="421"/>
      <c r="E29" s="421"/>
      <c r="F29" s="421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8"/>
      <c r="M29" s="459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1" t="str">
        <f>IFERROR(IF('Soli_citud '!D28="","",'Soli_citud '!D28),"")</f>
        <v/>
      </c>
      <c r="D30" s="421"/>
      <c r="E30" s="421"/>
      <c r="F30" s="421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8"/>
      <c r="M30" s="459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1" t="str">
        <f>IFERROR(IF('Soli_citud '!D29="","",'Soli_citud '!D29),"")</f>
        <v/>
      </c>
      <c r="D31" s="421"/>
      <c r="E31" s="421"/>
      <c r="F31" s="421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8"/>
      <c r="M31" s="459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1" t="str">
        <f>IFERROR(IF('Soli_citud '!D30="","",'Soli_citud '!D30),"")</f>
        <v/>
      </c>
      <c r="D32" s="421"/>
      <c r="E32" s="421"/>
      <c r="F32" s="421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8"/>
      <c r="M32" s="459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2"/>
      <c r="B1" s="482"/>
      <c r="C1" s="482"/>
      <c r="D1" s="482"/>
      <c r="E1" s="487" t="s">
        <v>95</v>
      </c>
      <c r="F1" s="487"/>
      <c r="Z1" s="252" t="s">
        <v>68</v>
      </c>
    </row>
    <row r="2" spans="1:26" ht="18.75" customHeight="1">
      <c r="A2" s="482"/>
      <c r="B2" s="482"/>
      <c r="C2" s="482"/>
      <c r="D2" s="482"/>
      <c r="E2" s="487"/>
      <c r="F2" s="487"/>
    </row>
    <row r="3" spans="1:26" ht="24" customHeight="1">
      <c r="A3" s="482"/>
      <c r="B3" s="482"/>
      <c r="C3" s="482"/>
      <c r="D3" s="482"/>
      <c r="E3" s="488">
        <f>SUM(Total_AdhySol,Total_SECUNDARIO_MEDULAR,Total_Cuero,Total_Herrajes,Total_Sint_y_Tex,Total_Suelas,Total_Herramientas,Total_Ins_Compl)</f>
        <v>862</v>
      </c>
      <c r="F3" s="488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83"/>
      <c r="D6" s="484"/>
      <c r="H6" s="481" t="s">
        <v>97</v>
      </c>
      <c r="I6" s="481"/>
    </row>
    <row r="7" spans="1:26" ht="46.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46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46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46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46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46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46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46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46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46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46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46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46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5" t="s">
        <v>46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30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30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30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9" t="s">
        <v>30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30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30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30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30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30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30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30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30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30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30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30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30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30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30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30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30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30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30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30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30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30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30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30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30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30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30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30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30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30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30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30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30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30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30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30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30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30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30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30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30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30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30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30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30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30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30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30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30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30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30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30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30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30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30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30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30</v>
      </c>
      <c r="D221" s="48" t="s">
        <v>177</v>
      </c>
      <c r="E221" s="43">
        <v>475.34</v>
      </c>
      <c r="F221" s="300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30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30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30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30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30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30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33</v>
      </c>
      <c r="C228" s="219" t="s">
        <v>30</v>
      </c>
      <c r="D228" s="48" t="s">
        <v>244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19" t="s">
        <v>30</v>
      </c>
      <c r="D229" s="48" t="s">
        <v>244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311</v>
      </c>
      <c r="C230" s="219" t="s">
        <v>30</v>
      </c>
      <c r="D230" s="48" t="s">
        <v>244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312</v>
      </c>
      <c r="C231" s="219" t="s">
        <v>30</v>
      </c>
      <c r="D231" s="48" t="s">
        <v>244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9" t="s">
        <v>30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9" t="s">
        <v>30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9" t="s">
        <v>30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9" t="s">
        <v>30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9" t="s">
        <v>30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9" t="s">
        <v>30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9" t="s">
        <v>30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9" t="s">
        <v>30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9" t="s">
        <v>30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9" t="s">
        <v>30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9" t="s">
        <v>30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9" t="s">
        <v>30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9" t="s">
        <v>30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9" t="s">
        <v>30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6" t="s">
        <v>30</v>
      </c>
      <c r="D246" s="48" t="s">
        <v>244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6" t="s">
        <v>30</v>
      </c>
      <c r="D247" s="48" t="s">
        <v>243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6" t="s">
        <v>30</v>
      </c>
      <c r="D248" s="48" t="s">
        <v>114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6" t="s">
        <v>30</v>
      </c>
      <c r="D249" s="48" t="s">
        <v>114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6" t="s">
        <v>30</v>
      </c>
      <c r="D250" s="277" t="s">
        <v>114</v>
      </c>
      <c r="E250" s="141">
        <v>7266.665</v>
      </c>
      <c r="F250" s="278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30</v>
      </c>
      <c r="D251" s="277" t="s">
        <v>243</v>
      </c>
      <c r="E251" s="141">
        <v>5000</v>
      </c>
      <c r="F251" s="278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</v>
      </c>
      <c r="C252" s="276" t="s">
        <v>30</v>
      </c>
      <c r="D252" s="277" t="s">
        <v>244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334</v>
      </c>
      <c r="C253" s="276" t="s">
        <v>30</v>
      </c>
      <c r="D253" s="277" t="s">
        <v>244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335</v>
      </c>
      <c r="C254" s="276" t="s">
        <v>30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336</v>
      </c>
      <c r="C255" s="276" t="s">
        <v>30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337</v>
      </c>
      <c r="C256" s="276" t="s">
        <v>30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338</v>
      </c>
      <c r="C257" s="276" t="s">
        <v>30</v>
      </c>
      <c r="D257" s="277" t="s">
        <v>241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6" t="s">
        <v>30</v>
      </c>
      <c r="D258" s="277" t="s">
        <v>241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340</v>
      </c>
      <c r="C259" s="276" t="s">
        <v>30</v>
      </c>
      <c r="D259" s="277" t="s">
        <v>241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341</v>
      </c>
      <c r="C260" s="276" t="s">
        <v>30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342</v>
      </c>
      <c r="C261" s="276" t="s">
        <v>30</v>
      </c>
      <c r="D261" s="277" t="s">
        <v>209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343</v>
      </c>
      <c r="C262" s="276" t="s">
        <v>30</v>
      </c>
      <c r="D262" s="277" t="s">
        <v>309</v>
      </c>
      <c r="E262" s="141">
        <v>28.18</v>
      </c>
      <c r="F262" s="278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344</v>
      </c>
      <c r="C263" s="276" t="s">
        <v>30</v>
      </c>
      <c r="D263" s="277" t="s">
        <v>309</v>
      </c>
      <c r="E263" s="141">
        <v>2700</v>
      </c>
      <c r="F263" s="278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345</v>
      </c>
      <c r="C264" s="276" t="s">
        <v>30</v>
      </c>
      <c r="D264" s="277" t="s">
        <v>309</v>
      </c>
      <c r="E264" s="141">
        <v>18.53</v>
      </c>
      <c r="F264" s="278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346</v>
      </c>
      <c r="C265" s="276" t="s">
        <v>30</v>
      </c>
      <c r="D265" s="277" t="s">
        <v>244</v>
      </c>
      <c r="E265" s="141">
        <v>1800</v>
      </c>
      <c r="F265" s="278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347</v>
      </c>
      <c r="C266" s="276" t="s">
        <v>30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6" t="s">
        <v>30</v>
      </c>
      <c r="D267" s="277" t="s">
        <v>309</v>
      </c>
      <c r="E267" s="141">
        <v>18.53</v>
      </c>
      <c r="F267" s="278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6" t="s">
        <v>30</v>
      </c>
      <c r="D268" s="277" t="s">
        <v>309</v>
      </c>
      <c r="E268" s="141">
        <v>22.8</v>
      </c>
      <c r="F268" s="278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6" t="s">
        <v>30</v>
      </c>
      <c r="D269" s="277" t="s">
        <v>309</v>
      </c>
      <c r="E269" s="141">
        <v>22.8</v>
      </c>
      <c r="F269" s="278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6" t="s">
        <v>30</v>
      </c>
      <c r="D270" s="277" t="s">
        <v>309</v>
      </c>
      <c r="E270" s="141">
        <v>14.73</v>
      </c>
      <c r="F270" s="278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6" t="s">
        <v>30</v>
      </c>
      <c r="D271" s="277" t="s">
        <v>309</v>
      </c>
      <c r="E271" s="141">
        <v>14.73</v>
      </c>
      <c r="F271" s="278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6" t="s">
        <v>30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6" t="s">
        <v>30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6" t="s">
        <v>30</v>
      </c>
      <c r="D274" s="277" t="s">
        <v>244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</v>
      </c>
      <c r="C275" s="276" t="s">
        <v>30</v>
      </c>
      <c r="D275" s="277" t="s">
        <v>244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37</v>
      </c>
      <c r="C276" s="276" t="s">
        <v>30</v>
      </c>
      <c r="D276" s="277" t="s">
        <v>244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6" t="s">
        <v>30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6" t="s">
        <v>30</v>
      </c>
      <c r="D278" s="277" t="s">
        <v>241</v>
      </c>
      <c r="E278" s="141"/>
      <c r="F278" s="278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6" t="s">
        <v>30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6" t="s">
        <v>30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6" t="s">
        <v>30</v>
      </c>
      <c r="D281" s="277" t="s">
        <v>361</v>
      </c>
      <c r="E281" s="141"/>
      <c r="F281" s="277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6" t="s">
        <v>30</v>
      </c>
      <c r="D282" s="277" t="s">
        <v>219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6" t="s">
        <v>30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6" t="s">
        <v>30</v>
      </c>
      <c r="D284" s="277" t="s">
        <v>243</v>
      </c>
      <c r="E284" s="141">
        <v>700</v>
      </c>
      <c r="F284" s="278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6" t="s">
        <v>30</v>
      </c>
      <c r="D285" s="277" t="s">
        <v>243</v>
      </c>
      <c r="E285" s="141">
        <v>1100</v>
      </c>
      <c r="F285" s="278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6" t="s">
        <v>30</v>
      </c>
      <c r="D286" s="277" t="s">
        <v>309</v>
      </c>
      <c r="E286" s="141">
        <v>1000</v>
      </c>
      <c r="F286" s="278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6" t="s">
        <v>30</v>
      </c>
      <c r="D287" s="277" t="s">
        <v>244</v>
      </c>
      <c r="E287" s="141">
        <v>700</v>
      </c>
      <c r="F287" s="278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6" t="s">
        <v>30</v>
      </c>
      <c r="D288" s="48" t="s">
        <v>244</v>
      </c>
      <c r="E288" s="166">
        <v>84</v>
      </c>
      <c r="F288" s="278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369</v>
      </c>
      <c r="C289" s="276" t="s">
        <v>30</v>
      </c>
      <c r="D289" s="277" t="s">
        <v>244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9"/>
      <c r="D514" s="489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370</v>
      </c>
      <c r="C516" s="219" t="s">
        <v>25</v>
      </c>
      <c r="D516" s="48" t="s">
        <v>371</v>
      </c>
      <c r="E516" s="43">
        <v>380</v>
      </c>
      <c r="F516" s="188" t="s">
        <v>371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372</v>
      </c>
      <c r="C517" s="219" t="s">
        <v>25</v>
      </c>
      <c r="D517" s="50" t="s">
        <v>371</v>
      </c>
      <c r="E517" s="52">
        <v>848.47</v>
      </c>
      <c r="F517" s="51" t="s">
        <v>371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373</v>
      </c>
      <c r="C518" s="219" t="s">
        <v>25</v>
      </c>
      <c r="D518" s="50" t="s">
        <v>371</v>
      </c>
      <c r="E518" s="43">
        <v>815</v>
      </c>
      <c r="F518" s="188" t="s">
        <v>371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374</v>
      </c>
      <c r="C519" s="219" t="s">
        <v>25</v>
      </c>
      <c r="D519" s="50" t="s">
        <v>371</v>
      </c>
      <c r="E519" s="43">
        <v>623.66666666666663</v>
      </c>
      <c r="F519" s="188" t="s">
        <v>371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375</v>
      </c>
      <c r="C520" s="219" t="s">
        <v>25</v>
      </c>
      <c r="D520" s="48" t="s">
        <v>371</v>
      </c>
      <c r="E520" s="43">
        <v>698.53</v>
      </c>
      <c r="F520" s="188" t="s">
        <v>371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376</v>
      </c>
      <c r="C521" s="219" t="s">
        <v>25</v>
      </c>
      <c r="D521" s="48" t="s">
        <v>371</v>
      </c>
      <c r="E521" s="43">
        <v>390.66666666666669</v>
      </c>
      <c r="F521" s="188" t="s">
        <v>371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377</v>
      </c>
      <c r="C522" s="219" t="s">
        <v>25</v>
      </c>
      <c r="D522" s="48" t="s">
        <v>371</v>
      </c>
      <c r="E522" s="43">
        <v>477.19</v>
      </c>
      <c r="F522" s="51" t="s">
        <v>371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27</v>
      </c>
      <c r="C523" s="219" t="s">
        <v>25</v>
      </c>
      <c r="D523" s="48" t="s">
        <v>371</v>
      </c>
      <c r="E523" s="43">
        <v>998.41</v>
      </c>
      <c r="F523" s="188" t="s">
        <v>371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25</v>
      </c>
      <c r="D524" s="48" t="s">
        <v>371</v>
      </c>
      <c r="E524" s="43">
        <v>898.44999999999993</v>
      </c>
      <c r="F524" s="188" t="s">
        <v>371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25</v>
      </c>
      <c r="D525" s="215" t="s">
        <v>371</v>
      </c>
      <c r="E525" s="217">
        <v>1500</v>
      </c>
      <c r="F525" s="174" t="s">
        <v>371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25</v>
      </c>
      <c r="D526" s="48" t="s">
        <v>371</v>
      </c>
      <c r="E526" s="216">
        <v>53371.5</v>
      </c>
      <c r="F526" s="51" t="s">
        <v>371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25</v>
      </c>
      <c r="D527" s="48" t="s">
        <v>371</v>
      </c>
      <c r="E527" s="43">
        <v>897.26</v>
      </c>
      <c r="F527" s="188" t="s">
        <v>371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25</v>
      </c>
      <c r="D528" s="53" t="s">
        <v>371</v>
      </c>
      <c r="E528" s="43">
        <v>1673.3335</v>
      </c>
      <c r="F528" s="188" t="s">
        <v>371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25</v>
      </c>
      <c r="D529" s="50" t="s">
        <v>371</v>
      </c>
      <c r="E529" s="45">
        <v>250</v>
      </c>
      <c r="F529" s="51" t="s">
        <v>371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25</v>
      </c>
      <c r="D530" s="50" t="s">
        <v>371</v>
      </c>
      <c r="E530" s="52">
        <v>898.45</v>
      </c>
      <c r="F530" s="51" t="s">
        <v>371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25</v>
      </c>
      <c r="D531" s="50" t="s">
        <v>371</v>
      </c>
      <c r="E531" s="52">
        <v>898.45</v>
      </c>
      <c r="F531" s="51" t="s">
        <v>371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25</v>
      </c>
      <c r="D532" s="214" t="s">
        <v>371</v>
      </c>
      <c r="E532" s="145">
        <v>549.78</v>
      </c>
      <c r="F532" s="51" t="s">
        <v>371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25</v>
      </c>
      <c r="D533" s="214" t="s">
        <v>371</v>
      </c>
      <c r="E533" s="218">
        <v>357</v>
      </c>
      <c r="F533" s="51" t="s">
        <v>371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25</v>
      </c>
      <c r="D534" s="214" t="s">
        <v>371</v>
      </c>
      <c r="E534" s="145">
        <v>998.41</v>
      </c>
      <c r="F534" s="51" t="s">
        <v>371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25</v>
      </c>
      <c r="D535" s="144" t="s">
        <v>371</v>
      </c>
      <c r="E535" s="145">
        <v>898.45</v>
      </c>
      <c r="F535" s="54" t="s">
        <v>371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26</v>
      </c>
      <c r="C536" s="219" t="s">
        <v>25</v>
      </c>
      <c r="D536" s="172" t="s">
        <v>371</v>
      </c>
      <c r="E536" s="173">
        <v>1200</v>
      </c>
      <c r="F536" s="174" t="s">
        <v>371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390</v>
      </c>
      <c r="C537" s="219" t="s">
        <v>25</v>
      </c>
      <c r="D537" s="144" t="s">
        <v>371</v>
      </c>
      <c r="E537" s="141">
        <v>1217</v>
      </c>
      <c r="F537" s="188" t="s">
        <v>371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391</v>
      </c>
      <c r="C538" s="219" t="s">
        <v>25</v>
      </c>
      <c r="D538" s="144" t="s">
        <v>371</v>
      </c>
      <c r="E538" s="145">
        <v>759.22</v>
      </c>
      <c r="F538" s="51" t="s">
        <v>371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90"/>
      <c r="D560" s="491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392</v>
      </c>
      <c r="C562" s="219" t="s">
        <v>34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393</v>
      </c>
      <c r="C563" s="219" t="s">
        <v>34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394</v>
      </c>
      <c r="C564" s="219" t="s">
        <v>34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395</v>
      </c>
      <c r="C565" s="219" t="s">
        <v>34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396</v>
      </c>
      <c r="C566" s="219" t="s">
        <v>34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397</v>
      </c>
      <c r="C567" s="219" t="s">
        <v>34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398</v>
      </c>
      <c r="C568" s="219" t="s">
        <v>34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399</v>
      </c>
      <c r="C569" s="219" t="s">
        <v>34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400</v>
      </c>
      <c r="C570" s="219" t="s">
        <v>34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401</v>
      </c>
      <c r="C571" s="219" t="s">
        <v>34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402</v>
      </c>
      <c r="C572" s="219" t="s">
        <v>34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403</v>
      </c>
      <c r="C573" s="219" t="s">
        <v>34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404</v>
      </c>
      <c r="C574" s="219" t="s">
        <v>34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405</v>
      </c>
      <c r="C575" s="219" t="s">
        <v>34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406</v>
      </c>
      <c r="C576" s="219" t="s">
        <v>34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407</v>
      </c>
      <c r="C577" s="219" t="s">
        <v>34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408</v>
      </c>
      <c r="C578" s="219" t="s">
        <v>34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409</v>
      </c>
      <c r="C579" s="219" t="s">
        <v>34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410</v>
      </c>
      <c r="C580" s="219" t="s">
        <v>34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411</v>
      </c>
      <c r="C581" s="219" t="s">
        <v>34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412</v>
      </c>
      <c r="C582" s="219" t="s">
        <v>34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413</v>
      </c>
      <c r="C583" s="219" t="s">
        <v>34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414</v>
      </c>
      <c r="C584" s="219" t="s">
        <v>34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415</v>
      </c>
      <c r="C585" s="219" t="s">
        <v>34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416</v>
      </c>
      <c r="C586" s="219" t="s">
        <v>34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417</v>
      </c>
      <c r="C587" s="219" t="s">
        <v>34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418</v>
      </c>
      <c r="C588" s="219" t="s">
        <v>34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419</v>
      </c>
      <c r="C589" s="219" t="s">
        <v>34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420</v>
      </c>
      <c r="C590" s="219" t="s">
        <v>34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421</v>
      </c>
      <c r="C591" s="219" t="s">
        <v>34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422</v>
      </c>
      <c r="C592" s="219" t="s">
        <v>34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423</v>
      </c>
      <c r="C593" s="219" t="s">
        <v>34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424</v>
      </c>
      <c r="C594" s="219" t="s">
        <v>34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425</v>
      </c>
      <c r="C595" s="219" t="s">
        <v>34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426</v>
      </c>
      <c r="C596" s="219" t="s">
        <v>34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427</v>
      </c>
      <c r="C597" s="219" t="s">
        <v>34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428</v>
      </c>
      <c r="C598" s="219" t="s">
        <v>34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429</v>
      </c>
      <c r="C599" s="219" t="s">
        <v>34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430</v>
      </c>
      <c r="C600" s="219" t="s">
        <v>34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431</v>
      </c>
      <c r="C601" s="219" t="s">
        <v>34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432</v>
      </c>
      <c r="C602" s="219" t="s">
        <v>34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433</v>
      </c>
      <c r="C603" s="219" t="s">
        <v>34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434</v>
      </c>
      <c r="C604" s="219" t="s">
        <v>34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435</v>
      </c>
      <c r="C605" s="219" t="s">
        <v>34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436</v>
      </c>
      <c r="C606" s="219" t="s">
        <v>34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437</v>
      </c>
      <c r="C607" s="219" t="s">
        <v>34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438</v>
      </c>
      <c r="C608" s="219" t="s">
        <v>34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439</v>
      </c>
      <c r="C609" s="219" t="s">
        <v>34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440</v>
      </c>
      <c r="C610" s="219" t="s">
        <v>34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441</v>
      </c>
      <c r="C611" s="219" t="s">
        <v>34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442</v>
      </c>
      <c r="C612" s="219" t="s">
        <v>34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443</v>
      </c>
      <c r="C613" s="219" t="s">
        <v>34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444</v>
      </c>
      <c r="C614" s="219" t="s">
        <v>34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445</v>
      </c>
      <c r="C615" s="219" t="s">
        <v>34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446</v>
      </c>
      <c r="C616" s="219" t="s">
        <v>34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447</v>
      </c>
      <c r="C617" s="219" t="s">
        <v>34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448</v>
      </c>
      <c r="C618" s="219" t="s">
        <v>34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449</v>
      </c>
      <c r="C619" s="219" t="s">
        <v>34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450</v>
      </c>
      <c r="C620" s="219" t="s">
        <v>34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451</v>
      </c>
      <c r="C621" s="219" t="s">
        <v>34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452</v>
      </c>
      <c r="C622" s="219" t="s">
        <v>34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453</v>
      </c>
      <c r="C623" s="219" t="s">
        <v>34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454</v>
      </c>
      <c r="C624" s="219" t="s">
        <v>34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455</v>
      </c>
      <c r="C625" s="219" t="s">
        <v>34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456</v>
      </c>
      <c r="C626" s="219" t="s">
        <v>34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457</v>
      </c>
      <c r="C627" s="219" t="s">
        <v>34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458</v>
      </c>
      <c r="C628" s="219" t="s">
        <v>34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459</v>
      </c>
      <c r="C629" s="219" t="s">
        <v>34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460</v>
      </c>
      <c r="C630" s="219" t="s">
        <v>34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461</v>
      </c>
      <c r="C631" s="219" t="s">
        <v>34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462</v>
      </c>
      <c r="C632" s="219" t="s">
        <v>34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463</v>
      </c>
      <c r="C633" s="219" t="s">
        <v>34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464</v>
      </c>
      <c r="C634" s="219" t="s">
        <v>34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465</v>
      </c>
      <c r="C635" s="219" t="s">
        <v>34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466</v>
      </c>
      <c r="C636" s="219" t="s">
        <v>34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467</v>
      </c>
      <c r="C637" s="219" t="s">
        <v>34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468</v>
      </c>
      <c r="C638" s="219" t="s">
        <v>34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469</v>
      </c>
      <c r="C639" s="219" t="s">
        <v>34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470</v>
      </c>
      <c r="C640" s="219" t="s">
        <v>34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471</v>
      </c>
      <c r="C641" s="219" t="s">
        <v>34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472</v>
      </c>
      <c r="C642" s="219" t="s">
        <v>34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473</v>
      </c>
      <c r="C643" s="219" t="s">
        <v>34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474</v>
      </c>
      <c r="C644" s="219" t="s">
        <v>34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475</v>
      </c>
      <c r="C645" s="219" t="s">
        <v>34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476</v>
      </c>
      <c r="C646" s="219" t="s">
        <v>34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477</v>
      </c>
      <c r="C647" s="219" t="s">
        <v>34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478</v>
      </c>
      <c r="C648" s="219" t="s">
        <v>34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479</v>
      </c>
      <c r="C649" s="219" t="s">
        <v>34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480</v>
      </c>
      <c r="C650" s="219" t="s">
        <v>34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481</v>
      </c>
      <c r="C651" s="219" t="s">
        <v>34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482</v>
      </c>
      <c r="C652" s="219" t="s">
        <v>34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483</v>
      </c>
      <c r="C653" s="219" t="s">
        <v>34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484</v>
      </c>
      <c r="C654" s="219" t="s">
        <v>34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485</v>
      </c>
      <c r="C655" s="219" t="s">
        <v>34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486</v>
      </c>
      <c r="C656" s="219" t="s">
        <v>34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487</v>
      </c>
      <c r="C657" s="219" t="s">
        <v>34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488</v>
      </c>
      <c r="C658" s="219" t="s">
        <v>34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489</v>
      </c>
      <c r="C659" s="219" t="s">
        <v>34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490</v>
      </c>
      <c r="C660" s="219" t="s">
        <v>34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491</v>
      </c>
      <c r="C661" s="219" t="s">
        <v>34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492</v>
      </c>
      <c r="C662" s="219" t="s">
        <v>34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493</v>
      </c>
      <c r="C663" s="219" t="s">
        <v>34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494</v>
      </c>
      <c r="C664" s="219" t="s">
        <v>34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495</v>
      </c>
      <c r="C665" s="219" t="s">
        <v>34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496</v>
      </c>
      <c r="C666" s="219" t="s">
        <v>34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497</v>
      </c>
      <c r="C667" s="219" t="s">
        <v>34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498</v>
      </c>
      <c r="C668" s="219" t="s">
        <v>34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499</v>
      </c>
      <c r="C669" s="219" t="s">
        <v>34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500</v>
      </c>
      <c r="C670" s="219" t="s">
        <v>34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501</v>
      </c>
      <c r="C671" s="219" t="s">
        <v>34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502</v>
      </c>
      <c r="C672" s="219" t="s">
        <v>34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503</v>
      </c>
      <c r="C673" s="219" t="s">
        <v>34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504</v>
      </c>
      <c r="C674" s="219" t="s">
        <v>34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505</v>
      </c>
      <c r="C675" s="219" t="s">
        <v>34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506</v>
      </c>
      <c r="C676" s="219" t="s">
        <v>34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507</v>
      </c>
      <c r="C677" s="219" t="s">
        <v>34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508</v>
      </c>
      <c r="C678" s="219" t="s">
        <v>34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509</v>
      </c>
      <c r="C679" s="219" t="s">
        <v>34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510</v>
      </c>
      <c r="C680" s="219" t="s">
        <v>34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511</v>
      </c>
      <c r="C681" s="219" t="s">
        <v>34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512</v>
      </c>
      <c r="C682" s="219" t="s">
        <v>34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513</v>
      </c>
      <c r="C683" s="219" t="s">
        <v>34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514</v>
      </c>
      <c r="C684" s="219" t="s">
        <v>34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515</v>
      </c>
      <c r="C685" s="219" t="s">
        <v>34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516</v>
      </c>
      <c r="C686" s="219" t="s">
        <v>34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517</v>
      </c>
      <c r="C687" s="219" t="s">
        <v>34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518</v>
      </c>
      <c r="C688" s="219" t="s">
        <v>34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519</v>
      </c>
      <c r="C689" s="219" t="s">
        <v>34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520</v>
      </c>
      <c r="C690" s="219" t="s">
        <v>34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521</v>
      </c>
      <c r="C691" s="219" t="s">
        <v>34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522</v>
      </c>
      <c r="C692" s="219" t="s">
        <v>34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523</v>
      </c>
      <c r="C693" s="219" t="s">
        <v>34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524</v>
      </c>
      <c r="C694" s="219" t="s">
        <v>34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525</v>
      </c>
      <c r="C695" s="219" t="s">
        <v>34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526</v>
      </c>
      <c r="C696" s="219" t="s">
        <v>34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527</v>
      </c>
      <c r="C697" s="219" t="s">
        <v>34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528</v>
      </c>
      <c r="C698" s="219" t="s">
        <v>34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529</v>
      </c>
      <c r="C699" s="219" t="s">
        <v>34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530</v>
      </c>
      <c r="C700" s="219" t="s">
        <v>34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531</v>
      </c>
      <c r="C701" s="219" t="s">
        <v>34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532</v>
      </c>
      <c r="C702" s="219" t="s">
        <v>34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533</v>
      </c>
      <c r="C703" s="219" t="s">
        <v>34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534</v>
      </c>
      <c r="C704" s="219" t="s">
        <v>34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535</v>
      </c>
      <c r="C705" s="219" t="s">
        <v>34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536</v>
      </c>
      <c r="C706" s="219" t="s">
        <v>34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537</v>
      </c>
      <c r="C707" s="219" t="s">
        <v>34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538</v>
      </c>
      <c r="C708" s="219" t="s">
        <v>34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539</v>
      </c>
      <c r="C709" s="219" t="s">
        <v>34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540</v>
      </c>
      <c r="C710" s="219" t="s">
        <v>34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541</v>
      </c>
      <c r="C711" s="219" t="s">
        <v>34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542</v>
      </c>
      <c r="C712" s="219" t="s">
        <v>34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543</v>
      </c>
      <c r="C713" s="219" t="s">
        <v>34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544</v>
      </c>
      <c r="C714" s="219" t="s">
        <v>34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545</v>
      </c>
      <c r="C715" s="219" t="s">
        <v>34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546</v>
      </c>
      <c r="C716" s="219" t="s">
        <v>34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547</v>
      </c>
      <c r="C717" s="219" t="s">
        <v>34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548</v>
      </c>
      <c r="C718" s="219" t="s">
        <v>34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549</v>
      </c>
      <c r="C719" s="219" t="s">
        <v>34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550</v>
      </c>
      <c r="C720" s="219" t="s">
        <v>34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551</v>
      </c>
      <c r="C721" s="219" t="s">
        <v>34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552</v>
      </c>
      <c r="C722" s="219" t="s">
        <v>34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553</v>
      </c>
      <c r="C723" s="219" t="s">
        <v>34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554</v>
      </c>
      <c r="C724" s="219" t="s">
        <v>34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555</v>
      </c>
      <c r="C725" s="219" t="s">
        <v>34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556</v>
      </c>
      <c r="C726" s="219" t="s">
        <v>34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557</v>
      </c>
      <c r="C727" s="219" t="s">
        <v>34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558</v>
      </c>
      <c r="C728" s="219" t="s">
        <v>34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559</v>
      </c>
      <c r="C729" s="219" t="s">
        <v>34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560</v>
      </c>
      <c r="C730" s="219" t="s">
        <v>34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561</v>
      </c>
      <c r="C731" s="219" t="s">
        <v>34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562</v>
      </c>
      <c r="C732" s="219" t="s">
        <v>34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563</v>
      </c>
      <c r="C733" s="219" t="s">
        <v>34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564</v>
      </c>
      <c r="C734" s="219" t="s">
        <v>34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565</v>
      </c>
      <c r="C735" s="219" t="s">
        <v>34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566</v>
      </c>
      <c r="C736" s="219" t="s">
        <v>34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567</v>
      </c>
      <c r="C737" s="219" t="s">
        <v>34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568</v>
      </c>
      <c r="C738" s="219" t="s">
        <v>34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569</v>
      </c>
      <c r="C739" s="219" t="s">
        <v>34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570</v>
      </c>
      <c r="C740" s="219" t="s">
        <v>34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571</v>
      </c>
      <c r="C741" s="219" t="s">
        <v>34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572</v>
      </c>
      <c r="C742" s="219" t="s">
        <v>34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573</v>
      </c>
      <c r="C743" s="219" t="s">
        <v>34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574</v>
      </c>
      <c r="C744" s="219" t="s">
        <v>34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575</v>
      </c>
      <c r="C745" s="219" t="s">
        <v>34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576</v>
      </c>
      <c r="C746" s="219" t="s">
        <v>34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577</v>
      </c>
      <c r="C747" s="219" t="s">
        <v>34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578</v>
      </c>
      <c r="C748" s="219" t="s">
        <v>34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579</v>
      </c>
      <c r="C749" s="219" t="s">
        <v>34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580</v>
      </c>
      <c r="C750" s="219" t="s">
        <v>34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581</v>
      </c>
      <c r="C751" s="219" t="s">
        <v>34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582</v>
      </c>
      <c r="C752" s="219" t="s">
        <v>34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583</v>
      </c>
      <c r="C753" s="219" t="s">
        <v>34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584</v>
      </c>
      <c r="C754" s="219" t="s">
        <v>34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585</v>
      </c>
      <c r="C755" s="219" t="s">
        <v>34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586</v>
      </c>
      <c r="C756" s="219" t="s">
        <v>34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587</v>
      </c>
      <c r="C757" s="219" t="s">
        <v>34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588</v>
      </c>
      <c r="C758" s="219" t="s">
        <v>34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589</v>
      </c>
      <c r="C759" s="219" t="s">
        <v>34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590</v>
      </c>
      <c r="C760" s="219" t="s">
        <v>34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591</v>
      </c>
      <c r="C761" s="219" t="s">
        <v>34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592</v>
      </c>
      <c r="C762" s="219" t="s">
        <v>34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593</v>
      </c>
      <c r="C763" s="219" t="s">
        <v>34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594</v>
      </c>
      <c r="C764" s="219" t="s">
        <v>34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595</v>
      </c>
      <c r="C765" s="219" t="s">
        <v>34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596</v>
      </c>
      <c r="C766" s="219" t="s">
        <v>34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597</v>
      </c>
      <c r="C767" s="219" t="s">
        <v>34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598</v>
      </c>
      <c r="C768" s="219" t="s">
        <v>34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599</v>
      </c>
      <c r="C769" s="219" t="s">
        <v>34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600</v>
      </c>
      <c r="C770" s="219" t="s">
        <v>34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601</v>
      </c>
      <c r="C771" s="219" t="s">
        <v>34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602</v>
      </c>
      <c r="C772" s="219" t="s">
        <v>34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603</v>
      </c>
      <c r="C773" s="219" t="s">
        <v>34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604</v>
      </c>
      <c r="C774" s="219" t="s">
        <v>34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605</v>
      </c>
      <c r="C775" s="219" t="s">
        <v>34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606</v>
      </c>
      <c r="C776" s="219" t="s">
        <v>34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607</v>
      </c>
      <c r="C777" s="219" t="s">
        <v>34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608</v>
      </c>
      <c r="C778" s="219" t="s">
        <v>34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609</v>
      </c>
      <c r="C779" s="219" t="s">
        <v>34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610</v>
      </c>
      <c r="C780" s="219" t="s">
        <v>34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611</v>
      </c>
      <c r="C781" s="219" t="s">
        <v>34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612</v>
      </c>
      <c r="C782" s="219" t="s">
        <v>34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613</v>
      </c>
      <c r="C783" s="219" t="s">
        <v>34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35</v>
      </c>
      <c r="C784" s="219" t="s">
        <v>34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614</v>
      </c>
      <c r="C785" s="219" t="s">
        <v>34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615</v>
      </c>
      <c r="C786" s="219" t="s">
        <v>34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616</v>
      </c>
      <c r="C787" s="219" t="s">
        <v>34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617</v>
      </c>
      <c r="C788" s="219" t="s">
        <v>34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618</v>
      </c>
      <c r="C789" s="219" t="s">
        <v>34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619</v>
      </c>
      <c r="C790" s="219" t="s">
        <v>34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620</v>
      </c>
      <c r="C791" s="219" t="s">
        <v>34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621</v>
      </c>
      <c r="C792" s="219" t="s">
        <v>34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622</v>
      </c>
      <c r="C793" s="219" t="s">
        <v>34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623</v>
      </c>
      <c r="C794" s="219" t="s">
        <v>34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624</v>
      </c>
      <c r="C795" s="219" t="s">
        <v>34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625</v>
      </c>
      <c r="C796" s="219" t="s">
        <v>34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626</v>
      </c>
      <c r="C797" s="219" t="s">
        <v>34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627</v>
      </c>
      <c r="C798" s="219" t="s">
        <v>34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628</v>
      </c>
      <c r="C799" s="219" t="s">
        <v>34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629</v>
      </c>
      <c r="C800" s="219" t="s">
        <v>34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630</v>
      </c>
      <c r="C801" s="219" t="s">
        <v>34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631</v>
      </c>
      <c r="C802" s="219" t="s">
        <v>34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632</v>
      </c>
      <c r="C803" s="219" t="s">
        <v>34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633</v>
      </c>
      <c r="C804" s="219" t="s">
        <v>34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634</v>
      </c>
      <c r="C805" s="219" t="s">
        <v>34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635</v>
      </c>
      <c r="C806" s="219" t="s">
        <v>34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636</v>
      </c>
      <c r="C807" s="219" t="s">
        <v>34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637</v>
      </c>
      <c r="C808" s="219" t="s">
        <v>34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638</v>
      </c>
      <c r="C809" s="219" t="s">
        <v>34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639</v>
      </c>
      <c r="C810" s="219" t="s">
        <v>34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640</v>
      </c>
      <c r="C811" s="219" t="s">
        <v>34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641</v>
      </c>
      <c r="C812" s="219" t="s">
        <v>34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642</v>
      </c>
      <c r="C813" s="219" t="s">
        <v>34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6">
      <c r="A814" s="41">
        <f t="shared" si="26"/>
        <v>253</v>
      </c>
      <c r="B814" s="168" t="s">
        <v>643</v>
      </c>
      <c r="C814" s="219" t="s">
        <v>34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644</v>
      </c>
      <c r="C815" s="219" t="s">
        <v>34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645</v>
      </c>
      <c r="C816" s="219" t="s">
        <v>34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36" t="s">
        <v>646</v>
      </c>
      <c r="C817" s="219" t="s">
        <v>34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168" t="s">
        <v>647</v>
      </c>
      <c r="C818" s="219" t="s">
        <v>34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5" si="28">A818+1</f>
        <v>258</v>
      </c>
      <c r="B819" s="168" t="s">
        <v>648</v>
      </c>
      <c r="C819" s="219" t="s">
        <v>34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649</v>
      </c>
      <c r="C820" s="219" t="s">
        <v>34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9.1">
      <c r="A821" s="41">
        <f t="shared" si="28"/>
        <v>260</v>
      </c>
      <c r="B821" s="36" t="s">
        <v>650</v>
      </c>
      <c r="C821" s="219" t="s">
        <v>34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651</v>
      </c>
      <c r="C822" s="219" t="s">
        <v>34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652</v>
      </c>
      <c r="C823" s="219" t="s">
        <v>34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6">
      <c r="A824" s="41">
        <f t="shared" si="28"/>
        <v>263</v>
      </c>
      <c r="B824" s="36" t="s">
        <v>653</v>
      </c>
      <c r="C824" s="219" t="s">
        <v>34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654</v>
      </c>
      <c r="C825" s="219" t="s">
        <v>34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655</v>
      </c>
      <c r="C826" s="219" t="s">
        <v>34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656</v>
      </c>
      <c r="C827" s="219" t="s">
        <v>34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6">
      <c r="A828" s="41">
        <f t="shared" si="28"/>
        <v>267</v>
      </c>
      <c r="B828" s="36" t="s">
        <v>657</v>
      </c>
      <c r="C828" s="219" t="s">
        <v>34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658</v>
      </c>
      <c r="C829" s="219" t="s">
        <v>34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659</v>
      </c>
      <c r="C830" s="219" t="s">
        <v>34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660</v>
      </c>
      <c r="C831" s="219" t="s">
        <v>34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661</v>
      </c>
      <c r="C832" s="219" t="s">
        <v>34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662</v>
      </c>
      <c r="C833" s="219" t="s">
        <v>34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6">
      <c r="A834" s="41">
        <f t="shared" si="28"/>
        <v>273</v>
      </c>
      <c r="B834" s="36" t="s">
        <v>663</v>
      </c>
      <c r="C834" s="219" t="s">
        <v>34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664</v>
      </c>
      <c r="C835" s="219" t="s">
        <v>34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665</v>
      </c>
      <c r="C836" s="219" t="s">
        <v>34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666</v>
      </c>
      <c r="C837" s="219" t="s">
        <v>34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667</v>
      </c>
      <c r="C838" s="219" t="s">
        <v>34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168" t="s">
        <v>668</v>
      </c>
      <c r="C839" s="219" t="s">
        <v>34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669</v>
      </c>
      <c r="C840" s="219" t="s">
        <v>34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670</v>
      </c>
      <c r="C841" s="219" t="s">
        <v>34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671</v>
      </c>
      <c r="C842" s="219" t="s">
        <v>34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672</v>
      </c>
      <c r="C843" s="219" t="s">
        <v>34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6">
      <c r="A844" s="41">
        <f t="shared" si="28"/>
        <v>283</v>
      </c>
      <c r="B844" s="36" t="s">
        <v>673</v>
      </c>
      <c r="C844" s="219" t="s">
        <v>34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674</v>
      </c>
      <c r="C845" s="219" t="s">
        <v>34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675</v>
      </c>
      <c r="C846" s="219" t="s">
        <v>34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6">
      <c r="A847" s="41">
        <f t="shared" si="28"/>
        <v>286</v>
      </c>
      <c r="B847" s="168" t="s">
        <v>676</v>
      </c>
      <c r="C847" s="219" t="s">
        <v>34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677</v>
      </c>
      <c r="C848" s="219" t="s">
        <v>34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678</v>
      </c>
      <c r="C849" s="219" t="s">
        <v>34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679</v>
      </c>
      <c r="C850" s="219" t="s">
        <v>34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680</v>
      </c>
      <c r="C851" s="219" t="s">
        <v>34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681</v>
      </c>
      <c r="C852" s="219" t="s">
        <v>34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6">
      <c r="A853" s="41">
        <f t="shared" si="28"/>
        <v>292</v>
      </c>
      <c r="B853" s="36" t="s">
        <v>682</v>
      </c>
      <c r="C853" s="219" t="s">
        <v>34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683</v>
      </c>
      <c r="C854" s="219" t="s">
        <v>34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684</v>
      </c>
      <c r="C855" s="219" t="s">
        <v>34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685</v>
      </c>
      <c r="C856" s="219" t="s">
        <v>34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686</v>
      </c>
      <c r="C857" s="219" t="s">
        <v>34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687</v>
      </c>
      <c r="C858" s="219" t="s">
        <v>34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688</v>
      </c>
      <c r="C859" s="219" t="s">
        <v>34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9.1">
      <c r="A860" s="41">
        <f t="shared" si="28"/>
        <v>299</v>
      </c>
      <c r="B860" s="168" t="s">
        <v>689</v>
      </c>
      <c r="C860" s="219" t="s">
        <v>34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6">
      <c r="A861" s="41">
        <f t="shared" si="28"/>
        <v>300</v>
      </c>
      <c r="B861" s="168" t="s">
        <v>690</v>
      </c>
      <c r="C861" s="219" t="s">
        <v>34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691</v>
      </c>
      <c r="C862" s="219" t="s">
        <v>34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692</v>
      </c>
      <c r="C863" s="219" t="s">
        <v>34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693</v>
      </c>
      <c r="C864" s="219" t="s">
        <v>34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6">
      <c r="A865" s="41">
        <f t="shared" si="28"/>
        <v>304</v>
      </c>
      <c r="B865" s="168" t="s">
        <v>694</v>
      </c>
      <c r="C865" s="219" t="s">
        <v>34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695</v>
      </c>
      <c r="C866" s="219" t="s">
        <v>34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9.1">
      <c r="A867" s="41">
        <f t="shared" si="28"/>
        <v>306</v>
      </c>
      <c r="B867" s="168" t="s">
        <v>696</v>
      </c>
      <c r="C867" s="219" t="s">
        <v>34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697</v>
      </c>
      <c r="C868" s="219" t="s">
        <v>34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698</v>
      </c>
      <c r="C869" s="219" t="s">
        <v>34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699</v>
      </c>
      <c r="C870" s="219" t="s">
        <v>34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700</v>
      </c>
      <c r="C871" s="219" t="s">
        <v>34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701</v>
      </c>
      <c r="C872" s="219" t="s">
        <v>34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702</v>
      </c>
      <c r="C873" s="219" t="s">
        <v>34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703</v>
      </c>
      <c r="C874" s="219" t="s">
        <v>34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704</v>
      </c>
      <c r="C875" s="219" t="s">
        <v>34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705</v>
      </c>
      <c r="C876" s="219" t="s">
        <v>34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706</v>
      </c>
      <c r="C877" s="219" t="s">
        <v>34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6">
      <c r="A878" s="41">
        <f t="shared" si="28"/>
        <v>317</v>
      </c>
      <c r="B878" s="36" t="s">
        <v>707</v>
      </c>
      <c r="C878" s="219" t="s">
        <v>34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708</v>
      </c>
      <c r="C879" s="219" t="s">
        <v>34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709</v>
      </c>
      <c r="C880" s="219" t="s">
        <v>34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710</v>
      </c>
      <c r="C881" s="219" t="s">
        <v>34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711</v>
      </c>
      <c r="C882" s="219" t="s">
        <v>34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712</v>
      </c>
      <c r="C883" s="219" t="s">
        <v>34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713</v>
      </c>
      <c r="C884" s="219" t="s">
        <v>34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714</v>
      </c>
      <c r="C885" s="219" t="s">
        <v>34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715</v>
      </c>
      <c r="C886" s="219" t="s">
        <v>34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716</v>
      </c>
      <c r="C887" s="219" t="s">
        <v>34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717</v>
      </c>
      <c r="C888" s="219" t="s">
        <v>34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6">
      <c r="A889" s="41">
        <f t="shared" si="30"/>
        <v>4</v>
      </c>
      <c r="B889" s="36" t="s">
        <v>718</v>
      </c>
      <c r="C889" s="219" t="s">
        <v>34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719</v>
      </c>
      <c r="C890" s="219" t="s">
        <v>34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720</v>
      </c>
      <c r="C891" s="219" t="s">
        <v>34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721</v>
      </c>
      <c r="C892" s="219" t="s">
        <v>34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722</v>
      </c>
      <c r="C893" s="219" t="s">
        <v>34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6">
      <c r="A894" s="41">
        <f t="shared" si="30"/>
        <v>9</v>
      </c>
      <c r="B894" s="36" t="s">
        <v>723</v>
      </c>
      <c r="C894" s="219" t="s">
        <v>34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6">
      <c r="A895" s="41">
        <f t="shared" si="30"/>
        <v>10</v>
      </c>
      <c r="B895" s="168" t="s">
        <v>724</v>
      </c>
      <c r="C895" s="219" t="s">
        <v>34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6">
      <c r="A896" s="41">
        <f t="shared" si="30"/>
        <v>11</v>
      </c>
      <c r="B896" s="168" t="s">
        <v>725</v>
      </c>
      <c r="C896" s="219" t="s">
        <v>34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6">
      <c r="A897" s="41">
        <f t="shared" si="30"/>
        <v>12</v>
      </c>
      <c r="B897" s="168" t="s">
        <v>726</v>
      </c>
      <c r="C897" s="219" t="s">
        <v>34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6">
      <c r="A898" s="41">
        <f t="shared" si="30"/>
        <v>13</v>
      </c>
      <c r="B898" s="168" t="s">
        <v>727</v>
      </c>
      <c r="C898" s="219" t="s">
        <v>34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6">
      <c r="A899" s="41">
        <f t="shared" si="30"/>
        <v>14</v>
      </c>
      <c r="B899" s="168" t="s">
        <v>728</v>
      </c>
      <c r="C899" s="219" t="s">
        <v>34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9.1">
      <c r="A900" s="41">
        <f t="shared" si="30"/>
        <v>15</v>
      </c>
      <c r="B900" s="168" t="s">
        <v>729</v>
      </c>
      <c r="C900" s="219" t="s">
        <v>34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9.1">
      <c r="A901" s="41">
        <f t="shared" si="30"/>
        <v>16</v>
      </c>
      <c r="B901" s="168" t="s">
        <v>730</v>
      </c>
      <c r="C901" s="219" t="s">
        <v>34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9.1">
      <c r="A902" s="41">
        <f t="shared" si="30"/>
        <v>17</v>
      </c>
      <c r="B902" s="168" t="s">
        <v>731</v>
      </c>
      <c r="C902" s="219" t="s">
        <v>34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9.1">
      <c r="A903" s="41">
        <f t="shared" si="30"/>
        <v>18</v>
      </c>
      <c r="B903" s="168" t="s">
        <v>732</v>
      </c>
      <c r="C903" s="219" t="s">
        <v>34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9.1">
      <c r="A904" s="41">
        <f t="shared" si="30"/>
        <v>19</v>
      </c>
      <c r="B904" s="168" t="s">
        <v>733</v>
      </c>
      <c r="C904" s="219" t="s">
        <v>34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9.1">
      <c r="A905" s="41">
        <f t="shared" si="30"/>
        <v>20</v>
      </c>
      <c r="B905" s="168" t="s">
        <v>734</v>
      </c>
      <c r="C905" s="219" t="s">
        <v>34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9.1">
      <c r="A906" s="41">
        <f t="shared" si="30"/>
        <v>21</v>
      </c>
      <c r="B906" s="168" t="s">
        <v>735</v>
      </c>
      <c r="C906" s="219" t="s">
        <v>34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9.1">
      <c r="A907" s="41">
        <f t="shared" si="30"/>
        <v>22</v>
      </c>
      <c r="B907" s="168" t="s">
        <v>736</v>
      </c>
      <c r="C907" s="219" t="s">
        <v>34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9.1">
      <c r="A908" s="41">
        <f t="shared" si="30"/>
        <v>23</v>
      </c>
      <c r="B908" s="168" t="s">
        <v>737</v>
      </c>
      <c r="C908" s="219" t="s">
        <v>34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9.1">
      <c r="A909" s="41">
        <f t="shared" si="30"/>
        <v>24</v>
      </c>
      <c r="B909" s="168" t="s">
        <v>738</v>
      </c>
      <c r="C909" s="219" t="s">
        <v>34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9.1">
      <c r="A910" s="41">
        <f t="shared" si="30"/>
        <v>25</v>
      </c>
      <c r="B910" s="168" t="s">
        <v>739</v>
      </c>
      <c r="C910" s="219" t="s">
        <v>34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9.1">
      <c r="A911" s="41">
        <f t="shared" si="30"/>
        <v>26</v>
      </c>
      <c r="B911" s="168" t="s">
        <v>740</v>
      </c>
      <c r="C911" s="219" t="s">
        <v>34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9.1">
      <c r="A912" s="41">
        <f t="shared" si="30"/>
        <v>27</v>
      </c>
      <c r="B912" s="168" t="s">
        <v>741</v>
      </c>
      <c r="C912" s="219" t="s">
        <v>34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6">
      <c r="A913" s="41">
        <f t="shared" si="30"/>
        <v>28</v>
      </c>
      <c r="B913" s="168" t="s">
        <v>742</v>
      </c>
      <c r="C913" s="219" t="s">
        <v>34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6">
      <c r="A914" s="41">
        <f t="shared" si="30"/>
        <v>29</v>
      </c>
      <c r="B914" s="168" t="s">
        <v>743</v>
      </c>
      <c r="C914" s="219" t="s">
        <v>34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6">
      <c r="A915" s="41">
        <f t="shared" si="30"/>
        <v>30</v>
      </c>
      <c r="B915" s="168" t="s">
        <v>744</v>
      </c>
      <c r="C915" s="219" t="s">
        <v>34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6">
      <c r="A916" s="41">
        <f t="shared" si="30"/>
        <v>31</v>
      </c>
      <c r="B916" s="168" t="s">
        <v>745</v>
      </c>
      <c r="C916" s="219" t="s">
        <v>34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6">
      <c r="A917" s="41">
        <f t="shared" si="30"/>
        <v>32</v>
      </c>
      <c r="B917" s="168" t="s">
        <v>746</v>
      </c>
      <c r="C917" s="219" t="s">
        <v>34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6">
      <c r="A918" s="41">
        <f t="shared" si="30"/>
        <v>33</v>
      </c>
      <c r="B918" s="168" t="s">
        <v>747</v>
      </c>
      <c r="C918" s="219" t="s">
        <v>34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6">
      <c r="A919" s="41">
        <f t="shared" ref="A919:A950" si="31">A918+1</f>
        <v>34</v>
      </c>
      <c r="B919" s="168" t="s">
        <v>748</v>
      </c>
      <c r="C919" s="219" t="s">
        <v>34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6">
      <c r="A920" s="41">
        <f t="shared" si="31"/>
        <v>35</v>
      </c>
      <c r="B920" s="168" t="s">
        <v>749</v>
      </c>
      <c r="C920" s="219" t="s">
        <v>34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6">
      <c r="A921" s="41">
        <f t="shared" si="31"/>
        <v>36</v>
      </c>
      <c r="B921" s="168" t="s">
        <v>750</v>
      </c>
      <c r="C921" s="219" t="s">
        <v>34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6">
      <c r="A922" s="41">
        <f t="shared" si="31"/>
        <v>37</v>
      </c>
      <c r="B922" s="168" t="s">
        <v>751</v>
      </c>
      <c r="C922" s="219" t="s">
        <v>34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6">
      <c r="A923" s="41">
        <f t="shared" si="31"/>
        <v>38</v>
      </c>
      <c r="B923" s="168" t="s">
        <v>752</v>
      </c>
      <c r="C923" s="219" t="s">
        <v>34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6">
      <c r="A924" s="41">
        <f t="shared" si="31"/>
        <v>39</v>
      </c>
      <c r="B924" s="168" t="s">
        <v>753</v>
      </c>
      <c r="C924" s="219" t="s">
        <v>34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6">
      <c r="A925" s="41">
        <f t="shared" si="31"/>
        <v>40</v>
      </c>
      <c r="B925" s="168" t="s">
        <v>754</v>
      </c>
      <c r="C925" s="219" t="s">
        <v>34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6">
      <c r="A926" s="41">
        <f t="shared" si="31"/>
        <v>41</v>
      </c>
      <c r="B926" s="168" t="s">
        <v>755</v>
      </c>
      <c r="C926" s="219" t="s">
        <v>34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6">
      <c r="A927" s="41">
        <f t="shared" si="31"/>
        <v>42</v>
      </c>
      <c r="B927" s="168" t="s">
        <v>756</v>
      </c>
      <c r="C927" s="219" t="s">
        <v>34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6">
      <c r="A928" s="41">
        <f t="shared" si="31"/>
        <v>43</v>
      </c>
      <c r="B928" s="168" t="s">
        <v>757</v>
      </c>
      <c r="C928" s="219" t="s">
        <v>34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6">
      <c r="A929" s="41">
        <f t="shared" si="31"/>
        <v>44</v>
      </c>
      <c r="B929" s="168" t="s">
        <v>758</v>
      </c>
      <c r="C929" s="219" t="s">
        <v>34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6">
      <c r="A930" s="41">
        <f t="shared" si="31"/>
        <v>45</v>
      </c>
      <c r="B930" s="168" t="s">
        <v>759</v>
      </c>
      <c r="C930" s="219" t="s">
        <v>34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6">
      <c r="A931" s="41">
        <f t="shared" si="31"/>
        <v>46</v>
      </c>
      <c r="B931" s="168" t="s">
        <v>760</v>
      </c>
      <c r="C931" s="219" t="s">
        <v>34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6">
      <c r="A932" s="41">
        <f t="shared" si="31"/>
        <v>47</v>
      </c>
      <c r="B932" s="168" t="s">
        <v>761</v>
      </c>
      <c r="C932" s="219" t="s">
        <v>34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6">
      <c r="A933" s="41">
        <f t="shared" si="31"/>
        <v>48</v>
      </c>
      <c r="B933" s="168" t="s">
        <v>762</v>
      </c>
      <c r="C933" s="219" t="s">
        <v>34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6">
      <c r="A934" s="41">
        <f t="shared" si="31"/>
        <v>49</v>
      </c>
      <c r="B934" s="168" t="s">
        <v>763</v>
      </c>
      <c r="C934" s="219" t="s">
        <v>34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6">
      <c r="A935" s="41">
        <f t="shared" si="31"/>
        <v>50</v>
      </c>
      <c r="B935" s="168" t="s">
        <v>764</v>
      </c>
      <c r="C935" s="219" t="s">
        <v>34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6">
      <c r="A936" s="41">
        <f t="shared" si="31"/>
        <v>51</v>
      </c>
      <c r="B936" s="168" t="s">
        <v>765</v>
      </c>
      <c r="C936" s="219" t="s">
        <v>34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6">
      <c r="A937" s="41">
        <f t="shared" si="31"/>
        <v>52</v>
      </c>
      <c r="B937" s="168" t="s">
        <v>766</v>
      </c>
      <c r="C937" s="219" t="s">
        <v>34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6">
      <c r="A938" s="41">
        <f t="shared" si="31"/>
        <v>53</v>
      </c>
      <c r="B938" s="168" t="s">
        <v>767</v>
      </c>
      <c r="C938" s="219" t="s">
        <v>34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6">
      <c r="A939" s="41">
        <f t="shared" si="31"/>
        <v>54</v>
      </c>
      <c r="B939" s="168" t="s">
        <v>768</v>
      </c>
      <c r="C939" s="219" t="s">
        <v>34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6">
      <c r="A940" s="41">
        <f t="shared" si="31"/>
        <v>55</v>
      </c>
      <c r="B940" s="168" t="s">
        <v>769</v>
      </c>
      <c r="C940" s="219" t="s">
        <v>34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6">
      <c r="A941" s="41">
        <f t="shared" si="31"/>
        <v>56</v>
      </c>
      <c r="B941" s="168" t="s">
        <v>770</v>
      </c>
      <c r="C941" s="219" t="s">
        <v>34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6">
      <c r="A942" s="41">
        <f t="shared" si="31"/>
        <v>57</v>
      </c>
      <c r="B942" s="168" t="s">
        <v>771</v>
      </c>
      <c r="C942" s="219" t="s">
        <v>34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6">
      <c r="A943" s="41">
        <f t="shared" si="31"/>
        <v>58</v>
      </c>
      <c r="B943" s="168" t="s">
        <v>772</v>
      </c>
      <c r="C943" s="219" t="s">
        <v>34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6">
      <c r="A944" s="41">
        <f t="shared" si="31"/>
        <v>59</v>
      </c>
      <c r="B944" s="168" t="s">
        <v>773</v>
      </c>
      <c r="C944" s="219" t="s">
        <v>34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6">
      <c r="A945" s="41">
        <f t="shared" si="31"/>
        <v>60</v>
      </c>
      <c r="B945" s="168" t="s">
        <v>774</v>
      </c>
      <c r="C945" s="219" t="s">
        <v>34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6">
      <c r="A946" s="41">
        <f t="shared" si="31"/>
        <v>61</v>
      </c>
      <c r="B946" s="168" t="s">
        <v>775</v>
      </c>
      <c r="C946" s="219" t="s">
        <v>34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6">
      <c r="A947" s="41">
        <f t="shared" si="31"/>
        <v>62</v>
      </c>
      <c r="B947" s="168" t="s">
        <v>776</v>
      </c>
      <c r="C947" s="219" t="s">
        <v>34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6">
      <c r="A948" s="41">
        <f t="shared" si="31"/>
        <v>63</v>
      </c>
      <c r="B948" s="168" t="s">
        <v>777</v>
      </c>
      <c r="C948" s="219" t="s">
        <v>34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6">
      <c r="A949" s="41">
        <f t="shared" si="31"/>
        <v>64</v>
      </c>
      <c r="B949" s="168" t="s">
        <v>778</v>
      </c>
      <c r="C949" s="219" t="s">
        <v>34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6">
      <c r="A950" s="41">
        <f t="shared" si="31"/>
        <v>65</v>
      </c>
      <c r="B950" s="168" t="s">
        <v>779</v>
      </c>
      <c r="C950" s="219" t="s">
        <v>34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6">
      <c r="A951" s="41">
        <f t="shared" ref="A951:A982" si="33">A950+1</f>
        <v>66</v>
      </c>
      <c r="B951" s="168" t="s">
        <v>780</v>
      </c>
      <c r="C951" s="219" t="s">
        <v>34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6">
      <c r="A952" s="41">
        <f t="shared" si="33"/>
        <v>67</v>
      </c>
      <c r="B952" s="168" t="s">
        <v>781</v>
      </c>
      <c r="C952" s="219" t="s">
        <v>34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6">
      <c r="A953" s="41">
        <f t="shared" si="33"/>
        <v>68</v>
      </c>
      <c r="B953" s="168" t="s">
        <v>782</v>
      </c>
      <c r="C953" s="219" t="s">
        <v>34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6">
      <c r="A954" s="41">
        <f t="shared" si="33"/>
        <v>69</v>
      </c>
      <c r="B954" s="168" t="s">
        <v>783</v>
      </c>
      <c r="C954" s="219" t="s">
        <v>34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6">
      <c r="A955" s="41">
        <f t="shared" si="33"/>
        <v>70</v>
      </c>
      <c r="B955" s="168" t="s">
        <v>784</v>
      </c>
      <c r="C955" s="219" t="s">
        <v>34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785</v>
      </c>
      <c r="C956" s="219" t="s">
        <v>34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786</v>
      </c>
      <c r="C957" s="219" t="s">
        <v>34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6">
      <c r="A958" s="41">
        <f t="shared" si="33"/>
        <v>73</v>
      </c>
      <c r="B958" s="168" t="s">
        <v>787</v>
      </c>
      <c r="C958" s="219" t="s">
        <v>34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6">
      <c r="A959" s="41">
        <f t="shared" si="33"/>
        <v>74</v>
      </c>
      <c r="B959" s="168" t="s">
        <v>788</v>
      </c>
      <c r="C959" s="219" t="s">
        <v>34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6">
      <c r="A960" s="41">
        <f t="shared" si="33"/>
        <v>75</v>
      </c>
      <c r="B960" s="168" t="s">
        <v>789</v>
      </c>
      <c r="C960" s="219" t="s">
        <v>34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6">
      <c r="A961" s="41">
        <f t="shared" si="33"/>
        <v>76</v>
      </c>
      <c r="B961" s="168" t="s">
        <v>790</v>
      </c>
      <c r="C961" s="219" t="s">
        <v>34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9.1">
      <c r="A962" s="41">
        <f t="shared" si="33"/>
        <v>77</v>
      </c>
      <c r="B962" s="168" t="s">
        <v>791</v>
      </c>
      <c r="C962" s="219" t="s">
        <v>34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6">
      <c r="A963" s="41">
        <f t="shared" si="33"/>
        <v>78</v>
      </c>
      <c r="B963" s="168" t="s">
        <v>792</v>
      </c>
      <c r="C963" s="219" t="s">
        <v>34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9.1">
      <c r="A964" s="41">
        <f t="shared" si="33"/>
        <v>79</v>
      </c>
      <c r="B964" s="168" t="s">
        <v>793</v>
      </c>
      <c r="C964" s="219" t="s">
        <v>34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794</v>
      </c>
      <c r="C965" s="219" t="s">
        <v>34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6">
      <c r="A966" s="41">
        <f t="shared" si="33"/>
        <v>81</v>
      </c>
      <c r="B966" s="168" t="s">
        <v>795</v>
      </c>
      <c r="C966" s="219" t="s">
        <v>34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6">
      <c r="A967" s="41">
        <f t="shared" si="33"/>
        <v>82</v>
      </c>
      <c r="B967" s="168" t="s">
        <v>796</v>
      </c>
      <c r="C967" s="219" t="s">
        <v>34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6">
      <c r="A968" s="41">
        <f t="shared" si="33"/>
        <v>83</v>
      </c>
      <c r="B968" s="168" t="s">
        <v>797</v>
      </c>
      <c r="C968" s="219" t="s">
        <v>34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6">
      <c r="A969" s="41">
        <f t="shared" si="33"/>
        <v>84</v>
      </c>
      <c r="B969" s="168" t="s">
        <v>798</v>
      </c>
      <c r="C969" s="219" t="s">
        <v>34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6">
      <c r="A970" s="41">
        <f t="shared" si="33"/>
        <v>85</v>
      </c>
      <c r="B970" s="168" t="s">
        <v>799</v>
      </c>
      <c r="C970" s="219" t="s">
        <v>34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6">
      <c r="A971" s="41">
        <f t="shared" si="33"/>
        <v>86</v>
      </c>
      <c r="B971" s="168" t="s">
        <v>800</v>
      </c>
      <c r="C971" s="219" t="s">
        <v>34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6">
      <c r="A972" s="41">
        <f t="shared" si="33"/>
        <v>87</v>
      </c>
      <c r="B972" s="168" t="s">
        <v>801</v>
      </c>
      <c r="C972" s="219" t="s">
        <v>34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6">
      <c r="A973" s="41">
        <f t="shared" si="33"/>
        <v>88</v>
      </c>
      <c r="B973" s="168" t="s">
        <v>40</v>
      </c>
      <c r="C973" s="219" t="s">
        <v>34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6">
      <c r="A974" s="41">
        <f t="shared" si="33"/>
        <v>89</v>
      </c>
      <c r="B974" s="168" t="s">
        <v>802</v>
      </c>
      <c r="C974" s="219" t="s">
        <v>34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6">
      <c r="A975" s="41">
        <f t="shared" si="33"/>
        <v>90</v>
      </c>
      <c r="B975" s="168" t="s">
        <v>803</v>
      </c>
      <c r="C975" s="219" t="s">
        <v>34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6">
      <c r="A976" s="41">
        <f t="shared" si="33"/>
        <v>91</v>
      </c>
      <c r="B976" s="168" t="s">
        <v>804</v>
      </c>
      <c r="C976" s="219" t="s">
        <v>34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6">
      <c r="A977" s="41">
        <f t="shared" si="33"/>
        <v>92</v>
      </c>
      <c r="B977" s="168" t="s">
        <v>805</v>
      </c>
      <c r="C977" s="219" t="s">
        <v>34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6">
      <c r="A978" s="41">
        <f t="shared" si="33"/>
        <v>93</v>
      </c>
      <c r="B978" s="168" t="s">
        <v>806</v>
      </c>
      <c r="C978" s="219" t="s">
        <v>34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6">
      <c r="A979" s="41">
        <f t="shared" si="33"/>
        <v>94</v>
      </c>
      <c r="B979" s="168" t="s">
        <v>807</v>
      </c>
      <c r="C979" s="219" t="s">
        <v>34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6">
      <c r="A980" s="41">
        <f t="shared" si="33"/>
        <v>95</v>
      </c>
      <c r="B980" s="168" t="s">
        <v>808</v>
      </c>
      <c r="C980" s="219" t="s">
        <v>34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6">
      <c r="A981" s="41">
        <f t="shared" si="33"/>
        <v>96</v>
      </c>
      <c r="B981" s="168" t="s">
        <v>809</v>
      </c>
      <c r="C981" s="219" t="s">
        <v>34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6">
      <c r="A982" s="41">
        <f t="shared" si="33"/>
        <v>97</v>
      </c>
      <c r="B982" s="168" t="s">
        <v>810</v>
      </c>
      <c r="C982" s="219" t="s">
        <v>34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96</v>
      </c>
      <c r="B1009" s="250">
        <f>SUBTOTAL(3,(B1011:B1043))</f>
        <v>33</v>
      </c>
      <c r="C1009" s="489"/>
      <c r="D1009" s="489"/>
      <c r="E1009"/>
      <c r="F1009" s="189"/>
      <c r="H1009"/>
      <c r="I1009"/>
    </row>
    <row r="1010" spans="1:10" ht="46.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811</v>
      </c>
      <c r="C1011" s="160" t="s">
        <v>28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28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28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28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28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28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28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29</v>
      </c>
      <c r="C1018" s="160" t="s">
        <v>28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28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28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28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28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28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38</v>
      </c>
      <c r="C1024" s="160" t="s">
        <v>28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823</v>
      </c>
      <c r="C1025" s="160" t="s">
        <v>28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824</v>
      </c>
      <c r="C1026" s="160" t="s">
        <v>28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825</v>
      </c>
      <c r="C1027" s="160" t="s">
        <v>28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826</v>
      </c>
      <c r="C1028" s="160" t="s">
        <v>28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827</v>
      </c>
      <c r="C1029" s="160" t="s">
        <v>28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828</v>
      </c>
      <c r="C1030" s="160" t="s">
        <v>28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32</v>
      </c>
      <c r="C1031" s="160" t="s">
        <v>28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28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28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28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28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28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28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28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836</v>
      </c>
      <c r="C1039" s="160" t="s">
        <v>28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837</v>
      </c>
      <c r="C1040" s="160" t="s">
        <v>28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838</v>
      </c>
      <c r="C1041" s="160" t="s">
        <v>28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839</v>
      </c>
      <c r="C1042" s="160" t="s">
        <v>28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28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92"/>
      <c r="D1064" s="491"/>
      <c r="E1064"/>
      <c r="F1064" s="189"/>
      <c r="H1064"/>
      <c r="I1064"/>
    </row>
    <row r="1065" spans="1:10" ht="21.6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29.1">
      <c r="A1067" s="83">
        <v>1</v>
      </c>
      <c r="B1067" s="206" t="s">
        <v>841</v>
      </c>
      <c r="C1067" s="219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842</v>
      </c>
      <c r="C1068" s="219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844</v>
      </c>
      <c r="C1070" s="219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845</v>
      </c>
      <c r="C1071" s="219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846</v>
      </c>
      <c r="C1072" s="219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4">
        <f>A1072+1</f>
        <v>7</v>
      </c>
      <c r="B1073" s="206" t="s">
        <v>847</v>
      </c>
      <c r="C1073" s="219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9"/>
      <c r="D1105" s="489"/>
      <c r="E1105"/>
      <c r="F1105" s="189"/>
      <c r="H1105"/>
      <c r="I1105"/>
    </row>
    <row r="1106" spans="1:10" ht="46.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29.1">
      <c r="A1107" s="83">
        <v>1</v>
      </c>
      <c r="B1107" s="206" t="s">
        <v>848</v>
      </c>
      <c r="C1107" s="37" t="s">
        <v>849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850</v>
      </c>
      <c r="C1108" s="37" t="s">
        <v>849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852</v>
      </c>
      <c r="C1110" s="37" t="s">
        <v>849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853</v>
      </c>
      <c r="C1111" s="37" t="s">
        <v>849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854</v>
      </c>
      <c r="C1112" s="37" t="s">
        <v>849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855</v>
      </c>
      <c r="C1113" s="37" t="s">
        <v>849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2" t="s">
        <v>1015</v>
      </c>
      <c r="C1273" s="276" t="s">
        <v>849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2" t="s">
        <v>1021</v>
      </c>
      <c r="C1278" s="276" t="s">
        <v>849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2" t="s">
        <v>1022</v>
      </c>
      <c r="C1279" s="276" t="s">
        <v>849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7" t="s">
        <v>1023</v>
      </c>
      <c r="C1280" s="276" t="s">
        <v>849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9.1">
      <c r="A1283" s="83">
        <f t="shared" si="44"/>
        <v>177</v>
      </c>
      <c r="B1283" s="232" t="s">
        <v>1026</v>
      </c>
      <c r="C1283" s="276" t="s">
        <v>849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2" t="s">
        <v>1026</v>
      </c>
      <c r="C1284" s="276" t="s">
        <v>849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2" t="s">
        <v>1031</v>
      </c>
      <c r="C1288" s="276" t="s">
        <v>849</v>
      </c>
      <c r="D1288" s="277" t="s">
        <v>209</v>
      </c>
      <c r="E1288" s="141">
        <v>62000</v>
      </c>
      <c r="F1288" s="278" t="s">
        <v>209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2" t="s">
        <v>1032</v>
      </c>
      <c r="C1289" s="276" t="s">
        <v>849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2" t="s">
        <v>1033</v>
      </c>
      <c r="C1290" s="276" t="s">
        <v>849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96</v>
      </c>
      <c r="B1326" s="132">
        <f>SUBTOTAL(3,B1328:B1380)</f>
        <v>53</v>
      </c>
      <c r="C1326" s="485"/>
      <c r="D1326" s="486"/>
      <c r="E1326"/>
      <c r="F1326" s="189"/>
      <c r="H1326"/>
      <c r="I1326"/>
    </row>
    <row r="1327" spans="1:10" ht="46.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1055</v>
      </c>
      <c r="C1348" s="37" t="s">
        <v>1035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1074</v>
      </c>
      <c r="C1362" s="37" t="s">
        <v>1035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1075</v>
      </c>
      <c r="C1363" s="37" t="s">
        <v>1035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1076</v>
      </c>
      <c r="C1364" s="37" t="s">
        <v>1035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1082</v>
      </c>
      <c r="C1369" s="37" t="s">
        <v>1035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1083</v>
      </c>
      <c r="C1370" s="37" t="s">
        <v>1035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1085</v>
      </c>
      <c r="C1372" s="37" t="s">
        <v>1035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1086</v>
      </c>
      <c r="C1373" s="161" t="s">
        <v>1035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9.1">
      <c r="A1400" s="283">
        <f t="shared" si="52"/>
        <v>73</v>
      </c>
      <c r="B1400" s="285" t="s">
        <v>1114</v>
      </c>
      <c r="C1400" s="219" t="s">
        <v>1035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9.1">
      <c r="A1404" s="283">
        <f t="shared" si="52"/>
        <v>77</v>
      </c>
      <c r="B1404" s="285" t="s">
        <v>1118</v>
      </c>
      <c r="C1404" s="219" t="s">
        <v>1035</v>
      </c>
      <c r="D1404" s="248" t="s">
        <v>177</v>
      </c>
      <c r="E1404" s="166">
        <v>3200</v>
      </c>
      <c r="F1404" s="193" t="s">
        <v>177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219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361</v>
      </c>
      <c r="E1406" s="222"/>
      <c r="F1406" s="293" t="s">
        <v>361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361</v>
      </c>
      <c r="E1407" s="166"/>
      <c r="F1407" s="10" t="s">
        <v>361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361</v>
      </c>
      <c r="E1408" s="166"/>
      <c r="F1408" s="10" t="s">
        <v>361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361</v>
      </c>
      <c r="E1409" s="166"/>
      <c r="F1409" s="10" t="s">
        <v>361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361</v>
      </c>
      <c r="E1413" s="166"/>
      <c r="F1413" s="10" t="s">
        <v>361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361</v>
      </c>
      <c r="E1414" s="166"/>
      <c r="F1414" s="10" t="s">
        <v>361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361</v>
      </c>
      <c r="E1415" s="222"/>
      <c r="F1415" s="10" t="s">
        <v>361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96</v>
      </c>
      <c r="B1426" s="136">
        <f>SUBTOTAL(3,Tabla34[Material])</f>
        <v>83</v>
      </c>
      <c r="C1426" s="485"/>
      <c r="D1426" s="486"/>
      <c r="E1426"/>
      <c r="F1426" s="189"/>
      <c r="H1426"/>
      <c r="I1426"/>
    </row>
    <row r="1427" spans="1:10" ht="46.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1130</v>
      </c>
      <c r="C1428" s="219" t="s">
        <v>61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61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61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61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61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61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61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61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61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61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61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61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61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61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61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61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61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1148</v>
      </c>
      <c r="C1445" s="219" t="s">
        <v>61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1149</v>
      </c>
      <c r="C1446" s="219" t="s">
        <v>61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61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61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61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61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61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61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61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61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61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61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61</v>
      </c>
      <c r="D1457" s="48" t="s">
        <v>1066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61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61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61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61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61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61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61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61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61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61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61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61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61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61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61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61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61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61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61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61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61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61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1184</v>
      </c>
      <c r="C1481" s="219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1185</v>
      </c>
      <c r="C1482" s="219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61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61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61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61</v>
      </c>
      <c r="D1488" s="48" t="s">
        <v>1066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61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61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61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61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61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61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61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61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61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61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61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61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61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1208</v>
      </c>
      <c r="C1503" s="219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1209</v>
      </c>
      <c r="C1504" s="219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61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61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61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1214</v>
      </c>
      <c r="C1509" s="219" t="s">
        <v>61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96</v>
      </c>
      <c r="B1520" s="165">
        <f>SUBTOTAL(3,(B1522:B1607))</f>
        <v>86</v>
      </c>
      <c r="C1520" s="489"/>
      <c r="D1520" s="489"/>
      <c r="E1520"/>
      <c r="F1520" s="189"/>
      <c r="H1520"/>
      <c r="I1520"/>
    </row>
    <row r="1521" spans="1:10" ht="46.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46</v>
      </c>
    </row>
    <row r="3" spans="1:13" outlineLevel="1">
      <c r="A3" s="3" t="s">
        <v>1317</v>
      </c>
      <c r="B3" s="5" t="s">
        <v>219</v>
      </c>
      <c r="D3" s="266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25</v>
      </c>
    </row>
    <row r="4" spans="1:13" ht="29.1" outlineLevel="1">
      <c r="A4" s="2" t="s">
        <v>1322</v>
      </c>
      <c r="B4" s="5" t="s">
        <v>309</v>
      </c>
      <c r="D4" s="267" t="s">
        <v>13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34</v>
      </c>
    </row>
    <row r="5" spans="1:13" ht="29.1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849</v>
      </c>
    </row>
    <row r="6" spans="1:13" outlineLevel="1">
      <c r="A6" s="2" t="s">
        <v>328</v>
      </c>
      <c r="B6" s="5" t="s">
        <v>328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30</v>
      </c>
    </row>
    <row r="8" spans="1:13" ht="15.6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28</v>
      </c>
    </row>
    <row r="9" spans="1:13" outlineLevel="1">
      <c r="A9" s="2" t="s">
        <v>1346</v>
      </c>
      <c r="B9" s="5" t="s">
        <v>1199</v>
      </c>
      <c r="F9" s="2" t="s">
        <v>1347</v>
      </c>
      <c r="H9" t="s">
        <v>1348</v>
      </c>
      <c r="I9">
        <v>70323724</v>
      </c>
      <c r="K9" t="s">
        <v>1349</v>
      </c>
      <c r="M9" s="79" t="s">
        <v>64</v>
      </c>
    </row>
    <row r="10" spans="1:13" outlineLevel="1">
      <c r="A10" s="2" t="s">
        <v>1350</v>
      </c>
      <c r="B10" s="5" t="s">
        <v>108</v>
      </c>
      <c r="F10" s="3" t="s">
        <v>1351</v>
      </c>
      <c r="H10" s="24" t="s">
        <v>6</v>
      </c>
      <c r="I10" s="20">
        <v>32142539</v>
      </c>
      <c r="K10" t="s">
        <v>1352</v>
      </c>
      <c r="M10" s="233" t="s">
        <v>125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61</v>
      </c>
    </row>
    <row r="12" spans="1:13" ht="29.1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1227</v>
      </c>
      <c r="H14" s="24" t="s">
        <v>1364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241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361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1220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244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211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177</v>
      </c>
      <c r="H24" s="21" t="s">
        <v>1384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1385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1386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2023-11-29T23:59:07Z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