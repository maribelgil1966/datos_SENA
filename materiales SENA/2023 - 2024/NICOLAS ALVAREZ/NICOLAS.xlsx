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xr:revisionPtr revIDLastSave="0" documentId="11_8C67D39716B1D62CB16E4B4E7CEC6CB152FB9AD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sumos" sheetId="1" r:id="rId1"/>
    <sheet name="PEDIDO" sheetId="2" r:id="rId2"/>
    <sheet name="lista" sheetId="3" state="hidden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2EAA28DA_25FD_4D42_9D04_3DAACD7A5870_.wvu.FilterData" localSheetId="4" hidden="1">INVENTARIO!$B$1:$D$1</definedName>
  </definedNames>
  <calcPr calcId="0" fullCalcOnLoad="1"/>
  <customWorkbookViews>
    <customWorkbookView name="PC - Vista personalizada" guid="{2EAA28DA-25FD-4D42-9D04-3DAACD7A5870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11" roundtripDataSignature="AMtx7mg2F/wvqUavqj1XwUKK/hR8xMIi3A=="/>
    </ext>
  </extLst>
</workbook>
</file>

<file path=xl/calcChain.xml><?xml version="1.0" encoding="utf-8"?>
<calcChain xmlns="http://schemas.openxmlformats.org/spreadsheetml/2006/main">
  <c r="E31" i="6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G45" i="4"/>
  <c r="E45" i="4"/>
  <c r="D45" i="4"/>
  <c r="C45" i="4"/>
  <c r="B45" i="4"/>
  <c r="G44" i="4"/>
  <c r="E44" i="4"/>
  <c r="D44" i="4"/>
  <c r="C44" i="4"/>
  <c r="B44" i="4"/>
  <c r="G43" i="4"/>
  <c r="E43" i="4"/>
  <c r="D43" i="4"/>
  <c r="C43" i="4"/>
  <c r="B43" i="4"/>
  <c r="G42" i="4"/>
  <c r="E42" i="4"/>
  <c r="D42" i="4"/>
  <c r="C42" i="4"/>
  <c r="B42" i="4"/>
  <c r="G41" i="4"/>
  <c r="E41" i="4"/>
  <c r="D41" i="4"/>
  <c r="C41" i="4"/>
  <c r="B41" i="4"/>
  <c r="G40" i="4"/>
  <c r="E40" i="4"/>
  <c r="D40" i="4"/>
  <c r="C40" i="4"/>
  <c r="B40" i="4"/>
  <c r="G39" i="4"/>
  <c r="E39" i="4"/>
  <c r="D39" i="4"/>
  <c r="C39" i="4"/>
  <c r="B39" i="4"/>
  <c r="G38" i="4"/>
  <c r="E38" i="4"/>
  <c r="D38" i="4"/>
  <c r="C38" i="4"/>
  <c r="B38" i="4"/>
  <c r="G37" i="4"/>
  <c r="E37" i="4"/>
  <c r="D37" i="4"/>
  <c r="C37" i="4"/>
  <c r="B37" i="4"/>
  <c r="G36" i="4"/>
  <c r="E36" i="4"/>
  <c r="D36" i="4"/>
  <c r="C36" i="4"/>
  <c r="B36" i="4"/>
  <c r="G35" i="4"/>
  <c r="E35" i="4"/>
  <c r="D35" i="4"/>
  <c r="C35" i="4"/>
  <c r="B35" i="4"/>
  <c r="G34" i="4"/>
  <c r="E34" i="4"/>
  <c r="D34" i="4"/>
  <c r="C34" i="4"/>
  <c r="B34" i="4"/>
  <c r="G33" i="4"/>
  <c r="E33" i="4"/>
  <c r="D33" i="4"/>
  <c r="C33" i="4"/>
  <c r="B33" i="4"/>
  <c r="G32" i="4"/>
  <c r="E32" i="4"/>
  <c r="D32" i="4"/>
  <c r="C32" i="4"/>
  <c r="B32" i="4"/>
  <c r="G31" i="4"/>
  <c r="E31" i="4"/>
  <c r="D31" i="4"/>
  <c r="C31" i="4"/>
  <c r="B31" i="4"/>
  <c r="G30" i="4"/>
  <c r="E30" i="4"/>
  <c r="D30" i="4"/>
  <c r="C30" i="4"/>
  <c r="B30" i="4"/>
  <c r="G29" i="4"/>
  <c r="E29" i="4"/>
  <c r="D29" i="4"/>
  <c r="C29" i="4"/>
  <c r="B29" i="4"/>
  <c r="G28" i="4"/>
  <c r="E28" i="4"/>
  <c r="D28" i="4"/>
  <c r="C28" i="4"/>
  <c r="B28" i="4"/>
  <c r="G27" i="4"/>
  <c r="E27" i="4"/>
  <c r="D27" i="4"/>
  <c r="C27" i="4"/>
  <c r="B27" i="4"/>
  <c r="G26" i="4"/>
  <c r="E26" i="4"/>
  <c r="D26" i="4"/>
  <c r="C26" i="4"/>
  <c r="B26" i="4"/>
  <c r="G25" i="4"/>
  <c r="E25" i="4"/>
  <c r="D25" i="4"/>
  <c r="C25" i="4"/>
  <c r="B25" i="4"/>
  <c r="G24" i="4"/>
  <c r="E24" i="4"/>
  <c r="D24" i="4"/>
  <c r="C24" i="4"/>
  <c r="B24" i="4"/>
  <c r="G23" i="4"/>
  <c r="E23" i="4"/>
  <c r="D23" i="4"/>
  <c r="C23" i="4"/>
  <c r="B23" i="4"/>
  <c r="G22" i="4"/>
  <c r="E22" i="4"/>
  <c r="D22" i="4"/>
  <c r="C22" i="4"/>
  <c r="B22" i="4"/>
  <c r="G21" i="4"/>
  <c r="E21" i="4"/>
  <c r="D21" i="4"/>
  <c r="C21" i="4"/>
  <c r="B21" i="4"/>
  <c r="G17" i="4"/>
  <c r="E17" i="4"/>
  <c r="D17" i="4"/>
  <c r="C17" i="4"/>
  <c r="G16" i="4"/>
  <c r="E16" i="4"/>
  <c r="D16" i="4"/>
  <c r="C16" i="4"/>
  <c r="G15" i="4"/>
  <c r="E15" i="4"/>
  <c r="D15" i="4"/>
  <c r="C15" i="4"/>
  <c r="G14" i="4"/>
  <c r="E14" i="4"/>
  <c r="D14" i="4"/>
  <c r="C14" i="4"/>
  <c r="G11" i="4"/>
  <c r="E11" i="4"/>
  <c r="D11" i="4"/>
  <c r="C11" i="4"/>
  <c r="G10" i="4"/>
  <c r="E10" i="4"/>
  <c r="D10" i="4"/>
  <c r="C10" i="4"/>
  <c r="G9" i="4"/>
  <c r="E9" i="4"/>
  <c r="D9" i="4"/>
  <c r="C9" i="4"/>
  <c r="G8" i="4"/>
  <c r="E8" i="4"/>
  <c r="D8" i="4"/>
  <c r="C8" i="4"/>
  <c r="G5" i="4"/>
  <c r="E5" i="4"/>
  <c r="D5" i="4"/>
  <c r="C5" i="4"/>
  <c r="G4" i="4"/>
  <c r="E4" i="4"/>
  <c r="D4" i="4"/>
  <c r="C4" i="4"/>
  <c r="G3" i="4"/>
  <c r="E3" i="4"/>
  <c r="D3" i="4"/>
  <c r="C3" i="4"/>
  <c r="G2" i="4"/>
  <c r="E2" i="4"/>
  <c r="D2" i="4"/>
  <c r="C2" i="4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K43" i="2"/>
  <c r="W42" i="2"/>
  <c r="V42" i="2"/>
  <c r="U42" i="2"/>
  <c r="K42" i="2"/>
  <c r="W41" i="2"/>
  <c r="V41" i="2"/>
  <c r="U41" i="2"/>
  <c r="K41" i="2"/>
  <c r="W40" i="2"/>
  <c r="V40" i="2"/>
  <c r="U40" i="2"/>
  <c r="K40" i="2"/>
  <c r="W39" i="2"/>
  <c r="V39" i="2"/>
  <c r="U39" i="2"/>
  <c r="K39" i="2"/>
  <c r="W38" i="2"/>
  <c r="V38" i="2"/>
  <c r="U38" i="2"/>
  <c r="K38" i="2"/>
  <c r="W37" i="2"/>
  <c r="V37" i="2"/>
  <c r="U37" i="2"/>
  <c r="K37" i="2"/>
  <c r="W36" i="2"/>
  <c r="V36" i="2"/>
  <c r="U36" i="2"/>
  <c r="K36" i="2"/>
  <c r="W35" i="2"/>
  <c r="V35" i="2"/>
  <c r="U35" i="2"/>
  <c r="K35" i="2"/>
  <c r="W34" i="2"/>
  <c r="V34" i="2"/>
  <c r="U34" i="2"/>
  <c r="K34" i="2"/>
  <c r="W33" i="2"/>
  <c r="V33" i="2"/>
  <c r="U33" i="2"/>
  <c r="K33" i="2"/>
  <c r="W32" i="2"/>
  <c r="V32" i="2"/>
  <c r="U32" i="2"/>
  <c r="K32" i="2"/>
  <c r="W31" i="2"/>
  <c r="V31" i="2"/>
  <c r="U31" i="2"/>
  <c r="K31" i="2"/>
  <c r="W30" i="2"/>
  <c r="V30" i="2"/>
  <c r="U30" i="2"/>
  <c r="W29" i="2"/>
  <c r="V29" i="2"/>
  <c r="U29" i="2"/>
  <c r="K29" i="2"/>
  <c r="F29" i="2"/>
  <c r="W28" i="2"/>
  <c r="V28" i="2"/>
  <c r="U28" i="2"/>
  <c r="J28" i="2"/>
  <c r="I28" i="2"/>
  <c r="H28" i="2"/>
  <c r="F28" i="2"/>
  <c r="E28" i="2"/>
  <c r="D28" i="2"/>
  <c r="C28" i="2"/>
  <c r="B28" i="2"/>
  <c r="A28" i="2"/>
  <c r="W27" i="2"/>
  <c r="V27" i="2"/>
  <c r="U27" i="2"/>
  <c r="J27" i="2"/>
  <c r="I27" i="2"/>
  <c r="H27" i="2"/>
  <c r="F27" i="2"/>
  <c r="E27" i="2"/>
  <c r="D27" i="2"/>
  <c r="C27" i="2"/>
  <c r="B27" i="2"/>
  <c r="A27" i="2"/>
  <c r="W26" i="2"/>
  <c r="V26" i="2"/>
  <c r="U26" i="2"/>
  <c r="J26" i="2"/>
  <c r="I26" i="2"/>
  <c r="H26" i="2"/>
  <c r="F26" i="2"/>
  <c r="E26" i="2"/>
  <c r="D26" i="2"/>
  <c r="C26" i="2"/>
  <c r="B26" i="2"/>
  <c r="A26" i="2"/>
  <c r="W25" i="2"/>
  <c r="V25" i="2"/>
  <c r="U25" i="2"/>
  <c r="J25" i="2"/>
  <c r="I25" i="2"/>
  <c r="H25" i="2"/>
  <c r="F25" i="2"/>
  <c r="E25" i="2"/>
  <c r="D25" i="2"/>
  <c r="C25" i="2"/>
  <c r="B25" i="2"/>
  <c r="A25" i="2"/>
  <c r="W24" i="2"/>
  <c r="V24" i="2"/>
  <c r="U24" i="2"/>
  <c r="J24" i="2"/>
  <c r="I24" i="2"/>
  <c r="H24" i="2"/>
  <c r="F24" i="2"/>
  <c r="E24" i="2"/>
  <c r="D24" i="2"/>
  <c r="C24" i="2"/>
  <c r="B24" i="2"/>
  <c r="A24" i="2"/>
  <c r="W23" i="2"/>
  <c r="V23" i="2"/>
  <c r="U23" i="2"/>
  <c r="J23" i="2"/>
  <c r="I23" i="2"/>
  <c r="H23" i="2"/>
  <c r="F23" i="2"/>
  <c r="E23" i="2"/>
  <c r="D23" i="2"/>
  <c r="C23" i="2"/>
  <c r="B23" i="2"/>
  <c r="A23" i="2"/>
  <c r="W22" i="2"/>
  <c r="V22" i="2"/>
  <c r="U22" i="2"/>
  <c r="J22" i="2"/>
  <c r="I22" i="2"/>
  <c r="H22" i="2"/>
  <c r="F22" i="2"/>
  <c r="E22" i="2"/>
  <c r="D22" i="2"/>
  <c r="C22" i="2"/>
  <c r="B22" i="2"/>
  <c r="A22" i="2"/>
  <c r="W21" i="2"/>
  <c r="V21" i="2"/>
  <c r="U21" i="2"/>
  <c r="J21" i="2"/>
  <c r="I21" i="2"/>
  <c r="H21" i="2"/>
  <c r="F21" i="2"/>
  <c r="E21" i="2"/>
  <c r="D21" i="2"/>
  <c r="C21" i="2"/>
  <c r="B21" i="2"/>
  <c r="A21" i="2"/>
  <c r="W20" i="2"/>
  <c r="V20" i="2"/>
  <c r="U20" i="2"/>
  <c r="J20" i="2"/>
  <c r="I20" i="2"/>
  <c r="H20" i="2"/>
  <c r="F20" i="2"/>
  <c r="E20" i="2"/>
  <c r="D20" i="2"/>
  <c r="C20" i="2"/>
  <c r="B20" i="2"/>
  <c r="A20" i="2"/>
  <c r="W19" i="2"/>
  <c r="V19" i="2"/>
  <c r="U19" i="2"/>
  <c r="J19" i="2"/>
  <c r="I19" i="2"/>
  <c r="H19" i="2"/>
  <c r="F19" i="2"/>
  <c r="E19" i="2"/>
  <c r="D19" i="2"/>
  <c r="C19" i="2"/>
  <c r="B19" i="2"/>
  <c r="A19" i="2"/>
  <c r="W18" i="2"/>
  <c r="V18" i="2"/>
  <c r="U18" i="2"/>
  <c r="J18" i="2"/>
  <c r="I18" i="2"/>
  <c r="H18" i="2"/>
  <c r="F18" i="2"/>
  <c r="E18" i="2"/>
  <c r="D18" i="2"/>
  <c r="C18" i="2"/>
  <c r="B18" i="2"/>
  <c r="A18" i="2"/>
  <c r="W17" i="2"/>
  <c r="V17" i="2"/>
  <c r="U17" i="2"/>
  <c r="J17" i="2"/>
  <c r="I17" i="2"/>
  <c r="H17" i="2"/>
  <c r="F17" i="2"/>
  <c r="E17" i="2"/>
  <c r="D17" i="2"/>
  <c r="C17" i="2"/>
  <c r="B17" i="2"/>
  <c r="A17" i="2"/>
  <c r="W16" i="2"/>
  <c r="V16" i="2"/>
  <c r="U16" i="2"/>
  <c r="J16" i="2"/>
  <c r="I16" i="2"/>
  <c r="H16" i="2"/>
  <c r="F16" i="2"/>
  <c r="E16" i="2"/>
  <c r="D16" i="2"/>
  <c r="C16" i="2"/>
  <c r="B16" i="2"/>
  <c r="A16" i="2"/>
  <c r="W15" i="2"/>
  <c r="V15" i="2"/>
  <c r="U15" i="2"/>
  <c r="J15" i="2"/>
  <c r="I15" i="2"/>
  <c r="H15" i="2"/>
  <c r="F15" i="2"/>
  <c r="E15" i="2"/>
  <c r="D15" i="2"/>
  <c r="C15" i="2"/>
  <c r="B15" i="2"/>
  <c r="A15" i="2"/>
  <c r="W14" i="2"/>
  <c r="V14" i="2"/>
  <c r="U14" i="2"/>
  <c r="J14" i="2"/>
  <c r="I14" i="2"/>
  <c r="H14" i="2"/>
  <c r="F14" i="2"/>
  <c r="E14" i="2"/>
  <c r="D14" i="2"/>
  <c r="C14" i="2"/>
  <c r="B14" i="2"/>
  <c r="A14" i="2"/>
  <c r="W13" i="2"/>
  <c r="V13" i="2"/>
  <c r="U13" i="2"/>
  <c r="J13" i="2"/>
  <c r="I13" i="2"/>
  <c r="H13" i="2"/>
  <c r="F13" i="2"/>
  <c r="E13" i="2"/>
  <c r="D13" i="2"/>
  <c r="C13" i="2"/>
  <c r="B13" i="2"/>
  <c r="A13" i="2"/>
  <c r="W12" i="2"/>
  <c r="V12" i="2"/>
  <c r="U12" i="2"/>
  <c r="J12" i="2"/>
  <c r="I12" i="2"/>
  <c r="H12" i="2"/>
  <c r="F12" i="2"/>
  <c r="E12" i="2"/>
  <c r="D12" i="2"/>
  <c r="C12" i="2"/>
  <c r="B12" i="2"/>
  <c r="A12" i="2"/>
  <c r="W11" i="2"/>
  <c r="V11" i="2"/>
  <c r="U11" i="2"/>
  <c r="J11" i="2"/>
  <c r="I11" i="2"/>
  <c r="H11" i="2"/>
  <c r="F11" i="2"/>
  <c r="E11" i="2"/>
  <c r="D11" i="2"/>
  <c r="C11" i="2"/>
  <c r="B11" i="2"/>
  <c r="A11" i="2"/>
  <c r="W10" i="2"/>
  <c r="V10" i="2"/>
  <c r="U10" i="2"/>
  <c r="J10" i="2"/>
  <c r="I10" i="2"/>
  <c r="H10" i="2"/>
  <c r="F10" i="2"/>
  <c r="E10" i="2"/>
  <c r="D10" i="2"/>
  <c r="C10" i="2"/>
  <c r="B10" i="2"/>
  <c r="A10" i="2"/>
  <c r="W9" i="2"/>
  <c r="V9" i="2"/>
  <c r="U9" i="2"/>
  <c r="J9" i="2"/>
  <c r="I9" i="2"/>
  <c r="H9" i="2"/>
  <c r="F9" i="2"/>
  <c r="E9" i="2"/>
  <c r="D9" i="2"/>
  <c r="C9" i="2"/>
  <c r="B9" i="2"/>
  <c r="A9" i="2"/>
  <c r="W8" i="2"/>
  <c r="V8" i="2"/>
  <c r="U8" i="2"/>
  <c r="J8" i="2"/>
  <c r="I8" i="2"/>
  <c r="H8" i="2"/>
  <c r="F8" i="2"/>
  <c r="E8" i="2"/>
  <c r="D8" i="2"/>
  <c r="C8" i="2"/>
  <c r="B8" i="2"/>
  <c r="A8" i="2"/>
  <c r="W7" i="2"/>
  <c r="V7" i="2"/>
  <c r="U7" i="2"/>
  <c r="J7" i="2"/>
  <c r="I7" i="2"/>
  <c r="H7" i="2"/>
  <c r="F7" i="2"/>
  <c r="E7" i="2"/>
  <c r="D7" i="2"/>
  <c r="C7" i="2"/>
  <c r="B7" i="2"/>
  <c r="A7" i="2"/>
  <c r="W6" i="2"/>
  <c r="V6" i="2"/>
  <c r="U6" i="2"/>
  <c r="J6" i="2"/>
  <c r="I6" i="2"/>
  <c r="H6" i="2"/>
  <c r="F6" i="2"/>
  <c r="E6" i="2"/>
  <c r="D6" i="2"/>
  <c r="C6" i="2"/>
  <c r="B6" i="2"/>
  <c r="A6" i="2"/>
  <c r="W5" i="2"/>
  <c r="V5" i="2"/>
  <c r="U5" i="2"/>
  <c r="F5" i="2"/>
  <c r="E5" i="2"/>
  <c r="D5" i="2"/>
  <c r="C5" i="2"/>
  <c r="B5" i="2"/>
  <c r="A5" i="2"/>
  <c r="W4" i="2"/>
  <c r="V4" i="2"/>
  <c r="U4" i="2"/>
  <c r="J4" i="2"/>
  <c r="I4" i="2"/>
  <c r="H4" i="2"/>
  <c r="F4" i="2"/>
  <c r="E4" i="2"/>
  <c r="D4" i="2"/>
  <c r="C4" i="2"/>
  <c r="B4" i="2"/>
  <c r="A4" i="2"/>
  <c r="F2" i="2"/>
  <c r="D2" i="2"/>
  <c r="C2" i="2"/>
  <c r="B2" i="2"/>
  <c r="A2" i="2"/>
  <c r="D1" i="2"/>
  <c r="C1" i="2"/>
  <c r="B1" i="2"/>
  <c r="A1" i="2"/>
  <c r="E76" i="1"/>
  <c r="I58" i="1"/>
  <c r="H58" i="1"/>
  <c r="G58" i="1"/>
  <c r="F58" i="1"/>
  <c r="E58" i="1"/>
  <c r="D58" i="1"/>
  <c r="A58" i="1"/>
  <c r="I57" i="1"/>
  <c r="H57" i="1"/>
  <c r="G57" i="1"/>
  <c r="F57" i="1"/>
  <c r="E57" i="1"/>
  <c r="D57" i="1"/>
  <c r="A57" i="1"/>
  <c r="I56" i="1"/>
  <c r="H56" i="1"/>
  <c r="G56" i="1"/>
  <c r="F56" i="1"/>
  <c r="E56" i="1"/>
  <c r="D56" i="1"/>
  <c r="A56" i="1"/>
  <c r="I55" i="1"/>
  <c r="H55" i="1"/>
  <c r="G55" i="1"/>
  <c r="F55" i="1"/>
  <c r="E55" i="1"/>
  <c r="D55" i="1"/>
  <c r="A55" i="1"/>
  <c r="I54" i="1"/>
  <c r="H54" i="1"/>
  <c r="G54" i="1"/>
  <c r="F54" i="1"/>
  <c r="E54" i="1"/>
  <c r="D54" i="1"/>
  <c r="A54" i="1"/>
  <c r="I53" i="1"/>
  <c r="H53" i="1"/>
  <c r="G53" i="1"/>
  <c r="F53" i="1"/>
  <c r="E53" i="1"/>
  <c r="D53" i="1"/>
  <c r="A53" i="1"/>
  <c r="I52" i="1"/>
  <c r="H52" i="1"/>
  <c r="G52" i="1"/>
  <c r="F52" i="1"/>
  <c r="E52" i="1"/>
  <c r="D52" i="1"/>
  <c r="A52" i="1"/>
  <c r="I51" i="1"/>
  <c r="H51" i="1"/>
  <c r="G51" i="1"/>
  <c r="F51" i="1"/>
  <c r="E51" i="1"/>
  <c r="D51" i="1"/>
  <c r="A51" i="1"/>
  <c r="I50" i="1"/>
  <c r="H50" i="1"/>
  <c r="G50" i="1"/>
  <c r="F50" i="1"/>
  <c r="E50" i="1"/>
  <c r="D50" i="1"/>
  <c r="A50" i="1"/>
  <c r="I49" i="1"/>
  <c r="H49" i="1"/>
  <c r="G49" i="1"/>
  <c r="F49" i="1"/>
  <c r="E49" i="1"/>
  <c r="D49" i="1"/>
  <c r="A49" i="1"/>
  <c r="I48" i="1"/>
  <c r="H48" i="1"/>
  <c r="G48" i="1"/>
  <c r="F48" i="1"/>
  <c r="E48" i="1"/>
  <c r="D48" i="1"/>
  <c r="A48" i="1"/>
  <c r="I47" i="1"/>
  <c r="H47" i="1"/>
  <c r="G47" i="1"/>
  <c r="F47" i="1"/>
  <c r="E47" i="1"/>
  <c r="D47" i="1"/>
  <c r="A47" i="1"/>
  <c r="I46" i="1"/>
  <c r="H46" i="1"/>
  <c r="G46" i="1"/>
  <c r="F46" i="1"/>
  <c r="E46" i="1"/>
  <c r="D46" i="1"/>
  <c r="A46" i="1"/>
  <c r="I45" i="1"/>
  <c r="H45" i="1"/>
  <c r="G45" i="1"/>
  <c r="F45" i="1"/>
  <c r="E45" i="1"/>
  <c r="D45" i="1"/>
  <c r="A45" i="1"/>
  <c r="I44" i="1"/>
  <c r="H44" i="1"/>
  <c r="G44" i="1"/>
  <c r="F44" i="1"/>
  <c r="E44" i="1"/>
  <c r="D44" i="1"/>
  <c r="A44" i="1"/>
  <c r="I43" i="1"/>
  <c r="H43" i="1"/>
  <c r="G43" i="1"/>
  <c r="F43" i="1"/>
  <c r="E43" i="1"/>
  <c r="D43" i="1"/>
  <c r="A43" i="1"/>
  <c r="I42" i="1"/>
  <c r="H42" i="1"/>
  <c r="G42" i="1"/>
  <c r="F42" i="1"/>
  <c r="E42" i="1"/>
  <c r="D42" i="1"/>
  <c r="A42" i="1"/>
  <c r="I41" i="1"/>
  <c r="H41" i="1"/>
  <c r="G41" i="1"/>
  <c r="F41" i="1"/>
  <c r="E41" i="1"/>
  <c r="D41" i="1"/>
  <c r="A41" i="1"/>
  <c r="I40" i="1"/>
  <c r="H40" i="1"/>
  <c r="G40" i="1"/>
  <c r="F40" i="1"/>
  <c r="E40" i="1"/>
  <c r="D40" i="1"/>
  <c r="A40" i="1"/>
  <c r="I39" i="1"/>
  <c r="H39" i="1"/>
  <c r="G39" i="1"/>
  <c r="F39" i="1"/>
  <c r="E39" i="1"/>
  <c r="D39" i="1"/>
  <c r="A39" i="1"/>
  <c r="I38" i="1"/>
  <c r="H38" i="1"/>
  <c r="G38" i="1"/>
  <c r="F38" i="1"/>
  <c r="E38" i="1"/>
  <c r="D38" i="1"/>
  <c r="A38" i="1"/>
  <c r="I37" i="1"/>
  <c r="H37" i="1"/>
  <c r="G37" i="1"/>
  <c r="F37" i="1"/>
  <c r="E37" i="1"/>
  <c r="D37" i="1"/>
  <c r="A37" i="1"/>
  <c r="I36" i="1"/>
  <c r="H36" i="1"/>
  <c r="G36" i="1"/>
  <c r="F36" i="1"/>
  <c r="E36" i="1"/>
  <c r="D36" i="1"/>
  <c r="A36" i="1"/>
  <c r="I35" i="1"/>
  <c r="H35" i="1"/>
  <c r="G35" i="1"/>
  <c r="F35" i="1"/>
  <c r="E35" i="1"/>
  <c r="D35" i="1"/>
  <c r="A35" i="1"/>
  <c r="I34" i="1"/>
  <c r="H34" i="1"/>
  <c r="G34" i="1"/>
  <c r="F34" i="1"/>
  <c r="E34" i="1"/>
  <c r="D34" i="1"/>
  <c r="A34" i="1"/>
  <c r="H32" i="1"/>
  <c r="G32" i="1"/>
  <c r="F32" i="1"/>
  <c r="C32" i="1"/>
  <c r="B32" i="1"/>
  <c r="H31" i="1"/>
  <c r="G31" i="1"/>
  <c r="F31" i="1"/>
  <c r="C31" i="1"/>
  <c r="B31" i="1"/>
  <c r="H30" i="1"/>
  <c r="G30" i="1"/>
  <c r="F30" i="1"/>
  <c r="C30" i="1"/>
  <c r="B30" i="1"/>
  <c r="H29" i="1"/>
  <c r="G29" i="1"/>
  <c r="F29" i="1"/>
  <c r="C29" i="1"/>
  <c r="B29" i="1"/>
  <c r="L28" i="1"/>
  <c r="H28" i="1"/>
  <c r="G28" i="1"/>
  <c r="F28" i="1"/>
  <c r="C28" i="1"/>
  <c r="B28" i="1"/>
  <c r="H27" i="1"/>
  <c r="G27" i="1"/>
  <c r="F27" i="1"/>
  <c r="C27" i="1"/>
  <c r="B27" i="1"/>
  <c r="H26" i="1"/>
  <c r="G26" i="1"/>
  <c r="F26" i="1"/>
  <c r="C26" i="1"/>
  <c r="B26" i="1"/>
  <c r="L25" i="1"/>
  <c r="H25" i="1"/>
  <c r="G25" i="1"/>
  <c r="F25" i="1"/>
  <c r="C25" i="1"/>
  <c r="B25" i="1"/>
  <c r="H24" i="1"/>
  <c r="G24" i="1"/>
  <c r="F24" i="1"/>
  <c r="C24" i="1"/>
  <c r="B24" i="1"/>
  <c r="H23" i="1"/>
  <c r="G23" i="1"/>
  <c r="F23" i="1"/>
  <c r="C23" i="1"/>
  <c r="B23" i="1"/>
  <c r="H22" i="1"/>
  <c r="G22" i="1"/>
  <c r="F22" i="1"/>
  <c r="C22" i="1"/>
  <c r="H21" i="1"/>
  <c r="G21" i="1"/>
  <c r="F21" i="1"/>
  <c r="C21" i="1"/>
  <c r="B21" i="1"/>
  <c r="H20" i="1"/>
  <c r="G20" i="1"/>
  <c r="F20" i="1"/>
  <c r="C20" i="1"/>
  <c r="B20" i="1"/>
  <c r="H19" i="1"/>
  <c r="G19" i="1"/>
  <c r="F19" i="1"/>
  <c r="C19" i="1"/>
  <c r="B19" i="1"/>
  <c r="H18" i="1"/>
  <c r="G18" i="1"/>
  <c r="F18" i="1"/>
  <c r="C18" i="1"/>
  <c r="B18" i="1"/>
  <c r="H17" i="1"/>
  <c r="G17" i="1"/>
  <c r="F17" i="1"/>
  <c r="C17" i="1"/>
  <c r="B17" i="1"/>
  <c r="H16" i="1"/>
  <c r="G16" i="1"/>
  <c r="F16" i="1"/>
  <c r="C16" i="1"/>
  <c r="B16" i="1"/>
  <c r="H15" i="1"/>
  <c r="G15" i="1"/>
  <c r="F15" i="1"/>
  <c r="C15" i="1"/>
  <c r="B15" i="1"/>
  <c r="H14" i="1"/>
  <c r="G14" i="1"/>
  <c r="F14" i="1"/>
  <c r="C14" i="1"/>
  <c r="B14" i="1"/>
  <c r="H13" i="1"/>
  <c r="G13" i="1"/>
  <c r="F13" i="1"/>
  <c r="C13" i="1"/>
  <c r="B13" i="1"/>
  <c r="H12" i="1"/>
  <c r="G12" i="1"/>
  <c r="F12" i="1"/>
  <c r="C12" i="1"/>
  <c r="B12" i="1"/>
  <c r="H11" i="1"/>
  <c r="G11" i="1"/>
  <c r="F11" i="1"/>
  <c r="C11" i="1"/>
  <c r="B11" i="1"/>
  <c r="H10" i="1"/>
  <c r="G10" i="1"/>
  <c r="F10" i="1"/>
  <c r="C10" i="1"/>
  <c r="B10" i="1"/>
  <c r="H9" i="1"/>
  <c r="G9" i="1"/>
  <c r="F9" i="1"/>
  <c r="C9" i="1"/>
  <c r="B9" i="1"/>
  <c r="H8" i="1"/>
  <c r="G8" i="1"/>
  <c r="F8" i="1"/>
  <c r="C8" i="1"/>
  <c r="B8" i="1"/>
  <c r="J3" i="1"/>
</calcChain>
</file>

<file path=xl/sharedStrings.xml><?xml version="1.0" encoding="utf-8"?>
<sst xmlns="http://schemas.openxmlformats.org/spreadsheetml/2006/main" count="372" uniqueCount="313">
  <si>
    <t>FICHA PARA EL CONSUMO DE MATERIALES  DE CALZADO Y MARROQUINERIA</t>
  </si>
  <si>
    <t>DOCENTE ENCARGADO</t>
  </si>
  <si>
    <t>NICOLAS ALVAREZ</t>
  </si>
  <si>
    <t>CURSO/TECNICO</t>
  </si>
  <si>
    <t>COSTO POR PAR/PRODUCTO</t>
  </si>
  <si>
    <t>NOMBRE DEL PRODUCTO</t>
  </si>
  <si>
    <t xml:space="preserve">EJERCICIOS </t>
  </si>
  <si>
    <t>FECHA DE ELABORACION DEL PRODUCTO</t>
  </si>
  <si>
    <t>NUMERO DE CEDULA</t>
  </si>
  <si>
    <t>NUMERO DE FICHA</t>
  </si>
  <si>
    <t>CANTIDAD A PRODUCIR</t>
  </si>
  <si>
    <t>FECHA ENTREGA DEL PRODUCTO</t>
  </si>
  <si>
    <t>enero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</si>
  <si>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</si>
  <si>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</si>
  <si>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</si>
  <si>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</si>
  <si>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</si>
  <si>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</si>
  <si>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</si>
  <si>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</si>
  <si>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</si>
  <si>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</si>
  <si>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>VALOR DEL PRODUCTO FINAL</t>
  </si>
  <si>
    <t>VALOR DE LA PRODUCCION</t>
  </si>
  <si>
    <t>OBSERVACIONES</t>
  </si>
  <si>
    <t xml:space="preserve">GUJA 110 GRUESA CABO CORTO 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</si>
  <si>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</si>
  <si>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</si>
  <si>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</si>
  <si>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</si>
  <si>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</si>
  <si>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</si>
  <si>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</si>
  <si>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</si>
  <si>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</si>
  <si>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</si>
  <si>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</si>
  <si>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</si>
  <si>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</si>
  <si>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</si>
  <si>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</si>
  <si>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</si>
  <si>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</si>
  <si>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</si>
  <si>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</si>
  <si>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</si>
  <si>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</si>
  <si>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</si>
  <si>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</si>
  <si>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</si>
  <si>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</si>
  <si>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</si>
  <si>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</si>
  <si>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</si>
  <si>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</si>
  <si>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</si>
  <si>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</si>
  <si>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</si>
  <si>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</si>
  <si>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</si>
  <si>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</si>
  <si>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 xml:space="preserve"> 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</si>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</sst>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5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/>
    </xf>
    <xf numFmtId="1" fontId="29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0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1" fillId="9" borderId="1" xfId="0" applyNumberFormat="1" applyFont="1" applyFill="1" applyBorder="1" applyAlignment="1">
      <alignment horizontal="center" vertical="top"/>
    </xf>
    <xf numFmtId="165" fontId="31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2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1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3" fillId="3" borderId="21" xfId="0" applyFont="1" applyFill="1" applyBorder="1" applyAlignment="1">
      <alignment horizontal="left"/>
    </xf>
    <xf numFmtId="164" fontId="34" fillId="3" borderId="15" xfId="0" applyNumberFormat="1" applyFont="1" applyFill="1" applyBorder="1"/>
    <xf numFmtId="0" fontId="3" fillId="3" borderId="1" xfId="0" applyFont="1" applyFill="1" applyBorder="1"/>
    <xf numFmtId="165" fontId="31" fillId="3" borderId="1" xfId="0" applyNumberFormat="1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5" fillId="0" borderId="0" xfId="0" applyFont="1"/>
    <xf numFmtId="0" fontId="3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6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39" fillId="13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0" fontId="39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/>
    <xf numFmtId="0" fontId="37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39" fillId="13" borderId="1" xfId="0" applyNumberFormat="1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2" fontId="31" fillId="4" borderId="1" xfId="0" applyNumberFormat="1" applyFont="1" applyFill="1" applyBorder="1" applyAlignment="1">
      <alignment horizontal="center" vertical="center" wrapText="1"/>
    </xf>
    <xf numFmtId="2" fontId="31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2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top"/>
    </xf>
    <xf numFmtId="12" fontId="40" fillId="3" borderId="1" xfId="0" applyNumberFormat="1" applyFont="1" applyFill="1" applyBorder="1" applyAlignment="1">
      <alignment horizontal="center" vertical="top"/>
    </xf>
    <xf numFmtId="49" fontId="40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1" fillId="3" borderId="1" xfId="0" applyNumberFormat="1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4" fillId="3" borderId="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27" fillId="2" borderId="2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0" fillId="9" borderId="14" xfId="0" applyFont="1" applyFill="1" applyBorder="1" applyAlignment="1">
      <alignment horizontal="center" vertical="center" wrapText="1"/>
    </xf>
    <xf numFmtId="0" fontId="33" fillId="3" borderId="26" xfId="0" applyFont="1" applyFill="1" applyBorder="1" applyAlignment="1">
      <alignment horizontal="left"/>
    </xf>
    <xf numFmtId="165" fontId="31" fillId="3" borderId="26" xfId="0" applyNumberFormat="1" applyFont="1" applyFill="1" applyBorder="1" applyAlignment="1">
      <alignment horizontal="center" vertical="top"/>
    </xf>
    <xf numFmtId="0" fontId="31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0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1" width="36.5703125" customWidth="1"/>
    <col min="2" max="2" width="13" customWidth="1"/>
    <col min="3" max="3" width="14.42578125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4" t="s">
        <v>1</v>
      </c>
      <c r="B2" s="113"/>
      <c r="C2" s="2"/>
      <c r="D2" s="115" t="s">
        <v>2</v>
      </c>
      <c r="E2" s="113"/>
      <c r="F2" s="116" t="s">
        <v>3</v>
      </c>
      <c r="G2" s="112"/>
      <c r="H2" s="113"/>
      <c r="I2" s="117">
        <v>1</v>
      </c>
      <c r="J2" s="118" t="s">
        <v>4</v>
      </c>
      <c r="K2" s="112"/>
      <c r="L2" s="112"/>
      <c r="M2" s="113"/>
      <c r="N2" s="119"/>
      <c r="O2" s="119"/>
      <c r="P2" s="119"/>
      <c r="Q2" s="119"/>
      <c r="R2" s="119"/>
      <c r="S2" s="119"/>
      <c r="T2" s="119"/>
      <c r="U2" s="119"/>
      <c r="V2" s="119"/>
      <c r="W2" s="1"/>
      <c r="X2" s="1"/>
      <c r="Y2" s="1"/>
      <c r="Z2" s="1"/>
    </row>
    <row r="3" spans="1:26" ht="20.25" customHeight="1">
      <c r="A3" s="120" t="s">
        <v>5</v>
      </c>
      <c r="B3" s="3"/>
      <c r="C3" s="2"/>
      <c r="D3" s="121" t="s">
        <v>6</v>
      </c>
      <c r="E3" s="122"/>
      <c r="F3" s="115"/>
      <c r="G3" s="112"/>
      <c r="H3" s="113"/>
      <c r="I3" s="123"/>
      <c r="J3" s="124">
        <f>SUM(G8:G32)</f>
        <v>6600</v>
      </c>
      <c r="K3" s="125"/>
      <c r="L3" s="125"/>
      <c r="M3" s="126"/>
      <c r="N3" s="119"/>
      <c r="O3" s="119"/>
      <c r="P3" s="119"/>
      <c r="Q3" s="119"/>
      <c r="R3" s="119"/>
      <c r="S3" s="119"/>
      <c r="T3" s="119"/>
      <c r="U3" s="119"/>
      <c r="V3" s="119"/>
      <c r="W3" s="1"/>
      <c r="X3" s="1"/>
      <c r="Y3" s="1"/>
      <c r="Z3" s="1"/>
    </row>
    <row r="4" spans="1:26" ht="20.25" customHeight="1">
      <c r="A4" s="4" t="s">
        <v>7</v>
      </c>
      <c r="B4" s="3"/>
      <c r="C4" s="3"/>
      <c r="D4" s="5">
        <v>44974</v>
      </c>
      <c r="E4" s="6" t="s">
        <v>8</v>
      </c>
      <c r="F4" s="6" t="s">
        <v>9</v>
      </c>
      <c r="G4" s="108" t="s">
        <v>9</v>
      </c>
      <c r="H4" s="113"/>
      <c r="I4" s="117">
        <v>1</v>
      </c>
      <c r="J4" s="127" t="s">
        <v>10</v>
      </c>
      <c r="K4" s="128"/>
      <c r="L4" s="128"/>
      <c r="M4" s="129"/>
      <c r="N4" s="119"/>
      <c r="O4" s="119"/>
      <c r="P4" s="119"/>
      <c r="Q4" s="119"/>
      <c r="R4" s="119"/>
      <c r="S4" s="119"/>
      <c r="T4" s="119"/>
      <c r="U4" s="119"/>
      <c r="V4" s="119"/>
      <c r="W4" s="1"/>
      <c r="X4" s="1"/>
      <c r="Y4" s="1"/>
      <c r="Z4" s="1"/>
    </row>
    <row r="5" spans="1:26" ht="20.25" customHeight="1">
      <c r="A5" s="7" t="s">
        <v>11</v>
      </c>
      <c r="B5" s="120"/>
      <c r="C5" s="8"/>
      <c r="D5" s="5" t="s">
        <v>12</v>
      </c>
      <c r="E5" s="9">
        <v>43498846</v>
      </c>
      <c r="F5" s="9"/>
      <c r="G5" s="3"/>
      <c r="H5" s="3"/>
      <c r="I5" s="123"/>
      <c r="J5" s="130">
        <v>13</v>
      </c>
      <c r="K5" s="112"/>
      <c r="L5" s="112"/>
      <c r="M5" s="113"/>
      <c r="N5" s="119"/>
      <c r="O5" s="119"/>
      <c r="P5" s="119"/>
      <c r="Q5" s="119"/>
      <c r="R5" s="119"/>
      <c r="S5" s="119"/>
      <c r="T5" s="119"/>
      <c r="U5" s="119"/>
      <c r="V5" s="119"/>
      <c r="W5" s="1"/>
      <c r="X5" s="1"/>
      <c r="Y5" s="1"/>
      <c r="Z5" s="1"/>
    </row>
    <row r="6" spans="1:26" ht="10.5" hidden="1" customHeight="1">
      <c r="A6" s="131"/>
      <c r="B6" s="126"/>
      <c r="C6" s="132"/>
      <c r="D6" s="133"/>
      <c r="E6" s="113"/>
      <c r="F6" s="10"/>
      <c r="G6" s="134"/>
      <c r="H6" s="113"/>
      <c r="I6" s="135"/>
      <c r="J6" s="1"/>
      <c r="K6" s="1"/>
      <c r="L6" s="1"/>
      <c r="M6" s="1"/>
      <c r="N6" s="119"/>
      <c r="O6" s="119"/>
      <c r="P6" s="119"/>
      <c r="Q6" s="119"/>
      <c r="R6" s="119"/>
      <c r="S6" s="119"/>
      <c r="T6" s="119"/>
      <c r="U6" s="119"/>
      <c r="V6" s="119"/>
      <c r="W6" s="1"/>
      <c r="X6" s="1"/>
      <c r="Y6" s="1"/>
      <c r="Z6" s="1"/>
    </row>
    <row r="7" spans="1:26" ht="48.75" customHeight="1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I7" s="1"/>
      <c r="J7" s="109" t="s">
        <v>21</v>
      </c>
      <c r="K7" s="136"/>
      <c r="L7" s="136"/>
      <c r="M7" s="137"/>
      <c r="N7" s="119"/>
      <c r="O7" s="119"/>
      <c r="P7" s="119"/>
      <c r="Q7" s="119"/>
      <c r="R7" s="119"/>
      <c r="S7" s="119"/>
      <c r="T7" s="119"/>
      <c r="U7" s="119"/>
      <c r="V7" s="1"/>
      <c r="W7" s="1"/>
      <c r="X7" s="1"/>
      <c r="Y7" s="1"/>
      <c r="Z7" s="1"/>
    </row>
    <row r="8" spans="1:26" ht="18" customHeight="1">
      <c r="A8" s="13" t="s">
        <v>22</v>
      </c>
      <c r="B8" s="14">
        <f>VLOOKUP(A8,INVENTARIO,2,FALSE)</f>
        <v>0.66</v>
      </c>
      <c r="C8" s="14">
        <f>VLOOKUP(B8,broche,2,FALSE)</f>
        <v>1</v>
      </c>
      <c r="D8" s="15">
        <v>0</v>
      </c>
      <c r="E8" s="16">
        <v>10000</v>
      </c>
      <c r="F8" s="17">
        <f t="shared" ref="F8:F32" si="0">F34/G34</f>
        <v>0.66</v>
      </c>
      <c r="G8" s="18">
        <f t="shared" ref="G8:G32" si="1">E8*F8*$I$2</f>
        <v>6600</v>
      </c>
      <c r="H8" s="19">
        <f t="shared" ref="H8:H32" si="2">H34*F8*E8</f>
        <v>85800</v>
      </c>
      <c r="I8" s="119"/>
      <c r="J8" s="138"/>
      <c r="K8" s="139"/>
      <c r="L8" s="139"/>
      <c r="M8" s="140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8" customHeight="1">
      <c r="A9" s="13"/>
      <c r="B9" s="14">
        <f>VLOOKUP(A9,INVENTARIO,2,FALSE)</f>
        <v>0</v>
      </c>
      <c r="C9" s="14">
        <f>VLOOKUP(B9,broche,2,FALSE)</f>
        <v>0</v>
      </c>
      <c r="D9" s="15">
        <v>0</v>
      </c>
      <c r="E9" s="16">
        <v>1750</v>
      </c>
      <c r="F9" s="17">
        <f t="shared" si="0"/>
        <v>0</v>
      </c>
      <c r="G9" s="18">
        <f t="shared" si="1"/>
        <v>0</v>
      </c>
      <c r="H9" s="19">
        <f t="shared" si="2"/>
        <v>0</v>
      </c>
      <c r="I9" s="119"/>
      <c r="J9" s="138"/>
      <c r="K9" s="139"/>
      <c r="L9" s="139"/>
      <c r="M9" s="140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8" customHeight="1">
      <c r="A10" s="13">
        <v>0</v>
      </c>
      <c r="B10" s="14">
        <f>VLOOKUP(A10,INVENTARIO,2,FALSE)</f>
        <v>0</v>
      </c>
      <c r="C10" s="14">
        <f>VLOOKUP(B10,broche,2,FALSE)</f>
        <v>0</v>
      </c>
      <c r="D10" s="15">
        <v>0</v>
      </c>
      <c r="E10" s="16">
        <v>0</v>
      </c>
      <c r="F10" s="17">
        <f t="shared" si="0"/>
        <v>0</v>
      </c>
      <c r="G10" s="18">
        <f t="shared" si="1"/>
        <v>0</v>
      </c>
      <c r="H10" s="19">
        <f t="shared" si="2"/>
        <v>0</v>
      </c>
      <c r="I10" s="119"/>
      <c r="J10" s="138"/>
      <c r="K10" s="139"/>
      <c r="L10" s="139"/>
      <c r="M10" s="140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>
        <v>0</v>
      </c>
      <c r="E11" s="16">
        <v>0</v>
      </c>
      <c r="F11" s="17">
        <f t="shared" si="0"/>
        <v>0</v>
      </c>
      <c r="G11" s="18">
        <f t="shared" si="1"/>
        <v>0</v>
      </c>
      <c r="H11" s="19">
        <f t="shared" si="2"/>
        <v>0</v>
      </c>
      <c r="I11" s="119"/>
      <c r="J11" s="138"/>
      <c r="K11" s="139"/>
      <c r="L11" s="139"/>
      <c r="M11" s="140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8" customHeight="1">
      <c r="A12" s="13">
        <v>0</v>
      </c>
      <c r="B12" s="14">
        <f>VLOOKUP(A12,INVENTARIO,2,FALSE)</f>
        <v>0</v>
      </c>
      <c r="C12" s="14">
        <f>VLOOKUP(B12,broche,2,FALSE)</f>
        <v>0</v>
      </c>
      <c r="D12" s="15">
        <v>0</v>
      </c>
      <c r="E12" s="16">
        <v>0</v>
      </c>
      <c r="F12" s="17">
        <f t="shared" si="0"/>
        <v>0</v>
      </c>
      <c r="G12" s="18">
        <f t="shared" si="1"/>
        <v>0</v>
      </c>
      <c r="H12" s="19">
        <f t="shared" si="2"/>
        <v>0</v>
      </c>
      <c r="I12" s="119"/>
      <c r="J12" s="138"/>
      <c r="K12" s="139"/>
      <c r="L12" s="139"/>
      <c r="M12" s="140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8" customHeight="1">
      <c r="A13" s="13">
        <v>0</v>
      </c>
      <c r="B13" s="14">
        <f>VLOOKUP(A13,INVENTARIO,2,FALSE)</f>
        <v>0</v>
      </c>
      <c r="C13" s="14">
        <f>VLOOKUP(B13,broche,2,FALSE)</f>
        <v>0</v>
      </c>
      <c r="D13" s="15">
        <v>0</v>
      </c>
      <c r="E13" s="16">
        <v>0</v>
      </c>
      <c r="F13" s="17">
        <f t="shared" si="0"/>
        <v>0</v>
      </c>
      <c r="G13" s="18">
        <f t="shared" si="1"/>
        <v>0</v>
      </c>
      <c r="H13" s="19">
        <f t="shared" si="2"/>
        <v>0</v>
      </c>
      <c r="I13" s="119"/>
      <c r="J13" s="138"/>
      <c r="K13" s="139"/>
      <c r="L13" s="139"/>
      <c r="M13" s="140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8" customHeight="1">
      <c r="A14" s="13">
        <v>0</v>
      </c>
      <c r="B14" s="14">
        <f>VLOOKUP(A14,INVENTARIO,2,FALSE)</f>
        <v>0</v>
      </c>
      <c r="C14" s="14">
        <f>VLOOKUP(B14,broche,2,FALSE)</f>
        <v>0</v>
      </c>
      <c r="D14" s="15">
        <v>0</v>
      </c>
      <c r="E14" s="16">
        <v>0</v>
      </c>
      <c r="F14" s="17">
        <f t="shared" si="0"/>
        <v>0</v>
      </c>
      <c r="G14" s="18">
        <f t="shared" si="1"/>
        <v>0</v>
      </c>
      <c r="H14" s="19">
        <f t="shared" si="2"/>
        <v>0</v>
      </c>
      <c r="I14" s="119"/>
      <c r="J14" s="138"/>
      <c r="K14" s="139"/>
      <c r="L14" s="139"/>
      <c r="M14" s="140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6">
        <v>0</v>
      </c>
      <c r="F15" s="17">
        <f t="shared" si="0"/>
        <v>0</v>
      </c>
      <c r="G15" s="18">
        <f t="shared" si="1"/>
        <v>0</v>
      </c>
      <c r="H15" s="19">
        <f t="shared" si="2"/>
        <v>0</v>
      </c>
      <c r="I15" s="119"/>
      <c r="J15" s="138"/>
      <c r="K15" s="139"/>
      <c r="L15" s="139"/>
      <c r="M15" s="140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6">
        <v>0</v>
      </c>
      <c r="F16" s="17">
        <f t="shared" si="0"/>
        <v>0</v>
      </c>
      <c r="G16" s="18">
        <f t="shared" si="1"/>
        <v>0</v>
      </c>
      <c r="H16" s="19">
        <f t="shared" si="2"/>
        <v>0</v>
      </c>
      <c r="I16" s="119"/>
      <c r="J16" s="138"/>
      <c r="K16" s="139"/>
      <c r="L16" s="139"/>
      <c r="M16" s="140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6">
        <v>0</v>
      </c>
      <c r="F17" s="17">
        <f t="shared" si="0"/>
        <v>0</v>
      </c>
      <c r="G17" s="18">
        <f t="shared" si="1"/>
        <v>0</v>
      </c>
      <c r="H17" s="19">
        <f t="shared" si="2"/>
        <v>0</v>
      </c>
      <c r="I17" s="119"/>
      <c r="J17" s="138"/>
      <c r="K17" s="139"/>
      <c r="L17" s="139"/>
      <c r="M17" s="140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>
        <v>0</v>
      </c>
      <c r="E18" s="16">
        <v>0</v>
      </c>
      <c r="F18" s="17">
        <f t="shared" si="0"/>
        <v>0</v>
      </c>
      <c r="G18" s="18">
        <f t="shared" si="1"/>
        <v>0</v>
      </c>
      <c r="H18" s="19">
        <f t="shared" si="2"/>
        <v>0</v>
      </c>
      <c r="I18" s="119"/>
      <c r="J18" s="138"/>
      <c r="K18" s="139"/>
      <c r="L18" s="139"/>
      <c r="M18" s="140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6">
        <v>0</v>
      </c>
      <c r="F19" s="17">
        <f t="shared" si="0"/>
        <v>0</v>
      </c>
      <c r="G19" s="18">
        <f t="shared" si="1"/>
        <v>0</v>
      </c>
      <c r="H19" s="19">
        <f t="shared" si="2"/>
        <v>0</v>
      </c>
      <c r="I19" s="119"/>
      <c r="J19" s="138"/>
      <c r="K19" s="139"/>
      <c r="L19" s="139"/>
      <c r="M19" s="14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19"/>
      <c r="J20" s="138"/>
      <c r="K20" s="139"/>
      <c r="L20" s="139"/>
      <c r="M20" s="140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19"/>
      <c r="J21" s="138"/>
      <c r="K21" s="139"/>
      <c r="L21" s="139"/>
      <c r="M21" s="140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19"/>
      <c r="J22" s="138"/>
      <c r="K22" s="139"/>
      <c r="L22" s="139"/>
      <c r="M22" s="140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19"/>
      <c r="J23" s="138"/>
      <c r="K23" s="139"/>
      <c r="L23" s="139"/>
      <c r="M23" s="140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19"/>
      <c r="J24" s="141"/>
      <c r="K24" s="142"/>
      <c r="L24" s="142"/>
      <c r="M24" s="143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19"/>
      <c r="J25" s="144" t="s">
        <v>23</v>
      </c>
      <c r="K25" s="129"/>
      <c r="L25" s="145">
        <f>J3*110%</f>
        <v>7260</v>
      </c>
      <c r="M25" s="12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19"/>
      <c r="J26" s="146"/>
      <c r="K26" s="129"/>
      <c r="L26" s="146"/>
      <c r="M26" s="12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19"/>
      <c r="J27" s="147"/>
      <c r="K27" s="126"/>
      <c r="L27" s="147"/>
      <c r="M27" s="126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19"/>
      <c r="J28" s="148" t="s">
        <v>24</v>
      </c>
      <c r="K28" s="122"/>
      <c r="L28" s="149">
        <f>L25*J5</f>
        <v>94380</v>
      </c>
      <c r="M28" s="122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19"/>
      <c r="J29" s="146"/>
      <c r="K29" s="129"/>
      <c r="L29" s="146"/>
      <c r="M29" s="12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19"/>
      <c r="J30" s="147"/>
      <c r="K30" s="126"/>
      <c r="L30" s="147"/>
      <c r="M30" s="126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I32" s="1"/>
      <c r="J32" s="119"/>
      <c r="K32" s="119"/>
      <c r="L32" s="119"/>
      <c r="M32" s="119"/>
      <c r="N32" s="119"/>
      <c r="O32" s="119"/>
      <c r="P32" s="119"/>
      <c r="Q32" s="119"/>
      <c r="R32" s="119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0"/>
      <c r="B33" s="150"/>
      <c r="C33" s="14"/>
      <c r="D33" s="20"/>
      <c r="E33" s="16"/>
      <c r="F33" s="21"/>
      <c r="G33" s="151"/>
      <c r="H33" s="113"/>
      <c r="I33" s="22"/>
      <c r="J33" s="152"/>
      <c r="K33" s="135"/>
      <c r="L33" s="135"/>
      <c r="M33" s="135"/>
      <c r="N33" s="119"/>
      <c r="O33" s="119"/>
      <c r="P33" s="119"/>
      <c r="Q33" s="119"/>
      <c r="R33" s="119"/>
      <c r="S33" s="119"/>
      <c r="T33" s="119"/>
      <c r="U33" s="119"/>
      <c r="V33" s="119"/>
      <c r="W33" s="1"/>
      <c r="X33" s="1"/>
      <c r="Y33" s="1"/>
      <c r="Z33" s="1"/>
    </row>
    <row r="34" spans="1:26" ht="12.75" hidden="1" customHeight="1">
      <c r="A34" s="153" t="str">
        <f t="shared" ref="A34:A58" si="3">A8</f>
        <v>Lona Sintetica Colores  (cm²)</v>
      </c>
      <c r="B34" s="154"/>
      <c r="C34" s="154"/>
      <c r="D34" s="23">
        <f t="shared" ref="D34:D58" si="4">IF(D8&lt;1,0,D8)</f>
        <v>0</v>
      </c>
      <c r="E34" s="24">
        <f t="shared" ref="E34:E58" si="5">IF(C8*B8&lt;1,0,C8)</f>
        <v>0</v>
      </c>
      <c r="F34" s="25">
        <f t="shared" ref="F34:F58" si="6">B8</f>
        <v>0.66</v>
      </c>
      <c r="G34" s="155">
        <f t="shared" ref="G34:G58" si="7">IF(E34&lt;1,(1),E34)</f>
        <v>1</v>
      </c>
      <c r="H34" s="14">
        <f>J5</f>
        <v>13</v>
      </c>
      <c r="I34" s="26">
        <f t="shared" ref="I34:I58" si="8">G8/G34</f>
        <v>6600</v>
      </c>
      <c r="J34" s="152"/>
      <c r="K34" s="135"/>
      <c r="L34" s="135"/>
      <c r="M34" s="135"/>
      <c r="N34" s="119"/>
      <c r="O34" s="119"/>
      <c r="P34" s="119"/>
      <c r="Q34" s="119"/>
      <c r="R34" s="119"/>
      <c r="S34" s="119"/>
      <c r="T34" s="119"/>
      <c r="U34" s="119"/>
      <c r="V34" s="119"/>
      <c r="W34" s="1"/>
      <c r="X34" s="1"/>
      <c r="Y34" s="1"/>
      <c r="Z34" s="1"/>
    </row>
    <row r="35" spans="1:26" ht="12.75" hidden="1" customHeight="1">
      <c r="A35" s="153" t="str">
        <f t="shared" si="3"/>
        <v/>
      </c>
      <c r="B35" s="154"/>
      <c r="C35" s="154"/>
      <c r="D35" s="23">
        <f t="shared" si="4"/>
        <v>0</v>
      </c>
      <c r="E35" s="24">
        <f t="shared" si="5"/>
        <v>0</v>
      </c>
      <c r="F35" s="25">
        <f t="shared" si="6"/>
        <v>0</v>
      </c>
      <c r="G35" s="156">
        <f t="shared" si="7"/>
        <v>1</v>
      </c>
      <c r="H35" s="14">
        <f>J5</f>
        <v>13</v>
      </c>
      <c r="I35" s="26">
        <f t="shared" si="8"/>
        <v>0</v>
      </c>
      <c r="J35" s="152"/>
      <c r="K35" s="135"/>
      <c r="L35" s="135"/>
      <c r="M35" s="135"/>
      <c r="N35" s="119"/>
      <c r="O35" s="119"/>
      <c r="P35" s="119"/>
      <c r="Q35" s="119"/>
      <c r="R35" s="119"/>
      <c r="S35" s="119"/>
      <c r="T35" s="119"/>
      <c r="U35" s="119"/>
      <c r="V35" s="119"/>
      <c r="W35" s="1"/>
      <c r="X35" s="1"/>
      <c r="Y35" s="1"/>
      <c r="Z35" s="1"/>
    </row>
    <row r="36" spans="1:26" ht="12.75" hidden="1" customHeight="1">
      <c r="A36" s="153">
        <f t="shared" si="3"/>
        <v>0</v>
      </c>
      <c r="B36" s="154"/>
      <c r="C36" s="154"/>
      <c r="D36" s="23">
        <f t="shared" si="4"/>
        <v>0</v>
      </c>
      <c r="E36" s="24">
        <f t="shared" si="5"/>
        <v>0</v>
      </c>
      <c r="F36" s="25">
        <f t="shared" si="6"/>
        <v>0</v>
      </c>
      <c r="G36" s="156">
        <f t="shared" si="7"/>
        <v>1</v>
      </c>
      <c r="H36" s="14">
        <f>J5</f>
        <v>13</v>
      </c>
      <c r="I36" s="26">
        <f t="shared" si="8"/>
        <v>0</v>
      </c>
      <c r="J36" s="152"/>
      <c r="K36" s="135"/>
      <c r="L36" s="135"/>
      <c r="M36" s="135"/>
      <c r="N36" s="119"/>
      <c r="O36" s="119"/>
      <c r="P36" s="119"/>
      <c r="Q36" s="119"/>
      <c r="R36" s="119"/>
      <c r="S36" s="119"/>
      <c r="T36" s="119"/>
      <c r="U36" s="119"/>
      <c r="V36" s="119"/>
      <c r="W36" s="1"/>
      <c r="X36" s="1"/>
      <c r="Y36" s="1"/>
      <c r="Z36" s="1"/>
    </row>
    <row r="37" spans="1:26" ht="12.75" hidden="1" customHeight="1">
      <c r="A37" s="153">
        <f t="shared" si="3"/>
        <v>0</v>
      </c>
      <c r="B37" s="154"/>
      <c r="C37" s="154"/>
      <c r="D37" s="23">
        <f t="shared" si="4"/>
        <v>0</v>
      </c>
      <c r="E37" s="24">
        <f t="shared" si="5"/>
        <v>0</v>
      </c>
      <c r="F37" s="25">
        <f t="shared" si="6"/>
        <v>0</v>
      </c>
      <c r="G37" s="156">
        <f t="shared" si="7"/>
        <v>1</v>
      </c>
      <c r="H37" s="14">
        <f>J5</f>
        <v>13</v>
      </c>
      <c r="I37" s="26">
        <f t="shared" si="8"/>
        <v>0</v>
      </c>
      <c r="J37" s="152"/>
      <c r="K37" s="135"/>
      <c r="L37" s="135"/>
      <c r="M37" s="135"/>
      <c r="N37" s="119"/>
      <c r="O37" s="119"/>
      <c r="P37" s="119"/>
      <c r="Q37" s="119"/>
      <c r="R37" s="119"/>
      <c r="S37" s="119"/>
      <c r="T37" s="119"/>
      <c r="U37" s="119"/>
      <c r="V37" s="119"/>
      <c r="W37" s="1"/>
      <c r="X37" s="1"/>
      <c r="Y37" s="1"/>
      <c r="Z37" s="1"/>
    </row>
    <row r="38" spans="1:26" ht="12.75" hidden="1" customHeight="1">
      <c r="A38" s="153">
        <f t="shared" si="3"/>
        <v>0</v>
      </c>
      <c r="B38" s="154"/>
      <c r="C38" s="154"/>
      <c r="D38" s="23">
        <f t="shared" si="4"/>
        <v>0</v>
      </c>
      <c r="E38" s="24">
        <f t="shared" si="5"/>
        <v>0</v>
      </c>
      <c r="F38" s="25">
        <f t="shared" si="6"/>
        <v>0</v>
      </c>
      <c r="G38" s="156">
        <f t="shared" si="7"/>
        <v>1</v>
      </c>
      <c r="H38" s="14">
        <f>J5</f>
        <v>13</v>
      </c>
      <c r="I38" s="26">
        <f t="shared" si="8"/>
        <v>0</v>
      </c>
      <c r="J38" s="152"/>
      <c r="K38" s="135"/>
      <c r="L38" s="135"/>
      <c r="M38" s="135"/>
      <c r="N38" s="119"/>
      <c r="O38" s="119"/>
      <c r="P38" s="119"/>
      <c r="Q38" s="119"/>
      <c r="R38" s="119"/>
      <c r="S38" s="119"/>
      <c r="T38" s="119"/>
      <c r="U38" s="119"/>
      <c r="V38" s="119"/>
      <c r="W38" s="1"/>
      <c r="X38" s="1"/>
      <c r="Y38" s="1"/>
      <c r="Z38" s="1"/>
    </row>
    <row r="39" spans="1:26" ht="12.75" hidden="1" customHeight="1">
      <c r="A39" s="153">
        <f t="shared" si="3"/>
        <v>0</v>
      </c>
      <c r="B39" s="154"/>
      <c r="C39" s="154"/>
      <c r="D39" s="23">
        <f t="shared" si="4"/>
        <v>0</v>
      </c>
      <c r="E39" s="24">
        <f t="shared" si="5"/>
        <v>0</v>
      </c>
      <c r="F39" s="25">
        <f t="shared" si="6"/>
        <v>0</v>
      </c>
      <c r="G39" s="156">
        <f t="shared" si="7"/>
        <v>1</v>
      </c>
      <c r="H39" s="14">
        <f>J5</f>
        <v>13</v>
      </c>
      <c r="I39" s="26">
        <f t="shared" si="8"/>
        <v>0</v>
      </c>
      <c r="J39" s="152"/>
      <c r="K39" s="135"/>
      <c r="L39" s="135"/>
      <c r="M39" s="135"/>
      <c r="N39" s="119"/>
      <c r="O39" s="119"/>
      <c r="P39" s="119"/>
      <c r="Q39" s="119"/>
      <c r="R39" s="119"/>
      <c r="S39" s="119"/>
      <c r="T39" s="119"/>
      <c r="U39" s="119"/>
      <c r="V39" s="119"/>
      <c r="W39" s="1"/>
      <c r="X39" s="1"/>
      <c r="Y39" s="1"/>
      <c r="Z39" s="1"/>
    </row>
    <row r="40" spans="1:26" ht="12.75" hidden="1" customHeight="1">
      <c r="A40" s="153">
        <f t="shared" si="3"/>
        <v>0</v>
      </c>
      <c r="B40" s="154"/>
      <c r="C40" s="154"/>
      <c r="D40" s="23">
        <f t="shared" si="4"/>
        <v>0</v>
      </c>
      <c r="E40" s="24">
        <f t="shared" si="5"/>
        <v>0</v>
      </c>
      <c r="F40" s="25">
        <f t="shared" si="6"/>
        <v>0</v>
      </c>
      <c r="G40" s="156">
        <f t="shared" si="7"/>
        <v>1</v>
      </c>
      <c r="H40" s="14">
        <f>J5</f>
        <v>13</v>
      </c>
      <c r="I40" s="26">
        <f t="shared" si="8"/>
        <v>0</v>
      </c>
      <c r="J40" s="152"/>
      <c r="K40" s="135"/>
      <c r="L40" s="135"/>
      <c r="M40" s="135"/>
      <c r="N40" s="119"/>
      <c r="O40" s="119"/>
      <c r="P40" s="119"/>
      <c r="Q40" s="119"/>
      <c r="R40" s="119"/>
      <c r="S40" s="119"/>
      <c r="T40" s="119"/>
      <c r="U40" s="119"/>
      <c r="V40" s="119"/>
      <c r="W40" s="1"/>
      <c r="X40" s="1"/>
      <c r="Y40" s="1"/>
      <c r="Z40" s="1"/>
    </row>
    <row r="41" spans="1:26" ht="12.75" hidden="1" customHeight="1">
      <c r="A41" s="153">
        <f t="shared" si="3"/>
        <v>0</v>
      </c>
      <c r="B41" s="154"/>
      <c r="C41" s="154"/>
      <c r="D41" s="23">
        <f t="shared" si="4"/>
        <v>0</v>
      </c>
      <c r="E41" s="24">
        <f t="shared" si="5"/>
        <v>0</v>
      </c>
      <c r="F41" s="25">
        <f t="shared" si="6"/>
        <v>0</v>
      </c>
      <c r="G41" s="156">
        <f t="shared" si="7"/>
        <v>1</v>
      </c>
      <c r="H41" s="14">
        <f>J5</f>
        <v>13</v>
      </c>
      <c r="I41" s="26">
        <f t="shared" si="8"/>
        <v>0</v>
      </c>
      <c r="J41" s="152"/>
      <c r="K41" s="135"/>
      <c r="L41" s="135"/>
      <c r="M41" s="135"/>
      <c r="N41" s="119"/>
      <c r="O41" s="119"/>
      <c r="P41" s="119"/>
      <c r="Q41" s="119"/>
      <c r="R41" s="119"/>
      <c r="S41" s="119"/>
      <c r="T41" s="119"/>
      <c r="U41" s="119"/>
      <c r="V41" s="119"/>
      <c r="W41" s="1"/>
      <c r="X41" s="1"/>
      <c r="Y41" s="1"/>
      <c r="Z41" s="1"/>
    </row>
    <row r="42" spans="1:26" ht="12.75" hidden="1" customHeight="1">
      <c r="A42" s="153">
        <f t="shared" si="3"/>
        <v>0</v>
      </c>
      <c r="B42" s="154"/>
      <c r="C42" s="154"/>
      <c r="D42" s="23">
        <f t="shared" si="4"/>
        <v>0</v>
      </c>
      <c r="E42" s="24">
        <f t="shared" si="5"/>
        <v>0</v>
      </c>
      <c r="F42" s="25">
        <f t="shared" si="6"/>
        <v>0</v>
      </c>
      <c r="G42" s="156">
        <f t="shared" si="7"/>
        <v>1</v>
      </c>
      <c r="H42" s="14">
        <f>J5</f>
        <v>13</v>
      </c>
      <c r="I42" s="26">
        <f t="shared" si="8"/>
        <v>0</v>
      </c>
      <c r="J42" s="152"/>
      <c r="K42" s="135"/>
      <c r="L42" s="135"/>
      <c r="M42" s="135"/>
      <c r="N42" s="119"/>
      <c r="O42" s="119"/>
      <c r="P42" s="119"/>
      <c r="Q42" s="119"/>
      <c r="R42" s="119"/>
      <c r="S42" s="119"/>
      <c r="T42" s="119"/>
      <c r="U42" s="119"/>
      <c r="V42" s="119"/>
      <c r="W42" s="1"/>
      <c r="X42" s="1"/>
      <c r="Y42" s="1"/>
      <c r="Z42" s="1"/>
    </row>
    <row r="43" spans="1:26" ht="12.75" hidden="1" customHeight="1">
      <c r="A43" s="153">
        <f t="shared" si="3"/>
        <v>0</v>
      </c>
      <c r="B43" s="154"/>
      <c r="C43" s="154"/>
      <c r="D43" s="23">
        <f t="shared" si="4"/>
        <v>0</v>
      </c>
      <c r="E43" s="24">
        <f t="shared" si="5"/>
        <v>0</v>
      </c>
      <c r="F43" s="25">
        <f t="shared" si="6"/>
        <v>0</v>
      </c>
      <c r="G43" s="156">
        <f t="shared" si="7"/>
        <v>1</v>
      </c>
      <c r="H43" s="14">
        <f>J5</f>
        <v>13</v>
      </c>
      <c r="I43" s="26">
        <f t="shared" si="8"/>
        <v>0</v>
      </c>
      <c r="J43" s="152"/>
      <c r="K43" s="135"/>
      <c r="L43" s="135"/>
      <c r="M43" s="135"/>
      <c r="N43" s="119"/>
      <c r="O43" s="119"/>
      <c r="P43" s="119"/>
      <c r="Q43" s="119"/>
      <c r="R43" s="119"/>
      <c r="S43" s="119"/>
      <c r="T43" s="119"/>
      <c r="U43" s="119"/>
      <c r="V43" s="119"/>
      <c r="W43" s="1"/>
      <c r="X43" s="1"/>
      <c r="Y43" s="1"/>
      <c r="Z43" s="1"/>
    </row>
    <row r="44" spans="1:26" ht="12.75" hidden="1" customHeight="1">
      <c r="A44" s="153">
        <f t="shared" si="3"/>
        <v>0</v>
      </c>
      <c r="B44" s="154"/>
      <c r="C44" s="154"/>
      <c r="D44" s="23">
        <f t="shared" si="4"/>
        <v>0</v>
      </c>
      <c r="E44" s="24">
        <f t="shared" si="5"/>
        <v>0</v>
      </c>
      <c r="F44" s="25">
        <f t="shared" si="6"/>
        <v>0</v>
      </c>
      <c r="G44" s="156">
        <f t="shared" si="7"/>
        <v>1</v>
      </c>
      <c r="H44" s="14">
        <f>J5</f>
        <v>13</v>
      </c>
      <c r="I44" s="26">
        <f t="shared" si="8"/>
        <v>0</v>
      </c>
      <c r="J44" s="152"/>
      <c r="K44" s="135"/>
      <c r="L44" s="135"/>
      <c r="M44" s="135"/>
      <c r="N44" s="119"/>
      <c r="O44" s="119"/>
      <c r="P44" s="119"/>
      <c r="Q44" s="119"/>
      <c r="R44" s="119"/>
      <c r="S44" s="119"/>
      <c r="T44" s="119"/>
      <c r="U44" s="119"/>
      <c r="V44" s="119"/>
      <c r="W44" s="1"/>
      <c r="X44" s="1"/>
      <c r="Y44" s="1"/>
      <c r="Z44" s="1"/>
    </row>
    <row r="45" spans="1:26" ht="12.75" hidden="1" customHeight="1">
      <c r="A45" s="153">
        <f t="shared" si="3"/>
        <v>0</v>
      </c>
      <c r="B45" s="154"/>
      <c r="C45" s="154"/>
      <c r="D45" s="23">
        <f t="shared" si="4"/>
        <v>0</v>
      </c>
      <c r="E45" s="24">
        <f t="shared" si="5"/>
        <v>0</v>
      </c>
      <c r="F45" s="25">
        <f t="shared" si="6"/>
        <v>0</v>
      </c>
      <c r="G45" s="156">
        <f t="shared" si="7"/>
        <v>1</v>
      </c>
      <c r="H45" s="14">
        <f>J5</f>
        <v>13</v>
      </c>
      <c r="I45" s="26">
        <f t="shared" si="8"/>
        <v>0</v>
      </c>
      <c r="J45" s="152"/>
      <c r="K45" s="135"/>
      <c r="L45" s="135"/>
      <c r="M45" s="135"/>
      <c r="N45" s="119"/>
      <c r="O45" s="119"/>
      <c r="P45" s="119"/>
      <c r="Q45" s="119"/>
      <c r="R45" s="119"/>
      <c r="S45" s="119"/>
      <c r="T45" s="119"/>
      <c r="U45" s="119"/>
      <c r="V45" s="119"/>
      <c r="W45" s="1"/>
      <c r="X45" s="1"/>
      <c r="Y45" s="1"/>
      <c r="Z45" s="1"/>
    </row>
    <row r="46" spans="1:26" ht="12.75" hidden="1" customHeight="1">
      <c r="A46" s="153">
        <f t="shared" si="3"/>
        <v>0</v>
      </c>
      <c r="B46" s="154"/>
      <c r="C46" s="154"/>
      <c r="D46" s="23">
        <f t="shared" si="4"/>
        <v>0</v>
      </c>
      <c r="E46" s="24">
        <f t="shared" si="5"/>
        <v>0</v>
      </c>
      <c r="F46" s="25">
        <f t="shared" si="6"/>
        <v>0</v>
      </c>
      <c r="G46" s="156">
        <f t="shared" si="7"/>
        <v>1</v>
      </c>
      <c r="H46" s="14">
        <f>J5</f>
        <v>13</v>
      </c>
      <c r="I46" s="26">
        <f t="shared" si="8"/>
        <v>0</v>
      </c>
      <c r="J46" s="152"/>
      <c r="K46" s="135"/>
      <c r="L46" s="135"/>
      <c r="M46" s="135"/>
      <c r="N46" s="119"/>
      <c r="O46" s="119"/>
      <c r="P46" s="119"/>
      <c r="Q46" s="119"/>
      <c r="R46" s="119"/>
      <c r="S46" s="119"/>
      <c r="T46" s="119"/>
      <c r="U46" s="119"/>
      <c r="V46" s="119"/>
      <c r="W46" s="1"/>
      <c r="X46" s="1"/>
      <c r="Y46" s="1"/>
      <c r="Z46" s="1"/>
    </row>
    <row r="47" spans="1:26" ht="12.75" hidden="1" customHeight="1">
      <c r="A47" s="153">
        <f t="shared" si="3"/>
        <v>0</v>
      </c>
      <c r="B47" s="154"/>
      <c r="C47" s="154"/>
      <c r="D47" s="23">
        <f t="shared" si="4"/>
        <v>0</v>
      </c>
      <c r="E47" s="24">
        <f t="shared" si="5"/>
        <v>0</v>
      </c>
      <c r="F47" s="25">
        <f t="shared" si="6"/>
        <v>0</v>
      </c>
      <c r="G47" s="156">
        <f t="shared" si="7"/>
        <v>1</v>
      </c>
      <c r="H47" s="14">
        <f>J5</f>
        <v>13</v>
      </c>
      <c r="I47" s="26">
        <f t="shared" si="8"/>
        <v>0</v>
      </c>
      <c r="J47" s="152"/>
      <c r="K47" s="135"/>
      <c r="L47" s="135"/>
      <c r="M47" s="135"/>
      <c r="N47" s="119"/>
      <c r="O47" s="119"/>
      <c r="P47" s="119"/>
      <c r="Q47" s="119"/>
      <c r="R47" s="119"/>
      <c r="S47" s="119"/>
      <c r="T47" s="119"/>
      <c r="U47" s="119"/>
      <c r="V47" s="119"/>
      <c r="W47" s="1"/>
      <c r="X47" s="1"/>
      <c r="Y47" s="1"/>
      <c r="Z47" s="1"/>
    </row>
    <row r="48" spans="1:26" ht="12.75" hidden="1" customHeight="1">
      <c r="A48" s="153">
        <f t="shared" si="3"/>
        <v>0</v>
      </c>
      <c r="B48" s="154"/>
      <c r="C48" s="154"/>
      <c r="D48" s="23">
        <f t="shared" si="4"/>
        <v>0</v>
      </c>
      <c r="E48" s="24">
        <f t="shared" si="5"/>
        <v>0</v>
      </c>
      <c r="F48" s="25">
        <f t="shared" si="6"/>
        <v>0.5</v>
      </c>
      <c r="G48" s="156">
        <f t="shared" si="7"/>
        <v>1</v>
      </c>
      <c r="H48" s="14">
        <f>J5</f>
        <v>13</v>
      </c>
      <c r="I48" s="26">
        <f t="shared" si="8"/>
        <v>0</v>
      </c>
      <c r="J48" s="152"/>
      <c r="K48" s="135"/>
      <c r="L48" s="135"/>
      <c r="M48" s="135"/>
      <c r="N48" s="119"/>
      <c r="O48" s="119"/>
      <c r="P48" s="119"/>
      <c r="Q48" s="119"/>
      <c r="R48" s="119"/>
      <c r="S48" s="119"/>
      <c r="T48" s="119"/>
      <c r="U48" s="119"/>
      <c r="V48" s="119"/>
      <c r="W48" s="1"/>
      <c r="X48" s="1"/>
      <c r="Y48" s="1"/>
      <c r="Z48" s="1"/>
    </row>
    <row r="49" spans="1:26" ht="12.75" hidden="1" customHeight="1">
      <c r="A49" s="153">
        <f t="shared" si="3"/>
        <v>0</v>
      </c>
      <c r="B49" s="154"/>
      <c r="C49" s="154"/>
      <c r="D49" s="23">
        <f t="shared" si="4"/>
        <v>0</v>
      </c>
      <c r="E49" s="24">
        <f t="shared" si="5"/>
        <v>0</v>
      </c>
      <c r="F49" s="25">
        <f t="shared" si="6"/>
        <v>0</v>
      </c>
      <c r="G49" s="156">
        <f t="shared" si="7"/>
        <v>1</v>
      </c>
      <c r="H49" s="14">
        <f>J5</f>
        <v>13</v>
      </c>
      <c r="I49" s="26">
        <f t="shared" si="8"/>
        <v>0</v>
      </c>
      <c r="J49" s="152"/>
      <c r="K49" s="135"/>
      <c r="L49" s="135"/>
      <c r="M49" s="135"/>
      <c r="N49" s="119"/>
      <c r="O49" s="119"/>
      <c r="P49" s="119"/>
      <c r="Q49" s="119"/>
      <c r="R49" s="119"/>
      <c r="S49" s="119"/>
      <c r="T49" s="119"/>
      <c r="U49" s="119"/>
      <c r="V49" s="119"/>
      <c r="W49" s="1"/>
      <c r="X49" s="1"/>
      <c r="Y49" s="1"/>
      <c r="Z49" s="1"/>
    </row>
    <row r="50" spans="1:26" ht="12.75" hidden="1" customHeight="1">
      <c r="A50" s="153">
        <f t="shared" si="3"/>
        <v>0</v>
      </c>
      <c r="B50" s="154"/>
      <c r="C50" s="154"/>
      <c r="D50" s="23">
        <f t="shared" si="4"/>
        <v>0</v>
      </c>
      <c r="E50" s="24">
        <f t="shared" si="5"/>
        <v>0</v>
      </c>
      <c r="F50" s="25">
        <f t="shared" si="6"/>
        <v>0</v>
      </c>
      <c r="G50" s="156">
        <f t="shared" si="7"/>
        <v>1</v>
      </c>
      <c r="H50" s="14">
        <f>J5</f>
        <v>13</v>
      </c>
      <c r="I50" s="26">
        <f t="shared" si="8"/>
        <v>0</v>
      </c>
      <c r="J50" s="152"/>
      <c r="K50" s="135"/>
      <c r="L50" s="135"/>
      <c r="M50" s="135"/>
      <c r="N50" s="119"/>
      <c r="O50" s="119"/>
      <c r="P50" s="119"/>
      <c r="Q50" s="119"/>
      <c r="R50" s="119"/>
      <c r="S50" s="119"/>
      <c r="T50" s="119"/>
      <c r="U50" s="119"/>
      <c r="V50" s="119"/>
      <c r="W50" s="1"/>
      <c r="X50" s="1"/>
      <c r="Y50" s="1"/>
      <c r="Z50" s="1"/>
    </row>
    <row r="51" spans="1:26" ht="12.75" hidden="1" customHeight="1">
      <c r="A51" s="153">
        <f t="shared" si="3"/>
        <v>0</v>
      </c>
      <c r="B51" s="154"/>
      <c r="C51" s="154"/>
      <c r="D51" s="23">
        <f t="shared" si="4"/>
        <v>0</v>
      </c>
      <c r="E51" s="24">
        <f t="shared" si="5"/>
        <v>0</v>
      </c>
      <c r="F51" s="25">
        <f t="shared" si="6"/>
        <v>0</v>
      </c>
      <c r="G51" s="156">
        <f t="shared" si="7"/>
        <v>1</v>
      </c>
      <c r="H51" s="14">
        <f>J5</f>
        <v>13</v>
      </c>
      <c r="I51" s="26">
        <f t="shared" si="8"/>
        <v>0</v>
      </c>
      <c r="J51" s="152"/>
      <c r="K51" s="135"/>
      <c r="L51" s="135"/>
      <c r="M51" s="135"/>
      <c r="N51" s="119"/>
      <c r="O51" s="119"/>
      <c r="P51" s="119"/>
      <c r="Q51" s="119"/>
      <c r="R51" s="119"/>
      <c r="S51" s="119"/>
      <c r="T51" s="119"/>
      <c r="U51" s="119"/>
      <c r="V51" s="119"/>
      <c r="W51" s="1"/>
      <c r="X51" s="1"/>
      <c r="Y51" s="1"/>
      <c r="Z51" s="1"/>
    </row>
    <row r="52" spans="1:26" ht="12.75" hidden="1" customHeight="1">
      <c r="A52" s="153">
        <f t="shared" si="3"/>
        <v>0</v>
      </c>
      <c r="B52" s="154"/>
      <c r="C52" s="154"/>
      <c r="D52" s="23">
        <f t="shared" si="4"/>
        <v>0</v>
      </c>
      <c r="E52" s="24">
        <f t="shared" si="5"/>
        <v>0</v>
      </c>
      <c r="F52" s="25">
        <f t="shared" si="6"/>
        <v>0</v>
      </c>
      <c r="G52" s="156">
        <f t="shared" si="7"/>
        <v>1</v>
      </c>
      <c r="H52" s="14">
        <f>J5</f>
        <v>13</v>
      </c>
      <c r="I52" s="26">
        <f t="shared" si="8"/>
        <v>0</v>
      </c>
      <c r="J52" s="152"/>
      <c r="K52" s="135"/>
      <c r="L52" s="135"/>
      <c r="M52" s="135"/>
      <c r="N52" s="119"/>
      <c r="O52" s="119"/>
      <c r="P52" s="119"/>
      <c r="Q52" s="119"/>
      <c r="R52" s="119"/>
      <c r="S52" s="119"/>
      <c r="T52" s="119"/>
      <c r="U52" s="119"/>
      <c r="V52" s="119"/>
      <c r="W52" s="1"/>
      <c r="X52" s="1"/>
      <c r="Y52" s="1"/>
      <c r="Z52" s="1"/>
    </row>
    <row r="53" spans="1:26" ht="12.75" hidden="1" customHeight="1">
      <c r="A53" s="153">
        <f t="shared" si="3"/>
        <v>0</v>
      </c>
      <c r="B53" s="154"/>
      <c r="C53" s="154"/>
      <c r="D53" s="23">
        <f t="shared" si="4"/>
        <v>0</v>
      </c>
      <c r="E53" s="24">
        <f t="shared" si="5"/>
        <v>0</v>
      </c>
      <c r="F53" s="25">
        <f t="shared" si="6"/>
        <v>0</v>
      </c>
      <c r="G53" s="156">
        <f t="shared" si="7"/>
        <v>1</v>
      </c>
      <c r="H53" s="14">
        <f>J5</f>
        <v>13</v>
      </c>
      <c r="I53" s="26">
        <f t="shared" si="8"/>
        <v>0</v>
      </c>
      <c r="J53" s="152"/>
      <c r="K53" s="135"/>
      <c r="L53" s="135"/>
      <c r="M53" s="135"/>
      <c r="N53" s="119"/>
      <c r="O53" s="119"/>
      <c r="P53" s="119"/>
      <c r="Q53" s="119"/>
      <c r="R53" s="119"/>
      <c r="S53" s="119"/>
      <c r="T53" s="119"/>
      <c r="U53" s="119"/>
      <c r="V53" s="119"/>
      <c r="W53" s="1"/>
      <c r="X53" s="1"/>
      <c r="Y53" s="1"/>
      <c r="Z53" s="1"/>
    </row>
    <row r="54" spans="1:26" ht="12.75" hidden="1" customHeight="1">
      <c r="A54" s="153">
        <f t="shared" si="3"/>
        <v>0</v>
      </c>
      <c r="B54" s="154"/>
      <c r="C54" s="154"/>
      <c r="D54" s="23">
        <f t="shared" si="4"/>
        <v>0</v>
      </c>
      <c r="E54" s="24">
        <f t="shared" si="5"/>
        <v>0</v>
      </c>
      <c r="F54" s="25">
        <f t="shared" si="6"/>
        <v>0</v>
      </c>
      <c r="G54" s="156">
        <f t="shared" si="7"/>
        <v>1</v>
      </c>
      <c r="H54" s="14">
        <f>J5</f>
        <v>13</v>
      </c>
      <c r="I54" s="26">
        <f t="shared" si="8"/>
        <v>0</v>
      </c>
      <c r="J54" s="152"/>
      <c r="K54" s="135"/>
      <c r="L54" s="135"/>
      <c r="M54" s="135"/>
      <c r="N54" s="119"/>
      <c r="O54" s="119"/>
      <c r="P54" s="119"/>
      <c r="Q54" s="119"/>
      <c r="R54" s="119"/>
      <c r="S54" s="119"/>
      <c r="T54" s="119"/>
      <c r="U54" s="119"/>
      <c r="V54" s="119"/>
      <c r="W54" s="1"/>
      <c r="X54" s="1"/>
      <c r="Y54" s="1"/>
      <c r="Z54" s="1"/>
    </row>
    <row r="55" spans="1:26" ht="12.75" hidden="1" customHeight="1">
      <c r="A55" s="153">
        <f t="shared" si="3"/>
        <v>0</v>
      </c>
      <c r="B55" s="154"/>
      <c r="C55" s="154"/>
      <c r="D55" s="23">
        <f t="shared" si="4"/>
        <v>0</v>
      </c>
      <c r="E55" s="24">
        <f t="shared" si="5"/>
        <v>0</v>
      </c>
      <c r="F55" s="25">
        <f t="shared" si="6"/>
        <v>0</v>
      </c>
      <c r="G55" s="156">
        <f t="shared" si="7"/>
        <v>1</v>
      </c>
      <c r="H55" s="14">
        <f>J5</f>
        <v>13</v>
      </c>
      <c r="I55" s="26">
        <f t="shared" si="8"/>
        <v>0</v>
      </c>
      <c r="J55" s="152"/>
      <c r="K55" s="135"/>
      <c r="L55" s="135"/>
      <c r="M55" s="135"/>
      <c r="N55" s="119"/>
      <c r="O55" s="119"/>
      <c r="P55" s="119"/>
      <c r="Q55" s="119"/>
      <c r="R55" s="119"/>
      <c r="S55" s="119"/>
      <c r="T55" s="119"/>
      <c r="U55" s="119"/>
      <c r="V55" s="119"/>
      <c r="W55" s="1"/>
      <c r="X55" s="1"/>
      <c r="Y55" s="1"/>
      <c r="Z55" s="1"/>
    </row>
    <row r="56" spans="1:26" ht="12.75" hidden="1" customHeight="1">
      <c r="A56" s="153">
        <f t="shared" si="3"/>
        <v>0</v>
      </c>
      <c r="B56" s="154"/>
      <c r="C56" s="154"/>
      <c r="D56" s="23">
        <f t="shared" si="4"/>
        <v>0</v>
      </c>
      <c r="E56" s="24">
        <f t="shared" si="5"/>
        <v>0</v>
      </c>
      <c r="F56" s="25">
        <f t="shared" si="6"/>
        <v>0</v>
      </c>
      <c r="G56" s="156">
        <f t="shared" si="7"/>
        <v>1</v>
      </c>
      <c r="H56" s="14">
        <f>J5</f>
        <v>13</v>
      </c>
      <c r="I56" s="26">
        <f t="shared" si="8"/>
        <v>0</v>
      </c>
      <c r="J56" s="152"/>
      <c r="K56" s="135"/>
      <c r="L56" s="135"/>
      <c r="M56" s="135"/>
      <c r="N56" s="119"/>
      <c r="O56" s="119"/>
      <c r="P56" s="119"/>
      <c r="Q56" s="119"/>
      <c r="R56" s="119"/>
      <c r="S56" s="119"/>
      <c r="T56" s="119"/>
      <c r="U56" s="119"/>
      <c r="V56" s="119"/>
      <c r="W56" s="1"/>
      <c r="X56" s="1"/>
      <c r="Y56" s="1"/>
      <c r="Z56" s="1"/>
    </row>
    <row r="57" spans="1:26" ht="12.75" hidden="1" customHeight="1">
      <c r="A57" s="153">
        <f t="shared" si="3"/>
        <v>0</v>
      </c>
      <c r="B57" s="154"/>
      <c r="C57" s="154"/>
      <c r="D57" s="23">
        <f t="shared" si="4"/>
        <v>0</v>
      </c>
      <c r="E57" s="24">
        <f t="shared" si="5"/>
        <v>0</v>
      </c>
      <c r="F57" s="25">
        <f t="shared" si="6"/>
        <v>0</v>
      </c>
      <c r="G57" s="156">
        <f t="shared" si="7"/>
        <v>1</v>
      </c>
      <c r="H57" s="14">
        <f>J5</f>
        <v>13</v>
      </c>
      <c r="I57" s="26">
        <f t="shared" si="8"/>
        <v>0</v>
      </c>
      <c r="J57" s="152"/>
      <c r="K57" s="135"/>
      <c r="L57" s="135"/>
      <c r="M57" s="135"/>
      <c r="N57" s="119"/>
      <c r="O57" s="119"/>
      <c r="P57" s="119"/>
      <c r="Q57" s="119"/>
      <c r="R57" s="119"/>
      <c r="S57" s="119"/>
      <c r="T57" s="119"/>
      <c r="U57" s="119"/>
      <c r="V57" s="119"/>
      <c r="W57" s="1"/>
      <c r="X57" s="1"/>
      <c r="Y57" s="1"/>
      <c r="Z57" s="1"/>
    </row>
    <row r="58" spans="1:26" ht="12.75" hidden="1" customHeight="1">
      <c r="A58" s="153">
        <f t="shared" si="3"/>
        <v>0</v>
      </c>
      <c r="B58" s="154"/>
      <c r="C58" s="154"/>
      <c r="D58" s="23">
        <f t="shared" si="4"/>
        <v>0</v>
      </c>
      <c r="E58" s="24">
        <f t="shared" si="5"/>
        <v>0</v>
      </c>
      <c r="F58" s="25">
        <f t="shared" si="6"/>
        <v>0</v>
      </c>
      <c r="G58" s="156">
        <f t="shared" si="7"/>
        <v>1</v>
      </c>
      <c r="H58" s="14">
        <f>J5</f>
        <v>13</v>
      </c>
      <c r="I58" s="26">
        <f t="shared" si="8"/>
        <v>0</v>
      </c>
      <c r="J58" s="152"/>
      <c r="K58" s="135"/>
      <c r="L58" s="135"/>
      <c r="M58" s="135"/>
      <c r="N58" s="119"/>
      <c r="O58" s="119"/>
      <c r="P58" s="119"/>
      <c r="Q58" s="119"/>
      <c r="R58" s="119"/>
      <c r="S58" s="119"/>
      <c r="T58" s="119"/>
      <c r="U58" s="119"/>
      <c r="V58" s="119"/>
      <c r="W58" s="1"/>
      <c r="X58" s="1"/>
      <c r="Y58" s="1"/>
      <c r="Z58" s="1"/>
    </row>
    <row r="59" spans="1:26" ht="12.75" hidden="1" customHeight="1">
      <c r="A59" s="157"/>
      <c r="B59" s="157"/>
      <c r="C59" s="157"/>
      <c r="D59" s="27"/>
      <c r="E59" s="157"/>
      <c r="F59" s="157"/>
      <c r="G59" s="135"/>
      <c r="H59" s="135"/>
      <c r="I59" s="135"/>
      <c r="J59" s="135"/>
      <c r="K59" s="135"/>
      <c r="L59" s="135"/>
      <c r="M59" s="135"/>
      <c r="N59" s="119"/>
      <c r="O59" s="119"/>
      <c r="P59" s="119"/>
      <c r="Q59" s="119"/>
      <c r="R59" s="119"/>
      <c r="S59" s="119"/>
      <c r="T59" s="119"/>
      <c r="U59" s="119"/>
      <c r="V59" s="119"/>
      <c r="W59" s="1"/>
      <c r="X59" s="1"/>
      <c r="Y59" s="1"/>
      <c r="Z59" s="1"/>
    </row>
    <row r="60" spans="1:26" ht="12.75" hidden="1" customHeight="1">
      <c r="A60" s="158"/>
      <c r="B60" s="158"/>
      <c r="C60" s="158"/>
      <c r="D60" s="158"/>
      <c r="E60" s="158"/>
      <c r="F60" s="158"/>
      <c r="G60" s="135"/>
      <c r="H60" s="135"/>
      <c r="I60" s="135"/>
      <c r="J60" s="135"/>
      <c r="K60" s="135"/>
      <c r="L60" s="135"/>
      <c r="M60" s="135"/>
      <c r="N60" s="119"/>
      <c r="O60" s="119"/>
      <c r="P60" s="119"/>
      <c r="Q60" s="119"/>
      <c r="R60" s="119"/>
      <c r="S60" s="119"/>
      <c r="T60" s="119"/>
      <c r="U60" s="119"/>
      <c r="V60" s="119"/>
      <c r="W60" s="1"/>
      <c r="X60" s="1"/>
      <c r="Y60" s="1"/>
      <c r="Z60" s="1"/>
    </row>
    <row r="61" spans="1:26" ht="12.75" hidden="1" customHeight="1">
      <c r="A61" s="159"/>
      <c r="B61" s="128"/>
      <c r="C61" s="128"/>
      <c r="D61" s="128"/>
      <c r="E61" s="128"/>
      <c r="F61" s="128"/>
      <c r="G61" s="135"/>
      <c r="H61" s="135"/>
      <c r="I61" s="135"/>
      <c r="J61" s="135"/>
      <c r="K61" s="135"/>
      <c r="L61" s="135"/>
      <c r="M61" s="135"/>
      <c r="N61" s="119"/>
      <c r="O61" s="119"/>
      <c r="P61" s="119"/>
      <c r="Q61" s="119"/>
      <c r="R61" s="119"/>
      <c r="S61" s="119"/>
      <c r="T61" s="119"/>
      <c r="U61" s="119"/>
      <c r="V61" s="119"/>
      <c r="W61" s="1"/>
      <c r="X61" s="1"/>
      <c r="Y61" s="1"/>
      <c r="Z61" s="1"/>
    </row>
    <row r="62" spans="1:26" ht="36" customHeight="1">
      <c r="A62" s="160" t="s">
        <v>25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3"/>
      <c r="N62" s="119"/>
      <c r="O62" s="119"/>
      <c r="P62" s="119"/>
      <c r="Q62" s="119"/>
      <c r="R62" s="119"/>
      <c r="S62" s="119"/>
      <c r="T62" s="119"/>
      <c r="U62" s="119"/>
      <c r="V62" s="119"/>
      <c r="W62" s="1"/>
      <c r="X62" s="1"/>
      <c r="Y62" s="1"/>
      <c r="Z62" s="1"/>
    </row>
    <row r="63" spans="1:26" ht="12.75" customHeight="1">
      <c r="A63" s="161" t="s">
        <v>26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3"/>
      <c r="N63" s="119"/>
      <c r="O63" s="119"/>
      <c r="P63" s="119"/>
      <c r="Q63" s="119"/>
      <c r="R63" s="119"/>
      <c r="S63" s="119"/>
      <c r="T63" s="119"/>
      <c r="U63" s="119"/>
      <c r="V63" s="119"/>
      <c r="W63" s="1"/>
      <c r="X63" s="1"/>
      <c r="Y63" s="1"/>
      <c r="Z63" s="1"/>
    </row>
    <row r="64" spans="1:26" ht="12.75" customHeight="1">
      <c r="A64" s="161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3"/>
      <c r="N64" s="119"/>
      <c r="O64" s="119"/>
      <c r="P64" s="119"/>
      <c r="Q64" s="119"/>
      <c r="R64" s="119"/>
      <c r="S64" s="119"/>
      <c r="T64" s="119"/>
      <c r="U64" s="119"/>
      <c r="V64" s="119"/>
      <c r="W64" s="1"/>
      <c r="X64" s="1"/>
      <c r="Y64" s="1"/>
      <c r="Z64" s="1"/>
    </row>
    <row r="65" spans="1:26" ht="12.75" customHeight="1">
      <c r="A65" s="161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3"/>
      <c r="N65" s="119"/>
      <c r="O65" s="119"/>
      <c r="P65" s="119"/>
      <c r="Q65" s="119"/>
      <c r="R65" s="119"/>
      <c r="S65" s="119"/>
      <c r="T65" s="119"/>
      <c r="U65" s="119"/>
      <c r="V65" s="119"/>
      <c r="W65" s="1"/>
      <c r="X65" s="1"/>
      <c r="Y65" s="1"/>
      <c r="Z65" s="1"/>
    </row>
    <row r="66" spans="1:26" ht="12.75" customHeight="1">
      <c r="A66" s="161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.75" customHeight="1">
      <c r="A67" s="161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3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.75" customHeight="1">
      <c r="A68" s="161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.75" customHeight="1">
      <c r="A69" s="161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3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.75" customHeight="1">
      <c r="A70" s="161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3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.75" customHeight="1">
      <c r="A71" s="16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3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.75" customHeight="1">
      <c r="A72" s="161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3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.75" customHeight="1">
      <c r="A73" s="161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3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.75" customHeight="1">
      <c r="A74" s="161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3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.75" customHeight="1">
      <c r="A75" s="161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3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7.25" customHeight="1">
      <c r="A76" s="28" t="s">
        <v>27</v>
      </c>
      <c r="B76" s="28"/>
      <c r="C76" s="162"/>
      <c r="D76" s="28" t="s">
        <v>28</v>
      </c>
      <c r="E76" s="163" t="str">
        <f>PEDIDO!A30</f>
        <v>MODIFICADO POR: JAIDER ROJAS - ALMACENISTA (26-02-2017)SENA ITAGUI ANTIOQUIA</v>
      </c>
      <c r="F76" s="112"/>
      <c r="G76" s="112"/>
      <c r="H76" s="112"/>
      <c r="I76" s="112"/>
      <c r="J76" s="112"/>
      <c r="K76" s="112"/>
      <c r="L76" s="112"/>
      <c r="M76" s="113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.75" customHeight="1">
      <c r="A77" s="29" t="s">
        <v>29</v>
      </c>
      <c r="B77" s="30"/>
      <c r="C77" s="135"/>
      <c r="D77" s="31"/>
      <c r="E77" s="135"/>
      <c r="F77" s="135"/>
      <c r="G77" s="135"/>
      <c r="H77" s="135"/>
      <c r="I77" s="135"/>
      <c r="J77" s="135"/>
      <c r="K77" s="135"/>
      <c r="L77" s="135"/>
      <c r="M77" s="135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.75" customHeight="1">
      <c r="A78" s="29" t="s">
        <v>30</v>
      </c>
      <c r="B78" s="30"/>
      <c r="C78" s="135"/>
      <c r="D78" s="31">
        <v>20</v>
      </c>
      <c r="E78" s="135"/>
      <c r="F78" s="135"/>
      <c r="G78" s="135"/>
      <c r="H78" s="135"/>
      <c r="I78" s="135"/>
      <c r="J78" s="135"/>
      <c r="K78" s="135"/>
      <c r="L78" s="135"/>
      <c r="M78" s="135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.75" customHeight="1">
      <c r="A79" s="29" t="s">
        <v>31</v>
      </c>
      <c r="B79" s="30"/>
      <c r="C79" s="135"/>
      <c r="D79" s="31"/>
      <c r="E79" s="135"/>
      <c r="F79" s="135"/>
      <c r="G79" s="135"/>
      <c r="H79" s="135"/>
      <c r="I79" s="135"/>
      <c r="J79" s="135"/>
      <c r="K79" s="135"/>
      <c r="L79" s="135"/>
      <c r="M79" s="135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.75" customHeight="1">
      <c r="A80" s="29" t="s">
        <v>32</v>
      </c>
      <c r="B80" s="30"/>
      <c r="C80" s="135"/>
      <c r="D80" s="31"/>
      <c r="E80" s="135"/>
      <c r="F80" s="135"/>
      <c r="G80" s="135"/>
      <c r="H80" s="135"/>
      <c r="I80" s="135"/>
      <c r="J80" s="135"/>
      <c r="K80" s="135"/>
      <c r="L80" s="135"/>
      <c r="M80" s="135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.75" customHeight="1">
      <c r="A81" s="29" t="s">
        <v>33</v>
      </c>
      <c r="B81" s="30"/>
      <c r="C81" s="135"/>
      <c r="D81" s="31"/>
      <c r="E81" s="135"/>
      <c r="F81" s="135"/>
      <c r="G81" s="135"/>
      <c r="H81" s="135"/>
      <c r="I81" s="135"/>
      <c r="J81" s="135"/>
      <c r="K81" s="135"/>
      <c r="L81" s="135"/>
      <c r="M81" s="135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.75" customHeight="1">
      <c r="A82" s="29" t="s">
        <v>34</v>
      </c>
      <c r="B82" s="30"/>
      <c r="C82" s="135"/>
      <c r="D82" s="31"/>
      <c r="E82" s="135"/>
      <c r="F82" s="135"/>
      <c r="G82" s="135"/>
      <c r="H82" s="135"/>
      <c r="I82" s="135"/>
      <c r="J82" s="135"/>
      <c r="K82" s="135"/>
      <c r="L82" s="135"/>
      <c r="M82" s="135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.75" customHeight="1">
      <c r="A83" s="29" t="s">
        <v>35</v>
      </c>
      <c r="B83" s="30"/>
      <c r="C83" s="135"/>
      <c r="D83" s="31"/>
      <c r="E83" s="135"/>
      <c r="F83" s="135"/>
      <c r="G83" s="135"/>
      <c r="H83" s="135"/>
      <c r="I83" s="135"/>
      <c r="J83" s="135"/>
      <c r="K83" s="135"/>
      <c r="L83" s="135"/>
      <c r="M83" s="135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.75" customHeight="1">
      <c r="A84" s="29" t="s">
        <v>36</v>
      </c>
      <c r="B84" s="30"/>
      <c r="C84" s="135"/>
      <c r="D84" s="31"/>
      <c r="E84" s="135"/>
      <c r="F84" s="135"/>
      <c r="G84" s="135"/>
      <c r="H84" s="135"/>
      <c r="I84" s="135"/>
      <c r="J84" s="135"/>
      <c r="K84" s="135"/>
      <c r="L84" s="135"/>
      <c r="M84" s="135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.75" customHeight="1">
      <c r="A85" s="29" t="s">
        <v>37</v>
      </c>
      <c r="B85" s="30"/>
      <c r="C85" s="135"/>
      <c r="D85" s="31"/>
      <c r="E85" s="135"/>
      <c r="F85" s="135"/>
      <c r="G85" s="135"/>
      <c r="H85" s="135"/>
      <c r="I85" s="135"/>
      <c r="J85" s="135"/>
      <c r="K85" s="135"/>
      <c r="L85" s="135"/>
      <c r="M85" s="135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.75" customHeight="1">
      <c r="A86" s="29" t="s">
        <v>38</v>
      </c>
      <c r="B86" s="30"/>
      <c r="C86" s="135"/>
      <c r="D86" s="31"/>
      <c r="E86" s="135"/>
      <c r="F86" s="135"/>
      <c r="G86" s="135"/>
      <c r="H86" s="135"/>
      <c r="I86" s="135"/>
      <c r="J86" s="135"/>
      <c r="K86" s="135"/>
      <c r="L86" s="135"/>
      <c r="M86" s="135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.75" customHeight="1">
      <c r="A87" s="29" t="s">
        <v>39</v>
      </c>
      <c r="B87" s="30"/>
      <c r="C87" s="135"/>
      <c r="D87" s="31"/>
      <c r="E87" s="135"/>
      <c r="F87" s="135"/>
      <c r="G87" s="135"/>
      <c r="H87" s="135"/>
      <c r="I87" s="135"/>
      <c r="J87" s="135"/>
      <c r="K87" s="135"/>
      <c r="L87" s="135"/>
      <c r="M87" s="135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.75" customHeight="1">
      <c r="A88" s="29" t="s">
        <v>40</v>
      </c>
      <c r="B88" s="29"/>
      <c r="C88" s="135"/>
      <c r="D88" s="31"/>
      <c r="E88" s="135"/>
      <c r="F88" s="135"/>
      <c r="G88" s="135"/>
      <c r="H88" s="135"/>
      <c r="I88" s="135"/>
      <c r="J88" s="135"/>
      <c r="K88" s="135"/>
      <c r="L88" s="135"/>
      <c r="M88" s="135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.75" customHeight="1">
      <c r="A89" s="32" t="s">
        <v>41</v>
      </c>
      <c r="B89" s="30"/>
      <c r="C89" s="135"/>
      <c r="D89" s="31"/>
      <c r="E89" s="135"/>
      <c r="F89" s="135"/>
      <c r="G89" s="135"/>
      <c r="H89" s="135"/>
      <c r="I89" s="135"/>
      <c r="J89" s="135"/>
      <c r="K89" s="135"/>
      <c r="L89" s="135"/>
      <c r="M89" s="135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.75" customHeight="1">
      <c r="A90" s="32" t="s">
        <v>42</v>
      </c>
      <c r="B90" s="30"/>
      <c r="C90" s="135"/>
      <c r="D90" s="31"/>
      <c r="E90" s="135"/>
      <c r="F90" s="135"/>
      <c r="G90" s="135"/>
      <c r="H90" s="135"/>
      <c r="I90" s="135"/>
      <c r="J90" s="135"/>
      <c r="K90" s="135"/>
      <c r="L90" s="135"/>
      <c r="M90" s="135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.75" customHeight="1">
      <c r="A91" s="29" t="s">
        <v>43</v>
      </c>
      <c r="B91" s="29"/>
      <c r="C91" s="135"/>
      <c r="D91" s="31"/>
      <c r="E91" s="135"/>
      <c r="F91" s="135"/>
      <c r="G91" s="135"/>
      <c r="H91" s="135"/>
      <c r="I91" s="135"/>
      <c r="J91" s="135"/>
      <c r="K91" s="135"/>
      <c r="L91" s="135"/>
      <c r="M91" s="135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.75" customHeight="1">
      <c r="A92" s="32" t="s">
        <v>44</v>
      </c>
      <c r="B92" s="29"/>
      <c r="C92" s="135"/>
      <c r="D92" s="31"/>
      <c r="E92" s="135"/>
      <c r="F92" s="135"/>
      <c r="G92" s="135"/>
      <c r="H92" s="135"/>
      <c r="I92" s="135"/>
      <c r="J92" s="135"/>
      <c r="K92" s="135"/>
      <c r="L92" s="135"/>
      <c r="M92" s="135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.75" customHeight="1">
      <c r="A93" s="29" t="s">
        <v>45</v>
      </c>
      <c r="B93" s="30"/>
      <c r="C93" s="135"/>
      <c r="D93" s="31"/>
      <c r="E93" s="135"/>
      <c r="F93" s="135"/>
      <c r="G93" s="135"/>
      <c r="H93" s="135"/>
      <c r="I93" s="135"/>
      <c r="J93" s="135"/>
      <c r="K93" s="135"/>
      <c r="L93" s="135"/>
      <c r="M93" s="135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.75" customHeight="1">
      <c r="A94" s="29" t="s">
        <v>46</v>
      </c>
      <c r="B94" s="29"/>
      <c r="C94" s="135"/>
      <c r="D94" s="31"/>
      <c r="E94" s="135"/>
      <c r="F94" s="135"/>
      <c r="G94" s="135"/>
      <c r="H94" s="135"/>
      <c r="I94" s="135"/>
      <c r="J94" s="135"/>
      <c r="K94" s="135"/>
      <c r="L94" s="135"/>
      <c r="M94" s="135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.75" customHeight="1">
      <c r="A95" s="29" t="s">
        <v>47</v>
      </c>
      <c r="B95" s="29"/>
      <c r="C95" s="135"/>
      <c r="D95" s="31">
        <v>6</v>
      </c>
      <c r="E95" s="135"/>
      <c r="F95" s="135"/>
      <c r="G95" s="135"/>
      <c r="H95" s="135"/>
      <c r="I95" s="135"/>
      <c r="J95" s="135"/>
      <c r="K95" s="135"/>
      <c r="L95" s="135"/>
      <c r="M95" s="135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.75" customHeight="1">
      <c r="A96" s="29" t="s">
        <v>48</v>
      </c>
      <c r="B96" s="29"/>
      <c r="C96" s="135"/>
      <c r="D96" s="31"/>
      <c r="E96" s="135"/>
      <c r="F96" s="135"/>
      <c r="G96" s="135"/>
      <c r="H96" s="135"/>
      <c r="I96" s="135"/>
      <c r="J96" s="135"/>
      <c r="K96" s="135"/>
      <c r="L96" s="135"/>
      <c r="M96" s="135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.75" customHeight="1">
      <c r="A97" s="29" t="s">
        <v>49</v>
      </c>
      <c r="B97" s="29"/>
      <c r="C97" s="33"/>
      <c r="D97" s="31"/>
      <c r="E97" s="135"/>
      <c r="F97" s="135"/>
      <c r="G97" s="135"/>
      <c r="H97" s="135"/>
      <c r="I97" s="135"/>
      <c r="J97" s="135"/>
      <c r="K97" s="135"/>
      <c r="L97" s="135"/>
      <c r="M97" s="135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.75" customHeight="1">
      <c r="A98" s="29" t="s">
        <v>50</v>
      </c>
      <c r="B98" s="29"/>
      <c r="C98" s="33"/>
      <c r="D98" s="31"/>
      <c r="E98" s="135"/>
      <c r="F98" s="135"/>
      <c r="G98" s="135"/>
      <c r="H98" s="135"/>
      <c r="I98" s="135"/>
      <c r="J98" s="135"/>
      <c r="K98" s="135"/>
      <c r="L98" s="135"/>
      <c r="M98" s="135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.75" customHeight="1">
      <c r="A99" s="29" t="s">
        <v>51</v>
      </c>
      <c r="B99" s="29"/>
      <c r="C99" s="33"/>
      <c r="D99" s="31"/>
      <c r="E99" s="135"/>
      <c r="F99" s="135"/>
      <c r="G99" s="135"/>
      <c r="H99" s="135"/>
      <c r="I99" s="135"/>
      <c r="J99" s="135"/>
      <c r="K99" s="135"/>
      <c r="L99" s="135"/>
      <c r="M99" s="135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.75" customHeight="1">
      <c r="A100" s="29" t="s">
        <v>52</v>
      </c>
      <c r="B100" s="29"/>
      <c r="C100" s="33"/>
      <c r="D100" s="31"/>
      <c r="E100" s="135"/>
      <c r="F100" s="135"/>
      <c r="G100" s="135"/>
      <c r="H100" s="135"/>
      <c r="I100" s="135"/>
      <c r="J100" s="135"/>
      <c r="K100" s="135"/>
      <c r="L100" s="135"/>
      <c r="M100" s="135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.75" customHeight="1">
      <c r="A101" s="29" t="s">
        <v>53</v>
      </c>
      <c r="B101" s="29"/>
      <c r="C101" s="135"/>
      <c r="D101" s="31"/>
      <c r="E101" s="135"/>
      <c r="F101" s="135"/>
      <c r="G101" s="135"/>
      <c r="H101" s="135"/>
      <c r="I101" s="135"/>
      <c r="J101" s="135"/>
      <c r="K101" s="135"/>
      <c r="L101" s="135"/>
      <c r="M101" s="135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.75" customHeight="1">
      <c r="A102" s="29" t="s">
        <v>54</v>
      </c>
      <c r="B102" s="29"/>
      <c r="C102" s="135"/>
      <c r="D102" s="31"/>
      <c r="E102" s="135"/>
      <c r="F102" s="135"/>
      <c r="G102" s="135"/>
      <c r="H102" s="135"/>
      <c r="I102" s="135"/>
      <c r="J102" s="135"/>
      <c r="K102" s="135"/>
      <c r="L102" s="135"/>
      <c r="M102" s="135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.75" customHeight="1">
      <c r="A103" s="29" t="s">
        <v>55</v>
      </c>
      <c r="B103" s="29"/>
      <c r="C103" s="33"/>
      <c r="D103" s="31"/>
      <c r="E103" s="135"/>
      <c r="F103" s="135"/>
      <c r="G103" s="135"/>
      <c r="H103" s="135"/>
      <c r="I103" s="135"/>
      <c r="J103" s="135"/>
      <c r="K103" s="135"/>
      <c r="L103" s="135"/>
      <c r="M103" s="135"/>
      <c r="N103" s="119"/>
      <c r="O103" s="119"/>
      <c r="P103" s="119"/>
      <c r="Q103" s="119"/>
      <c r="R103" s="119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29" t="s">
        <v>56</v>
      </c>
      <c r="B104" s="29"/>
      <c r="C104" s="33"/>
      <c r="D104" s="31"/>
      <c r="E104" s="135"/>
      <c r="F104" s="135"/>
      <c r="G104" s="135"/>
      <c r="H104" s="135"/>
      <c r="I104" s="135"/>
      <c r="J104" s="135"/>
      <c r="K104" s="135"/>
      <c r="L104" s="135"/>
      <c r="M104" s="135"/>
      <c r="N104" s="119"/>
      <c r="O104" s="119"/>
      <c r="P104" s="119"/>
      <c r="Q104" s="119"/>
      <c r="R104" s="119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29" t="s">
        <v>57</v>
      </c>
      <c r="B105" s="29"/>
      <c r="C105" s="33"/>
      <c r="D105" s="31"/>
      <c r="E105" s="135"/>
      <c r="F105" s="135"/>
      <c r="G105" s="135"/>
      <c r="H105" s="135"/>
      <c r="I105" s="135"/>
      <c r="J105" s="135"/>
      <c r="K105" s="135"/>
      <c r="L105" s="135"/>
      <c r="M105" s="135"/>
      <c r="N105" s="119"/>
      <c r="O105" s="119"/>
      <c r="P105" s="119"/>
      <c r="Q105" s="119"/>
      <c r="R105" s="119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2" t="s">
        <v>58</v>
      </c>
      <c r="B106" s="29"/>
      <c r="C106" s="33"/>
      <c r="D106" s="31"/>
      <c r="E106" s="135"/>
      <c r="F106" s="135"/>
      <c r="G106" s="135"/>
      <c r="H106" s="135"/>
      <c r="I106" s="135"/>
      <c r="J106" s="135"/>
      <c r="K106" s="135"/>
      <c r="L106" s="135"/>
      <c r="M106" s="135"/>
      <c r="N106" s="119"/>
      <c r="O106" s="119"/>
      <c r="P106" s="119"/>
      <c r="Q106" s="119"/>
      <c r="R106" s="119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29" t="s">
        <v>59</v>
      </c>
      <c r="B107" s="29"/>
      <c r="C107" s="33"/>
      <c r="D107" s="31"/>
      <c r="E107" s="135"/>
      <c r="F107" s="135"/>
      <c r="G107" s="135"/>
      <c r="H107" s="135"/>
      <c r="I107" s="135"/>
      <c r="J107" s="135"/>
      <c r="K107" s="135"/>
      <c r="L107" s="135"/>
      <c r="M107" s="135"/>
      <c r="N107" s="119"/>
      <c r="O107" s="119"/>
      <c r="P107" s="119"/>
      <c r="Q107" s="119"/>
      <c r="R107" s="119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29" t="s">
        <v>60</v>
      </c>
      <c r="B108" s="29"/>
      <c r="C108" s="33"/>
      <c r="D108" s="31"/>
      <c r="E108" s="135"/>
      <c r="F108" s="135"/>
      <c r="G108" s="135"/>
      <c r="H108" s="135"/>
      <c r="I108" s="135"/>
      <c r="J108" s="135"/>
      <c r="K108" s="135"/>
      <c r="L108" s="135"/>
      <c r="M108" s="135"/>
      <c r="N108" s="119"/>
      <c r="O108" s="119"/>
      <c r="P108" s="119"/>
      <c r="Q108" s="119"/>
      <c r="R108" s="119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2" t="s">
        <v>61</v>
      </c>
      <c r="B109" s="29"/>
      <c r="C109" s="33"/>
      <c r="D109" s="31" t="s">
        <v>62</v>
      </c>
      <c r="E109" s="135"/>
      <c r="F109" s="135"/>
      <c r="G109" s="135"/>
      <c r="H109" s="135"/>
      <c r="I109" s="135"/>
      <c r="J109" s="135"/>
      <c r="K109" s="135"/>
      <c r="L109" s="135"/>
      <c r="M109" s="135"/>
      <c r="N109" s="119"/>
      <c r="O109" s="119"/>
      <c r="P109" s="119"/>
      <c r="Q109" s="119"/>
      <c r="R109" s="119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2" t="s">
        <v>63</v>
      </c>
      <c r="B110" s="34"/>
      <c r="C110" s="33"/>
      <c r="D110" s="31"/>
      <c r="E110" s="135"/>
      <c r="F110" s="135"/>
      <c r="G110" s="135"/>
      <c r="H110" s="135"/>
      <c r="I110" s="135"/>
      <c r="J110" s="135"/>
      <c r="K110" s="135"/>
      <c r="L110" s="135"/>
      <c r="M110" s="135"/>
      <c r="N110" s="119"/>
      <c r="O110" s="119"/>
      <c r="P110" s="119"/>
      <c r="Q110" s="119"/>
      <c r="R110" s="119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29" t="s">
        <v>64</v>
      </c>
      <c r="B111" s="119"/>
      <c r="C111" s="164"/>
      <c r="D111" s="31"/>
      <c r="E111" s="135"/>
      <c r="F111" s="135"/>
      <c r="G111" s="135"/>
      <c r="H111" s="135"/>
      <c r="I111" s="135"/>
      <c r="J111" s="135"/>
      <c r="K111" s="135"/>
      <c r="L111" s="135"/>
      <c r="M111" s="135"/>
      <c r="N111" s="119"/>
      <c r="O111" s="119"/>
      <c r="P111" s="119"/>
      <c r="Q111" s="119"/>
      <c r="R111" s="119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2" t="s">
        <v>65</v>
      </c>
      <c r="B112" s="119"/>
      <c r="C112" s="164"/>
      <c r="D112" s="31"/>
      <c r="E112" s="135"/>
      <c r="F112" s="135"/>
      <c r="G112" s="135"/>
      <c r="H112" s="135"/>
      <c r="I112" s="135"/>
      <c r="J112" s="135"/>
      <c r="K112" s="135"/>
      <c r="L112" s="135"/>
      <c r="M112" s="135"/>
      <c r="N112" s="119"/>
      <c r="O112" s="119"/>
      <c r="P112" s="119"/>
      <c r="Q112" s="119"/>
      <c r="R112" s="119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2" t="s">
        <v>66</v>
      </c>
      <c r="B113" s="119"/>
      <c r="C113" s="164"/>
      <c r="D113" s="31"/>
      <c r="E113" s="135"/>
      <c r="F113" s="135"/>
      <c r="G113" s="135"/>
      <c r="H113" s="135"/>
      <c r="I113" s="135"/>
      <c r="J113" s="135"/>
      <c r="K113" s="135"/>
      <c r="L113" s="135"/>
      <c r="M113" s="135"/>
      <c r="N113" s="119"/>
      <c r="O113" s="119"/>
      <c r="P113" s="119"/>
      <c r="Q113" s="119"/>
      <c r="R113" s="119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2" t="s">
        <v>67</v>
      </c>
      <c r="B114" s="119"/>
      <c r="C114" s="164"/>
      <c r="D114" s="31"/>
      <c r="E114" s="135"/>
      <c r="F114" s="135"/>
      <c r="G114" s="135"/>
      <c r="H114" s="135"/>
      <c r="I114" s="135"/>
      <c r="J114" s="135"/>
      <c r="K114" s="135"/>
      <c r="L114" s="135"/>
      <c r="M114" s="135"/>
      <c r="N114" s="119"/>
      <c r="O114" s="119"/>
      <c r="P114" s="119"/>
      <c r="Q114" s="119"/>
      <c r="R114" s="119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2" t="s">
        <v>68</v>
      </c>
      <c r="B115" s="119"/>
      <c r="C115" s="164"/>
      <c r="D115" s="31"/>
      <c r="E115" s="135"/>
      <c r="F115" s="135"/>
      <c r="G115" s="135"/>
      <c r="H115" s="135"/>
      <c r="I115" s="135"/>
      <c r="J115" s="135"/>
      <c r="K115" s="135"/>
      <c r="L115" s="135"/>
      <c r="M115" s="135"/>
      <c r="N115" s="119"/>
      <c r="O115" s="119"/>
      <c r="P115" s="119"/>
      <c r="Q115" s="119"/>
      <c r="R115" s="119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2" t="s">
        <v>69</v>
      </c>
      <c r="B116" s="119"/>
      <c r="C116" s="164"/>
      <c r="D116" s="31">
        <v>2</v>
      </c>
      <c r="E116" s="135"/>
      <c r="F116" s="135"/>
      <c r="G116" s="135"/>
      <c r="H116" s="135"/>
      <c r="I116" s="135"/>
      <c r="J116" s="135"/>
      <c r="K116" s="135"/>
      <c r="L116" s="135"/>
      <c r="M116" s="135"/>
      <c r="N116" s="119"/>
      <c r="O116" s="119"/>
      <c r="P116" s="119"/>
      <c r="Q116" s="119"/>
      <c r="R116" s="119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2" t="s">
        <v>70</v>
      </c>
      <c r="B117" s="119"/>
      <c r="C117" s="164"/>
      <c r="D117" s="3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2" t="s">
        <v>71</v>
      </c>
      <c r="B118" s="119"/>
      <c r="C118" s="164"/>
      <c r="D118" s="31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"/>
      <c r="V118" s="1"/>
      <c r="W118" s="1"/>
      <c r="X118" s="1"/>
      <c r="Y118" s="1"/>
      <c r="Z118" s="1"/>
    </row>
    <row r="119" spans="1:26" ht="12.75" customHeight="1">
      <c r="A119" s="35" t="s">
        <v>72</v>
      </c>
      <c r="B119" s="119"/>
      <c r="C119" s="164"/>
      <c r="D119" s="31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"/>
      <c r="V119" s="1"/>
      <c r="W119" s="1"/>
      <c r="X119" s="1"/>
      <c r="Y119" s="1"/>
      <c r="Z119" s="1"/>
    </row>
    <row r="120" spans="1:26" ht="12.75" customHeight="1">
      <c r="A120" s="32" t="s">
        <v>73</v>
      </c>
      <c r="B120" s="119"/>
      <c r="C120" s="164"/>
      <c r="D120" s="31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"/>
      <c r="V120" s="1"/>
      <c r="W120" s="1"/>
      <c r="X120" s="1"/>
      <c r="Y120" s="1"/>
      <c r="Z120" s="1"/>
    </row>
    <row r="121" spans="1:26" ht="12.75" customHeight="1">
      <c r="A121" s="29" t="s">
        <v>74</v>
      </c>
      <c r="B121" s="119"/>
      <c r="C121" s="164"/>
      <c r="D121" s="31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"/>
      <c r="V121" s="1"/>
      <c r="W121" s="1"/>
      <c r="X121" s="1"/>
      <c r="Y121" s="1"/>
      <c r="Z121" s="1"/>
    </row>
    <row r="122" spans="1:26" ht="12.75" customHeight="1">
      <c r="A122" s="32" t="s">
        <v>75</v>
      </c>
      <c r="B122" s="119"/>
      <c r="C122" s="164"/>
      <c r="D122" s="31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"/>
      <c r="V122" s="1"/>
      <c r="W122" s="1"/>
      <c r="X122" s="1"/>
      <c r="Y122" s="1"/>
      <c r="Z122" s="1"/>
    </row>
    <row r="123" spans="1:26" ht="12.75" customHeight="1">
      <c r="A123" s="32" t="s">
        <v>76</v>
      </c>
      <c r="B123" s="119"/>
      <c r="C123" s="164"/>
      <c r="D123" s="31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"/>
      <c r="V123" s="1"/>
      <c r="W123" s="1"/>
      <c r="X123" s="1"/>
      <c r="Y123" s="1"/>
      <c r="Z123" s="1"/>
    </row>
    <row r="124" spans="1:26" ht="12.75" customHeight="1">
      <c r="A124" s="32" t="s">
        <v>77</v>
      </c>
      <c r="B124" s="119"/>
      <c r="C124" s="164"/>
      <c r="D124" s="31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"/>
      <c r="V124" s="1"/>
      <c r="W124" s="1"/>
      <c r="X124" s="1"/>
      <c r="Y124" s="1"/>
      <c r="Z124" s="1"/>
    </row>
    <row r="125" spans="1:26" ht="12.75" customHeight="1">
      <c r="A125" s="119"/>
      <c r="B125" s="119"/>
      <c r="C125" s="164"/>
      <c r="D125" s="165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"/>
      <c r="V125" s="1"/>
      <c r="W125" s="1"/>
      <c r="X125" s="1"/>
      <c r="Y125" s="1"/>
      <c r="Z125" s="1"/>
    </row>
    <row r="126" spans="1:26" ht="12.75" customHeight="1">
      <c r="A126" s="119"/>
      <c r="B126" s="119"/>
      <c r="C126" s="164"/>
      <c r="D126" s="165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"/>
      <c r="V126" s="1"/>
      <c r="W126" s="1"/>
      <c r="X126" s="1"/>
      <c r="Y126" s="1"/>
      <c r="Z126" s="1"/>
    </row>
    <row r="127" spans="1:26" ht="12.75" customHeight="1">
      <c r="A127" s="119"/>
      <c r="B127" s="119"/>
      <c r="C127" s="164"/>
      <c r="D127" s="166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"/>
      <c r="V127" s="1"/>
      <c r="W127" s="1"/>
      <c r="X127" s="1"/>
      <c r="Y127" s="1"/>
      <c r="Z127" s="1"/>
    </row>
    <row r="128" spans="1:26" ht="12.75" customHeight="1">
      <c r="A128" s="119"/>
      <c r="B128" s="119"/>
      <c r="C128" s="164"/>
      <c r="D128" s="165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"/>
      <c r="V128" s="1"/>
      <c r="W128" s="1"/>
      <c r="X128" s="1"/>
      <c r="Y128" s="1"/>
      <c r="Z128" s="1"/>
    </row>
    <row r="129" spans="1:26" ht="12.75" customHeight="1">
      <c r="A129" s="119"/>
      <c r="B129" s="119"/>
      <c r="C129" s="164"/>
      <c r="D129" s="165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"/>
      <c r="V129" s="1"/>
      <c r="W129" s="1"/>
      <c r="X129" s="1"/>
      <c r="Y129" s="1"/>
      <c r="Z129" s="1"/>
    </row>
    <row r="130" spans="1:26" ht="12.75" customHeight="1">
      <c r="A130" s="119"/>
      <c r="B130" s="119"/>
      <c r="C130" s="164"/>
      <c r="D130" s="166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"/>
      <c r="V130" s="1"/>
      <c r="W130" s="1"/>
      <c r="X130" s="1"/>
      <c r="Y130" s="1"/>
      <c r="Z130" s="1"/>
    </row>
    <row r="131" spans="1:26" ht="12.75" customHeight="1">
      <c r="A131" s="119"/>
      <c r="B131" s="119"/>
      <c r="C131" s="164"/>
      <c r="D131" s="165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"/>
      <c r="V131" s="1"/>
      <c r="W131" s="1"/>
      <c r="X131" s="1"/>
      <c r="Y131" s="1"/>
      <c r="Z131" s="1"/>
    </row>
    <row r="132" spans="1:26" ht="12.75" customHeight="1">
      <c r="A132" s="119"/>
      <c r="B132" s="119"/>
      <c r="C132" s="164"/>
      <c r="D132" s="165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"/>
      <c r="V132" s="1"/>
      <c r="W132" s="1"/>
      <c r="X132" s="1"/>
      <c r="Y132" s="1"/>
      <c r="Z132" s="1"/>
    </row>
    <row r="133" spans="1:26" ht="12.75" customHeight="1">
      <c r="A133" s="119"/>
      <c r="B133" s="119"/>
      <c r="C133" s="164"/>
      <c r="D133" s="166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"/>
      <c r="V133" s="1"/>
      <c r="W133" s="1"/>
      <c r="X133" s="1"/>
      <c r="Y133" s="1"/>
      <c r="Z133" s="1"/>
    </row>
    <row r="134" spans="1:26" ht="12.75" customHeight="1">
      <c r="A134" s="119"/>
      <c r="B134" s="119"/>
      <c r="C134" s="164"/>
      <c r="D134" s="165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"/>
      <c r="V134" s="1"/>
      <c r="W134" s="1"/>
      <c r="X134" s="1"/>
      <c r="Y134" s="1"/>
      <c r="Z134" s="1"/>
    </row>
    <row r="135" spans="1:26" ht="12.75" customHeight="1">
      <c r="A135" s="119"/>
      <c r="B135" s="119"/>
      <c r="C135" s="164"/>
      <c r="D135" s="165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"/>
      <c r="V135" s="1"/>
      <c r="W135" s="1"/>
      <c r="X135" s="1"/>
      <c r="Y135" s="1"/>
      <c r="Z135" s="1"/>
    </row>
    <row r="136" spans="1:26" ht="12.75" customHeight="1">
      <c r="A136" s="119"/>
      <c r="B136" s="119"/>
      <c r="C136" s="164"/>
      <c r="D136" s="166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"/>
      <c r="V136" s="1"/>
      <c r="W136" s="1"/>
      <c r="X136" s="1"/>
      <c r="Y136" s="1"/>
      <c r="Z136" s="1"/>
    </row>
    <row r="137" spans="1:26" ht="12.75" customHeight="1">
      <c r="A137" s="119"/>
      <c r="B137" s="119"/>
      <c r="C137" s="164"/>
      <c r="D137" s="165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"/>
      <c r="V137" s="1"/>
      <c r="W137" s="1"/>
      <c r="X137" s="1"/>
      <c r="Y137" s="1"/>
      <c r="Z137" s="1"/>
    </row>
    <row r="138" spans="1:26" ht="12.75" customHeight="1">
      <c r="A138" s="119"/>
      <c r="B138" s="119"/>
      <c r="C138" s="164"/>
      <c r="D138" s="165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"/>
      <c r="V138" s="1"/>
      <c r="W138" s="1"/>
      <c r="X138" s="1"/>
      <c r="Y138" s="1"/>
      <c r="Z138" s="1"/>
    </row>
    <row r="139" spans="1:26" ht="12.75" customHeight="1">
      <c r="A139" s="119"/>
      <c r="B139" s="119"/>
      <c r="C139" s="164"/>
      <c r="D139" s="166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"/>
      <c r="V139" s="1"/>
      <c r="W139" s="1"/>
      <c r="X139" s="1"/>
      <c r="Y139" s="1"/>
      <c r="Z139" s="1"/>
    </row>
    <row r="140" spans="1:26" ht="12.75" customHeight="1">
      <c r="A140" s="119"/>
      <c r="B140" s="119"/>
      <c r="C140" s="164"/>
      <c r="D140" s="165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"/>
      <c r="V140" s="1"/>
      <c r="W140" s="1"/>
      <c r="X140" s="1"/>
      <c r="Y140" s="1"/>
      <c r="Z140" s="1"/>
    </row>
    <row r="141" spans="1:26" ht="12.75" customHeight="1">
      <c r="A141" s="119"/>
      <c r="B141" s="119"/>
      <c r="C141" s="164"/>
      <c r="D141" s="165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"/>
      <c r="V141" s="1"/>
      <c r="W141" s="1"/>
      <c r="X141" s="1"/>
      <c r="Y141" s="1"/>
      <c r="Z141" s="1"/>
    </row>
    <row r="142" spans="1:26" ht="12.75" customHeight="1">
      <c r="A142" s="119"/>
      <c r="B142" s="119"/>
      <c r="C142" s="164"/>
      <c r="D142" s="166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"/>
      <c r="V142" s="1"/>
      <c r="W142" s="1"/>
      <c r="X142" s="1"/>
      <c r="Y142" s="1"/>
      <c r="Z142" s="1"/>
    </row>
    <row r="143" spans="1:26" ht="12.75" customHeight="1">
      <c r="A143" s="119"/>
      <c r="B143" s="119"/>
      <c r="C143" s="164"/>
      <c r="D143" s="165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"/>
      <c r="V143" s="1"/>
      <c r="W143" s="1"/>
      <c r="X143" s="1"/>
      <c r="Y143" s="1"/>
      <c r="Z143" s="1"/>
    </row>
    <row r="144" spans="1:26" ht="12.75" customHeight="1">
      <c r="A144" s="119"/>
      <c r="B144" s="119"/>
      <c r="C144" s="164"/>
      <c r="D144" s="165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"/>
      <c r="V144" s="1"/>
      <c r="W144" s="1"/>
      <c r="X144" s="1"/>
      <c r="Y144" s="1"/>
      <c r="Z144" s="1"/>
    </row>
    <row r="145" spans="1:26" ht="12.75" customHeight="1">
      <c r="A145" s="119"/>
      <c r="B145" s="119"/>
      <c r="C145" s="164"/>
      <c r="D145" s="166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"/>
      <c r="V145" s="1"/>
      <c r="W145" s="1"/>
      <c r="X145" s="1"/>
      <c r="Y145" s="1"/>
      <c r="Z145" s="1"/>
    </row>
    <row r="146" spans="1:26" ht="12.75" customHeight="1">
      <c r="A146" s="119"/>
      <c r="B146" s="119"/>
      <c r="C146" s="164"/>
      <c r="D146" s="165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"/>
      <c r="V146" s="1"/>
      <c r="W146" s="1"/>
      <c r="X146" s="1"/>
      <c r="Y146" s="1"/>
      <c r="Z146" s="1"/>
    </row>
    <row r="147" spans="1:26" ht="12.75" customHeight="1">
      <c r="A147" s="119"/>
      <c r="B147" s="119"/>
      <c r="C147" s="164"/>
      <c r="D147" s="165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"/>
      <c r="V147" s="1"/>
      <c r="W147" s="1"/>
      <c r="X147" s="1"/>
      <c r="Y147" s="1"/>
      <c r="Z147" s="1"/>
    </row>
    <row r="148" spans="1:26" ht="12.75" customHeight="1">
      <c r="A148" s="119"/>
      <c r="B148" s="119"/>
      <c r="C148" s="164"/>
      <c r="D148" s="166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"/>
      <c r="V148" s="1"/>
      <c r="W148" s="1"/>
      <c r="X148" s="1"/>
      <c r="Y148" s="1"/>
      <c r="Z148" s="1"/>
    </row>
    <row r="149" spans="1:26" ht="12.75" customHeight="1">
      <c r="A149" s="119"/>
      <c r="B149" s="119"/>
      <c r="C149" s="164"/>
      <c r="D149" s="165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"/>
      <c r="V149" s="1"/>
      <c r="W149" s="1"/>
      <c r="X149" s="1"/>
      <c r="Y149" s="1"/>
      <c r="Z149" s="1"/>
    </row>
    <row r="150" spans="1:26" ht="12.75" customHeight="1">
      <c r="A150" s="119"/>
      <c r="B150" s="119"/>
      <c r="C150" s="164"/>
      <c r="D150" s="165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"/>
      <c r="V150" s="1"/>
      <c r="W150" s="1"/>
      <c r="X150" s="1"/>
      <c r="Y150" s="1"/>
      <c r="Z150" s="1"/>
    </row>
    <row r="151" spans="1:26" ht="12.75" customHeight="1">
      <c r="A151" s="119"/>
      <c r="B151" s="119"/>
      <c r="C151" s="164"/>
      <c r="D151" s="166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"/>
      <c r="V151" s="1"/>
      <c r="W151" s="1"/>
      <c r="X151" s="1"/>
      <c r="Y151" s="1"/>
      <c r="Z151" s="1"/>
    </row>
    <row r="152" spans="1:26" ht="12.75" customHeight="1">
      <c r="A152" s="119"/>
      <c r="B152" s="119"/>
      <c r="C152" s="164"/>
      <c r="D152" s="165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"/>
      <c r="V152" s="1"/>
      <c r="W152" s="1"/>
      <c r="X152" s="1"/>
      <c r="Y152" s="1"/>
      <c r="Z152" s="1"/>
    </row>
    <row r="153" spans="1:26" ht="12.75" customHeight="1">
      <c r="A153" s="119"/>
      <c r="B153" s="119"/>
      <c r="C153" s="164"/>
      <c r="D153" s="165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"/>
      <c r="V153" s="1"/>
      <c r="W153" s="1"/>
      <c r="X153" s="1"/>
      <c r="Y153" s="1"/>
      <c r="Z153" s="1"/>
    </row>
    <row r="154" spans="1:26" ht="12.75" customHeight="1">
      <c r="A154" s="119"/>
      <c r="B154" s="119"/>
      <c r="C154" s="164"/>
      <c r="D154" s="166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"/>
      <c r="V154" s="1"/>
      <c r="W154" s="1"/>
      <c r="X154" s="1"/>
      <c r="Y154" s="1"/>
      <c r="Z154" s="1"/>
    </row>
    <row r="155" spans="1:26" ht="12.75" customHeight="1">
      <c r="A155" s="119"/>
      <c r="B155" s="119"/>
      <c r="C155" s="164"/>
      <c r="D155" s="165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"/>
      <c r="V155" s="1"/>
      <c r="W155" s="1"/>
      <c r="X155" s="1"/>
      <c r="Y155" s="1"/>
      <c r="Z155" s="1"/>
    </row>
    <row r="156" spans="1:26" ht="12.75" customHeight="1">
      <c r="A156" s="119"/>
      <c r="B156" s="119"/>
      <c r="C156" s="164"/>
      <c r="D156" s="165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"/>
      <c r="V156" s="1"/>
      <c r="W156" s="1"/>
      <c r="X156" s="1"/>
      <c r="Y156" s="1"/>
      <c r="Z156" s="1"/>
    </row>
    <row r="157" spans="1:26" ht="12.75" customHeight="1">
      <c r="A157" s="119"/>
      <c r="B157" s="119"/>
      <c r="C157" s="164"/>
      <c r="D157" s="166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"/>
      <c r="V157" s="1"/>
      <c r="W157" s="1"/>
      <c r="X157" s="1"/>
      <c r="Y157" s="1"/>
      <c r="Z157" s="1"/>
    </row>
    <row r="158" spans="1:26" ht="12.75" customHeight="1">
      <c r="A158" s="119"/>
      <c r="B158" s="119"/>
      <c r="C158" s="164"/>
      <c r="D158" s="165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"/>
      <c r="V158" s="1"/>
      <c r="W158" s="1"/>
      <c r="X158" s="1"/>
      <c r="Y158" s="1"/>
      <c r="Z158" s="1"/>
    </row>
    <row r="159" spans="1:26" ht="12.75" customHeight="1">
      <c r="A159" s="119"/>
      <c r="B159" s="119"/>
      <c r="C159" s="164"/>
      <c r="D159" s="165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"/>
      <c r="V159" s="1"/>
      <c r="W159" s="1"/>
      <c r="X159" s="1"/>
      <c r="Y159" s="1"/>
      <c r="Z159" s="1"/>
    </row>
    <row r="160" spans="1:26" ht="12.75" customHeight="1">
      <c r="A160" s="119"/>
      <c r="B160" s="119"/>
      <c r="C160" s="164"/>
      <c r="D160" s="166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"/>
      <c r="V160" s="1"/>
      <c r="W160" s="1"/>
      <c r="X160" s="1"/>
      <c r="Y160" s="1"/>
      <c r="Z160" s="1"/>
    </row>
    <row r="161" spans="1:26" ht="12.75" customHeight="1">
      <c r="A161" s="119"/>
      <c r="B161" s="119"/>
      <c r="C161" s="164"/>
      <c r="D161" s="165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"/>
      <c r="V161" s="1"/>
      <c r="W161" s="1"/>
      <c r="X161" s="1"/>
      <c r="Y161" s="1"/>
      <c r="Z161" s="1"/>
    </row>
    <row r="162" spans="1:26" ht="12.75" customHeight="1">
      <c r="A162" s="119"/>
      <c r="B162" s="119"/>
      <c r="C162" s="164"/>
      <c r="D162" s="165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"/>
      <c r="V162" s="1"/>
      <c r="W162" s="1"/>
      <c r="X162" s="1"/>
      <c r="Y162" s="1"/>
      <c r="Z162" s="1"/>
    </row>
    <row r="163" spans="1:26" ht="12.75" customHeight="1">
      <c r="A163" s="119"/>
      <c r="B163" s="119"/>
      <c r="C163" s="164"/>
      <c r="D163" s="166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"/>
      <c r="V163" s="1"/>
      <c r="W163" s="1"/>
      <c r="X163" s="1"/>
      <c r="Y163" s="1"/>
      <c r="Z163" s="1"/>
    </row>
    <row r="164" spans="1:26" ht="12.75" customHeight="1">
      <c r="A164" s="119"/>
      <c r="B164" s="119"/>
      <c r="C164" s="164"/>
      <c r="D164" s="165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"/>
      <c r="V164" s="1"/>
      <c r="W164" s="1"/>
      <c r="X164" s="1"/>
      <c r="Y164" s="1"/>
      <c r="Z164" s="1"/>
    </row>
    <row r="165" spans="1:26" ht="12.75" customHeight="1">
      <c r="A165" s="119"/>
      <c r="B165" s="119"/>
      <c r="C165" s="164"/>
      <c r="D165" s="165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"/>
      <c r="V165" s="1"/>
      <c r="W165" s="1"/>
      <c r="X165" s="1"/>
      <c r="Y165" s="1"/>
      <c r="Z165" s="1"/>
    </row>
    <row r="166" spans="1:26" ht="12.75" customHeight="1">
      <c r="A166" s="119"/>
      <c r="B166" s="119"/>
      <c r="C166" s="164"/>
      <c r="D166" s="166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"/>
      <c r="V166" s="1"/>
      <c r="W166" s="1"/>
      <c r="X166" s="1"/>
      <c r="Y166" s="1"/>
      <c r="Z166" s="1"/>
    </row>
    <row r="167" spans="1:26" ht="12.75" customHeight="1">
      <c r="A167" s="119"/>
      <c r="B167" s="119"/>
      <c r="C167" s="164"/>
      <c r="D167" s="165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"/>
      <c r="V167" s="1"/>
      <c r="W167" s="1"/>
      <c r="X167" s="1"/>
      <c r="Y167" s="1"/>
      <c r="Z167" s="1"/>
    </row>
    <row r="168" spans="1:26" ht="12.75" customHeight="1">
      <c r="A168" s="119"/>
      <c r="B168" s="119"/>
      <c r="C168" s="164"/>
      <c r="D168" s="165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"/>
      <c r="V168" s="1"/>
      <c r="W168" s="1"/>
      <c r="X168" s="1"/>
      <c r="Y168" s="1"/>
      <c r="Z168" s="1"/>
    </row>
    <row r="169" spans="1:26" ht="12.75" customHeight="1">
      <c r="A169" s="119"/>
      <c r="B169" s="119"/>
      <c r="C169" s="164"/>
      <c r="D169" s="166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"/>
      <c r="V169" s="1"/>
      <c r="W169" s="1"/>
      <c r="X169" s="1"/>
      <c r="Y169" s="1"/>
      <c r="Z169" s="1"/>
    </row>
    <row r="170" spans="1:26" ht="12.75" customHeight="1">
      <c r="A170" s="119"/>
      <c r="B170" s="119"/>
      <c r="C170" s="164"/>
      <c r="D170" s="165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"/>
      <c r="V170" s="1"/>
      <c r="W170" s="1"/>
      <c r="X170" s="1"/>
      <c r="Y170" s="1"/>
      <c r="Z170" s="1"/>
    </row>
    <row r="171" spans="1:26" ht="12.75" customHeight="1">
      <c r="A171" s="119"/>
      <c r="B171" s="119"/>
      <c r="C171" s="164"/>
      <c r="D171" s="165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"/>
      <c r="V171" s="1"/>
      <c r="W171" s="1"/>
      <c r="X171" s="1"/>
      <c r="Y171" s="1"/>
      <c r="Z171" s="1"/>
    </row>
    <row r="172" spans="1:26" ht="12.75" customHeight="1">
      <c r="A172" s="119"/>
      <c r="B172" s="119"/>
      <c r="C172" s="164"/>
      <c r="D172" s="166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"/>
      <c r="V172" s="1"/>
      <c r="W172" s="1"/>
      <c r="X172" s="1"/>
      <c r="Y172" s="1"/>
      <c r="Z172" s="1"/>
    </row>
    <row r="173" spans="1:26" ht="12.75" customHeight="1">
      <c r="A173" s="119"/>
      <c r="B173" s="119"/>
      <c r="C173" s="164"/>
      <c r="D173" s="165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"/>
      <c r="V173" s="1"/>
      <c r="W173" s="1"/>
      <c r="X173" s="1"/>
      <c r="Y173" s="1"/>
      <c r="Z173" s="1"/>
    </row>
    <row r="174" spans="1:26" ht="12.75" customHeight="1">
      <c r="A174" s="119"/>
      <c r="B174" s="119"/>
      <c r="C174" s="164"/>
      <c r="D174" s="165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"/>
      <c r="V174" s="1"/>
      <c r="W174" s="1"/>
      <c r="X174" s="1"/>
      <c r="Y174" s="1"/>
      <c r="Z174" s="1"/>
    </row>
    <row r="175" spans="1:26" ht="12.75" customHeight="1">
      <c r="A175" s="119"/>
      <c r="B175" s="119"/>
      <c r="C175" s="164"/>
      <c r="D175" s="166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"/>
      <c r="V175" s="1"/>
      <c r="W175" s="1"/>
      <c r="X175" s="1"/>
      <c r="Y175" s="1"/>
      <c r="Z175" s="1"/>
    </row>
    <row r="176" spans="1:26" ht="12.75" customHeight="1">
      <c r="A176" s="119"/>
      <c r="B176" s="119"/>
      <c r="C176" s="164"/>
      <c r="D176" s="165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"/>
      <c r="V176" s="1"/>
      <c r="W176" s="1"/>
      <c r="X176" s="1"/>
      <c r="Y176" s="1"/>
      <c r="Z176" s="1"/>
    </row>
    <row r="177" spans="1:26" ht="12.75" customHeight="1">
      <c r="A177" s="119"/>
      <c r="B177" s="119"/>
      <c r="C177" s="164"/>
      <c r="D177" s="165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"/>
      <c r="V177" s="1"/>
      <c r="W177" s="1"/>
      <c r="X177" s="1"/>
      <c r="Y177" s="1"/>
      <c r="Z177" s="1"/>
    </row>
    <row r="178" spans="1:26" ht="12.75" customHeight="1">
      <c r="A178" s="119"/>
      <c r="B178" s="119"/>
      <c r="C178" s="164"/>
      <c r="D178" s="166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"/>
      <c r="V178" s="1"/>
      <c r="W178" s="1"/>
      <c r="X178" s="1"/>
      <c r="Y178" s="1"/>
      <c r="Z178" s="1"/>
    </row>
    <row r="179" spans="1:26" ht="12.75" customHeight="1">
      <c r="A179" s="119"/>
      <c r="B179" s="119"/>
      <c r="C179" s="164"/>
      <c r="D179" s="165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"/>
      <c r="V179" s="1"/>
      <c r="W179" s="1"/>
      <c r="X179" s="1"/>
      <c r="Y179" s="1"/>
      <c r="Z179" s="1"/>
    </row>
    <row r="180" spans="1:26" ht="12.75" customHeight="1">
      <c r="A180" s="119"/>
      <c r="B180" s="119"/>
      <c r="C180" s="164"/>
      <c r="D180" s="165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"/>
      <c r="V180" s="1"/>
      <c r="W180" s="1"/>
      <c r="X180" s="1"/>
      <c r="Y180" s="1"/>
      <c r="Z180" s="1"/>
    </row>
    <row r="181" spans="1:26" ht="12.75" customHeight="1">
      <c r="A181" s="119"/>
      <c r="B181" s="119"/>
      <c r="C181" s="164"/>
      <c r="D181" s="166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"/>
      <c r="V181" s="1"/>
      <c r="W181" s="1"/>
      <c r="X181" s="1"/>
      <c r="Y181" s="1"/>
      <c r="Z181" s="1"/>
    </row>
    <row r="182" spans="1:26" ht="12.75" customHeight="1">
      <c r="A182" s="119"/>
      <c r="B182" s="119"/>
      <c r="C182" s="164"/>
      <c r="D182" s="165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"/>
      <c r="V182" s="1"/>
      <c r="W182" s="1"/>
      <c r="X182" s="1"/>
      <c r="Y182" s="1"/>
      <c r="Z182" s="1"/>
    </row>
    <row r="183" spans="1:26" ht="12.75" customHeight="1">
      <c r="A183" s="119"/>
      <c r="B183" s="119"/>
      <c r="C183" s="164"/>
      <c r="D183" s="165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"/>
      <c r="V183" s="1"/>
      <c r="W183" s="1"/>
      <c r="X183" s="1"/>
      <c r="Y183" s="1"/>
      <c r="Z183" s="1"/>
    </row>
    <row r="184" spans="1:26" ht="12.75" customHeight="1">
      <c r="A184" s="119"/>
      <c r="B184" s="119"/>
      <c r="C184" s="164"/>
      <c r="D184" s="166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"/>
      <c r="V184" s="1"/>
      <c r="W184" s="1"/>
      <c r="X184" s="1"/>
      <c r="Y184" s="1"/>
      <c r="Z184" s="1"/>
    </row>
    <row r="185" spans="1:26" ht="12.75" customHeight="1">
      <c r="A185" s="119"/>
      <c r="B185" s="119"/>
      <c r="C185" s="164"/>
      <c r="D185" s="165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"/>
      <c r="V185" s="1"/>
      <c r="W185" s="1"/>
      <c r="X185" s="1"/>
      <c r="Y185" s="1"/>
      <c r="Z185" s="1"/>
    </row>
    <row r="186" spans="1:26" ht="12.75" customHeight="1">
      <c r="A186" s="119"/>
      <c r="B186" s="119"/>
      <c r="C186" s="164"/>
      <c r="D186" s="165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"/>
      <c r="V186" s="1"/>
      <c r="W186" s="1"/>
      <c r="X186" s="1"/>
      <c r="Y186" s="1"/>
      <c r="Z186" s="1"/>
    </row>
    <row r="187" spans="1:26" ht="12.75" customHeight="1">
      <c r="A187" s="119"/>
      <c r="B187" s="119"/>
      <c r="C187" s="164"/>
      <c r="D187" s="166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"/>
      <c r="V187" s="1"/>
      <c r="W187" s="1"/>
      <c r="X187" s="1"/>
      <c r="Y187" s="1"/>
      <c r="Z187" s="1"/>
    </row>
    <row r="188" spans="1:26" ht="12.75" customHeight="1">
      <c r="A188" s="119"/>
      <c r="B188" s="119"/>
      <c r="C188" s="164"/>
      <c r="D188" s="165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"/>
      <c r="V188" s="1"/>
      <c r="W188" s="1"/>
      <c r="X188" s="1"/>
      <c r="Y188" s="1"/>
      <c r="Z188" s="1"/>
    </row>
    <row r="189" spans="1:26" ht="12.75" customHeight="1">
      <c r="A189" s="119"/>
      <c r="B189" s="119"/>
      <c r="C189" s="164"/>
      <c r="D189" s="165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"/>
      <c r="V189" s="1"/>
      <c r="W189" s="1"/>
      <c r="X189" s="1"/>
      <c r="Y189" s="1"/>
      <c r="Z189" s="1"/>
    </row>
    <row r="190" spans="1:26" ht="12.75" customHeight="1">
      <c r="A190" s="119"/>
      <c r="B190" s="119"/>
      <c r="C190" s="164"/>
      <c r="D190" s="166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"/>
      <c r="V190" s="1"/>
      <c r="W190" s="1"/>
      <c r="X190" s="1"/>
      <c r="Y190" s="1"/>
      <c r="Z190" s="1"/>
    </row>
    <row r="191" spans="1:26" ht="12.75" customHeight="1">
      <c r="A191" s="119"/>
      <c r="B191" s="119"/>
      <c r="C191" s="164"/>
      <c r="D191" s="165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"/>
      <c r="V191" s="1"/>
      <c r="W191" s="1"/>
      <c r="X191" s="1"/>
      <c r="Y191" s="1"/>
      <c r="Z191" s="1"/>
    </row>
    <row r="192" spans="1:26" ht="12.75" customHeight="1">
      <c r="A192" s="119"/>
      <c r="B192" s="119"/>
      <c r="C192" s="164"/>
      <c r="D192" s="165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"/>
      <c r="V192" s="1"/>
      <c r="W192" s="1"/>
      <c r="X192" s="1"/>
      <c r="Y192" s="1"/>
      <c r="Z192" s="1"/>
    </row>
    <row r="193" spans="1:26" ht="12.75" customHeight="1">
      <c r="A193" s="119"/>
      <c r="B193" s="119"/>
      <c r="C193" s="164"/>
      <c r="D193" s="166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"/>
      <c r="V193" s="1"/>
      <c r="W193" s="1"/>
      <c r="X193" s="1"/>
      <c r="Y193" s="1"/>
      <c r="Z193" s="1"/>
    </row>
    <row r="194" spans="1:26" ht="12.75" customHeight="1">
      <c r="A194" s="119"/>
      <c r="B194" s="119"/>
      <c r="C194" s="164"/>
      <c r="D194" s="165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"/>
      <c r="V194" s="1"/>
      <c r="W194" s="1"/>
      <c r="X194" s="1"/>
      <c r="Y194" s="1"/>
      <c r="Z194" s="1"/>
    </row>
    <row r="195" spans="1:26" ht="12.75" customHeight="1">
      <c r="A195" s="119"/>
      <c r="B195" s="119"/>
      <c r="C195" s="164"/>
      <c r="D195" s="165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"/>
      <c r="V195" s="1"/>
      <c r="W195" s="1"/>
      <c r="X195" s="1"/>
      <c r="Y195" s="1"/>
      <c r="Z195" s="1"/>
    </row>
    <row r="196" spans="1:26" ht="12.75" customHeight="1">
      <c r="A196" s="119"/>
      <c r="B196" s="119"/>
      <c r="C196" s="164"/>
      <c r="D196" s="166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"/>
      <c r="V196" s="1"/>
      <c r="W196" s="1"/>
      <c r="X196" s="1"/>
      <c r="Y196" s="1"/>
      <c r="Z196" s="1"/>
    </row>
    <row r="197" spans="1:26" ht="12.75" customHeight="1">
      <c r="A197" s="119"/>
      <c r="B197" s="119"/>
      <c r="C197" s="164"/>
      <c r="D197" s="165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"/>
      <c r="V197" s="1"/>
      <c r="W197" s="1"/>
      <c r="X197" s="1"/>
      <c r="Y197" s="1"/>
      <c r="Z197" s="1"/>
    </row>
    <row r="198" spans="1:26" ht="12.75" customHeight="1">
      <c r="A198" s="119"/>
      <c r="B198" s="119"/>
      <c r="C198" s="164"/>
      <c r="D198" s="165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"/>
      <c r="V198" s="1"/>
      <c r="W198" s="1"/>
      <c r="X198" s="1"/>
      <c r="Y198" s="1"/>
      <c r="Z198" s="1"/>
    </row>
    <row r="199" spans="1:26" ht="12.75" customHeight="1">
      <c r="A199" s="119"/>
      <c r="B199" s="119"/>
      <c r="C199" s="164"/>
      <c r="D199" s="166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"/>
      <c r="V199" s="1"/>
      <c r="W199" s="1"/>
      <c r="X199" s="1"/>
      <c r="Y199" s="1"/>
      <c r="Z199" s="1"/>
    </row>
    <row r="200" spans="1:26" ht="12.75" customHeight="1">
      <c r="A200" s="119"/>
      <c r="B200" s="119"/>
      <c r="C200" s="164"/>
      <c r="D200" s="165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"/>
      <c r="V200" s="1"/>
      <c r="W200" s="1"/>
      <c r="X200" s="1"/>
      <c r="Y200" s="1"/>
      <c r="Z200" s="1"/>
    </row>
    <row r="201" spans="1:26" ht="12.75" customHeight="1">
      <c r="A201" s="119"/>
      <c r="B201" s="119"/>
      <c r="C201" s="164"/>
      <c r="D201" s="165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"/>
      <c r="V201" s="1"/>
      <c r="W201" s="1"/>
      <c r="X201" s="1"/>
      <c r="Y201" s="1"/>
      <c r="Z201" s="1"/>
    </row>
    <row r="202" spans="1:26" ht="12.75" customHeight="1">
      <c r="A202" s="119"/>
      <c r="B202" s="119"/>
      <c r="C202" s="164"/>
      <c r="D202" s="166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"/>
      <c r="V202" s="1"/>
      <c r="W202" s="1"/>
      <c r="X202" s="1"/>
      <c r="Y202" s="1"/>
      <c r="Z202" s="1"/>
    </row>
    <row r="203" spans="1:26" ht="12.75" customHeight="1">
      <c r="A203" s="119"/>
      <c r="B203" s="119"/>
      <c r="C203" s="164"/>
      <c r="D203" s="165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"/>
      <c r="V203" s="1"/>
      <c r="W203" s="1"/>
      <c r="X203" s="1"/>
      <c r="Y203" s="1"/>
      <c r="Z203" s="1"/>
    </row>
    <row r="204" spans="1:26" ht="12.75" customHeight="1">
      <c r="A204" s="119"/>
      <c r="B204" s="119"/>
      <c r="C204" s="164"/>
      <c r="D204" s="165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"/>
      <c r="V204" s="1"/>
      <c r="W204" s="1"/>
      <c r="X204" s="1"/>
      <c r="Y204" s="1"/>
      <c r="Z204" s="1"/>
    </row>
    <row r="205" spans="1:26" ht="12.75" customHeight="1">
      <c r="A205" s="119"/>
      <c r="B205" s="119"/>
      <c r="C205" s="164"/>
      <c r="D205" s="166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"/>
      <c r="V205" s="1"/>
      <c r="W205" s="1"/>
      <c r="X205" s="1"/>
      <c r="Y205" s="1"/>
      <c r="Z205" s="1"/>
    </row>
    <row r="206" spans="1:26" ht="12.75" customHeight="1">
      <c r="A206" s="119"/>
      <c r="B206" s="119"/>
      <c r="C206" s="164"/>
      <c r="D206" s="165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"/>
      <c r="V206" s="1"/>
      <c r="W206" s="1"/>
      <c r="X206" s="1"/>
      <c r="Y206" s="1"/>
      <c r="Z206" s="1"/>
    </row>
    <row r="207" spans="1:26" ht="12.75" customHeight="1">
      <c r="A207" s="119"/>
      <c r="B207" s="119"/>
      <c r="C207" s="164"/>
      <c r="D207" s="165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"/>
      <c r="V207" s="1"/>
      <c r="W207" s="1"/>
      <c r="X207" s="1"/>
      <c r="Y207" s="1"/>
      <c r="Z207" s="1"/>
    </row>
    <row r="208" spans="1:26" ht="12.75" customHeight="1">
      <c r="A208" s="119"/>
      <c r="B208" s="119"/>
      <c r="C208" s="164"/>
      <c r="D208" s="166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"/>
      <c r="V208" s="1"/>
      <c r="W208" s="1"/>
      <c r="X208" s="1"/>
      <c r="Y208" s="1"/>
      <c r="Z208" s="1"/>
    </row>
    <row r="209" spans="1:26" ht="12.75" customHeight="1">
      <c r="A209" s="119"/>
      <c r="B209" s="119"/>
      <c r="C209" s="164"/>
      <c r="D209" s="165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"/>
      <c r="V209" s="1"/>
      <c r="W209" s="1"/>
      <c r="X209" s="1"/>
      <c r="Y209" s="1"/>
      <c r="Z209" s="1"/>
    </row>
    <row r="210" spans="1:26" ht="12.75" customHeight="1">
      <c r="A210" s="119"/>
      <c r="B210" s="119"/>
      <c r="C210" s="164"/>
      <c r="D210" s="165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"/>
      <c r="V210" s="1"/>
      <c r="W210" s="1"/>
      <c r="X210" s="1"/>
      <c r="Y210" s="1"/>
      <c r="Z210" s="1"/>
    </row>
    <row r="211" spans="1:26" ht="12.75" customHeight="1">
      <c r="A211" s="119"/>
      <c r="B211" s="119"/>
      <c r="C211" s="164"/>
      <c r="D211" s="166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"/>
      <c r="V211" s="1"/>
      <c r="W211" s="1"/>
      <c r="X211" s="1"/>
      <c r="Y211" s="1"/>
      <c r="Z211" s="1"/>
    </row>
    <row r="212" spans="1:26" ht="12.75" customHeight="1">
      <c r="A212" s="119"/>
      <c r="B212" s="119"/>
      <c r="C212" s="164"/>
      <c r="D212" s="165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"/>
      <c r="V212" s="1"/>
      <c r="W212" s="1"/>
      <c r="X212" s="1"/>
      <c r="Y212" s="1"/>
      <c r="Z212" s="1"/>
    </row>
    <row r="213" spans="1:26" ht="12.75" customHeight="1">
      <c r="A213" s="119"/>
      <c r="B213" s="119"/>
      <c r="C213" s="164"/>
      <c r="D213" s="165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"/>
      <c r="V213" s="1"/>
      <c r="W213" s="1"/>
      <c r="X213" s="1"/>
      <c r="Y213" s="1"/>
      <c r="Z213" s="1"/>
    </row>
    <row r="214" spans="1:26" ht="12.75" customHeight="1">
      <c r="A214" s="119"/>
      <c r="B214" s="119"/>
      <c r="C214" s="164"/>
      <c r="D214" s="166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"/>
      <c r="V214" s="1"/>
      <c r="W214" s="1"/>
      <c r="X214" s="1"/>
      <c r="Y214" s="1"/>
      <c r="Z214" s="1"/>
    </row>
    <row r="215" spans="1:26" ht="12.75" customHeight="1">
      <c r="A215" s="119"/>
      <c r="B215" s="119"/>
      <c r="C215" s="164"/>
      <c r="D215" s="165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"/>
      <c r="V215" s="1"/>
      <c r="W215" s="1"/>
      <c r="X215" s="1"/>
      <c r="Y215" s="1"/>
      <c r="Z215" s="1"/>
    </row>
    <row r="216" spans="1:26" ht="12.75" customHeight="1">
      <c r="A216" s="119"/>
      <c r="B216" s="119"/>
      <c r="C216" s="164"/>
      <c r="D216" s="165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"/>
      <c r="V216" s="1"/>
      <c r="W216" s="1"/>
      <c r="X216" s="1"/>
      <c r="Y216" s="1"/>
      <c r="Z216" s="1"/>
    </row>
    <row r="217" spans="1:26" ht="12.75" customHeight="1">
      <c r="A217" s="119"/>
      <c r="B217" s="119"/>
      <c r="C217" s="164"/>
      <c r="D217" s="166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"/>
      <c r="V217" s="1"/>
      <c r="W217" s="1"/>
      <c r="X217" s="1"/>
      <c r="Y217" s="1"/>
      <c r="Z217" s="1"/>
    </row>
    <row r="218" spans="1:26" ht="12.75" customHeight="1">
      <c r="A218" s="119"/>
      <c r="B218" s="119"/>
      <c r="C218" s="164"/>
      <c r="D218" s="165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"/>
      <c r="V218" s="1"/>
      <c r="W218" s="1"/>
      <c r="X218" s="1"/>
      <c r="Y218" s="1"/>
      <c r="Z218" s="1"/>
    </row>
    <row r="219" spans="1:26" ht="12.75" customHeight="1">
      <c r="A219" s="119"/>
      <c r="B219" s="119"/>
      <c r="C219" s="164"/>
      <c r="D219" s="165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"/>
      <c r="V219" s="1"/>
      <c r="W219" s="1"/>
      <c r="X219" s="1"/>
      <c r="Y219" s="1"/>
      <c r="Z219" s="1"/>
    </row>
    <row r="220" spans="1:26" ht="12.75" customHeight="1">
      <c r="A220" s="119"/>
      <c r="B220" s="119"/>
      <c r="C220" s="164"/>
      <c r="D220" s="166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"/>
      <c r="V220" s="1"/>
      <c r="W220" s="1"/>
      <c r="X220" s="1"/>
      <c r="Y220" s="1"/>
      <c r="Z220" s="1"/>
    </row>
    <row r="221" spans="1:26" ht="12.75" customHeight="1">
      <c r="A221" s="119"/>
      <c r="B221" s="119"/>
      <c r="C221" s="164"/>
      <c r="D221" s="165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"/>
      <c r="V221" s="1"/>
      <c r="W221" s="1"/>
      <c r="X221" s="1"/>
      <c r="Y221" s="1"/>
      <c r="Z221" s="1"/>
    </row>
    <row r="222" spans="1:26" ht="12.75" customHeight="1">
      <c r="A222" s="119"/>
      <c r="B222" s="119"/>
      <c r="C222" s="164"/>
      <c r="D222" s="165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"/>
      <c r="V222" s="1"/>
      <c r="W222" s="1"/>
      <c r="X222" s="1"/>
      <c r="Y222" s="1"/>
      <c r="Z222" s="1"/>
    </row>
    <row r="223" spans="1:26" ht="12.75" customHeight="1">
      <c r="A223" s="119"/>
      <c r="B223" s="119"/>
      <c r="C223" s="164"/>
      <c r="D223" s="166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"/>
      <c r="V223" s="1"/>
      <c r="W223" s="1"/>
      <c r="X223" s="1"/>
      <c r="Y223" s="1"/>
      <c r="Z223" s="1"/>
    </row>
    <row r="224" spans="1:26" ht="12.75" customHeight="1">
      <c r="A224" s="119"/>
      <c r="B224" s="119"/>
      <c r="C224" s="164"/>
      <c r="D224" s="165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"/>
      <c r="V224" s="1"/>
      <c r="W224" s="1"/>
      <c r="X224" s="1"/>
      <c r="Y224" s="1"/>
      <c r="Z224" s="1"/>
    </row>
    <row r="225" spans="1:26" ht="12.75" customHeight="1">
      <c r="A225" s="119"/>
      <c r="B225" s="119"/>
      <c r="C225" s="164"/>
      <c r="D225" s="165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"/>
      <c r="V225" s="1"/>
      <c r="W225" s="1"/>
      <c r="X225" s="1"/>
      <c r="Y225" s="1"/>
      <c r="Z225" s="1"/>
    </row>
    <row r="226" spans="1:26" ht="12.75" customHeight="1">
      <c r="A226" s="119"/>
      <c r="B226" s="119"/>
      <c r="C226" s="164"/>
      <c r="D226" s="166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"/>
      <c r="V226" s="1"/>
      <c r="W226" s="1"/>
      <c r="X226" s="1"/>
      <c r="Y226" s="1"/>
      <c r="Z226" s="1"/>
    </row>
    <row r="227" spans="1:26" ht="12.75" customHeight="1">
      <c r="A227" s="119"/>
      <c r="B227" s="119"/>
      <c r="C227" s="164"/>
      <c r="D227" s="165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"/>
      <c r="V227" s="1"/>
      <c r="W227" s="1"/>
      <c r="X227" s="1"/>
      <c r="Y227" s="1"/>
      <c r="Z227" s="1"/>
    </row>
    <row r="228" spans="1:26" ht="12.75" customHeight="1">
      <c r="A228" s="119"/>
      <c r="B228" s="119"/>
      <c r="C228" s="164"/>
      <c r="D228" s="165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"/>
      <c r="V228" s="1"/>
      <c r="W228" s="1"/>
      <c r="X228" s="1"/>
      <c r="Y228" s="1"/>
      <c r="Z228" s="1"/>
    </row>
    <row r="229" spans="1:26" ht="12.75" customHeight="1">
      <c r="A229" s="119"/>
      <c r="B229" s="119"/>
      <c r="C229" s="164"/>
      <c r="D229" s="166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"/>
      <c r="V229" s="1"/>
      <c r="W229" s="1"/>
      <c r="X229" s="1"/>
      <c r="Y229" s="1"/>
      <c r="Z229" s="1"/>
    </row>
    <row r="230" spans="1:26" ht="12.75" customHeight="1">
      <c r="A230" s="119"/>
      <c r="B230" s="119"/>
      <c r="C230" s="164"/>
      <c r="D230" s="165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"/>
      <c r="V230" s="1"/>
      <c r="W230" s="1"/>
      <c r="X230" s="1"/>
      <c r="Y230" s="1"/>
      <c r="Z230" s="1"/>
    </row>
    <row r="231" spans="1:26" ht="12.75" customHeight="1">
      <c r="A231" s="119"/>
      <c r="B231" s="119"/>
      <c r="C231" s="164"/>
      <c r="D231" s="165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"/>
      <c r="V231" s="1"/>
      <c r="W231" s="1"/>
      <c r="X231" s="1"/>
      <c r="Y231" s="1"/>
      <c r="Z231" s="1"/>
    </row>
    <row r="232" spans="1:26" ht="12.75" customHeight="1">
      <c r="A232" s="119"/>
      <c r="B232" s="119"/>
      <c r="C232" s="164"/>
      <c r="D232" s="166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"/>
      <c r="V232" s="1"/>
      <c r="W232" s="1"/>
      <c r="X232" s="1"/>
      <c r="Y232" s="1"/>
      <c r="Z232" s="1"/>
    </row>
    <row r="233" spans="1:26" ht="12.75" customHeight="1">
      <c r="A233" s="119"/>
      <c r="B233" s="119"/>
      <c r="C233" s="164"/>
      <c r="D233" s="165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"/>
      <c r="V233" s="1"/>
      <c r="W233" s="1"/>
      <c r="X233" s="1"/>
      <c r="Y233" s="1"/>
      <c r="Z233" s="1"/>
    </row>
    <row r="234" spans="1:26" ht="12.75" customHeight="1">
      <c r="A234" s="119"/>
      <c r="B234" s="119"/>
      <c r="C234" s="164"/>
      <c r="D234" s="165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"/>
      <c r="V234" s="1"/>
      <c r="W234" s="1"/>
      <c r="X234" s="1"/>
      <c r="Y234" s="1"/>
      <c r="Z234" s="1"/>
    </row>
    <row r="235" spans="1:26" ht="12.75" customHeight="1">
      <c r="A235" s="119"/>
      <c r="B235" s="119"/>
      <c r="C235" s="164"/>
      <c r="D235" s="166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"/>
      <c r="V235" s="1"/>
      <c r="W235" s="1"/>
      <c r="X235" s="1"/>
      <c r="Y235" s="1"/>
      <c r="Z235" s="1"/>
    </row>
    <row r="236" spans="1:26" ht="12.75" customHeight="1">
      <c r="A236" s="1"/>
      <c r="B236" s="119"/>
      <c r="C236" s="164"/>
      <c r="D236" s="165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"/>
      <c r="V236" s="1"/>
      <c r="W236" s="1"/>
      <c r="X236" s="1"/>
      <c r="Y236" s="1"/>
      <c r="Z236" s="1"/>
    </row>
    <row r="237" spans="1:26" ht="12.75" customHeight="1">
      <c r="A237" s="1"/>
      <c r="B237" s="119"/>
      <c r="C237" s="164"/>
      <c r="D237" s="165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"/>
      <c r="V237" s="1"/>
      <c r="W237" s="1"/>
      <c r="X237" s="1"/>
      <c r="Y237" s="1"/>
      <c r="Z237" s="1"/>
    </row>
    <row r="238" spans="1:26" ht="12.75" customHeight="1">
      <c r="A238" s="1"/>
      <c r="B238" s="119"/>
      <c r="C238" s="164"/>
      <c r="D238" s="166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"/>
      <c r="V238" s="1"/>
      <c r="W238" s="1"/>
      <c r="X238" s="1"/>
      <c r="Y238" s="1"/>
      <c r="Z238" s="1"/>
    </row>
    <row r="239" spans="1:26" ht="12.75" customHeight="1">
      <c r="A239" s="1"/>
      <c r="B239" s="119"/>
      <c r="C239" s="164"/>
      <c r="D239" s="165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"/>
      <c r="V239" s="1"/>
      <c r="W239" s="1"/>
      <c r="X239" s="1"/>
      <c r="Y239" s="1"/>
      <c r="Z239" s="1"/>
    </row>
    <row r="240" spans="1:26" ht="12.75" customHeight="1">
      <c r="A240" s="1"/>
      <c r="B240" s="119"/>
      <c r="C240" s="164"/>
      <c r="D240" s="165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9"/>
      <c r="O248" s="119"/>
      <c r="P248" s="1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A8:A32" xr:uid="{00000000-0002-0000-0000-000000000000}">
      <formula1>listo</formula1>
    </dataValidation>
    <dataValidation type="list" allowBlank="1" showErrorMessage="1" sqref="C111:C240" xr:uid="{00000000-0002-0000-0000-000001000000}">
      <formula1>metro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>
      <c r="A1" s="36" t="str">
        <f>consumos!A2</f>
        <v>DOCENTE ENCARGADO</v>
      </c>
      <c r="B1" s="36" t="str">
        <f>consumos!A3</f>
        <v>NOMBRE DEL PRODUCTO</v>
      </c>
      <c r="C1" s="37" t="str">
        <f>consumos!G4</f>
        <v>NUMERO DE FICHA</v>
      </c>
      <c r="D1" s="36" t="str">
        <f>consumos!F2</f>
        <v>CURSO/TECNICO</v>
      </c>
      <c r="E1" s="38"/>
      <c r="F1" s="38"/>
      <c r="G1" s="167"/>
      <c r="H1" s="168" t="s">
        <v>78</v>
      </c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22"/>
    </row>
    <row r="2" spans="1:24" ht="35.25" customHeight="1">
      <c r="A2" s="39" t="str">
        <f>consumos!D2</f>
        <v>NICOLAS ALVAREZ</v>
      </c>
      <c r="B2" s="39" t="str">
        <f>consumos!D3</f>
        <v>EJERCICIOS</v>
      </c>
      <c r="C2" s="39" t="str">
        <f>consumos!F5</f>
        <v/>
      </c>
      <c r="D2" s="39" t="str">
        <f>consumos!F3</f>
        <v/>
      </c>
      <c r="E2" s="40"/>
      <c r="F2" s="40">
        <f>consumos!E5</f>
        <v>43498846</v>
      </c>
      <c r="G2" s="167"/>
      <c r="H2" s="147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6"/>
    </row>
    <row r="3" spans="1:24" ht="43.5" customHeight="1">
      <c r="A3" s="41" t="s">
        <v>79</v>
      </c>
      <c r="B3" s="42" t="s">
        <v>80</v>
      </c>
      <c r="C3" s="41" t="s">
        <v>81</v>
      </c>
      <c r="D3" s="43" t="s">
        <v>82</v>
      </c>
      <c r="E3" s="43" t="s">
        <v>83</v>
      </c>
      <c r="F3" s="44" t="s">
        <v>14</v>
      </c>
      <c r="G3" s="167"/>
      <c r="H3" s="45" t="s">
        <v>84</v>
      </c>
      <c r="I3" s="46"/>
      <c r="J3" s="46" t="s">
        <v>85</v>
      </c>
      <c r="K3" s="36">
        <v>1</v>
      </c>
      <c r="L3" s="36">
        <v>2</v>
      </c>
      <c r="M3" s="36">
        <v>3</v>
      </c>
      <c r="N3" s="36">
        <v>4</v>
      </c>
      <c r="O3" s="36">
        <v>5</v>
      </c>
      <c r="P3" s="36">
        <v>6</v>
      </c>
      <c r="Q3" s="36">
        <v>7</v>
      </c>
      <c r="R3" s="36">
        <v>8</v>
      </c>
      <c r="S3" s="36">
        <v>9</v>
      </c>
      <c r="T3" s="36">
        <v>10</v>
      </c>
      <c r="U3" s="47" t="s">
        <v>27</v>
      </c>
      <c r="V3" s="47" t="s">
        <v>86</v>
      </c>
      <c r="W3" s="47" t="s">
        <v>85</v>
      </c>
      <c r="X3" s="47" t="s">
        <v>84</v>
      </c>
    </row>
    <row r="4" spans="1:24" ht="12.75" customHeight="1">
      <c r="A4" s="48" t="str">
        <f>consumos!A34</f>
        <v>Lona Sintetica Colores  (cm²)</v>
      </c>
      <c r="B4" s="49">
        <f>consumos!D8</f>
        <v>0</v>
      </c>
      <c r="C4" s="50">
        <f>consumos!E8</f>
        <v>10000</v>
      </c>
      <c r="D4" s="51">
        <f>consumos!E8*consumos!J5</f>
        <v>130000</v>
      </c>
      <c r="E4" s="51">
        <f>MEDIDAS!C21</f>
        <v>68.965517239999997</v>
      </c>
      <c r="F4" s="52">
        <f>consumos!H8</f>
        <v>85800</v>
      </c>
      <c r="G4" s="170"/>
      <c r="H4" s="53">
        <f>IF(I4&gt;D4,(FALSE),I4)</f>
        <v>418</v>
      </c>
      <c r="I4" s="54">
        <f>(K4+L4+M4+N4+O4+P4+Q4+R4+S4+T4)</f>
        <v>418</v>
      </c>
      <c r="J4" s="55">
        <f>D4-(K4+L4+M4+N4+O4+P4+Q4+R4+S4+T4)</f>
        <v>129582</v>
      </c>
      <c r="K4" s="56">
        <v>418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7" t="str">
        <f>consumos!A77</f>
        <v>Aguja Corta Cabo Delgada  (unidad)</v>
      </c>
      <c r="V4" s="58" t="str">
        <f>IF(consumos!D77&lt;0,(1),consumos!D77)</f>
        <v/>
      </c>
      <c r="W4" s="59">
        <f t="shared" ref="W4:W51" si="0">V4-X4</f>
        <v>0</v>
      </c>
      <c r="X4" s="60">
        <v>0</v>
      </c>
    </row>
    <row r="5" spans="1:24" ht="12.75" customHeight="1">
      <c r="A5" s="48" t="str">
        <f>consumos!A35</f>
        <v/>
      </c>
      <c r="B5" s="49">
        <f>consumos!D9</f>
        <v>0</v>
      </c>
      <c r="C5" s="50">
        <f>consumos!E9</f>
        <v>1750</v>
      </c>
      <c r="D5" s="51">
        <f>consumos!E9*consumos!J5</f>
        <v>22750</v>
      </c>
      <c r="E5" s="51">
        <f>MEDIDAS!C22</f>
        <v>12.068965520000001</v>
      </c>
      <c r="F5" s="52">
        <f>consumos!H9</f>
        <v>0</v>
      </c>
      <c r="G5" s="170"/>
      <c r="H5" s="53"/>
      <c r="I5" s="54"/>
      <c r="J5" s="55"/>
      <c r="K5" s="56"/>
      <c r="L5" s="56"/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7" t="str">
        <f>consumos!A78</f>
        <v>Aguja Corta Cabo Grueso  (unidad)</v>
      </c>
      <c r="V5" s="58">
        <f>IF(consumos!D78&lt;0,(1),consumos!D78)</f>
        <v>20</v>
      </c>
      <c r="W5" s="59">
        <f t="shared" si="0"/>
        <v>0</v>
      </c>
      <c r="X5" s="60">
        <v>20</v>
      </c>
    </row>
    <row r="6" spans="1:24" ht="12.75" customHeight="1">
      <c r="A6" s="48">
        <f>consumos!A36</f>
        <v>0</v>
      </c>
      <c r="B6" s="49">
        <f>consumos!D10</f>
        <v>0</v>
      </c>
      <c r="C6" s="50">
        <f>consumos!E10</f>
        <v>0</v>
      </c>
      <c r="D6" s="51">
        <f>consumos!E10*consumos!J5</f>
        <v>0</v>
      </c>
      <c r="E6" s="51">
        <f>MEDIDAS!C23</f>
        <v>0</v>
      </c>
      <c r="F6" s="52">
        <f>consumos!H10</f>
        <v>0</v>
      </c>
      <c r="G6" s="170"/>
      <c r="H6" s="53">
        <f t="shared" ref="H6:H28" si="1">IF(I6&gt;D6,(FALSE),I6)</f>
        <v>0</v>
      </c>
      <c r="I6" s="54">
        <f t="shared" ref="I6:I28" si="2">(K6+L6+M6+N6+O6+P6+Q6+R6+S6+T6)</f>
        <v>0</v>
      </c>
      <c r="J6" s="55">
        <f t="shared" ref="J6:J28" si="3">D6-(K6+L6+M6+N6+O6+P6+Q6+R6+S6+T6)</f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7" t="str">
        <f>consumos!A79</f>
        <v>Bolsa Plastica Cargadera ( unidad)</v>
      </c>
      <c r="V6" s="58" t="str">
        <f>IF(consumos!D79&lt;0,(1),consumos!D79)</f>
        <v/>
      </c>
      <c r="W6" s="59">
        <f t="shared" si="0"/>
        <v>0</v>
      </c>
      <c r="X6" s="60">
        <v>0</v>
      </c>
    </row>
    <row r="7" spans="1:24" ht="12.75" customHeight="1">
      <c r="A7" s="48">
        <f>consumos!A37</f>
        <v>0</v>
      </c>
      <c r="B7" s="49">
        <f>consumos!D11</f>
        <v>0</v>
      </c>
      <c r="C7" s="50">
        <f>consumos!E11</f>
        <v>0</v>
      </c>
      <c r="D7" s="51">
        <f>consumos!E11*consumos!J5</f>
        <v>0</v>
      </c>
      <c r="E7" s="51">
        <f>MEDIDAS!C24</f>
        <v>0</v>
      </c>
      <c r="F7" s="52">
        <f>consumos!H11</f>
        <v>0</v>
      </c>
      <c r="G7" s="170"/>
      <c r="H7" s="53">
        <f t="shared" si="1"/>
        <v>0</v>
      </c>
      <c r="I7" s="54">
        <f t="shared" si="2"/>
        <v>0</v>
      </c>
      <c r="J7" s="55">
        <f t="shared" si="3"/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7" t="str">
        <f>consumos!A80</f>
        <v>Bolsa plastica de 12*14 ( unidad)</v>
      </c>
      <c r="V7" s="58" t="str">
        <f>IF(consumos!D80&lt;0,(1),consumos!D80)</f>
        <v/>
      </c>
      <c r="W7" s="59">
        <f t="shared" si="0"/>
        <v>0</v>
      </c>
      <c r="X7" s="60">
        <v>0</v>
      </c>
    </row>
    <row r="8" spans="1:24" ht="12.75" customHeight="1">
      <c r="A8" s="48">
        <f>consumos!A38</f>
        <v>0</v>
      </c>
      <c r="B8" s="49">
        <f>consumos!D12</f>
        <v>0</v>
      </c>
      <c r="C8" s="50">
        <f>consumos!E12</f>
        <v>0</v>
      </c>
      <c r="D8" s="51">
        <f>consumos!E12*consumos!J5</f>
        <v>0</v>
      </c>
      <c r="E8" s="51">
        <f>MEDIDAS!C25</f>
        <v>0</v>
      </c>
      <c r="F8" s="52">
        <f>consumos!H12</f>
        <v>0</v>
      </c>
      <c r="G8" s="170"/>
      <c r="H8" s="53">
        <f t="shared" si="1"/>
        <v>0</v>
      </c>
      <c r="I8" s="54">
        <f t="shared" si="2"/>
        <v>0</v>
      </c>
      <c r="J8" s="55">
        <f t="shared" si="3"/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7" t="str">
        <f>consumos!A81</f>
        <v>Bolsa Plastica de 15*22 ( unidad)</v>
      </c>
      <c r="V8" s="58" t="str">
        <f>IF(consumos!D81&lt;0,(1),consumos!D81)</f>
        <v/>
      </c>
      <c r="W8" s="59">
        <f t="shared" si="0"/>
        <v>0</v>
      </c>
      <c r="X8" s="60">
        <v>0</v>
      </c>
    </row>
    <row r="9" spans="1:24" ht="12.75" customHeight="1">
      <c r="A9" s="48">
        <f>consumos!A39</f>
        <v>0</v>
      </c>
      <c r="B9" s="49">
        <f>consumos!D13</f>
        <v>0</v>
      </c>
      <c r="C9" s="50">
        <f>consumos!E13</f>
        <v>0</v>
      </c>
      <c r="D9" s="51">
        <f>consumos!E13*consumos!J5</f>
        <v>0</v>
      </c>
      <c r="E9" s="51">
        <f>MEDIDAS!C26</f>
        <v>0</v>
      </c>
      <c r="F9" s="52">
        <f>consumos!H13</f>
        <v>0</v>
      </c>
      <c r="G9" s="170"/>
      <c r="H9" s="53">
        <f t="shared" si="1"/>
        <v>0</v>
      </c>
      <c r="I9" s="54">
        <f t="shared" si="2"/>
        <v>0</v>
      </c>
      <c r="J9" s="55">
        <f t="shared" si="3"/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7" t="str">
        <f>consumos!A82</f>
        <v>Cambre de 100gr   (cm²)</v>
      </c>
      <c r="V9" s="58" t="str">
        <f>IF(consumos!D82&lt;0,(1),consumos!D82)</f>
        <v/>
      </c>
      <c r="W9" s="59">
        <f t="shared" si="0"/>
        <v>0</v>
      </c>
      <c r="X9" s="60">
        <v>0</v>
      </c>
    </row>
    <row r="10" spans="1:24" ht="12.75" customHeight="1">
      <c r="A10" s="48">
        <f>consumos!A40</f>
        <v>0</v>
      </c>
      <c r="B10" s="49">
        <f>consumos!D14</f>
        <v>0</v>
      </c>
      <c r="C10" s="50">
        <f>consumos!E14</f>
        <v>0</v>
      </c>
      <c r="D10" s="51">
        <f>consumos!E14*consumos!J5</f>
        <v>0</v>
      </c>
      <c r="E10" s="51">
        <f>MEDIDAS!C27</f>
        <v>0</v>
      </c>
      <c r="F10" s="52">
        <f>consumos!H14</f>
        <v>0</v>
      </c>
      <c r="G10" s="170"/>
      <c r="H10" s="53">
        <f t="shared" si="1"/>
        <v>0</v>
      </c>
      <c r="I10" s="54">
        <f t="shared" si="2"/>
        <v>0</v>
      </c>
      <c r="J10" s="55">
        <f t="shared" si="3"/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7" t="str">
        <f>consumos!A83</f>
        <v>Carton Corrugado (pliego)</v>
      </c>
      <c r="V10" s="58" t="str">
        <f>IF(consumos!D83&lt;0,(1),consumos!D83)</f>
        <v/>
      </c>
      <c r="W10" s="59">
        <f t="shared" si="0"/>
        <v>0</v>
      </c>
      <c r="X10" s="60">
        <v>0</v>
      </c>
    </row>
    <row r="11" spans="1:24" ht="12.75" customHeight="1">
      <c r="A11" s="48">
        <f>consumos!A41</f>
        <v>0</v>
      </c>
      <c r="B11" s="49">
        <f>consumos!D15</f>
        <v>0</v>
      </c>
      <c r="C11" s="50">
        <f>consumos!E15</f>
        <v>0</v>
      </c>
      <c r="D11" s="51">
        <f>consumos!E15*consumos!J5</f>
        <v>0</v>
      </c>
      <c r="E11" s="51">
        <f>MEDIDAS!C28</f>
        <v>0</v>
      </c>
      <c r="F11" s="52">
        <f>consumos!H15</f>
        <v>0</v>
      </c>
      <c r="G11" s="170"/>
      <c r="H11" s="53">
        <f t="shared" si="1"/>
        <v>0</v>
      </c>
      <c r="I11" s="54">
        <f t="shared" si="2"/>
        <v>0</v>
      </c>
      <c r="J11" s="55">
        <f t="shared" si="3"/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7" t="str">
        <f>consumos!A84</f>
        <v>Carton duplex  (pliego)</v>
      </c>
      <c r="V11" s="58" t="str">
        <f>IF(consumos!D84&lt;0,(1),consumos!D84)</f>
        <v/>
      </c>
      <c r="W11" s="59">
        <f t="shared" si="0"/>
        <v>0</v>
      </c>
      <c r="X11" s="60">
        <v>0</v>
      </c>
    </row>
    <row r="12" spans="1:24" ht="12.75" customHeight="1">
      <c r="A12" s="48">
        <f>consumos!A42</f>
        <v>0</v>
      </c>
      <c r="B12" s="49">
        <f>consumos!D16</f>
        <v>0</v>
      </c>
      <c r="C12" s="50">
        <f>consumos!E16</f>
        <v>0</v>
      </c>
      <c r="D12" s="51">
        <f>consumos!E16*consumos!J5</f>
        <v>0</v>
      </c>
      <c r="E12" s="51">
        <f>MEDIDAS!C29</f>
        <v>0</v>
      </c>
      <c r="F12" s="52">
        <f>consumos!H16</f>
        <v>0</v>
      </c>
      <c r="G12" s="170"/>
      <c r="H12" s="53">
        <f t="shared" si="1"/>
        <v>0</v>
      </c>
      <c r="I12" s="54">
        <f t="shared" si="2"/>
        <v>0</v>
      </c>
      <c r="J12" s="55">
        <f t="shared" si="3"/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7" t="str">
        <f>consumos!A85</f>
        <v>Carton Paja (pliego)</v>
      </c>
      <c r="V12" s="58" t="str">
        <f>IF(consumos!D85&lt;0,(1),consumos!D85)</f>
        <v/>
      </c>
      <c r="W12" s="59">
        <f t="shared" si="0"/>
        <v>0</v>
      </c>
      <c r="X12" s="60">
        <v>0</v>
      </c>
    </row>
    <row r="13" spans="1:24" ht="12.75" customHeight="1">
      <c r="A13" s="48">
        <f>consumos!A43</f>
        <v>0</v>
      </c>
      <c r="B13" s="49">
        <f>consumos!D17</f>
        <v>0</v>
      </c>
      <c r="C13" s="50">
        <f>consumos!E17</f>
        <v>0</v>
      </c>
      <c r="D13" s="51">
        <f>consumos!E17*consumos!J5</f>
        <v>0</v>
      </c>
      <c r="E13" s="51">
        <f>MEDIDAS!C30</f>
        <v>0</v>
      </c>
      <c r="F13" s="52">
        <f>consumos!H17</f>
        <v>0</v>
      </c>
      <c r="G13" s="170"/>
      <c r="H13" s="53">
        <f t="shared" si="1"/>
        <v>0</v>
      </c>
      <c r="I13" s="54">
        <f t="shared" si="2"/>
        <v>0</v>
      </c>
      <c r="J13" s="55">
        <f t="shared" si="3"/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7" t="str">
        <f>consumos!A86</f>
        <v>Cartulina  (pliego)</v>
      </c>
      <c r="V13" s="58" t="str">
        <f>IF(consumos!D86&lt;0,(1),consumos!D86)</f>
        <v/>
      </c>
      <c r="W13" s="59">
        <f t="shared" si="0"/>
        <v>0</v>
      </c>
      <c r="X13" s="60">
        <v>0</v>
      </c>
    </row>
    <row r="14" spans="1:24" ht="12.75" customHeight="1">
      <c r="A14" s="48">
        <f>consumos!A44</f>
        <v>0</v>
      </c>
      <c r="B14" s="49">
        <f>consumos!D18</f>
        <v>0</v>
      </c>
      <c r="C14" s="50">
        <f>consumos!E18</f>
        <v>0</v>
      </c>
      <c r="D14" s="51">
        <f>consumos!E18*consumos!J5</f>
        <v>0</v>
      </c>
      <c r="E14" s="51">
        <f>MEDIDAS!C31</f>
        <v>0</v>
      </c>
      <c r="F14" s="52">
        <f>consumos!H18</f>
        <v>0</v>
      </c>
      <c r="G14" s="170"/>
      <c r="H14" s="53">
        <f t="shared" si="1"/>
        <v>0</v>
      </c>
      <c r="I14" s="54">
        <f t="shared" si="2"/>
        <v>0</v>
      </c>
      <c r="J14" s="55">
        <f t="shared" si="3"/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7" t="str">
        <f>consumos!A87</f>
        <v>Cinta de Enmascarar de 2"  (unidad)</v>
      </c>
      <c r="V14" s="58" t="str">
        <f>IF(consumos!D87&lt;0,(1),consumos!D87)</f>
        <v/>
      </c>
      <c r="W14" s="59">
        <f t="shared" si="0"/>
        <v>0</v>
      </c>
      <c r="X14" s="60">
        <v>0</v>
      </c>
    </row>
    <row r="15" spans="1:24" ht="12.75" customHeight="1">
      <c r="A15" s="48">
        <f>consumos!A45</f>
        <v>0</v>
      </c>
      <c r="B15" s="49">
        <f>consumos!D19</f>
        <v>0</v>
      </c>
      <c r="C15" s="50">
        <f>consumos!E19</f>
        <v>0</v>
      </c>
      <c r="D15" s="51">
        <f>consumos!E19*consumos!J5</f>
        <v>0</v>
      </c>
      <c r="E15" s="51">
        <f>MEDIDAS!C32</f>
        <v>0</v>
      </c>
      <c r="F15" s="52">
        <f>consumos!H19</f>
        <v>0</v>
      </c>
      <c r="G15" s="170"/>
      <c r="H15" s="53">
        <f t="shared" si="1"/>
        <v>0</v>
      </c>
      <c r="I15" s="54">
        <f t="shared" si="2"/>
        <v>0</v>
      </c>
      <c r="J15" s="55">
        <f t="shared" si="3"/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7" t="str">
        <f>consumos!A88</f>
        <v>Cinta de trasparente (unidad)</v>
      </c>
      <c r="V15" s="58" t="str">
        <f>IF(consumos!D88&lt;0,(1),consumos!D88)</f>
        <v/>
      </c>
      <c r="W15" s="59">
        <f t="shared" si="0"/>
        <v>0</v>
      </c>
      <c r="X15" s="60">
        <v>0</v>
      </c>
    </row>
    <row r="16" spans="1:24" ht="12.75" customHeight="1">
      <c r="A16" s="48">
        <f>consumos!A46</f>
        <v>0</v>
      </c>
      <c r="B16" s="49">
        <f>consumos!D20</f>
        <v>0</v>
      </c>
      <c r="C16" s="50">
        <f>consumos!E20</f>
        <v>0</v>
      </c>
      <c r="D16" s="51">
        <f>consumos!E20*consumos!J5</f>
        <v>0</v>
      </c>
      <c r="E16" s="51">
        <f>MEDIDAS!C33</f>
        <v>0</v>
      </c>
      <c r="F16" s="52">
        <f>consumos!H20</f>
        <v>0</v>
      </c>
      <c r="G16" s="170"/>
      <c r="H16" s="53">
        <f t="shared" si="1"/>
        <v>0</v>
      </c>
      <c r="I16" s="54">
        <f t="shared" si="2"/>
        <v>0</v>
      </c>
      <c r="J16" s="55">
        <f t="shared" si="3"/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7" t="str">
        <f>consumos!A89</f>
        <v>Ecohalogenante para suelas</v>
      </c>
      <c r="V16" s="58" t="str">
        <f>IF(consumos!D89&lt;0,(1),consumos!D89)</f>
        <v/>
      </c>
      <c r="W16" s="59">
        <f t="shared" si="0"/>
        <v>0</v>
      </c>
      <c r="X16" s="60">
        <v>0</v>
      </c>
    </row>
    <row r="17" spans="1:44" ht="12.75" customHeight="1">
      <c r="A17" s="48">
        <f>consumos!A47</f>
        <v>0</v>
      </c>
      <c r="B17" s="49">
        <f>consumos!D21</f>
        <v>0</v>
      </c>
      <c r="C17" s="50">
        <f>consumos!E21</f>
        <v>0</v>
      </c>
      <c r="D17" s="51">
        <f>consumos!E21*consumos!J5</f>
        <v>0</v>
      </c>
      <c r="E17" s="51">
        <f>MEDIDAS!C34</f>
        <v>0</v>
      </c>
      <c r="F17" s="52">
        <f>consumos!H21</f>
        <v>0</v>
      </c>
      <c r="G17" s="170"/>
      <c r="H17" s="53">
        <f t="shared" si="1"/>
        <v>0</v>
      </c>
      <c r="I17" s="54">
        <f t="shared" si="2"/>
        <v>0</v>
      </c>
      <c r="J17" s="55">
        <f t="shared" si="3"/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7" t="str">
        <f>consumos!A90</f>
        <v>Ecolimpiador para suelas</v>
      </c>
      <c r="V17" s="58" t="str">
        <f>IF(consumos!D90&lt;0,(1),consumos!D90)</f>
        <v/>
      </c>
      <c r="W17" s="59">
        <f t="shared" si="0"/>
        <v>0</v>
      </c>
      <c r="X17" s="60">
        <v>0</v>
      </c>
    </row>
    <row r="18" spans="1:44" ht="12.75" customHeight="1">
      <c r="A18" s="48">
        <f>consumos!A48</f>
        <v>0</v>
      </c>
      <c r="B18" s="49">
        <f>consumos!D22</f>
        <v>0</v>
      </c>
      <c r="C18" s="50">
        <f>consumos!E22</f>
        <v>0</v>
      </c>
      <c r="D18" s="51">
        <f>consumos!E22*consumos!J5</f>
        <v>0</v>
      </c>
      <c r="E18" s="51">
        <f>MEDIDAS!C35</f>
        <v>0</v>
      </c>
      <c r="F18" s="52">
        <f>consumos!H22</f>
        <v>0</v>
      </c>
      <c r="G18" s="170"/>
      <c r="H18" s="53">
        <f t="shared" si="1"/>
        <v>0</v>
      </c>
      <c r="I18" s="54">
        <f t="shared" si="2"/>
        <v>0</v>
      </c>
      <c r="J18" s="55">
        <f t="shared" si="3"/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7" t="str">
        <f>consumos!A91</f>
        <v>Halogenante LH rapido ( galòn 3600 cm 3)</v>
      </c>
      <c r="V18" s="58" t="str">
        <f>IF(consumos!D91&lt;0,(1),consumos!D91)</f>
        <v/>
      </c>
      <c r="W18" s="59">
        <f t="shared" si="0"/>
        <v>0</v>
      </c>
      <c r="X18" s="60">
        <v>0</v>
      </c>
    </row>
    <row r="19" spans="1:44" ht="12.75" customHeight="1">
      <c r="A19" s="48">
        <f>consumos!A49</f>
        <v>0</v>
      </c>
      <c r="B19" s="49">
        <f>consumos!D23</f>
        <v>0</v>
      </c>
      <c r="C19" s="50">
        <f>consumos!E23</f>
        <v>0</v>
      </c>
      <c r="D19" s="51">
        <f>consumos!E23*consumos!J5</f>
        <v>0</v>
      </c>
      <c r="E19" s="51">
        <f>MEDIDAS!C36</f>
        <v>0</v>
      </c>
      <c r="F19" s="52">
        <f>consumos!H23</f>
        <v>0</v>
      </c>
      <c r="G19" s="170"/>
      <c r="H19" s="53">
        <f t="shared" si="1"/>
        <v>0</v>
      </c>
      <c r="I19" s="54">
        <f t="shared" si="2"/>
        <v>0</v>
      </c>
      <c r="J19" s="55">
        <f t="shared" si="3"/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7" t="str">
        <f>consumos!A92</f>
        <v>Halogenante rapido 0817</v>
      </c>
      <c r="V19" s="58" t="str">
        <f>IF(consumos!D92&lt;0,(1),consumos!D92)</f>
        <v/>
      </c>
      <c r="W19" s="59">
        <f t="shared" si="0"/>
        <v>0</v>
      </c>
      <c r="X19" s="60">
        <v>0</v>
      </c>
    </row>
    <row r="20" spans="1:44" ht="12.75" customHeight="1">
      <c r="A20" s="48">
        <f>consumos!A50</f>
        <v>0</v>
      </c>
      <c r="B20" s="49">
        <f>consumos!D24</f>
        <v>0</v>
      </c>
      <c r="C20" s="50">
        <f>consumos!E24</f>
        <v>0</v>
      </c>
      <c r="D20" s="51">
        <f>consumos!E24*consumos!J5</f>
        <v>0</v>
      </c>
      <c r="E20" s="51">
        <f>MEDIDAS!C37</f>
        <v>0</v>
      </c>
      <c r="F20" s="52">
        <f>consumos!H24</f>
        <v>0</v>
      </c>
      <c r="G20" s="170"/>
      <c r="H20" s="53">
        <f t="shared" si="1"/>
        <v>0</v>
      </c>
      <c r="I20" s="54">
        <f t="shared" si="2"/>
        <v>0</v>
      </c>
      <c r="J20" s="55">
        <f t="shared" si="3"/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7" t="str">
        <f>consumos!A93</f>
        <v>Hilo Colores surtidos# 20 (cono 250 mt)</v>
      </c>
      <c r="V20" s="58" t="str">
        <f>IF(consumos!D93&lt;0,(1),consumos!D93)</f>
        <v/>
      </c>
      <c r="W20" s="59">
        <f t="shared" si="0"/>
        <v>0</v>
      </c>
      <c r="X20" s="60">
        <v>0</v>
      </c>
    </row>
    <row r="21" spans="1:44" ht="12.75" customHeight="1">
      <c r="A21" s="48">
        <f>consumos!A51</f>
        <v>0</v>
      </c>
      <c r="B21" s="49">
        <f>consumos!D25</f>
        <v>0</v>
      </c>
      <c r="C21" s="50">
        <f>consumos!E25</f>
        <v>0</v>
      </c>
      <c r="D21" s="51">
        <f>consumos!E25*consumos!J5</f>
        <v>0</v>
      </c>
      <c r="E21" s="51">
        <f>MEDIDAS!C38</f>
        <v>0</v>
      </c>
      <c r="F21" s="52">
        <f>consumos!H25</f>
        <v>0</v>
      </c>
      <c r="G21" s="170"/>
      <c r="H21" s="53">
        <f t="shared" si="1"/>
        <v>0</v>
      </c>
      <c r="I21" s="54">
        <f t="shared" si="2"/>
        <v>0</v>
      </c>
      <c r="J21" s="55">
        <f t="shared" si="3"/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7" t="str">
        <f>consumos!A94</f>
        <v>Hilo Colores surtidos# 40 (cono 1000 mt)</v>
      </c>
      <c r="V21" s="58" t="str">
        <f>IF(consumos!D94&lt;0,(1),consumos!D94)</f>
        <v/>
      </c>
      <c r="W21" s="59">
        <f t="shared" si="0"/>
        <v>0</v>
      </c>
      <c r="X21" s="60">
        <v>0</v>
      </c>
    </row>
    <row r="22" spans="1:44" ht="12.75" customHeight="1">
      <c r="A22" s="48">
        <f>consumos!A52</f>
        <v>0</v>
      </c>
      <c r="B22" s="49">
        <f>consumos!D26</f>
        <v>0</v>
      </c>
      <c r="C22" s="50">
        <f>consumos!E26</f>
        <v>0</v>
      </c>
      <c r="D22" s="51">
        <f>consumos!E26*consumos!J5</f>
        <v>0</v>
      </c>
      <c r="E22" s="51">
        <f>MEDIDAS!C39</f>
        <v>0</v>
      </c>
      <c r="F22" s="52">
        <f>consumos!H26</f>
        <v>0</v>
      </c>
      <c r="G22" s="170"/>
      <c r="H22" s="53">
        <f t="shared" si="1"/>
        <v>0</v>
      </c>
      <c r="I22" s="54">
        <f t="shared" si="2"/>
        <v>0</v>
      </c>
      <c r="J22" s="55">
        <f t="shared" si="3"/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7" t="str">
        <f>consumos!A95</f>
        <v>Hilo Colores surtidos# 60 (cono 1500 mt)</v>
      </c>
      <c r="V22" s="58">
        <f>IF(consumos!D95&lt;0,(1),consumos!D95)</f>
        <v>6</v>
      </c>
      <c r="W22" s="59">
        <f t="shared" si="0"/>
        <v>0</v>
      </c>
      <c r="X22" s="60">
        <v>6</v>
      </c>
    </row>
    <row r="23" spans="1:44" ht="12.75" customHeight="1">
      <c r="A23" s="48">
        <f>consumos!A53</f>
        <v>0</v>
      </c>
      <c r="B23" s="49">
        <f>consumos!D27</f>
        <v>0</v>
      </c>
      <c r="C23" s="50">
        <f>consumos!E27</f>
        <v>0</v>
      </c>
      <c r="D23" s="51">
        <f>consumos!E27*consumos!J5</f>
        <v>0</v>
      </c>
      <c r="E23" s="51">
        <f>MEDIDAS!C40</f>
        <v>0</v>
      </c>
      <c r="F23" s="52">
        <f>consumos!H27</f>
        <v>0</v>
      </c>
      <c r="G23" s="170"/>
      <c r="H23" s="53">
        <f t="shared" si="1"/>
        <v>0</v>
      </c>
      <c r="I23" s="54">
        <f t="shared" si="2"/>
        <v>0</v>
      </c>
      <c r="J23" s="55">
        <f t="shared" si="3"/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7" t="str">
        <f>consumos!A96</f>
        <v>Hilo Encerado cono 100 gr  (metro)</v>
      </c>
      <c r="V23" s="58" t="str">
        <f>IF(consumos!D96&lt;0,(1),consumos!D96)</f>
        <v/>
      </c>
      <c r="W23" s="59">
        <f t="shared" si="0"/>
        <v>0</v>
      </c>
      <c r="X23" s="60">
        <v>0</v>
      </c>
    </row>
    <row r="24" spans="1:44" ht="12.75" customHeight="1">
      <c r="A24" s="48">
        <f>consumos!A54</f>
        <v>0</v>
      </c>
      <c r="B24" s="49">
        <f>consumos!D28</f>
        <v>0</v>
      </c>
      <c r="C24" s="50">
        <f>consumos!E28</f>
        <v>0</v>
      </c>
      <c r="D24" s="51">
        <f>consumos!E28*consumos!J5</f>
        <v>0</v>
      </c>
      <c r="E24" s="51">
        <f>MEDIDAS!C41</f>
        <v>0</v>
      </c>
      <c r="F24" s="52">
        <f>consumos!H28</f>
        <v>0</v>
      </c>
      <c r="G24" s="170"/>
      <c r="H24" s="53">
        <f t="shared" si="1"/>
        <v>0</v>
      </c>
      <c r="I24" s="54">
        <f t="shared" si="2"/>
        <v>0</v>
      </c>
      <c r="J24" s="55">
        <f t="shared" si="3"/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7" t="str">
        <f>consumos!A97</f>
        <v>Hilo Terlenka 2 cabos (cono 150mt)</v>
      </c>
      <c r="V24" s="58" t="str">
        <f>IF(consumos!D97&lt;0,(1),consumos!D97)</f>
        <v/>
      </c>
      <c r="W24" s="59">
        <f t="shared" si="0"/>
        <v>0</v>
      </c>
      <c r="X24" s="60">
        <v>0</v>
      </c>
    </row>
    <row r="25" spans="1:44" ht="12.75" customHeight="1">
      <c r="A25" s="48">
        <f>consumos!A55</f>
        <v>0</v>
      </c>
      <c r="B25" s="49">
        <f>consumos!D29</f>
        <v>0</v>
      </c>
      <c r="C25" s="50">
        <f>consumos!E29</f>
        <v>0</v>
      </c>
      <c r="D25" s="51">
        <f>consumos!E29*consumos!J5</f>
        <v>0</v>
      </c>
      <c r="E25" s="51">
        <f>MEDIDAS!C42</f>
        <v>0</v>
      </c>
      <c r="F25" s="52">
        <f>consumos!H29</f>
        <v>0</v>
      </c>
      <c r="G25" s="170"/>
      <c r="H25" s="53">
        <f t="shared" si="1"/>
        <v>0</v>
      </c>
      <c r="I25" s="54">
        <f t="shared" si="2"/>
        <v>0</v>
      </c>
      <c r="J25" s="55">
        <f t="shared" si="3"/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7" t="str">
        <f>consumos!A98</f>
        <v>Interlon  (cm²)</v>
      </c>
      <c r="V25" s="58" t="str">
        <f>IF(consumos!D98&lt;0,(1),consumos!D98)</f>
        <v/>
      </c>
      <c r="W25" s="59">
        <f t="shared" si="0"/>
        <v>0</v>
      </c>
      <c r="X25" s="60">
        <v>0</v>
      </c>
    </row>
    <row r="26" spans="1:44" ht="12.75" customHeight="1">
      <c r="A26" s="48">
        <f>consumos!A56</f>
        <v>0</v>
      </c>
      <c r="B26" s="49">
        <f>consumos!D30</f>
        <v>0</v>
      </c>
      <c r="C26" s="50">
        <f>consumos!E30</f>
        <v>0</v>
      </c>
      <c r="D26" s="51">
        <f>consumos!E30*consumos!J5</f>
        <v>0</v>
      </c>
      <c r="E26" s="51">
        <f>MEDIDAS!C43</f>
        <v>0</v>
      </c>
      <c r="F26" s="52">
        <f>consumos!H30</f>
        <v>0</v>
      </c>
      <c r="G26" s="170"/>
      <c r="H26" s="53">
        <f t="shared" si="1"/>
        <v>0</v>
      </c>
      <c r="I26" s="54">
        <f t="shared" si="2"/>
        <v>0</v>
      </c>
      <c r="J26" s="55">
        <f t="shared" si="3"/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7" t="str">
        <f>consumos!A99</f>
        <v>Lamina Zinc (unidad)</v>
      </c>
      <c r="V26" s="58" t="str">
        <f>IF(consumos!D99&lt;0,(1),consumos!D99)</f>
        <v/>
      </c>
      <c r="W26" s="59">
        <f t="shared" si="0"/>
        <v>0</v>
      </c>
      <c r="X26" s="60">
        <v>0</v>
      </c>
    </row>
    <row r="27" spans="1:44" ht="12.75" customHeight="1">
      <c r="A27" s="48">
        <f>consumos!A57</f>
        <v>0</v>
      </c>
      <c r="B27" s="49">
        <f>consumos!D31</f>
        <v>0</v>
      </c>
      <c r="C27" s="50">
        <f>consumos!E31</f>
        <v>0</v>
      </c>
      <c r="D27" s="51">
        <f>consumos!E31*consumos!J5</f>
        <v>0</v>
      </c>
      <c r="E27" s="51">
        <f>MEDIDAS!C44</f>
        <v>0</v>
      </c>
      <c r="F27" s="52">
        <f>consumos!H31</f>
        <v>0</v>
      </c>
      <c r="G27" s="170"/>
      <c r="H27" s="53">
        <f t="shared" si="1"/>
        <v>0</v>
      </c>
      <c r="I27" s="54">
        <f t="shared" si="2"/>
        <v>0</v>
      </c>
      <c r="J27" s="55">
        <f t="shared" si="3"/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7" t="str">
        <f>consumos!A100</f>
        <v>Lija de Agua#120 (unidad)</v>
      </c>
      <c r="V27" s="58" t="str">
        <f>IF(consumos!D100&lt;0,(1),consumos!D100)</f>
        <v/>
      </c>
      <c r="W27" s="59">
        <f t="shared" si="0"/>
        <v>0</v>
      </c>
      <c r="X27" s="60">
        <v>0</v>
      </c>
    </row>
    <row r="28" spans="1:44" ht="12.75" customHeight="1">
      <c r="A28" s="48">
        <f>consumos!A58</f>
        <v>0</v>
      </c>
      <c r="B28" s="49">
        <f>consumos!D32</f>
        <v>0</v>
      </c>
      <c r="C28" s="50">
        <f>consumos!E32</f>
        <v>0</v>
      </c>
      <c r="D28" s="51">
        <f>consumos!E32*consumos!J5</f>
        <v>0</v>
      </c>
      <c r="E28" s="51">
        <f>MEDIDAS!C45</f>
        <v>0</v>
      </c>
      <c r="F28" s="52">
        <f>consumos!H32</f>
        <v>0</v>
      </c>
      <c r="G28" s="170"/>
      <c r="H28" s="53">
        <f t="shared" si="1"/>
        <v>0</v>
      </c>
      <c r="I28" s="61">
        <f t="shared" si="2"/>
        <v>0</v>
      </c>
      <c r="J28" s="62">
        <f t="shared" si="3"/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57" t="str">
        <f>consumos!A101</f>
        <v>Lija de Agua#180 (unidad)</v>
      </c>
      <c r="V28" s="58" t="str">
        <f>IF(consumos!D101&lt;0,(1),consumos!D101)</f>
        <v/>
      </c>
      <c r="W28" s="59">
        <f t="shared" si="0"/>
        <v>0</v>
      </c>
      <c r="X28" s="60">
        <v>0</v>
      </c>
    </row>
    <row r="29" spans="1:44" ht="17.25" customHeight="1">
      <c r="A29" s="110" t="s">
        <v>87</v>
      </c>
      <c r="B29" s="171"/>
      <c r="C29" s="171"/>
      <c r="D29" s="172"/>
      <c r="E29" s="64"/>
      <c r="F29" s="65">
        <f>SUM(F4:F28)</f>
        <v>85800</v>
      </c>
      <c r="G29" s="66"/>
      <c r="H29" s="67"/>
      <c r="I29" s="68"/>
      <c r="J29" s="69"/>
      <c r="K29" s="173" t="str">
        <f>consumos!A62</f>
        <v>OBSERVACIONES</v>
      </c>
      <c r="L29" s="169"/>
      <c r="M29" s="169"/>
      <c r="N29" s="169"/>
      <c r="O29" s="169"/>
      <c r="P29" s="169"/>
      <c r="Q29" s="169"/>
      <c r="R29" s="169"/>
      <c r="S29" s="169"/>
      <c r="T29" s="122"/>
      <c r="U29" s="57" t="str">
        <f>consumos!A102</f>
        <v>Lija de Agua#240 (unidad)</v>
      </c>
      <c r="V29" s="58" t="str">
        <f>IF(consumos!D102&lt;0,(1),consumos!D102)</f>
        <v/>
      </c>
      <c r="W29" s="59">
        <f t="shared" si="0"/>
        <v>0</v>
      </c>
      <c r="X29" s="60">
        <v>0</v>
      </c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</row>
    <row r="30" spans="1:44" ht="12.75" customHeight="1">
      <c r="A30" s="110" t="s">
        <v>88</v>
      </c>
      <c r="B30" s="171"/>
      <c r="C30" s="171"/>
      <c r="D30" s="171"/>
      <c r="E30" s="174"/>
      <c r="F30" s="119"/>
      <c r="G30" s="119"/>
      <c r="H30" s="175"/>
      <c r="I30" s="176"/>
      <c r="J30" s="177"/>
      <c r="K30" s="147"/>
      <c r="L30" s="125"/>
      <c r="M30" s="125"/>
      <c r="N30" s="125"/>
      <c r="O30" s="125"/>
      <c r="P30" s="125"/>
      <c r="Q30" s="125"/>
      <c r="R30" s="125"/>
      <c r="S30" s="125"/>
      <c r="T30" s="126"/>
      <c r="U30" s="57" t="str">
        <f>consumos!A103</f>
        <v>Lija de Agua#400 (unidad)</v>
      </c>
      <c r="V30" s="58" t="str">
        <f>IF(consumos!D103&lt;0,(1),consumos!D103)</f>
        <v/>
      </c>
      <c r="W30" s="59">
        <f t="shared" si="0"/>
        <v>0</v>
      </c>
      <c r="X30" s="60">
        <v>0</v>
      </c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</row>
    <row r="31" spans="1:44" ht="12.75" customHeight="1">
      <c r="A31" s="119"/>
      <c r="B31" s="119"/>
      <c r="C31" s="119"/>
      <c r="D31" s="119"/>
      <c r="E31" s="119"/>
      <c r="F31" s="119"/>
      <c r="G31" s="119"/>
      <c r="H31" s="175"/>
      <c r="I31" s="176"/>
      <c r="J31" s="177"/>
      <c r="K31" s="178" t="str">
        <f>consumos!A63</f>
        <v>GUJA 110 GRUESA CABO CORTO</v>
      </c>
      <c r="L31" s="112"/>
      <c r="M31" s="112"/>
      <c r="N31" s="112"/>
      <c r="O31" s="112"/>
      <c r="P31" s="112"/>
      <c r="Q31" s="112"/>
      <c r="R31" s="112"/>
      <c r="S31" s="112"/>
      <c r="T31" s="113"/>
      <c r="U31" s="57" t="str">
        <f>consumos!A104</f>
        <v>Lija de Agua#600 (unidad)</v>
      </c>
      <c r="V31" s="58" t="str">
        <f>IF(consumos!D104&lt;0,(1),consumos!D104)</f>
        <v/>
      </c>
      <c r="W31" s="59">
        <f t="shared" si="0"/>
        <v>0</v>
      </c>
      <c r="X31" s="60">
        <v>0</v>
      </c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</row>
    <row r="32" spans="1:44" ht="12.75" customHeight="1">
      <c r="A32" s="119"/>
      <c r="B32" s="119"/>
      <c r="C32" s="119"/>
      <c r="D32" s="119"/>
      <c r="E32" s="119"/>
      <c r="F32" s="119"/>
      <c r="G32" s="119"/>
      <c r="H32" s="175"/>
      <c r="I32" s="176"/>
      <c r="J32" s="177"/>
      <c r="K32" s="178" t="str">
        <f>consumos!A64</f>
        <v/>
      </c>
      <c r="L32" s="112"/>
      <c r="M32" s="112"/>
      <c r="N32" s="112"/>
      <c r="O32" s="112"/>
      <c r="P32" s="112"/>
      <c r="Q32" s="112"/>
      <c r="R32" s="112"/>
      <c r="S32" s="112"/>
      <c r="T32" s="113"/>
      <c r="U32" s="57" t="str">
        <f>consumos!A105</f>
        <v>Limpiador AT 20  ( galón 3600 cm 3)</v>
      </c>
      <c r="V32" s="58" t="str">
        <f>IF(consumos!D105&lt;0,(1),consumos!D105)</f>
        <v/>
      </c>
      <c r="W32" s="59">
        <f t="shared" si="0"/>
        <v>0</v>
      </c>
      <c r="X32" s="60">
        <v>0</v>
      </c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</row>
    <row r="33" spans="1:44" ht="12.75" customHeight="1">
      <c r="A33" s="119"/>
      <c r="B33" s="119"/>
      <c r="C33" s="119"/>
      <c r="D33" s="119"/>
      <c r="E33" s="119"/>
      <c r="F33" s="119"/>
      <c r="G33" s="119"/>
      <c r="H33" s="175"/>
      <c r="I33" s="176"/>
      <c r="J33" s="177"/>
      <c r="K33" s="178" t="str">
        <f>consumos!A65</f>
        <v/>
      </c>
      <c r="L33" s="112"/>
      <c r="M33" s="112"/>
      <c r="N33" s="112"/>
      <c r="O33" s="112"/>
      <c r="P33" s="112"/>
      <c r="Q33" s="112"/>
      <c r="R33" s="112"/>
      <c r="S33" s="112"/>
      <c r="T33" s="113"/>
      <c r="U33" s="57" t="str">
        <f>consumos!A106</f>
        <v>Limpiador para acabados</v>
      </c>
      <c r="V33" s="58" t="str">
        <f>IF(consumos!D106&lt;0,(1),consumos!D106)</f>
        <v/>
      </c>
      <c r="W33" s="59">
        <f t="shared" si="0"/>
        <v>0</v>
      </c>
      <c r="X33" s="60">
        <v>0</v>
      </c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</row>
    <row r="34" spans="1:44" ht="12.75" customHeight="1">
      <c r="A34" s="119"/>
      <c r="B34" s="119"/>
      <c r="C34" s="119"/>
      <c r="D34" s="119"/>
      <c r="E34" s="119"/>
      <c r="F34" s="119"/>
      <c r="G34" s="119"/>
      <c r="H34" s="175"/>
      <c r="I34" s="176"/>
      <c r="J34" s="177"/>
      <c r="K34" s="178" t="str">
        <f>consumos!A66</f>
        <v/>
      </c>
      <c r="L34" s="112"/>
      <c r="M34" s="112"/>
      <c r="N34" s="112"/>
      <c r="O34" s="112"/>
      <c r="P34" s="112"/>
      <c r="Q34" s="112"/>
      <c r="R34" s="112"/>
      <c r="S34" s="112"/>
      <c r="T34" s="113"/>
      <c r="U34" s="57" t="str">
        <f>consumos!A107</f>
        <v>Limpiador VZ 40 ( galón 3600 cm 3)</v>
      </c>
      <c r="V34" s="58" t="str">
        <f>IF(consumos!D107&lt;0,(1),consumos!D107)</f>
        <v/>
      </c>
      <c r="W34" s="59">
        <f t="shared" si="0"/>
        <v>0</v>
      </c>
      <c r="X34" s="60">
        <v>0</v>
      </c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</row>
    <row r="35" spans="1:44" ht="12.75" customHeight="1">
      <c r="A35" s="119"/>
      <c r="B35" s="119"/>
      <c r="C35" s="119"/>
      <c r="D35" s="119"/>
      <c r="E35" s="119"/>
      <c r="F35" s="119"/>
      <c r="G35" s="119"/>
      <c r="H35" s="175"/>
      <c r="I35" s="176"/>
      <c r="J35" s="177"/>
      <c r="K35" s="178" t="str">
        <f>consumos!A67</f>
        <v/>
      </c>
      <c r="L35" s="112"/>
      <c r="M35" s="112"/>
      <c r="N35" s="112"/>
      <c r="O35" s="112"/>
      <c r="P35" s="112"/>
      <c r="Q35" s="112"/>
      <c r="R35" s="112"/>
      <c r="S35" s="112"/>
      <c r="T35" s="113"/>
      <c r="U35" s="57" t="str">
        <f>consumos!A108</f>
        <v>Papel periodico  (pliego)</v>
      </c>
      <c r="V35" s="58" t="str">
        <f>IF(consumos!D108&lt;0,(1),consumos!D108)</f>
        <v/>
      </c>
      <c r="W35" s="59">
        <f t="shared" si="0"/>
        <v>0</v>
      </c>
      <c r="X35" s="60">
        <v>0</v>
      </c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</row>
    <row r="36" spans="1:44" ht="12.7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78" t="str">
        <f>consumos!A68</f>
        <v/>
      </c>
      <c r="L36" s="112"/>
      <c r="M36" s="112"/>
      <c r="N36" s="112"/>
      <c r="O36" s="112"/>
      <c r="P36" s="112"/>
      <c r="Q36" s="112"/>
      <c r="R36" s="112"/>
      <c r="S36" s="112"/>
      <c r="T36" s="113"/>
      <c r="U36" s="57" t="str">
        <f>consumos!A109</f>
        <v>Pegante advance o pega amarilla</v>
      </c>
      <c r="V36" s="58" t="str">
        <f>IF(consumos!D109&lt;0,(1),consumos!D109)</f>
        <v/>
      </c>
      <c r="W36" s="59" t="str">
        <f t="shared" si="0"/>
        <v>#VALUE!</v>
      </c>
      <c r="X36" s="60">
        <v>0</v>
      </c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</row>
    <row r="37" spans="1:44" ht="12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78" t="str">
        <f>consumos!A69</f>
        <v/>
      </c>
      <c r="L37" s="112"/>
      <c r="M37" s="112"/>
      <c r="N37" s="112"/>
      <c r="O37" s="112"/>
      <c r="P37" s="112"/>
      <c r="Q37" s="112"/>
      <c r="R37" s="112"/>
      <c r="S37" s="112"/>
      <c r="T37" s="113"/>
      <c r="U37" s="57" t="str">
        <f>consumos!A110</f>
        <v>Pu  419 pegante poliuretano</v>
      </c>
      <c r="V37" s="58" t="str">
        <f>IF(consumos!D110&lt;0,(1),consumos!D110)</f>
        <v/>
      </c>
      <c r="W37" s="59">
        <f t="shared" si="0"/>
        <v>0</v>
      </c>
      <c r="X37" s="60">
        <v>0</v>
      </c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</row>
    <row r="38" spans="1:44" ht="12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78" t="str">
        <f>consumos!A70</f>
        <v/>
      </c>
      <c r="L38" s="112"/>
      <c r="M38" s="112"/>
      <c r="N38" s="112"/>
      <c r="O38" s="112"/>
      <c r="P38" s="112"/>
      <c r="Q38" s="112"/>
      <c r="R38" s="112"/>
      <c r="S38" s="112"/>
      <c r="T38" s="113"/>
      <c r="U38" s="57" t="str">
        <f>consumos!A111</f>
        <v>Pintura Acrilica X150 gr (unidad)</v>
      </c>
      <c r="V38" s="58" t="str">
        <f>IF(consumos!D111&lt;0,(1),consumos!D111)</f>
        <v/>
      </c>
      <c r="W38" s="59">
        <f t="shared" si="0"/>
        <v>0</v>
      </c>
      <c r="X38" s="60">
        <v>0</v>
      </c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</row>
    <row r="39" spans="1:44" ht="12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78" t="str">
        <f>consumos!A71</f>
        <v/>
      </c>
      <c r="L39" s="112"/>
      <c r="M39" s="112"/>
      <c r="N39" s="112"/>
      <c r="O39" s="112"/>
      <c r="P39" s="112"/>
      <c r="Q39" s="112"/>
      <c r="R39" s="112"/>
      <c r="S39" s="112"/>
      <c r="T39" s="113"/>
      <c r="U39" s="57" t="str">
        <f>consumos!A112</f>
        <v>Primer eva plus</v>
      </c>
      <c r="V39" s="58" t="str">
        <f>IF(consumos!D112&lt;0,(1),consumos!D112)</f>
        <v/>
      </c>
      <c r="W39" s="59">
        <f t="shared" si="0"/>
        <v>0</v>
      </c>
      <c r="X39" s="60">
        <v>0</v>
      </c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</row>
    <row r="40" spans="1:44" ht="12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78" t="str">
        <f>consumos!A72</f>
        <v/>
      </c>
      <c r="L40" s="112"/>
      <c r="M40" s="112"/>
      <c r="N40" s="112"/>
      <c r="O40" s="112"/>
      <c r="P40" s="112"/>
      <c r="Q40" s="112"/>
      <c r="R40" s="112"/>
      <c r="S40" s="112"/>
      <c r="T40" s="113"/>
      <c r="U40" s="57" t="str">
        <f>consumos!A113</f>
        <v>Primer PU 419</v>
      </c>
      <c r="V40" s="58" t="str">
        <f>IF(consumos!D113&lt;0,(1),consumos!D113)</f>
        <v/>
      </c>
      <c r="W40" s="59">
        <f t="shared" si="0"/>
        <v>0</v>
      </c>
      <c r="X40" s="60">
        <v>0</v>
      </c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</row>
    <row r="41" spans="1:44" ht="12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78" t="str">
        <f>consumos!A73</f>
        <v/>
      </c>
      <c r="L41" s="112"/>
      <c r="M41" s="112"/>
      <c r="N41" s="112"/>
      <c r="O41" s="112"/>
      <c r="P41" s="112"/>
      <c r="Q41" s="112"/>
      <c r="R41" s="112"/>
      <c r="S41" s="112"/>
      <c r="T41" s="113"/>
      <c r="U41" s="57" t="str">
        <f>consumos!A114</f>
        <v>Primer pu 85</v>
      </c>
      <c r="V41" s="58" t="str">
        <f>IF(consumos!D114&lt;0,(1),consumos!D114)</f>
        <v/>
      </c>
      <c r="W41" s="59">
        <f t="shared" si="0"/>
        <v>0</v>
      </c>
      <c r="X41" s="60">
        <v>0</v>
      </c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</row>
    <row r="42" spans="1:44" ht="12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78" t="str">
        <f>consumos!A74</f>
        <v/>
      </c>
      <c r="L42" s="112"/>
      <c r="M42" s="112"/>
      <c r="N42" s="112"/>
      <c r="O42" s="112"/>
      <c r="P42" s="112"/>
      <c r="Q42" s="112"/>
      <c r="R42" s="112"/>
      <c r="S42" s="112"/>
      <c r="T42" s="113"/>
      <c r="U42" s="57" t="str">
        <f>consumos!A115</f>
        <v>PU 689 adhesivo</v>
      </c>
      <c r="V42" s="58" t="str">
        <f>IF(consumos!D115&lt;0,(1),consumos!D115)</f>
        <v/>
      </c>
      <c r="W42" s="59">
        <f t="shared" si="0"/>
        <v>0</v>
      </c>
      <c r="X42" s="60">
        <v>0</v>
      </c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</row>
    <row r="43" spans="1:44" ht="12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78" t="str">
        <f>consumos!A75</f>
        <v/>
      </c>
      <c r="L43" s="112"/>
      <c r="M43" s="112"/>
      <c r="N43" s="112"/>
      <c r="O43" s="112"/>
      <c r="P43" s="112"/>
      <c r="Q43" s="112"/>
      <c r="R43" s="112"/>
      <c r="S43" s="112"/>
      <c r="T43" s="113"/>
      <c r="U43" s="57" t="str">
        <f>consumos!A116</f>
        <v>Sacol Solucion de caucho natural 2440</v>
      </c>
      <c r="V43" s="58">
        <f>IF(consumos!D116&lt;0,(1),consumos!D116)</f>
        <v>2</v>
      </c>
      <c r="W43" s="59">
        <f t="shared" si="0"/>
        <v>0</v>
      </c>
      <c r="X43" s="60">
        <v>2</v>
      </c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</row>
    <row r="44" spans="1:44" ht="12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57" t="str">
        <f>consumos!A117</f>
        <v>Thiner Halogenante LH Rapido</v>
      </c>
      <c r="V44" s="58" t="str">
        <f>IF(consumos!D117&lt;0,(1),consumos!D117)</f>
        <v/>
      </c>
      <c r="W44" s="59">
        <f t="shared" si="0"/>
        <v>0</v>
      </c>
      <c r="X44" s="60">
        <v>0</v>
      </c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</row>
    <row r="45" spans="1:44" ht="12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57" t="str">
        <f>consumos!A118</f>
        <v>Thiner limpiador 0329</v>
      </c>
      <c r="V45" s="58" t="str">
        <f>IF(consumos!D118&lt;0,(1),consumos!D118)</f>
        <v/>
      </c>
      <c r="W45" s="59">
        <f t="shared" si="0"/>
        <v>0</v>
      </c>
      <c r="X45" s="60">
        <v>0</v>
      </c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</row>
    <row r="46" spans="1:44" ht="12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57" t="str">
        <f>consumos!A119</f>
        <v>Thiner limpiador AT - 20</v>
      </c>
      <c r="V46" s="58" t="str">
        <f>IF(consumos!D119&lt;0,(1),consumos!D119)</f>
        <v/>
      </c>
      <c r="W46" s="59">
        <f t="shared" si="0"/>
        <v>0</v>
      </c>
      <c r="X46" s="60">
        <v>0</v>
      </c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</row>
    <row r="47" spans="1:44" ht="12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57" t="str">
        <f>consumos!A120</f>
        <v>Thiner  limpiador VZ - 40</v>
      </c>
      <c r="V47" s="58" t="str">
        <f>IF(consumos!D120&lt;0,(1),consumos!D120)</f>
        <v/>
      </c>
      <c r="W47" s="59">
        <f t="shared" si="0"/>
        <v>0</v>
      </c>
      <c r="X47" s="60">
        <v>0</v>
      </c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</row>
    <row r="48" spans="1:44" ht="12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57" t="str">
        <f>consumos!A121</f>
        <v>Tinta Colores para Cuero 120cc (unidad)</v>
      </c>
      <c r="V48" s="58" t="str">
        <f>IF(consumos!D121&lt;0,(1),consumos!D121)</f>
        <v/>
      </c>
      <c r="W48" s="59">
        <f t="shared" si="0"/>
        <v>0</v>
      </c>
      <c r="X48" s="60">
        <v>0</v>
      </c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</row>
    <row r="49" spans="1:44" ht="12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57" t="str">
        <f>consumos!A122</f>
        <v>Vulcanizante PU</v>
      </c>
      <c r="V49" s="58" t="str">
        <f>IF(consumos!D122&lt;0,(1),consumos!D122)</f>
        <v/>
      </c>
      <c r="W49" s="59">
        <f t="shared" si="0"/>
        <v>0</v>
      </c>
      <c r="X49" s="60">
        <v>0</v>
      </c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</row>
    <row r="50" spans="1:44" ht="12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57" t="str">
        <f>consumos!A123</f>
        <v>Vulcanizante PU AQUOSO 212</v>
      </c>
      <c r="V50" s="58" t="str">
        <f>IF(consumos!D123&lt;0,(1),consumos!D123)</f>
        <v/>
      </c>
      <c r="W50" s="59">
        <f t="shared" si="0"/>
        <v>0</v>
      </c>
      <c r="X50" s="60">
        <v>0</v>
      </c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</row>
    <row r="51" spans="1:44" ht="12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57" t="str">
        <f>consumos!A124</f>
        <v>Vulcanizante PU SOLVENTE</v>
      </c>
      <c r="V51" s="58" t="str">
        <f>IF(consumos!D124&lt;0,(1),consumos!D124)</f>
        <v/>
      </c>
      <c r="W51" s="59">
        <f t="shared" si="0"/>
        <v>0</v>
      </c>
      <c r="X51" s="60">
        <v>0</v>
      </c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</row>
    <row r="52" spans="1:44" ht="12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</row>
    <row r="53" spans="1:44" ht="12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</row>
    <row r="54" spans="1:44" ht="12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</row>
    <row r="55" spans="1:44" ht="12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</row>
    <row r="56" spans="1:44" ht="12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</row>
    <row r="57" spans="1:44" ht="12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</row>
    <row r="58" spans="1:44" ht="12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</row>
    <row r="59" spans="1:44" ht="12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</row>
    <row r="60" spans="1:44" ht="12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</row>
    <row r="61" spans="1:44" ht="12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</row>
    <row r="62" spans="1:44" ht="12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</row>
    <row r="63" spans="1:44" ht="12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</row>
    <row r="64" spans="1:44" ht="12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</row>
    <row r="65" spans="1:44" ht="12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</row>
    <row r="66" spans="1:44" ht="12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</row>
    <row r="67" spans="1:44" ht="12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</row>
    <row r="68" spans="1:44" ht="12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</row>
    <row r="69" spans="1:44" ht="12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</row>
    <row r="70" spans="1:44" ht="12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</row>
    <row r="71" spans="1:44" ht="12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</row>
    <row r="72" spans="1:44" ht="12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</row>
    <row r="73" spans="1:44" ht="12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</row>
    <row r="74" spans="1:44" ht="12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</row>
    <row r="75" spans="1:44" ht="12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</row>
    <row r="76" spans="1:44" ht="12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</row>
    <row r="77" spans="1:44" ht="12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</row>
    <row r="78" spans="1:44" ht="12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</row>
    <row r="79" spans="1:44" ht="12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</row>
    <row r="80" spans="1:44" ht="12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</row>
    <row r="81" spans="1:44" ht="12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</row>
    <row r="82" spans="1:44" ht="12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</row>
    <row r="83" spans="1:44" ht="12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</row>
    <row r="84" spans="1:44" ht="12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</row>
    <row r="85" spans="1:44" ht="12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</row>
    <row r="86" spans="1:44" ht="12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</row>
    <row r="87" spans="1:44" ht="12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</row>
    <row r="88" spans="1:44" ht="12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</row>
    <row r="89" spans="1:44" ht="12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</row>
    <row r="90" spans="1:44" ht="12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</row>
    <row r="91" spans="1:44" ht="12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</row>
    <row r="92" spans="1:44" ht="12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</row>
    <row r="93" spans="1:44" ht="12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</row>
    <row r="94" spans="1:44" ht="12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</row>
    <row r="95" spans="1:44" ht="12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</row>
    <row r="96" spans="1:44" ht="12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</row>
    <row r="97" spans="1:44" ht="12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</row>
    <row r="98" spans="1:44" ht="12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</row>
    <row r="99" spans="1:44" ht="12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</row>
    <row r="100" spans="1:44" ht="12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</row>
    <row r="101" spans="1:44" ht="12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</row>
    <row r="102" spans="1:44" ht="12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</row>
    <row r="103" spans="1:44" ht="12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</row>
    <row r="104" spans="1:44" ht="12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</row>
    <row r="105" spans="1:44" ht="12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</row>
    <row r="106" spans="1:44" ht="12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</row>
    <row r="107" spans="1:44" ht="12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</row>
    <row r="108" spans="1:44" ht="12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</row>
    <row r="109" spans="1:44" ht="12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</row>
    <row r="110" spans="1:44" ht="12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</row>
    <row r="111" spans="1:44" ht="12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</row>
    <row r="112" spans="1:44" ht="12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</row>
    <row r="113" spans="1:44" ht="12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</row>
    <row r="114" spans="1:44" ht="12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</row>
    <row r="115" spans="1:44" ht="12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</row>
    <row r="116" spans="1:44" ht="12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</row>
    <row r="117" spans="1:44" ht="12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</row>
    <row r="118" spans="1:44" ht="12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</row>
    <row r="119" spans="1:44" ht="12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</row>
    <row r="120" spans="1:44" ht="12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</row>
    <row r="121" spans="1:44" ht="12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</row>
    <row r="122" spans="1:44" ht="12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</row>
    <row r="123" spans="1:44" ht="12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</row>
    <row r="124" spans="1:44" ht="12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</row>
    <row r="125" spans="1:44" ht="12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</row>
    <row r="126" spans="1:44" ht="12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</row>
    <row r="127" spans="1:44" ht="12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</row>
    <row r="128" spans="1:44" ht="12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</row>
    <row r="129" spans="1:44" ht="12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</row>
    <row r="130" spans="1:44" ht="12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</row>
    <row r="131" spans="1:44" ht="12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</row>
    <row r="132" spans="1:44" ht="12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</row>
    <row r="133" spans="1:44" ht="12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</row>
    <row r="134" spans="1:44" ht="12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</row>
    <row r="135" spans="1:44" ht="12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</row>
    <row r="136" spans="1:44" ht="12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</row>
    <row r="137" spans="1:44" ht="12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</row>
    <row r="138" spans="1:44" ht="12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</row>
    <row r="139" spans="1:44" ht="12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</row>
    <row r="140" spans="1:44" ht="12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</row>
    <row r="141" spans="1:44" ht="12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</row>
    <row r="142" spans="1:44" ht="12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</row>
    <row r="143" spans="1:44" ht="12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</row>
    <row r="144" spans="1:44" ht="12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</row>
    <row r="145" spans="1:44" ht="12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</row>
    <row r="146" spans="1:44" ht="12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</row>
    <row r="147" spans="1:44" ht="12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</row>
    <row r="148" spans="1:44" ht="12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</row>
    <row r="149" spans="1:44" ht="12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</row>
    <row r="150" spans="1:44" ht="12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</row>
    <row r="151" spans="1:44" ht="12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</row>
    <row r="152" spans="1:44" ht="12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</row>
    <row r="153" spans="1:44" ht="12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</row>
    <row r="154" spans="1:44" ht="12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</row>
    <row r="155" spans="1:44" ht="12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</row>
    <row r="156" spans="1:44" ht="12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</row>
    <row r="157" spans="1:44" ht="12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</row>
    <row r="158" spans="1:44" ht="12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</row>
    <row r="159" spans="1:44" ht="12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</row>
    <row r="160" spans="1:44" ht="12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</row>
    <row r="161" spans="1:44" ht="12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</row>
    <row r="162" spans="1:44" ht="12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</row>
    <row r="163" spans="1:44" ht="12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</row>
    <row r="164" spans="1:44" ht="12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</row>
    <row r="165" spans="1:44" ht="12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</row>
    <row r="166" spans="1:44" ht="12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</row>
    <row r="167" spans="1:44" ht="12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</row>
    <row r="168" spans="1:44" ht="12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</row>
    <row r="169" spans="1:44" ht="12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</row>
    <row r="170" spans="1:44" ht="12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</row>
    <row r="171" spans="1:44" ht="12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</row>
    <row r="172" spans="1:44" ht="12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8" ht="12.75" customHeight="1">
      <c r="A1" s="1" t="s">
        <v>89</v>
      </c>
      <c r="B1" s="70" t="s">
        <v>89</v>
      </c>
      <c r="D1" s="1" t="s">
        <v>90</v>
      </c>
      <c r="E1" s="1" t="s">
        <v>91</v>
      </c>
    </row>
    <row r="2" spans="1:8" ht="12.75" customHeight="1">
      <c r="A2" s="1" t="s">
        <v>91</v>
      </c>
      <c r="B2" s="71" t="s">
        <v>92</v>
      </c>
      <c r="D2" s="1" t="s">
        <v>93</v>
      </c>
      <c r="E2" s="72" t="s">
        <v>91</v>
      </c>
      <c r="H2" s="1"/>
    </row>
    <row r="3" spans="1:8" ht="12.75" customHeight="1">
      <c r="A3" s="1" t="s">
        <v>94</v>
      </c>
      <c r="B3" s="73" t="s">
        <v>95</v>
      </c>
      <c r="D3" s="1" t="s">
        <v>96</v>
      </c>
      <c r="E3" s="74" t="s">
        <v>95</v>
      </c>
      <c r="H3" s="1"/>
    </row>
    <row r="4" spans="1:8" ht="12.75" customHeight="1">
      <c r="A4" s="1" t="s">
        <v>97</v>
      </c>
      <c r="B4" s="71" t="s">
        <v>98</v>
      </c>
      <c r="D4" s="1" t="s">
        <v>99</v>
      </c>
      <c r="E4" s="72" t="s">
        <v>98</v>
      </c>
      <c r="H4" s="1"/>
    </row>
    <row r="5" spans="1:8" ht="12.75" customHeight="1">
      <c r="A5" s="1" t="s">
        <v>100</v>
      </c>
      <c r="B5" s="71" t="s">
        <v>101</v>
      </c>
      <c r="E5" s="72" t="s">
        <v>102</v>
      </c>
      <c r="H5" s="1"/>
    </row>
    <row r="6" spans="1:8" ht="12.75" customHeight="1">
      <c r="B6" s="71" t="s">
        <v>103</v>
      </c>
      <c r="E6" s="72" t="s">
        <v>104</v>
      </c>
      <c r="H6" s="1"/>
    </row>
    <row r="7" spans="1:8" ht="12.75" customHeight="1">
      <c r="B7" s="71" t="s">
        <v>105</v>
      </c>
      <c r="E7" s="72" t="s">
        <v>106</v>
      </c>
      <c r="H7" s="1"/>
    </row>
    <row r="8" spans="1:8" ht="12.75" customHeight="1">
      <c r="B8" s="71" t="s">
        <v>107</v>
      </c>
      <c r="E8" s="72" t="s">
        <v>108</v>
      </c>
      <c r="H8" s="1"/>
    </row>
    <row r="9" spans="1:8" ht="12.75" customHeight="1">
      <c r="B9" s="71" t="s">
        <v>109</v>
      </c>
      <c r="E9" s="72" t="s">
        <v>110</v>
      </c>
      <c r="H9" s="1"/>
    </row>
    <row r="10" spans="1:8" ht="12.75" customHeight="1">
      <c r="B10" s="71" t="s">
        <v>111</v>
      </c>
      <c r="E10" s="72" t="s">
        <v>112</v>
      </c>
      <c r="H10" s="1"/>
    </row>
    <row r="11" spans="1:8" ht="12.75" customHeight="1">
      <c r="B11" s="71"/>
      <c r="E11" s="72"/>
      <c r="H11" s="1"/>
    </row>
    <row r="12" spans="1:8" ht="12.75" customHeight="1">
      <c r="B12" s="71" t="s">
        <v>113</v>
      </c>
      <c r="E12" s="72"/>
      <c r="H12" s="1"/>
    </row>
    <row r="13" spans="1:8" ht="12.75" customHeight="1">
      <c r="B13" s="1" t="s">
        <v>114</v>
      </c>
      <c r="E13" s="72"/>
      <c r="H13" s="1"/>
    </row>
    <row r="14" spans="1:8" ht="12.75" customHeight="1">
      <c r="A14" s="1" t="s">
        <v>110</v>
      </c>
      <c r="B14" s="71" t="s">
        <v>110</v>
      </c>
      <c r="E14" s="72"/>
      <c r="H14" s="1"/>
    </row>
    <row r="15" spans="1:8" ht="12.75" customHeight="1">
      <c r="B15" s="71" t="s">
        <v>115</v>
      </c>
      <c r="D15" s="1" t="s">
        <v>116</v>
      </c>
      <c r="E15" s="72"/>
      <c r="H15" s="1"/>
    </row>
    <row r="16" spans="1:8" ht="12.75" customHeight="1">
      <c r="B16" s="71" t="s">
        <v>112</v>
      </c>
      <c r="E16" s="72"/>
      <c r="H16" s="1"/>
    </row>
    <row r="17" spans="2:8" ht="12.75" customHeight="1">
      <c r="B17" s="71" t="s">
        <v>106</v>
      </c>
      <c r="E17" s="72"/>
      <c r="H17" s="1"/>
    </row>
    <row r="18" spans="2:8" ht="12.75" customHeight="1">
      <c r="B18" s="71" t="s">
        <v>92</v>
      </c>
      <c r="H18" s="1"/>
    </row>
    <row r="19" spans="2:8" ht="12.75" customHeight="1">
      <c r="B19" s="73" t="s">
        <v>117</v>
      </c>
      <c r="H19" s="1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200-000000000000}">
      <formula1>"METRO"</formula1>
    </dataValidation>
    <dataValidation type="list" allowBlank="1" showErrorMessage="1" sqref="H3:H19" xr:uid="{00000000-0002-0000-02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9" ht="12.75" customHeight="1">
      <c r="A1" s="75" t="s">
        <v>118</v>
      </c>
      <c r="B1" s="76" t="s">
        <v>119</v>
      </c>
      <c r="C1" s="77" t="s">
        <v>120</v>
      </c>
      <c r="D1" s="77" t="s">
        <v>121</v>
      </c>
      <c r="E1" s="77" t="s">
        <v>122</v>
      </c>
      <c r="F1" s="78" t="s">
        <v>123</v>
      </c>
      <c r="G1" s="79" t="s">
        <v>124</v>
      </c>
      <c r="H1" s="179" t="s">
        <v>125</v>
      </c>
      <c r="I1" s="128"/>
    </row>
    <row r="2" spans="1:9" ht="12.75" customHeight="1">
      <c r="A2" s="80">
        <v>140</v>
      </c>
      <c r="B2" s="81">
        <v>170500</v>
      </c>
      <c r="C2" s="82">
        <f t="shared" ref="C2:C5" si="0">B2/A2</f>
        <v>1217.857143</v>
      </c>
      <c r="D2" s="82">
        <f>C2/10</f>
        <v>121.7857143</v>
      </c>
      <c r="E2" s="82">
        <f t="shared" ref="E2:E5" si="1">C2/100</f>
        <v>12.17857143</v>
      </c>
      <c r="F2" s="83">
        <v>0</v>
      </c>
      <c r="G2" s="84">
        <f t="shared" ref="G2:G5" si="2">F2*E2</f>
        <v>0</v>
      </c>
      <c r="H2" s="146"/>
      <c r="I2" s="128"/>
    </row>
    <row r="3" spans="1:9" ht="12.75" customHeight="1">
      <c r="A3" s="80">
        <v>150</v>
      </c>
      <c r="B3" s="83">
        <v>167400</v>
      </c>
      <c r="C3" s="82">
        <f t="shared" si="0"/>
        <v>1116</v>
      </c>
      <c r="D3" s="82">
        <f t="shared" ref="D3:D5" si="3">C3/100</f>
        <v>11.16</v>
      </c>
      <c r="E3" s="82">
        <f t="shared" si="1"/>
        <v>11.16</v>
      </c>
      <c r="F3" s="83">
        <v>0</v>
      </c>
      <c r="G3" s="84">
        <f t="shared" si="2"/>
        <v>0</v>
      </c>
      <c r="H3" s="146"/>
      <c r="I3" s="128"/>
    </row>
    <row r="4" spans="1:9" ht="12.75" customHeight="1">
      <c r="A4" s="80">
        <v>100</v>
      </c>
      <c r="B4" s="83">
        <v>0</v>
      </c>
      <c r="C4" s="82">
        <f t="shared" si="0"/>
        <v>0</v>
      </c>
      <c r="D4" s="82">
        <f t="shared" si="3"/>
        <v>0</v>
      </c>
      <c r="E4" s="82">
        <f t="shared" si="1"/>
        <v>0</v>
      </c>
      <c r="F4" s="83">
        <v>0</v>
      </c>
      <c r="G4" s="84">
        <f t="shared" si="2"/>
        <v>0</v>
      </c>
      <c r="H4" s="146"/>
      <c r="I4" s="128"/>
    </row>
    <row r="5" spans="1:9" ht="12.75" customHeight="1">
      <c r="A5" s="80">
        <v>50</v>
      </c>
      <c r="B5" s="83">
        <v>0</v>
      </c>
      <c r="C5" s="82">
        <f t="shared" si="0"/>
        <v>0</v>
      </c>
      <c r="D5" s="82">
        <f t="shared" si="3"/>
        <v>0</v>
      </c>
      <c r="E5" s="82">
        <f t="shared" si="1"/>
        <v>0</v>
      </c>
      <c r="F5" s="83">
        <v>0</v>
      </c>
      <c r="G5" s="84">
        <f t="shared" si="2"/>
        <v>0</v>
      </c>
      <c r="H5" s="146"/>
      <c r="I5" s="128"/>
    </row>
    <row r="6" spans="1:9" ht="12.75" customHeight="1">
      <c r="A6" s="180"/>
      <c r="B6" s="181"/>
      <c r="C6" s="181"/>
      <c r="D6" s="181"/>
      <c r="E6" s="181"/>
      <c r="F6" s="180"/>
      <c r="G6" s="181"/>
    </row>
    <row r="7" spans="1:9" ht="12.75" customHeight="1">
      <c r="A7" s="75" t="s">
        <v>126</v>
      </c>
      <c r="B7" s="76" t="s">
        <v>127</v>
      </c>
      <c r="C7" s="77" t="s">
        <v>121</v>
      </c>
      <c r="D7" s="77" t="s">
        <v>120</v>
      </c>
      <c r="E7" s="77" t="s">
        <v>122</v>
      </c>
      <c r="F7" s="85" t="s">
        <v>123</v>
      </c>
      <c r="G7" s="79" t="s">
        <v>124</v>
      </c>
    </row>
    <row r="8" spans="1:9" ht="12.75" customHeight="1">
      <c r="A8" s="80">
        <v>14</v>
      </c>
      <c r="B8" s="83">
        <v>0</v>
      </c>
      <c r="C8" s="82">
        <f t="shared" ref="C8:C11" si="4">B8/A8</f>
        <v>0</v>
      </c>
      <c r="D8" s="82">
        <f t="shared" ref="D8:D11" si="5">C8*10</f>
        <v>0</v>
      </c>
      <c r="E8" s="82">
        <f t="shared" ref="E8:E11" si="6">C8/10</f>
        <v>0</v>
      </c>
      <c r="F8" s="83">
        <v>0</v>
      </c>
      <c r="G8" s="84">
        <f t="shared" ref="G8:G11" si="7">F8*E8</f>
        <v>0</v>
      </c>
    </row>
    <row r="9" spans="1:9" ht="12.75" customHeight="1">
      <c r="A9" s="80">
        <v>15</v>
      </c>
      <c r="B9" s="83">
        <v>0</v>
      </c>
      <c r="C9" s="82">
        <f t="shared" si="4"/>
        <v>0</v>
      </c>
      <c r="D9" s="82">
        <f t="shared" si="5"/>
        <v>0</v>
      </c>
      <c r="E9" s="82">
        <f t="shared" si="6"/>
        <v>0</v>
      </c>
      <c r="F9" s="83">
        <v>0</v>
      </c>
      <c r="G9" s="84">
        <f t="shared" si="7"/>
        <v>0</v>
      </c>
    </row>
    <row r="10" spans="1:9" ht="12.75" customHeight="1">
      <c r="A10" s="80">
        <v>10</v>
      </c>
      <c r="B10" s="83">
        <v>0</v>
      </c>
      <c r="C10" s="82">
        <f t="shared" si="4"/>
        <v>0</v>
      </c>
      <c r="D10" s="82">
        <f t="shared" si="5"/>
        <v>0</v>
      </c>
      <c r="E10" s="82">
        <f t="shared" si="6"/>
        <v>0</v>
      </c>
      <c r="F10" s="83">
        <v>0</v>
      </c>
      <c r="G10" s="84">
        <f t="shared" si="7"/>
        <v>0</v>
      </c>
    </row>
    <row r="11" spans="1:9" ht="12.75" customHeight="1">
      <c r="A11" s="80">
        <v>5</v>
      </c>
      <c r="B11" s="83">
        <v>0</v>
      </c>
      <c r="C11" s="82">
        <f t="shared" si="4"/>
        <v>0</v>
      </c>
      <c r="D11" s="82">
        <f t="shared" si="5"/>
        <v>0</v>
      </c>
      <c r="E11" s="82">
        <f t="shared" si="6"/>
        <v>0</v>
      </c>
      <c r="F11" s="83">
        <v>0</v>
      </c>
      <c r="G11" s="84">
        <f t="shared" si="7"/>
        <v>0</v>
      </c>
    </row>
    <row r="12" spans="1:9" ht="12.75" customHeight="1">
      <c r="A12" s="180"/>
      <c r="B12" s="181"/>
      <c r="C12" s="181"/>
      <c r="D12" s="181"/>
      <c r="E12" s="181"/>
      <c r="F12" s="180"/>
      <c r="G12" s="181"/>
    </row>
    <row r="13" spans="1:9" ht="12.75" customHeight="1">
      <c r="A13" s="75" t="s">
        <v>128</v>
      </c>
      <c r="B13" s="76" t="s">
        <v>129</v>
      </c>
      <c r="C13" s="77" t="s">
        <v>122</v>
      </c>
      <c r="D13" s="77" t="s">
        <v>120</v>
      </c>
      <c r="E13" s="77" t="s">
        <v>121</v>
      </c>
      <c r="F13" s="85" t="s">
        <v>123</v>
      </c>
      <c r="G13" s="79" t="s">
        <v>124</v>
      </c>
    </row>
    <row r="14" spans="1:9" ht="12.75" customHeight="1">
      <c r="A14" s="80">
        <v>1.4</v>
      </c>
      <c r="B14" s="83">
        <v>0</v>
      </c>
      <c r="C14" s="82">
        <f t="shared" ref="C14:C17" si="8">B14/A14</f>
        <v>0</v>
      </c>
      <c r="D14" s="82">
        <f t="shared" ref="D14:D17" si="9">C14*100</f>
        <v>0</v>
      </c>
      <c r="E14" s="82">
        <f t="shared" ref="E14:E17" si="10">C14*10</f>
        <v>0</v>
      </c>
      <c r="F14" s="83">
        <v>0</v>
      </c>
      <c r="G14" s="86">
        <f t="shared" ref="G14:G17" si="11">F14*E14</f>
        <v>0</v>
      </c>
    </row>
    <row r="15" spans="1:9" ht="12.75" customHeight="1">
      <c r="A15" s="80">
        <v>1.5</v>
      </c>
      <c r="B15" s="83">
        <v>0</v>
      </c>
      <c r="C15" s="82">
        <f t="shared" si="8"/>
        <v>0</v>
      </c>
      <c r="D15" s="82">
        <f t="shared" si="9"/>
        <v>0</v>
      </c>
      <c r="E15" s="82">
        <f t="shared" si="10"/>
        <v>0</v>
      </c>
      <c r="F15" s="83">
        <v>0</v>
      </c>
      <c r="G15" s="86">
        <f t="shared" si="11"/>
        <v>0</v>
      </c>
    </row>
    <row r="16" spans="1:9" ht="12.75" customHeight="1">
      <c r="A16" s="80">
        <v>1</v>
      </c>
      <c r="B16" s="83">
        <v>0</v>
      </c>
      <c r="C16" s="82">
        <f t="shared" si="8"/>
        <v>0</v>
      </c>
      <c r="D16" s="82">
        <f t="shared" si="9"/>
        <v>0</v>
      </c>
      <c r="E16" s="82">
        <f t="shared" si="10"/>
        <v>0</v>
      </c>
      <c r="F16" s="83">
        <v>0</v>
      </c>
      <c r="G16" s="86">
        <f t="shared" si="11"/>
        <v>0</v>
      </c>
    </row>
    <row r="17" spans="1:7" ht="12.75" customHeight="1">
      <c r="A17" s="80">
        <v>0.5</v>
      </c>
      <c r="B17" s="83">
        <v>0</v>
      </c>
      <c r="C17" s="82">
        <f t="shared" si="8"/>
        <v>0</v>
      </c>
      <c r="D17" s="82">
        <f t="shared" si="9"/>
        <v>0</v>
      </c>
      <c r="E17" s="82">
        <f t="shared" si="10"/>
        <v>0</v>
      </c>
      <c r="F17" s="83">
        <v>0</v>
      </c>
      <c r="G17" s="86">
        <f t="shared" si="11"/>
        <v>0</v>
      </c>
    </row>
    <row r="18" spans="1:7" ht="12.75" customHeight="1"/>
    <row r="19" spans="1:7" ht="12.75" customHeight="1"/>
    <row r="20" spans="1:7" ht="12.75" hidden="1" customHeight="1">
      <c r="A20" s="75" t="s">
        <v>118</v>
      </c>
      <c r="B20" s="76" t="s">
        <v>119</v>
      </c>
      <c r="C20" s="77" t="s">
        <v>120</v>
      </c>
      <c r="D20" s="77" t="s">
        <v>121</v>
      </c>
      <c r="E20" s="77" t="s">
        <v>122</v>
      </c>
      <c r="F20" s="78" t="s">
        <v>123</v>
      </c>
      <c r="G20" s="79" t="s">
        <v>124</v>
      </c>
    </row>
    <row r="21" spans="1:7" ht="12.75" hidden="1" customHeight="1">
      <c r="A21" s="80">
        <v>145</v>
      </c>
      <c r="B21" s="87">
        <f>PEDIDO!C4</f>
        <v>10000</v>
      </c>
      <c r="C21" s="82">
        <f t="shared" ref="C21:C45" si="12">B21/A21</f>
        <v>68.965517239999997</v>
      </c>
      <c r="D21" s="82">
        <f t="shared" ref="D21:D45" si="13">C21/10</f>
        <v>6.896551724</v>
      </c>
      <c r="E21" s="82">
        <f t="shared" ref="E21:E45" si="14">C21/100</f>
        <v>0.68965517239999996</v>
      </c>
      <c r="F21" s="83">
        <v>0</v>
      </c>
      <c r="G21" s="84">
        <f t="shared" ref="G21:G45" si="15">F21*E21</f>
        <v>0</v>
      </c>
    </row>
    <row r="22" spans="1:7" ht="12.75" hidden="1" customHeight="1">
      <c r="A22" s="80">
        <v>145</v>
      </c>
      <c r="B22" s="87">
        <f>PEDIDO!C5</f>
        <v>1750</v>
      </c>
      <c r="C22" s="82">
        <f t="shared" si="12"/>
        <v>12.068965520000001</v>
      </c>
      <c r="D22" s="82">
        <f t="shared" si="13"/>
        <v>1.2068965519999999</v>
      </c>
      <c r="E22" s="82">
        <f t="shared" si="14"/>
        <v>0.1206896552</v>
      </c>
      <c r="F22" s="83">
        <v>0</v>
      </c>
      <c r="G22" s="84">
        <f t="shared" si="15"/>
        <v>0</v>
      </c>
    </row>
    <row r="23" spans="1:7" ht="12.75" hidden="1" customHeight="1">
      <c r="A23" s="80">
        <v>145</v>
      </c>
      <c r="B23" s="87">
        <f>PEDIDO!C6</f>
        <v>0</v>
      </c>
      <c r="C23" s="82">
        <f t="shared" si="12"/>
        <v>0</v>
      </c>
      <c r="D23" s="82">
        <f t="shared" si="13"/>
        <v>0</v>
      </c>
      <c r="E23" s="82">
        <f t="shared" si="14"/>
        <v>0</v>
      </c>
      <c r="F23" s="83">
        <v>0</v>
      </c>
      <c r="G23" s="84">
        <f t="shared" si="15"/>
        <v>0</v>
      </c>
    </row>
    <row r="24" spans="1:7" ht="12.75" hidden="1" customHeight="1">
      <c r="A24" s="80">
        <v>145</v>
      </c>
      <c r="B24" s="87">
        <f>PEDIDO!C7</f>
        <v>0</v>
      </c>
      <c r="C24" s="82">
        <f t="shared" si="12"/>
        <v>0</v>
      </c>
      <c r="D24" s="82">
        <f t="shared" si="13"/>
        <v>0</v>
      </c>
      <c r="E24" s="82">
        <f t="shared" si="14"/>
        <v>0</v>
      </c>
      <c r="F24" s="83">
        <v>0</v>
      </c>
      <c r="G24" s="84">
        <f t="shared" si="15"/>
        <v>0</v>
      </c>
    </row>
    <row r="25" spans="1:7" ht="12.75" hidden="1" customHeight="1">
      <c r="A25" s="80">
        <v>145</v>
      </c>
      <c r="B25" s="87">
        <f>PEDIDO!C8</f>
        <v>0</v>
      </c>
      <c r="C25" s="82">
        <f t="shared" si="12"/>
        <v>0</v>
      </c>
      <c r="D25" s="82">
        <f t="shared" si="13"/>
        <v>0</v>
      </c>
      <c r="E25" s="82">
        <f t="shared" si="14"/>
        <v>0</v>
      </c>
      <c r="F25" s="83">
        <v>0</v>
      </c>
      <c r="G25" s="84">
        <f t="shared" si="15"/>
        <v>0</v>
      </c>
    </row>
    <row r="26" spans="1:7" ht="12.75" hidden="1" customHeight="1">
      <c r="A26" s="80">
        <v>145</v>
      </c>
      <c r="B26" s="87">
        <f>PEDIDO!C9</f>
        <v>0</v>
      </c>
      <c r="C26" s="82">
        <f t="shared" si="12"/>
        <v>0</v>
      </c>
      <c r="D26" s="82">
        <f t="shared" si="13"/>
        <v>0</v>
      </c>
      <c r="E26" s="82">
        <f t="shared" si="14"/>
        <v>0</v>
      </c>
      <c r="F26" s="83">
        <v>0</v>
      </c>
      <c r="G26" s="84">
        <f t="shared" si="15"/>
        <v>0</v>
      </c>
    </row>
    <row r="27" spans="1:7" ht="12.75" hidden="1" customHeight="1">
      <c r="A27" s="80">
        <v>145</v>
      </c>
      <c r="B27" s="87">
        <f>PEDIDO!C10</f>
        <v>0</v>
      </c>
      <c r="C27" s="82">
        <f t="shared" si="12"/>
        <v>0</v>
      </c>
      <c r="D27" s="82">
        <f t="shared" si="13"/>
        <v>0</v>
      </c>
      <c r="E27" s="82">
        <f t="shared" si="14"/>
        <v>0</v>
      </c>
      <c r="F27" s="83">
        <v>0</v>
      </c>
      <c r="G27" s="84">
        <f t="shared" si="15"/>
        <v>0</v>
      </c>
    </row>
    <row r="28" spans="1:7" ht="12.75" hidden="1" customHeight="1">
      <c r="A28" s="80">
        <v>145</v>
      </c>
      <c r="B28" s="87">
        <f>PEDIDO!C11</f>
        <v>0</v>
      </c>
      <c r="C28" s="82">
        <f t="shared" si="12"/>
        <v>0</v>
      </c>
      <c r="D28" s="82">
        <f t="shared" si="13"/>
        <v>0</v>
      </c>
      <c r="E28" s="82">
        <f t="shared" si="14"/>
        <v>0</v>
      </c>
      <c r="F28" s="83">
        <v>0</v>
      </c>
      <c r="G28" s="84">
        <f t="shared" si="15"/>
        <v>0</v>
      </c>
    </row>
    <row r="29" spans="1:7" ht="12.75" hidden="1" customHeight="1">
      <c r="A29" s="80">
        <v>145</v>
      </c>
      <c r="B29" s="87">
        <f>PEDIDO!C12</f>
        <v>0</v>
      </c>
      <c r="C29" s="82">
        <f t="shared" si="12"/>
        <v>0</v>
      </c>
      <c r="D29" s="82">
        <f t="shared" si="13"/>
        <v>0</v>
      </c>
      <c r="E29" s="82">
        <f t="shared" si="14"/>
        <v>0</v>
      </c>
      <c r="F29" s="83">
        <v>0</v>
      </c>
      <c r="G29" s="84">
        <f t="shared" si="15"/>
        <v>0</v>
      </c>
    </row>
    <row r="30" spans="1:7" ht="12.75" hidden="1" customHeight="1">
      <c r="A30" s="80">
        <v>145</v>
      </c>
      <c r="B30" s="87">
        <f>PEDIDO!C13</f>
        <v>0</v>
      </c>
      <c r="C30" s="82">
        <f t="shared" si="12"/>
        <v>0</v>
      </c>
      <c r="D30" s="82">
        <f t="shared" si="13"/>
        <v>0</v>
      </c>
      <c r="E30" s="82">
        <f t="shared" si="14"/>
        <v>0</v>
      </c>
      <c r="F30" s="83">
        <v>0</v>
      </c>
      <c r="G30" s="84">
        <f t="shared" si="15"/>
        <v>0</v>
      </c>
    </row>
    <row r="31" spans="1:7" ht="12.75" hidden="1" customHeight="1">
      <c r="A31" s="80">
        <v>145</v>
      </c>
      <c r="B31" s="87">
        <f>PEDIDO!C14</f>
        <v>0</v>
      </c>
      <c r="C31" s="82">
        <f t="shared" si="12"/>
        <v>0</v>
      </c>
      <c r="D31" s="82">
        <f t="shared" si="13"/>
        <v>0</v>
      </c>
      <c r="E31" s="82">
        <f t="shared" si="14"/>
        <v>0</v>
      </c>
      <c r="F31" s="83">
        <v>0</v>
      </c>
      <c r="G31" s="84">
        <f t="shared" si="15"/>
        <v>0</v>
      </c>
    </row>
    <row r="32" spans="1:7" ht="12.75" hidden="1" customHeight="1">
      <c r="A32" s="80">
        <v>145</v>
      </c>
      <c r="B32" s="87">
        <f>PEDIDO!C15</f>
        <v>0</v>
      </c>
      <c r="C32" s="82">
        <f t="shared" si="12"/>
        <v>0</v>
      </c>
      <c r="D32" s="82">
        <f t="shared" si="13"/>
        <v>0</v>
      </c>
      <c r="E32" s="82">
        <f t="shared" si="14"/>
        <v>0</v>
      </c>
      <c r="F32" s="83">
        <v>0</v>
      </c>
      <c r="G32" s="84">
        <f t="shared" si="15"/>
        <v>0</v>
      </c>
    </row>
    <row r="33" spans="1:7" ht="12.75" hidden="1" customHeight="1">
      <c r="A33" s="80">
        <v>145</v>
      </c>
      <c r="B33" s="87">
        <f>PEDIDO!C16</f>
        <v>0</v>
      </c>
      <c r="C33" s="82">
        <f t="shared" si="12"/>
        <v>0</v>
      </c>
      <c r="D33" s="82">
        <f t="shared" si="13"/>
        <v>0</v>
      </c>
      <c r="E33" s="82">
        <f t="shared" si="14"/>
        <v>0</v>
      </c>
      <c r="F33" s="83">
        <v>0</v>
      </c>
      <c r="G33" s="84">
        <f t="shared" si="15"/>
        <v>0</v>
      </c>
    </row>
    <row r="34" spans="1:7" ht="12.75" hidden="1" customHeight="1">
      <c r="A34" s="80">
        <v>145</v>
      </c>
      <c r="B34" s="87">
        <f>PEDIDO!C17</f>
        <v>0</v>
      </c>
      <c r="C34" s="82">
        <f t="shared" si="12"/>
        <v>0</v>
      </c>
      <c r="D34" s="82">
        <f t="shared" si="13"/>
        <v>0</v>
      </c>
      <c r="E34" s="82">
        <f t="shared" si="14"/>
        <v>0</v>
      </c>
      <c r="F34" s="83">
        <v>0</v>
      </c>
      <c r="G34" s="84">
        <f t="shared" si="15"/>
        <v>0</v>
      </c>
    </row>
    <row r="35" spans="1:7" ht="12.75" hidden="1" customHeight="1">
      <c r="A35" s="80">
        <v>145</v>
      </c>
      <c r="B35" s="87">
        <f>PEDIDO!C18</f>
        <v>0</v>
      </c>
      <c r="C35" s="82">
        <f t="shared" si="12"/>
        <v>0</v>
      </c>
      <c r="D35" s="82">
        <f t="shared" si="13"/>
        <v>0</v>
      </c>
      <c r="E35" s="82">
        <f t="shared" si="14"/>
        <v>0</v>
      </c>
      <c r="F35" s="83">
        <v>0</v>
      </c>
      <c r="G35" s="84">
        <f t="shared" si="15"/>
        <v>0</v>
      </c>
    </row>
    <row r="36" spans="1:7" ht="12.75" hidden="1" customHeight="1">
      <c r="A36" s="80">
        <v>145</v>
      </c>
      <c r="B36" s="87">
        <f>PEDIDO!C19</f>
        <v>0</v>
      </c>
      <c r="C36" s="82">
        <f t="shared" si="12"/>
        <v>0</v>
      </c>
      <c r="D36" s="82">
        <f t="shared" si="13"/>
        <v>0</v>
      </c>
      <c r="E36" s="82">
        <f t="shared" si="14"/>
        <v>0</v>
      </c>
      <c r="F36" s="83">
        <v>0</v>
      </c>
      <c r="G36" s="84">
        <f t="shared" si="15"/>
        <v>0</v>
      </c>
    </row>
    <row r="37" spans="1:7" ht="12.75" hidden="1" customHeight="1">
      <c r="A37" s="80">
        <v>145</v>
      </c>
      <c r="B37" s="87">
        <f>PEDIDO!C20</f>
        <v>0</v>
      </c>
      <c r="C37" s="82">
        <f t="shared" si="12"/>
        <v>0</v>
      </c>
      <c r="D37" s="82">
        <f t="shared" si="13"/>
        <v>0</v>
      </c>
      <c r="E37" s="82">
        <f t="shared" si="14"/>
        <v>0</v>
      </c>
      <c r="F37" s="83">
        <v>0</v>
      </c>
      <c r="G37" s="84">
        <f t="shared" si="15"/>
        <v>0</v>
      </c>
    </row>
    <row r="38" spans="1:7" ht="12.75" hidden="1" customHeight="1">
      <c r="A38" s="80">
        <v>145</v>
      </c>
      <c r="B38" s="87">
        <f>PEDIDO!C21</f>
        <v>0</v>
      </c>
      <c r="C38" s="82">
        <f t="shared" si="12"/>
        <v>0</v>
      </c>
      <c r="D38" s="82">
        <f t="shared" si="13"/>
        <v>0</v>
      </c>
      <c r="E38" s="82">
        <f t="shared" si="14"/>
        <v>0</v>
      </c>
      <c r="F38" s="83">
        <v>0</v>
      </c>
      <c r="G38" s="84">
        <f t="shared" si="15"/>
        <v>0</v>
      </c>
    </row>
    <row r="39" spans="1:7" ht="12.75" hidden="1" customHeight="1">
      <c r="A39" s="80">
        <v>145</v>
      </c>
      <c r="B39" s="87">
        <f>PEDIDO!C22</f>
        <v>0</v>
      </c>
      <c r="C39" s="82">
        <f t="shared" si="12"/>
        <v>0</v>
      </c>
      <c r="D39" s="82">
        <f t="shared" si="13"/>
        <v>0</v>
      </c>
      <c r="E39" s="82">
        <f t="shared" si="14"/>
        <v>0</v>
      </c>
      <c r="F39" s="83">
        <v>0</v>
      </c>
      <c r="G39" s="84">
        <f t="shared" si="15"/>
        <v>0</v>
      </c>
    </row>
    <row r="40" spans="1:7" ht="12.75" hidden="1" customHeight="1">
      <c r="A40" s="80">
        <v>145</v>
      </c>
      <c r="B40" s="87">
        <f>PEDIDO!C23</f>
        <v>0</v>
      </c>
      <c r="C40" s="82">
        <f t="shared" si="12"/>
        <v>0</v>
      </c>
      <c r="D40" s="82">
        <f t="shared" si="13"/>
        <v>0</v>
      </c>
      <c r="E40" s="82">
        <f t="shared" si="14"/>
        <v>0</v>
      </c>
      <c r="F40" s="83">
        <v>0</v>
      </c>
      <c r="G40" s="84">
        <f t="shared" si="15"/>
        <v>0</v>
      </c>
    </row>
    <row r="41" spans="1:7" ht="12.75" hidden="1" customHeight="1">
      <c r="A41" s="80">
        <v>145</v>
      </c>
      <c r="B41" s="87">
        <f>PEDIDO!C24</f>
        <v>0</v>
      </c>
      <c r="C41" s="82">
        <f t="shared" si="12"/>
        <v>0</v>
      </c>
      <c r="D41" s="82">
        <f t="shared" si="13"/>
        <v>0</v>
      </c>
      <c r="E41" s="82">
        <f t="shared" si="14"/>
        <v>0</v>
      </c>
      <c r="F41" s="83">
        <v>0</v>
      </c>
      <c r="G41" s="84">
        <f t="shared" si="15"/>
        <v>0</v>
      </c>
    </row>
    <row r="42" spans="1:7" ht="12.75" hidden="1" customHeight="1">
      <c r="A42" s="80">
        <v>145</v>
      </c>
      <c r="B42" s="87">
        <f>PEDIDO!C25</f>
        <v>0</v>
      </c>
      <c r="C42" s="82">
        <f t="shared" si="12"/>
        <v>0</v>
      </c>
      <c r="D42" s="82">
        <f t="shared" si="13"/>
        <v>0</v>
      </c>
      <c r="E42" s="82">
        <f t="shared" si="14"/>
        <v>0</v>
      </c>
      <c r="F42" s="83">
        <v>0</v>
      </c>
      <c r="G42" s="84">
        <f t="shared" si="15"/>
        <v>0</v>
      </c>
    </row>
    <row r="43" spans="1:7" ht="12.75" hidden="1" customHeight="1">
      <c r="A43" s="80">
        <v>145</v>
      </c>
      <c r="B43" s="87">
        <f>PEDIDO!C26</f>
        <v>0</v>
      </c>
      <c r="C43" s="82">
        <f t="shared" si="12"/>
        <v>0</v>
      </c>
      <c r="D43" s="82">
        <f t="shared" si="13"/>
        <v>0</v>
      </c>
      <c r="E43" s="82">
        <f t="shared" si="14"/>
        <v>0</v>
      </c>
      <c r="F43" s="83">
        <v>0</v>
      </c>
      <c r="G43" s="84">
        <f t="shared" si="15"/>
        <v>0</v>
      </c>
    </row>
    <row r="44" spans="1:7" ht="12.75" hidden="1" customHeight="1">
      <c r="A44" s="80">
        <v>145</v>
      </c>
      <c r="B44" s="87">
        <f>PEDIDO!C27</f>
        <v>0</v>
      </c>
      <c r="C44" s="82">
        <f t="shared" si="12"/>
        <v>0</v>
      </c>
      <c r="D44" s="82">
        <f t="shared" si="13"/>
        <v>0</v>
      </c>
      <c r="E44" s="82">
        <f t="shared" si="14"/>
        <v>0</v>
      </c>
      <c r="F44" s="83">
        <v>0</v>
      </c>
      <c r="G44" s="84">
        <f t="shared" si="15"/>
        <v>0</v>
      </c>
    </row>
    <row r="45" spans="1:7" ht="12.75" hidden="1" customHeight="1">
      <c r="A45" s="80">
        <v>145</v>
      </c>
      <c r="B45" s="87">
        <f>PEDIDO!C28</f>
        <v>0</v>
      </c>
      <c r="C45" s="82">
        <f t="shared" si="12"/>
        <v>0</v>
      </c>
      <c r="D45" s="82">
        <f t="shared" si="13"/>
        <v>0</v>
      </c>
      <c r="E45" s="82">
        <f t="shared" si="14"/>
        <v>0</v>
      </c>
      <c r="F45" s="83">
        <v>0</v>
      </c>
      <c r="G45" s="84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>
      <c r="A1" s="88" t="s">
        <v>79</v>
      </c>
      <c r="B1" s="89" t="s">
        <v>130</v>
      </c>
      <c r="C1" s="90" t="s">
        <v>86</v>
      </c>
      <c r="D1" s="88" t="s">
        <v>131</v>
      </c>
    </row>
    <row r="2" spans="1:4" ht="12.75" customHeight="1">
      <c r="A2" s="91" t="s">
        <v>132</v>
      </c>
      <c r="B2" s="92">
        <v>133.4</v>
      </c>
      <c r="C2" s="93">
        <v>1</v>
      </c>
      <c r="D2" s="94"/>
    </row>
    <row r="3" spans="1:4" ht="12.75" customHeight="1">
      <c r="A3" s="91">
        <v>0</v>
      </c>
      <c r="B3" s="92">
        <v>0</v>
      </c>
      <c r="C3" s="93">
        <v>0</v>
      </c>
      <c r="D3" s="94"/>
    </row>
    <row r="4" spans="1:4" ht="12.75" customHeight="1">
      <c r="A4" s="91" t="s">
        <v>133</v>
      </c>
      <c r="B4" s="92">
        <v>50</v>
      </c>
      <c r="C4" s="93">
        <v>1</v>
      </c>
      <c r="D4" s="94"/>
    </row>
    <row r="5" spans="1:4" ht="12.75" customHeight="1">
      <c r="A5" s="91" t="s">
        <v>134</v>
      </c>
      <c r="B5" s="95">
        <v>1392</v>
      </c>
      <c r="C5" s="93">
        <v>1</v>
      </c>
      <c r="D5" s="94"/>
    </row>
    <row r="6" spans="1:4" ht="12.75" customHeight="1">
      <c r="A6" s="91" t="s">
        <v>135</v>
      </c>
      <c r="B6" s="95">
        <v>2204</v>
      </c>
      <c r="C6" s="93">
        <v>1</v>
      </c>
      <c r="D6" s="94"/>
    </row>
    <row r="7" spans="1:4" ht="12.75" customHeight="1">
      <c r="A7" s="91" t="s">
        <v>136</v>
      </c>
      <c r="B7" s="92">
        <v>800</v>
      </c>
      <c r="C7" s="93">
        <v>1</v>
      </c>
      <c r="D7" s="94"/>
    </row>
    <row r="8" spans="1:4" ht="12.75" customHeight="1">
      <c r="A8" s="91" t="s">
        <v>137</v>
      </c>
      <c r="B8" s="92">
        <v>800</v>
      </c>
      <c r="C8" s="93">
        <v>1</v>
      </c>
      <c r="D8" s="94"/>
    </row>
    <row r="9" spans="1:4" ht="12.75" customHeight="1">
      <c r="A9" s="91" t="s">
        <v>138</v>
      </c>
      <c r="B9" s="92">
        <v>800</v>
      </c>
      <c r="C9" s="93">
        <v>1</v>
      </c>
      <c r="D9" s="94"/>
    </row>
    <row r="10" spans="1:4" ht="12.75" customHeight="1">
      <c r="A10" s="91" t="s">
        <v>139</v>
      </c>
      <c r="B10" s="92">
        <v>800</v>
      </c>
      <c r="C10" s="93">
        <v>1</v>
      </c>
      <c r="D10" s="94"/>
    </row>
    <row r="11" spans="1:4" ht="12.75" customHeight="1">
      <c r="A11" s="91" t="s">
        <v>140</v>
      </c>
      <c r="B11" s="92">
        <v>800</v>
      </c>
      <c r="C11" s="93">
        <v>1</v>
      </c>
      <c r="D11" s="94"/>
    </row>
    <row r="12" spans="1:4" ht="12" customHeight="1">
      <c r="A12" s="91" t="s">
        <v>141</v>
      </c>
      <c r="B12" s="92">
        <v>58</v>
      </c>
      <c r="C12" s="93">
        <v>1</v>
      </c>
      <c r="D12" s="94"/>
    </row>
    <row r="13" spans="1:4" ht="12.75" customHeight="1">
      <c r="A13" s="91" t="s">
        <v>142</v>
      </c>
      <c r="B13" s="92">
        <v>63.8</v>
      </c>
      <c r="C13" s="93">
        <v>1</v>
      </c>
      <c r="D13" s="94"/>
    </row>
    <row r="14" spans="1:4" ht="12.75" customHeight="1">
      <c r="A14" s="91" t="s">
        <v>143</v>
      </c>
      <c r="B14" s="92">
        <v>63.8</v>
      </c>
      <c r="C14" s="93">
        <v>1</v>
      </c>
      <c r="D14" s="94"/>
    </row>
    <row r="15" spans="1:4" ht="12.75" customHeight="1">
      <c r="A15" s="91" t="s">
        <v>144</v>
      </c>
      <c r="B15" s="92">
        <v>130</v>
      </c>
      <c r="C15" s="93">
        <v>1</v>
      </c>
      <c r="D15" s="94"/>
    </row>
    <row r="16" spans="1:4" ht="12.75" customHeight="1">
      <c r="A16" s="91" t="s">
        <v>145</v>
      </c>
      <c r="B16" s="92">
        <v>130</v>
      </c>
      <c r="C16" s="93">
        <v>1</v>
      </c>
      <c r="D16" s="94"/>
    </row>
    <row r="17" spans="1:4" ht="12.75" customHeight="1">
      <c r="A17" s="91" t="s">
        <v>146</v>
      </c>
      <c r="B17" s="92">
        <v>250</v>
      </c>
      <c r="C17" s="93">
        <v>1</v>
      </c>
      <c r="D17" s="94"/>
    </row>
    <row r="18" spans="1:4" ht="12.75" customHeight="1">
      <c r="A18" s="91" t="s">
        <v>147</v>
      </c>
      <c r="B18" s="92">
        <v>350</v>
      </c>
      <c r="C18" s="93">
        <v>1</v>
      </c>
      <c r="D18" s="94"/>
    </row>
    <row r="19" spans="1:4" ht="12.75" customHeight="1">
      <c r="A19" s="91" t="s">
        <v>148</v>
      </c>
      <c r="B19" s="92">
        <v>800</v>
      </c>
      <c r="C19" s="93">
        <v>1</v>
      </c>
      <c r="D19" s="94"/>
    </row>
    <row r="20" spans="1:4" ht="12.75" customHeight="1">
      <c r="A20" s="91" t="s">
        <v>149</v>
      </c>
      <c r="B20" s="92">
        <v>110</v>
      </c>
      <c r="C20" s="93">
        <v>1</v>
      </c>
      <c r="D20" s="94"/>
    </row>
    <row r="21" spans="1:4" ht="12.75" customHeight="1">
      <c r="A21" s="91" t="s">
        <v>150</v>
      </c>
      <c r="B21" s="92">
        <v>1000</v>
      </c>
      <c r="C21" s="93">
        <v>1</v>
      </c>
      <c r="D21" s="94"/>
    </row>
    <row r="22" spans="1:4" ht="12.75" customHeight="1">
      <c r="A22" s="91" t="s">
        <v>151</v>
      </c>
      <c r="B22" s="92">
        <v>0.5</v>
      </c>
      <c r="C22" s="93">
        <v>1</v>
      </c>
      <c r="D22" s="94"/>
    </row>
    <row r="23" spans="1:4" ht="12.75" customHeight="1">
      <c r="A23" s="91" t="s">
        <v>152</v>
      </c>
      <c r="B23" s="92">
        <v>754</v>
      </c>
      <c r="C23" s="93">
        <v>1</v>
      </c>
      <c r="D23" s="94"/>
    </row>
    <row r="24" spans="1:4" ht="12.75" customHeight="1">
      <c r="A24" s="91" t="s">
        <v>153</v>
      </c>
      <c r="B24" s="92">
        <v>754</v>
      </c>
      <c r="C24" s="93">
        <v>1</v>
      </c>
      <c r="D24" s="94"/>
    </row>
    <row r="25" spans="1:4" ht="12.75" customHeight="1">
      <c r="A25" s="91" t="s">
        <v>154</v>
      </c>
      <c r="B25" s="92">
        <v>0.2</v>
      </c>
      <c r="C25" s="93">
        <v>1</v>
      </c>
      <c r="D25" s="94"/>
    </row>
    <row r="26" spans="1:4" ht="12.75" customHeight="1">
      <c r="A26" s="91" t="s">
        <v>155</v>
      </c>
      <c r="B26" s="92">
        <v>0.3</v>
      </c>
      <c r="C26" s="93">
        <v>1</v>
      </c>
      <c r="D26" s="94"/>
    </row>
    <row r="27" spans="1:4" ht="12.75" customHeight="1">
      <c r="A27" s="91" t="s">
        <v>156</v>
      </c>
      <c r="B27" s="92">
        <v>0.26</v>
      </c>
      <c r="C27" s="93">
        <v>1</v>
      </c>
      <c r="D27" s="94"/>
    </row>
    <row r="28" spans="1:4" ht="12.75" customHeight="1">
      <c r="A28" s="91" t="s">
        <v>157</v>
      </c>
      <c r="B28" s="92">
        <v>0.4</v>
      </c>
      <c r="C28" s="93">
        <v>1</v>
      </c>
      <c r="D28" s="94"/>
    </row>
    <row r="29" spans="1:4" ht="12.75" customHeight="1">
      <c r="A29" s="91" t="s">
        <v>158</v>
      </c>
      <c r="B29" s="92">
        <v>0.4</v>
      </c>
      <c r="C29" s="93">
        <v>1</v>
      </c>
      <c r="D29" s="94"/>
    </row>
    <row r="30" spans="1:4" ht="12.75" customHeight="1">
      <c r="A30" s="91" t="s">
        <v>159</v>
      </c>
      <c r="B30" s="92">
        <v>0.4</v>
      </c>
      <c r="C30" s="93">
        <v>1</v>
      </c>
      <c r="D30" s="94"/>
    </row>
    <row r="31" spans="1:4" ht="12.75" customHeight="1">
      <c r="A31" s="91" t="s">
        <v>160</v>
      </c>
      <c r="B31" s="92">
        <v>500</v>
      </c>
      <c r="C31" s="93">
        <v>1</v>
      </c>
      <c r="D31" s="94"/>
    </row>
    <row r="32" spans="1:4" ht="12.75" customHeight="1">
      <c r="A32" s="91" t="s">
        <v>161</v>
      </c>
      <c r="B32" s="92">
        <v>450</v>
      </c>
      <c r="C32" s="93">
        <v>1</v>
      </c>
      <c r="D32" s="94"/>
    </row>
    <row r="33" spans="1:4" ht="12.75" customHeight="1">
      <c r="A33" s="91" t="s">
        <v>162</v>
      </c>
      <c r="B33" s="92">
        <v>400</v>
      </c>
      <c r="C33" s="93">
        <v>1</v>
      </c>
      <c r="D33" s="94"/>
    </row>
    <row r="34" spans="1:4" ht="12.75" customHeight="1">
      <c r="A34" s="91" t="s">
        <v>163</v>
      </c>
      <c r="B34" s="92">
        <v>3.4</v>
      </c>
      <c r="C34" s="93">
        <v>1</v>
      </c>
      <c r="D34" s="94"/>
    </row>
    <row r="35" spans="1:4" ht="12.75" customHeight="1">
      <c r="A35" s="91" t="s">
        <v>164</v>
      </c>
      <c r="B35" s="92">
        <v>4.4000000000000004</v>
      </c>
      <c r="C35" s="93">
        <v>1</v>
      </c>
      <c r="D35" s="94"/>
    </row>
    <row r="36" spans="1:4" ht="12.75" customHeight="1">
      <c r="A36" s="91" t="s">
        <v>165</v>
      </c>
      <c r="B36" s="92">
        <v>6</v>
      </c>
      <c r="C36" s="93">
        <v>1</v>
      </c>
      <c r="D36" s="94"/>
    </row>
    <row r="37" spans="1:4" ht="12.75" customHeight="1">
      <c r="A37" s="91" t="s">
        <v>166</v>
      </c>
      <c r="B37" s="92">
        <v>0.38</v>
      </c>
      <c r="C37" s="93">
        <v>1</v>
      </c>
      <c r="D37" s="94"/>
    </row>
    <row r="38" spans="1:4" ht="15" customHeight="1">
      <c r="A38" s="91" t="s">
        <v>167</v>
      </c>
      <c r="B38" s="96">
        <v>50</v>
      </c>
      <c r="C38" s="93">
        <v>1</v>
      </c>
      <c r="D38" s="94"/>
    </row>
    <row r="39" spans="1:4" ht="15" customHeight="1">
      <c r="A39" s="91" t="s">
        <v>168</v>
      </c>
      <c r="B39" s="97">
        <v>50</v>
      </c>
      <c r="C39" s="93">
        <v>1</v>
      </c>
      <c r="D39" s="94"/>
    </row>
    <row r="40" spans="1:4" ht="12.75" customHeight="1">
      <c r="A40" s="91" t="s">
        <v>169</v>
      </c>
      <c r="B40" s="97">
        <v>80</v>
      </c>
      <c r="C40" s="93">
        <v>1</v>
      </c>
      <c r="D40" s="94"/>
    </row>
    <row r="41" spans="1:4" ht="12.75" customHeight="1">
      <c r="A41" s="91" t="s">
        <v>170</v>
      </c>
      <c r="B41" s="97">
        <v>90</v>
      </c>
      <c r="C41" s="93">
        <v>1</v>
      </c>
      <c r="D41" s="94"/>
    </row>
    <row r="42" spans="1:4" ht="12.75" customHeight="1">
      <c r="A42" s="91" t="s">
        <v>171</v>
      </c>
      <c r="B42" s="97">
        <v>100</v>
      </c>
      <c r="C42" s="93">
        <v>1</v>
      </c>
      <c r="D42" s="94"/>
    </row>
    <row r="43" spans="1:4" ht="15" customHeight="1">
      <c r="A43" s="91" t="s">
        <v>172</v>
      </c>
      <c r="B43" s="96">
        <v>50</v>
      </c>
      <c r="C43" s="93">
        <v>1</v>
      </c>
      <c r="D43" s="94"/>
    </row>
    <row r="44" spans="1:4" ht="15" customHeight="1">
      <c r="A44" s="91" t="s">
        <v>173</v>
      </c>
      <c r="B44" s="97">
        <v>50</v>
      </c>
      <c r="C44" s="93">
        <v>1</v>
      </c>
      <c r="D44" s="94"/>
    </row>
    <row r="45" spans="1:4" ht="12.75" customHeight="1">
      <c r="A45" s="91" t="s">
        <v>174</v>
      </c>
      <c r="B45" s="97">
        <v>80</v>
      </c>
      <c r="C45" s="93">
        <v>1</v>
      </c>
      <c r="D45" s="94"/>
    </row>
    <row r="46" spans="1:4" ht="12.75" customHeight="1">
      <c r="A46" s="91" t="s">
        <v>175</v>
      </c>
      <c r="B46" s="97">
        <v>90</v>
      </c>
      <c r="C46" s="93">
        <v>1</v>
      </c>
      <c r="D46" s="94"/>
    </row>
    <row r="47" spans="1:4" ht="12.75" customHeight="1">
      <c r="A47" s="91" t="s">
        <v>176</v>
      </c>
      <c r="B47" s="97">
        <v>100</v>
      </c>
      <c r="C47" s="93">
        <v>1</v>
      </c>
      <c r="D47" s="94"/>
    </row>
    <row r="48" spans="1:4" ht="12.75" customHeight="1">
      <c r="A48" s="91" t="s">
        <v>177</v>
      </c>
      <c r="B48" s="95">
        <v>250</v>
      </c>
      <c r="C48" s="182">
        <v>1</v>
      </c>
      <c r="D48" s="94"/>
    </row>
    <row r="49" spans="1:4" ht="12.75" customHeight="1">
      <c r="A49" s="91" t="s">
        <v>178</v>
      </c>
      <c r="B49" s="92">
        <v>349</v>
      </c>
      <c r="C49" s="93">
        <v>1</v>
      </c>
      <c r="D49" s="94"/>
    </row>
    <row r="50" spans="1:4" ht="12.75" customHeight="1">
      <c r="A50" s="91" t="s">
        <v>179</v>
      </c>
      <c r="B50" s="92">
        <v>246</v>
      </c>
      <c r="C50" s="93">
        <v>1</v>
      </c>
      <c r="D50" s="94"/>
    </row>
    <row r="51" spans="1:4" ht="12.75" customHeight="1">
      <c r="A51" s="91" t="s">
        <v>180</v>
      </c>
      <c r="B51" s="92">
        <v>436</v>
      </c>
      <c r="C51" s="93">
        <v>1</v>
      </c>
      <c r="D51" s="94"/>
    </row>
    <row r="52" spans="1:4" ht="12.75" customHeight="1">
      <c r="A52" s="91" t="s">
        <v>181</v>
      </c>
      <c r="B52" s="92">
        <v>491</v>
      </c>
      <c r="C52" s="93">
        <v>1</v>
      </c>
      <c r="D52" s="94"/>
    </row>
    <row r="53" spans="1:4" ht="12.75" customHeight="1">
      <c r="A53" s="91" t="s">
        <v>182</v>
      </c>
      <c r="B53" s="92">
        <v>488</v>
      </c>
      <c r="C53" s="93">
        <v>1</v>
      </c>
      <c r="D53" s="94"/>
    </row>
    <row r="54" spans="1:4" ht="12.75" customHeight="1">
      <c r="A54" s="91" t="s">
        <v>183</v>
      </c>
      <c r="B54" s="92">
        <v>589</v>
      </c>
      <c r="C54" s="93">
        <v>1</v>
      </c>
      <c r="D54" s="94"/>
    </row>
    <row r="55" spans="1:4" ht="12.75" customHeight="1">
      <c r="A55" s="91" t="s">
        <v>184</v>
      </c>
      <c r="B55" s="92">
        <v>685</v>
      </c>
      <c r="C55" s="93">
        <v>1</v>
      </c>
      <c r="D55" s="94"/>
    </row>
    <row r="56" spans="1:4" ht="12.75" customHeight="1">
      <c r="A56" s="91" t="s">
        <v>185</v>
      </c>
      <c r="B56" s="92">
        <v>430</v>
      </c>
      <c r="C56" s="93">
        <v>1</v>
      </c>
      <c r="D56" s="94"/>
    </row>
    <row r="57" spans="1:4" ht="12.75" customHeight="1">
      <c r="A57" s="91" t="s">
        <v>186</v>
      </c>
      <c r="B57" s="92">
        <v>476</v>
      </c>
      <c r="C57" s="93">
        <v>1</v>
      </c>
      <c r="D57" s="94"/>
    </row>
    <row r="58" spans="1:4" ht="12.75" customHeight="1">
      <c r="A58" s="91" t="s">
        <v>187</v>
      </c>
      <c r="B58" s="92">
        <v>306</v>
      </c>
      <c r="C58" s="93">
        <v>1</v>
      </c>
      <c r="D58" s="94"/>
    </row>
    <row r="59" spans="1:4" ht="12.75" customHeight="1">
      <c r="A59" s="91" t="s">
        <v>188</v>
      </c>
      <c r="B59" s="92">
        <v>200</v>
      </c>
      <c r="C59" s="93">
        <v>1</v>
      </c>
      <c r="D59" s="94"/>
    </row>
    <row r="60" spans="1:4" ht="12.75" customHeight="1">
      <c r="A60" s="91" t="s">
        <v>189</v>
      </c>
      <c r="B60" s="92">
        <v>17</v>
      </c>
      <c r="C60" s="93">
        <v>1</v>
      </c>
      <c r="D60" s="94"/>
    </row>
    <row r="61" spans="1:4" ht="12.75" customHeight="1">
      <c r="A61" s="91" t="s">
        <v>190</v>
      </c>
      <c r="B61" s="92">
        <v>80</v>
      </c>
      <c r="C61" s="93">
        <v>1</v>
      </c>
      <c r="D61" s="94"/>
    </row>
    <row r="62" spans="1:4" ht="12.75" customHeight="1">
      <c r="A62" s="91" t="s">
        <v>191</v>
      </c>
      <c r="B62" s="92">
        <v>4000</v>
      </c>
      <c r="C62" s="93">
        <v>1</v>
      </c>
      <c r="D62" s="94"/>
    </row>
    <row r="63" spans="1:4" ht="12.75" customHeight="1">
      <c r="A63" s="91" t="s">
        <v>192</v>
      </c>
      <c r="B63" s="92">
        <v>0.13</v>
      </c>
      <c r="C63" s="93">
        <v>1</v>
      </c>
      <c r="D63" s="94"/>
    </row>
    <row r="64" spans="1:4" ht="12.75" customHeight="1">
      <c r="A64" s="91" t="s">
        <v>193</v>
      </c>
      <c r="B64" s="92">
        <v>0.15</v>
      </c>
      <c r="C64" s="93">
        <v>1</v>
      </c>
      <c r="D64" s="94"/>
    </row>
    <row r="65" spans="1:4" ht="12.75" customHeight="1">
      <c r="A65" s="91" t="s">
        <v>194</v>
      </c>
      <c r="B65" s="92">
        <v>0.17</v>
      </c>
      <c r="C65" s="93">
        <v>1</v>
      </c>
      <c r="D65" s="94"/>
    </row>
    <row r="66" spans="1:4" ht="12.75" customHeight="1">
      <c r="A66" s="91" t="s">
        <v>195</v>
      </c>
      <c r="B66" s="92">
        <v>0.25</v>
      </c>
      <c r="C66" s="93">
        <v>1</v>
      </c>
      <c r="D66" s="94">
        <v>100</v>
      </c>
    </row>
    <row r="67" spans="1:4" ht="12.75" customHeight="1">
      <c r="A67" s="91" t="s">
        <v>196</v>
      </c>
      <c r="B67" s="92">
        <v>0.56999999999999995</v>
      </c>
      <c r="C67" s="93">
        <v>1</v>
      </c>
      <c r="D67" s="94">
        <v>140</v>
      </c>
    </row>
    <row r="68" spans="1:4" ht="12.75" customHeight="1">
      <c r="A68" s="91" t="s">
        <v>197</v>
      </c>
      <c r="B68" s="92">
        <v>284</v>
      </c>
      <c r="C68" s="93">
        <v>1</v>
      </c>
      <c r="D68" s="94"/>
    </row>
    <row r="69" spans="1:4" ht="12.75" customHeight="1">
      <c r="A69" s="91" t="s">
        <v>198</v>
      </c>
      <c r="B69" s="92">
        <v>491</v>
      </c>
      <c r="C69" s="93">
        <v>1</v>
      </c>
      <c r="D69" s="94"/>
    </row>
    <row r="70" spans="1:4" ht="12.75" customHeight="1">
      <c r="A70" s="91" t="s">
        <v>199</v>
      </c>
      <c r="B70" s="92">
        <v>0.1</v>
      </c>
      <c r="C70" s="93">
        <v>1</v>
      </c>
      <c r="D70" s="94">
        <v>140</v>
      </c>
    </row>
    <row r="71" spans="1:4" ht="12.75" customHeight="1">
      <c r="A71" s="91" t="s">
        <v>200</v>
      </c>
      <c r="B71" s="92">
        <v>0.36</v>
      </c>
      <c r="C71" s="93">
        <v>1</v>
      </c>
      <c r="D71" s="94">
        <v>140</v>
      </c>
    </row>
    <row r="72" spans="1:4" ht="12.75" customHeight="1">
      <c r="A72" s="91" t="s">
        <v>201</v>
      </c>
      <c r="B72" s="92">
        <v>928</v>
      </c>
      <c r="C72" s="93">
        <v>1</v>
      </c>
      <c r="D72" s="94"/>
    </row>
    <row r="73" spans="1:4" ht="12.75" customHeight="1">
      <c r="A73" s="91" t="s">
        <v>202</v>
      </c>
      <c r="B73" s="92">
        <v>1500</v>
      </c>
      <c r="C73" s="93">
        <v>1</v>
      </c>
      <c r="D73" s="94"/>
    </row>
    <row r="74" spans="1:4" ht="12.75" customHeight="1">
      <c r="A74" s="91" t="s">
        <v>203</v>
      </c>
      <c r="B74" s="92">
        <v>1000</v>
      </c>
      <c r="C74" s="93">
        <v>1</v>
      </c>
      <c r="D74" s="94"/>
    </row>
    <row r="75" spans="1:4" ht="12.75" customHeight="1">
      <c r="A75" s="91" t="s">
        <v>204</v>
      </c>
      <c r="B75" s="92">
        <v>1100</v>
      </c>
      <c r="C75" s="93">
        <v>1</v>
      </c>
      <c r="D75" s="94"/>
    </row>
    <row r="76" spans="1:4" ht="12.75" customHeight="1">
      <c r="A76" s="91" t="s">
        <v>205</v>
      </c>
      <c r="B76" s="92">
        <v>930</v>
      </c>
      <c r="C76" s="93">
        <v>1</v>
      </c>
      <c r="D76" s="94"/>
    </row>
    <row r="77" spans="1:4" ht="12.75" customHeight="1">
      <c r="A77" s="91" t="s">
        <v>206</v>
      </c>
      <c r="B77" s="92">
        <v>950</v>
      </c>
      <c r="C77" s="93">
        <v>1</v>
      </c>
      <c r="D77" s="94"/>
    </row>
    <row r="78" spans="1:4" ht="12.75" customHeight="1">
      <c r="A78" s="91" t="s">
        <v>207</v>
      </c>
      <c r="B78" s="92">
        <v>2000</v>
      </c>
      <c r="C78" s="93">
        <v>1</v>
      </c>
      <c r="D78" s="94"/>
    </row>
    <row r="79" spans="1:4" ht="12.75" customHeight="1">
      <c r="A79" s="91" t="s">
        <v>208</v>
      </c>
      <c r="B79" s="92">
        <v>500</v>
      </c>
      <c r="C79" s="93">
        <v>1</v>
      </c>
      <c r="D79" s="94"/>
    </row>
    <row r="80" spans="1:4" ht="12.75" customHeight="1">
      <c r="A80" s="91" t="s">
        <v>209</v>
      </c>
      <c r="B80" s="92">
        <v>400</v>
      </c>
      <c r="C80" s="93">
        <v>1</v>
      </c>
      <c r="D80" s="94"/>
    </row>
    <row r="81" spans="1:4" ht="12.75" customHeight="1">
      <c r="A81" s="91" t="s">
        <v>210</v>
      </c>
      <c r="B81" s="92">
        <v>0.5</v>
      </c>
      <c r="C81" s="93">
        <v>1</v>
      </c>
      <c r="D81" s="94"/>
    </row>
    <row r="82" spans="1:4" ht="12.75" customHeight="1">
      <c r="A82" s="91" t="s">
        <v>211</v>
      </c>
      <c r="B82" s="92">
        <v>0.25</v>
      </c>
      <c r="C82" s="93">
        <v>1</v>
      </c>
      <c r="D82" s="94">
        <v>150</v>
      </c>
    </row>
    <row r="83" spans="1:4" ht="12.75" customHeight="1">
      <c r="A83" s="91" t="s">
        <v>212</v>
      </c>
      <c r="B83" s="92">
        <v>0.51</v>
      </c>
      <c r="C83" s="93">
        <v>1</v>
      </c>
      <c r="D83" s="94">
        <v>150</v>
      </c>
    </row>
    <row r="84" spans="1:4" ht="12.75" customHeight="1">
      <c r="A84" s="91" t="s">
        <v>213</v>
      </c>
      <c r="B84" s="92">
        <v>300</v>
      </c>
      <c r="C84" s="93">
        <v>1</v>
      </c>
      <c r="D84" s="94"/>
    </row>
    <row r="85" spans="1:4" ht="12.75" customHeight="1">
      <c r="A85" s="91" t="s">
        <v>214</v>
      </c>
      <c r="B85" s="92">
        <v>105</v>
      </c>
      <c r="C85" s="93">
        <v>1</v>
      </c>
      <c r="D85" s="94"/>
    </row>
    <row r="86" spans="1:4" ht="12.75" customHeight="1">
      <c r="A86" s="91" t="s">
        <v>215</v>
      </c>
      <c r="B86" s="92">
        <v>105</v>
      </c>
      <c r="C86" s="93">
        <v>1</v>
      </c>
      <c r="D86" s="94"/>
    </row>
    <row r="87" spans="1:4" ht="12.75" customHeight="1">
      <c r="A87" s="91" t="s">
        <v>216</v>
      </c>
      <c r="B87" s="92">
        <v>100</v>
      </c>
      <c r="C87" s="93">
        <v>1</v>
      </c>
      <c r="D87" s="94"/>
    </row>
    <row r="88" spans="1:4" ht="12.75" customHeight="1">
      <c r="A88" s="91" t="s">
        <v>217</v>
      </c>
      <c r="B88" s="92">
        <v>200</v>
      </c>
      <c r="C88" s="93">
        <v>1</v>
      </c>
      <c r="D88" s="94"/>
    </row>
    <row r="89" spans="1:4" ht="12.75" customHeight="1">
      <c r="A89" s="91" t="s">
        <v>218</v>
      </c>
      <c r="B89" s="92">
        <v>100</v>
      </c>
      <c r="C89" s="93">
        <v>1</v>
      </c>
      <c r="D89" s="94"/>
    </row>
    <row r="90" spans="1:4" ht="12.75" customHeight="1">
      <c r="A90" s="91" t="s">
        <v>22</v>
      </c>
      <c r="B90" s="92">
        <v>0.66</v>
      </c>
      <c r="C90" s="93">
        <v>1</v>
      </c>
      <c r="D90" s="94">
        <v>140</v>
      </c>
    </row>
    <row r="91" spans="1:4" ht="12.75" customHeight="1">
      <c r="A91" s="91" t="s">
        <v>219</v>
      </c>
      <c r="B91" s="92">
        <v>1.46</v>
      </c>
      <c r="C91" s="93">
        <v>1</v>
      </c>
      <c r="D91" s="94">
        <v>140</v>
      </c>
    </row>
    <row r="92" spans="1:4" ht="12.75" customHeight="1">
      <c r="A92" s="91" t="s">
        <v>220</v>
      </c>
      <c r="B92" s="92">
        <v>115</v>
      </c>
      <c r="C92" s="93">
        <v>1</v>
      </c>
      <c r="D92" s="94"/>
    </row>
    <row r="93" spans="1:4" ht="12.75" customHeight="1">
      <c r="A93" s="91" t="s">
        <v>221</v>
      </c>
      <c r="B93" s="92">
        <v>108</v>
      </c>
      <c r="C93" s="93">
        <v>1</v>
      </c>
      <c r="D93" s="94"/>
    </row>
    <row r="94" spans="1:4" ht="12.75" customHeight="1">
      <c r="A94" s="91" t="s">
        <v>222</v>
      </c>
      <c r="B94" s="92">
        <v>290</v>
      </c>
      <c r="C94" s="93">
        <v>1</v>
      </c>
      <c r="D94" s="94"/>
    </row>
    <row r="95" spans="1:4" ht="12.75" customHeight="1">
      <c r="A95" s="91" t="s">
        <v>223</v>
      </c>
      <c r="B95" s="92">
        <v>115</v>
      </c>
      <c r="C95" s="93">
        <v>1</v>
      </c>
      <c r="D95" s="94"/>
    </row>
    <row r="96" spans="1:4" ht="12.75" customHeight="1">
      <c r="A96" s="91" t="s">
        <v>224</v>
      </c>
      <c r="B96" s="92">
        <v>290</v>
      </c>
      <c r="C96" s="93">
        <v>1</v>
      </c>
      <c r="D96" s="94"/>
    </row>
    <row r="97" spans="1:4" ht="12.75" customHeight="1">
      <c r="A97" s="91" t="s">
        <v>225</v>
      </c>
      <c r="B97" s="92">
        <v>65</v>
      </c>
      <c r="C97" s="93">
        <v>1</v>
      </c>
      <c r="D97" s="94"/>
    </row>
    <row r="98" spans="1:4" ht="12.75" customHeight="1">
      <c r="A98" s="91" t="s">
        <v>226</v>
      </c>
      <c r="B98" s="92">
        <v>7</v>
      </c>
      <c r="C98" s="93">
        <v>1</v>
      </c>
      <c r="D98" s="94"/>
    </row>
    <row r="99" spans="1:4" ht="12.75" customHeight="1">
      <c r="A99" s="91" t="s">
        <v>227</v>
      </c>
      <c r="B99" s="92">
        <v>8</v>
      </c>
      <c r="C99" s="93">
        <v>1</v>
      </c>
      <c r="D99" s="94"/>
    </row>
    <row r="100" spans="1:4" ht="12.75" customHeight="1">
      <c r="A100" s="91" t="s">
        <v>228</v>
      </c>
      <c r="B100" s="92">
        <v>3.6</v>
      </c>
      <c r="C100" s="93">
        <v>1</v>
      </c>
      <c r="D100" s="94">
        <v>81</v>
      </c>
    </row>
    <row r="101" spans="1:4" ht="12.75" customHeight="1">
      <c r="A101" s="91" t="s">
        <v>229</v>
      </c>
      <c r="B101" s="92">
        <v>1.07</v>
      </c>
      <c r="C101" s="93">
        <v>1</v>
      </c>
      <c r="D101" s="94">
        <v>100</v>
      </c>
    </row>
    <row r="102" spans="1:4" ht="12.75" customHeight="1">
      <c r="A102" s="91" t="s">
        <v>230</v>
      </c>
      <c r="B102" s="92">
        <v>1.1399999999999999</v>
      </c>
      <c r="C102" s="93">
        <v>1</v>
      </c>
      <c r="D102" s="94">
        <v>100</v>
      </c>
    </row>
    <row r="103" spans="1:4" ht="12.75" customHeight="1">
      <c r="A103" s="91" t="s">
        <v>231</v>
      </c>
      <c r="B103" s="92">
        <v>0.64</v>
      </c>
      <c r="C103" s="93">
        <v>1</v>
      </c>
      <c r="D103" s="94">
        <v>100</v>
      </c>
    </row>
    <row r="104" spans="1:4" ht="12.75" customHeight="1">
      <c r="A104" s="91" t="s">
        <v>232</v>
      </c>
      <c r="B104" s="95">
        <v>7</v>
      </c>
      <c r="C104" s="93">
        <v>1</v>
      </c>
      <c r="D104" s="94"/>
    </row>
    <row r="105" spans="1:4" ht="12.75" customHeight="1">
      <c r="A105" s="91" t="s">
        <v>233</v>
      </c>
      <c r="B105" s="95">
        <v>8</v>
      </c>
      <c r="C105" s="93">
        <v>1</v>
      </c>
      <c r="D105" s="94"/>
    </row>
    <row r="106" spans="1:4" ht="12.75" customHeight="1">
      <c r="A106" s="91" t="s">
        <v>234</v>
      </c>
      <c r="B106" s="95">
        <v>3.5</v>
      </c>
      <c r="C106" s="93">
        <v>1</v>
      </c>
      <c r="D106" s="94"/>
    </row>
    <row r="107" spans="1:4" ht="12.75" customHeight="1">
      <c r="A107" s="91" t="s">
        <v>235</v>
      </c>
      <c r="B107" s="95">
        <v>3.6</v>
      </c>
      <c r="C107" s="93">
        <v>1</v>
      </c>
      <c r="D107" s="94"/>
    </row>
    <row r="108" spans="1:4" ht="12.75" customHeight="1">
      <c r="A108" s="91" t="s">
        <v>236</v>
      </c>
      <c r="B108" s="92">
        <v>300</v>
      </c>
      <c r="C108" s="93">
        <v>1</v>
      </c>
      <c r="D108" s="94"/>
    </row>
    <row r="109" spans="1:4" ht="12.75" customHeight="1">
      <c r="A109" s="91" t="s">
        <v>237</v>
      </c>
      <c r="B109" s="92">
        <v>0.42</v>
      </c>
      <c r="C109" s="93">
        <v>1</v>
      </c>
      <c r="D109" s="94">
        <v>140</v>
      </c>
    </row>
    <row r="110" spans="1:4" ht="12.75" customHeight="1">
      <c r="A110" s="91" t="s">
        <v>238</v>
      </c>
      <c r="B110" s="92">
        <v>3900</v>
      </c>
      <c r="C110" s="93">
        <v>1</v>
      </c>
      <c r="D110" s="94"/>
    </row>
    <row r="111" spans="1:4" ht="12.75" customHeight="1">
      <c r="A111" s="91" t="s">
        <v>239</v>
      </c>
      <c r="B111" s="92">
        <v>70</v>
      </c>
      <c r="C111" s="93">
        <v>1</v>
      </c>
      <c r="D111" s="94"/>
    </row>
    <row r="112" spans="1:4" ht="12.75" customHeight="1">
      <c r="A112" s="91" t="s">
        <v>240</v>
      </c>
      <c r="B112" s="92">
        <v>40</v>
      </c>
      <c r="C112" s="93">
        <v>1</v>
      </c>
      <c r="D112" s="94"/>
    </row>
    <row r="113" spans="1:4" ht="12.75" customHeight="1">
      <c r="A113" s="91" t="s">
        <v>241</v>
      </c>
      <c r="B113" s="92">
        <v>30</v>
      </c>
      <c r="C113" s="93">
        <v>1</v>
      </c>
      <c r="D113" s="94"/>
    </row>
    <row r="114" spans="1:4" ht="12.75" customHeight="1">
      <c r="A114" s="91" t="s">
        <v>242</v>
      </c>
      <c r="B114" s="92">
        <v>12</v>
      </c>
      <c r="C114" s="93">
        <v>1</v>
      </c>
      <c r="D114" s="94"/>
    </row>
    <row r="115" spans="1:4" ht="12.75" customHeight="1">
      <c r="A115" s="91" t="s">
        <v>243</v>
      </c>
      <c r="B115" s="92">
        <v>10</v>
      </c>
      <c r="C115" s="93">
        <v>1</v>
      </c>
      <c r="D115" s="94"/>
    </row>
    <row r="116" spans="1:4" ht="12.75" customHeight="1">
      <c r="A116" s="91" t="s">
        <v>244</v>
      </c>
      <c r="B116" s="92">
        <v>8</v>
      </c>
      <c r="C116" s="93">
        <v>1</v>
      </c>
      <c r="D116" s="94"/>
    </row>
    <row r="117" spans="1:4" ht="12.75" customHeight="1">
      <c r="A117" s="91" t="s">
        <v>245</v>
      </c>
      <c r="B117" s="92">
        <v>25</v>
      </c>
      <c r="C117" s="93">
        <v>1</v>
      </c>
      <c r="D117" s="94"/>
    </row>
    <row r="118" spans="1:4" ht="12.75" customHeight="1">
      <c r="A118" s="91" t="s">
        <v>246</v>
      </c>
      <c r="B118" s="92">
        <v>12</v>
      </c>
      <c r="C118" s="93">
        <v>1</v>
      </c>
      <c r="D118" s="94"/>
    </row>
    <row r="119" spans="1:4" ht="12.75" customHeight="1">
      <c r="A119" s="91" t="s">
        <v>247</v>
      </c>
      <c r="B119" s="92">
        <v>10</v>
      </c>
      <c r="C119" s="93">
        <v>1</v>
      </c>
      <c r="D119" s="94"/>
    </row>
    <row r="120" spans="1:4" ht="12.75" customHeight="1">
      <c r="A120" s="91" t="s">
        <v>248</v>
      </c>
      <c r="B120" s="92">
        <v>8</v>
      </c>
      <c r="C120" s="93">
        <v>1</v>
      </c>
      <c r="D120" s="94"/>
    </row>
    <row r="121" spans="1:4" ht="12.75" customHeight="1">
      <c r="A121" s="91" t="s">
        <v>249</v>
      </c>
      <c r="B121" s="92">
        <v>7</v>
      </c>
      <c r="C121" s="93">
        <v>1</v>
      </c>
      <c r="D121" s="94"/>
    </row>
    <row r="122" spans="1:4" ht="12.75" customHeight="1">
      <c r="A122" s="91" t="s">
        <v>250</v>
      </c>
      <c r="B122" s="92">
        <v>0.15</v>
      </c>
      <c r="C122" s="93">
        <v>1</v>
      </c>
      <c r="D122" s="94">
        <v>100</v>
      </c>
    </row>
    <row r="123" spans="1:4" ht="12.75" customHeight="1">
      <c r="A123" s="91" t="s">
        <v>251</v>
      </c>
      <c r="B123" s="92">
        <v>0.5</v>
      </c>
      <c r="C123" s="93">
        <v>1</v>
      </c>
      <c r="D123" s="94">
        <v>140</v>
      </c>
    </row>
    <row r="124" spans="1:4" ht="12.75" customHeight="1">
      <c r="A124" s="91" t="s">
        <v>252</v>
      </c>
      <c r="B124" s="92">
        <v>0.12</v>
      </c>
      <c r="C124" s="93">
        <v>1</v>
      </c>
      <c r="D124" s="94">
        <v>140</v>
      </c>
    </row>
    <row r="125" spans="1:4" ht="12.75" customHeight="1">
      <c r="A125" s="91" t="s">
        <v>253</v>
      </c>
      <c r="B125" s="92">
        <v>0.17</v>
      </c>
      <c r="C125" s="93">
        <v>1</v>
      </c>
      <c r="D125" s="94">
        <v>140</v>
      </c>
    </row>
    <row r="126" spans="1:4" ht="12.75" customHeight="1">
      <c r="A126" s="91" t="s">
        <v>254</v>
      </c>
      <c r="B126" s="92">
        <v>0.64</v>
      </c>
      <c r="C126" s="93">
        <v>1</v>
      </c>
      <c r="D126" s="94">
        <v>140</v>
      </c>
    </row>
    <row r="127" spans="1:4" ht="12.75" customHeight="1">
      <c r="A127" s="91" t="s">
        <v>255</v>
      </c>
      <c r="B127" s="92">
        <v>0.1</v>
      </c>
      <c r="C127" s="93">
        <v>1</v>
      </c>
      <c r="D127" s="94">
        <v>100</v>
      </c>
    </row>
    <row r="128" spans="1:4" ht="12.75" customHeight="1">
      <c r="A128" s="91" t="s">
        <v>256</v>
      </c>
      <c r="B128" s="92">
        <v>0.1</v>
      </c>
      <c r="C128" s="93">
        <v>1</v>
      </c>
      <c r="D128" s="94">
        <v>100</v>
      </c>
    </row>
    <row r="129" spans="1:4" ht="12.75" customHeight="1">
      <c r="A129" s="91" t="s">
        <v>257</v>
      </c>
      <c r="B129" s="92">
        <v>3500</v>
      </c>
      <c r="C129" s="93">
        <v>1</v>
      </c>
      <c r="D129" s="94"/>
    </row>
    <row r="130" spans="1:4" ht="12.75" customHeight="1">
      <c r="A130" s="91" t="s">
        <v>258</v>
      </c>
      <c r="B130" s="92">
        <v>4000</v>
      </c>
      <c r="C130" s="93">
        <v>1</v>
      </c>
      <c r="D130" s="94"/>
    </row>
    <row r="131" spans="1:4" ht="12.75" customHeight="1">
      <c r="A131" s="91" t="s">
        <v>259</v>
      </c>
      <c r="B131" s="92">
        <v>6500</v>
      </c>
      <c r="C131" s="93">
        <v>1</v>
      </c>
      <c r="D131" s="94"/>
    </row>
    <row r="132" spans="1:4" ht="12.75" customHeight="1">
      <c r="A132" s="91" t="s">
        <v>260</v>
      </c>
      <c r="B132" s="92">
        <v>4000</v>
      </c>
      <c r="C132" s="93">
        <v>1</v>
      </c>
      <c r="D132" s="94"/>
    </row>
    <row r="133" spans="1:4" ht="12.75" customHeight="1">
      <c r="A133" s="91" t="s">
        <v>261</v>
      </c>
      <c r="B133" s="92">
        <v>6000</v>
      </c>
      <c r="C133" s="93">
        <v>1</v>
      </c>
      <c r="D133" s="94"/>
    </row>
    <row r="134" spans="1:4" ht="12.75" customHeight="1">
      <c r="A134" s="91" t="s">
        <v>262</v>
      </c>
      <c r="B134" s="92">
        <v>1000</v>
      </c>
      <c r="C134" s="93">
        <v>1</v>
      </c>
      <c r="D134" s="94"/>
    </row>
    <row r="135" spans="1:4" ht="12.75" customHeight="1">
      <c r="A135" s="91" t="s">
        <v>263</v>
      </c>
      <c r="B135" s="92">
        <v>6500</v>
      </c>
      <c r="C135" s="93">
        <v>1</v>
      </c>
      <c r="D135" s="94"/>
    </row>
    <row r="136" spans="1:4" ht="12.75" customHeight="1">
      <c r="A136" s="91" t="s">
        <v>264</v>
      </c>
      <c r="B136" s="92">
        <v>2000</v>
      </c>
      <c r="C136" s="93">
        <v>1</v>
      </c>
      <c r="D136" s="94"/>
    </row>
    <row r="137" spans="1:4" ht="12.75" customHeight="1">
      <c r="A137" s="91" t="s">
        <v>265</v>
      </c>
      <c r="B137" s="92">
        <v>310</v>
      </c>
      <c r="C137" s="93">
        <v>1</v>
      </c>
      <c r="D137" s="94"/>
    </row>
    <row r="138" spans="1:4" ht="12.75" customHeight="1">
      <c r="A138" s="91" t="s">
        <v>266</v>
      </c>
      <c r="B138" s="92">
        <v>80</v>
      </c>
      <c r="C138" s="93">
        <v>1</v>
      </c>
      <c r="D138" s="94"/>
    </row>
    <row r="139" spans="1:4" ht="12.75" customHeight="1">
      <c r="A139" s="91" t="s">
        <v>267</v>
      </c>
      <c r="B139" s="92">
        <v>100</v>
      </c>
      <c r="C139" s="93">
        <v>1</v>
      </c>
      <c r="D139" s="94"/>
    </row>
    <row r="140" spans="1:4" ht="12.75" customHeight="1">
      <c r="A140" s="91" t="s">
        <v>268</v>
      </c>
      <c r="B140" s="92">
        <v>52</v>
      </c>
      <c r="C140" s="93">
        <v>1</v>
      </c>
      <c r="D140" s="94"/>
    </row>
    <row r="141" spans="1:4" ht="12.75" customHeight="1">
      <c r="A141" s="91" t="s">
        <v>269</v>
      </c>
      <c r="B141" s="92">
        <v>100</v>
      </c>
      <c r="C141" s="93">
        <v>1</v>
      </c>
      <c r="D141" s="94"/>
    </row>
    <row r="142" spans="1:4" ht="12.75" customHeight="1">
      <c r="A142" s="91" t="s">
        <v>270</v>
      </c>
      <c r="B142" s="92">
        <v>0.5</v>
      </c>
      <c r="C142" s="93">
        <v>1</v>
      </c>
      <c r="D142" s="94"/>
    </row>
    <row r="143" spans="1:4" ht="12.75" customHeight="1">
      <c r="A143" s="91" t="s">
        <v>271</v>
      </c>
      <c r="B143" s="96">
        <v>0.25</v>
      </c>
      <c r="C143" s="93">
        <v>1</v>
      </c>
      <c r="D143" s="94">
        <v>100</v>
      </c>
    </row>
    <row r="144" spans="1:4" ht="12.75" customHeight="1">
      <c r="A144" s="91" t="s">
        <v>272</v>
      </c>
      <c r="B144" s="96">
        <v>0.3</v>
      </c>
      <c r="C144" s="93">
        <v>1</v>
      </c>
      <c r="D144" s="94">
        <v>100</v>
      </c>
    </row>
    <row r="145" spans="1:4" ht="12.75" customHeight="1">
      <c r="A145" s="91" t="s">
        <v>273</v>
      </c>
      <c r="B145" s="92">
        <v>52</v>
      </c>
      <c r="C145" s="93">
        <v>1</v>
      </c>
      <c r="D145" s="94"/>
    </row>
    <row r="146" spans="1:4" ht="12.75" customHeight="1">
      <c r="A146" s="91">
        <v>0</v>
      </c>
      <c r="B146" s="96">
        <v>0</v>
      </c>
      <c r="C146" s="93">
        <v>0</v>
      </c>
      <c r="D146" s="94"/>
    </row>
    <row r="147" spans="1:4" ht="12.75" customHeight="1">
      <c r="A147" s="91">
        <v>0</v>
      </c>
      <c r="B147" s="91">
        <v>0</v>
      </c>
      <c r="C147" s="98">
        <v>0</v>
      </c>
      <c r="D147" s="94"/>
    </row>
    <row r="148" spans="1:4" ht="12.75" customHeight="1">
      <c r="A148" s="119"/>
      <c r="B148" s="183"/>
      <c r="C148" s="184"/>
      <c r="D148" s="1"/>
    </row>
    <row r="149" spans="1:4" ht="12.75" customHeight="1">
      <c r="A149" s="119"/>
      <c r="B149" s="183"/>
      <c r="C149" s="184"/>
      <c r="D149" s="1"/>
    </row>
    <row r="150" spans="1:4" ht="12.75" customHeight="1">
      <c r="A150" s="119"/>
      <c r="B150" s="183"/>
      <c r="C150" s="184"/>
      <c r="D150" s="1"/>
    </row>
    <row r="151" spans="1:4" ht="12.75" customHeight="1">
      <c r="A151" s="119"/>
      <c r="B151" s="183"/>
      <c r="C151" s="184"/>
      <c r="D151" s="1"/>
    </row>
    <row r="152" spans="1:4" ht="12.75" customHeight="1">
      <c r="A152" s="119"/>
      <c r="B152" s="183"/>
      <c r="C152" s="184"/>
      <c r="D152" s="1"/>
    </row>
    <row r="153" spans="1:4" ht="12.75" customHeight="1">
      <c r="A153" s="119"/>
      <c r="B153" s="183"/>
      <c r="C153" s="184"/>
      <c r="D153" s="1"/>
    </row>
    <row r="154" spans="1:4" ht="12.75" customHeight="1">
      <c r="A154" s="119"/>
      <c r="B154" s="183"/>
      <c r="C154" s="184"/>
      <c r="D154" s="1"/>
    </row>
    <row r="155" spans="1:4" ht="12.75" customHeight="1">
      <c r="A155" s="119"/>
      <c r="B155" s="183"/>
      <c r="C155" s="184"/>
      <c r="D155" s="1"/>
    </row>
    <row r="156" spans="1:4" ht="12.75" customHeight="1">
      <c r="A156" s="119"/>
      <c r="B156" s="183"/>
      <c r="C156" s="184"/>
      <c r="D156" s="1"/>
    </row>
    <row r="157" spans="1:4" ht="12.75" customHeight="1">
      <c r="A157" s="119"/>
      <c r="B157" s="183"/>
      <c r="C157" s="184"/>
      <c r="D157" s="1"/>
    </row>
    <row r="158" spans="1:4" ht="12.75" customHeight="1">
      <c r="A158" s="119"/>
      <c r="B158" s="183"/>
      <c r="C158" s="184"/>
      <c r="D158" s="1"/>
    </row>
    <row r="159" spans="1:4" ht="12.75" customHeight="1">
      <c r="A159" s="119"/>
      <c r="B159" s="183"/>
      <c r="C159" s="184"/>
      <c r="D159" s="1"/>
    </row>
    <row r="160" spans="1:4" ht="12.75" customHeight="1">
      <c r="A160" s="119"/>
      <c r="B160" s="183"/>
      <c r="C160" s="184"/>
      <c r="D160" s="1"/>
    </row>
    <row r="161" spans="1:4" ht="12.75" customHeight="1">
      <c r="A161" s="119"/>
      <c r="B161" s="183"/>
      <c r="C161" s="184"/>
      <c r="D161" s="1"/>
    </row>
    <row r="162" spans="1:4" ht="12.75" customHeight="1">
      <c r="A162" s="119"/>
      <c r="B162" s="183"/>
      <c r="C162" s="184"/>
      <c r="D162" s="1"/>
    </row>
    <row r="163" spans="1:4" ht="12.75" customHeight="1">
      <c r="A163" s="119"/>
      <c r="B163" s="183"/>
      <c r="C163" s="184"/>
      <c r="D163" s="1"/>
    </row>
    <row r="164" spans="1:4" ht="12.75" customHeight="1">
      <c r="A164" s="119"/>
      <c r="B164" s="183"/>
      <c r="C164" s="184"/>
      <c r="D164" s="1"/>
    </row>
    <row r="165" spans="1:4" ht="12.75" customHeight="1">
      <c r="A165" s="119"/>
      <c r="B165" s="183"/>
      <c r="C165" s="184"/>
      <c r="D165" s="1"/>
    </row>
    <row r="166" spans="1:4" ht="12.75" customHeight="1">
      <c r="A166" s="119"/>
      <c r="B166" s="183"/>
      <c r="C166" s="184"/>
      <c r="D166" s="1"/>
    </row>
    <row r="167" spans="1:4" ht="12.75" customHeight="1">
      <c r="A167" s="119"/>
      <c r="B167" s="183"/>
      <c r="C167" s="184"/>
      <c r="D167" s="1"/>
    </row>
    <row r="168" spans="1:4" ht="12.75" customHeight="1">
      <c r="A168" s="119"/>
      <c r="B168" s="183"/>
      <c r="C168" s="184"/>
      <c r="D168" s="1"/>
    </row>
    <row r="169" spans="1:4" ht="12.75" customHeight="1">
      <c r="A169" s="119"/>
      <c r="B169" s="183"/>
      <c r="C169" s="184"/>
      <c r="D169" s="1"/>
    </row>
    <row r="170" spans="1:4" ht="12.75" customHeight="1">
      <c r="A170" s="119"/>
      <c r="B170" s="183"/>
      <c r="C170" s="184"/>
      <c r="D170" s="1"/>
    </row>
    <row r="171" spans="1:4" ht="12.75" customHeight="1">
      <c r="A171" s="119"/>
      <c r="B171" s="183"/>
      <c r="C171" s="184"/>
      <c r="D171" s="1"/>
    </row>
    <row r="172" spans="1:4" ht="12.75" customHeight="1">
      <c r="A172" s="119"/>
      <c r="B172" s="183"/>
      <c r="C172" s="184"/>
      <c r="D172" s="1"/>
    </row>
    <row r="173" spans="1:4" ht="12.75" customHeight="1">
      <c r="A173" s="119"/>
      <c r="B173" s="183"/>
      <c r="C173" s="184"/>
      <c r="D173" s="1"/>
    </row>
    <row r="174" spans="1:4" ht="12.75" customHeight="1">
      <c r="A174" s="119"/>
      <c r="B174" s="183"/>
      <c r="C174" s="184"/>
      <c r="D174" s="1"/>
    </row>
    <row r="175" spans="1:4" ht="12.75" customHeight="1">
      <c r="A175" s="119"/>
      <c r="B175" s="183"/>
      <c r="C175" s="184"/>
      <c r="D175" s="1"/>
    </row>
    <row r="176" spans="1:4" ht="12.75" customHeight="1">
      <c r="A176" s="119"/>
      <c r="B176" s="183"/>
      <c r="C176" s="184"/>
      <c r="D176" s="1"/>
    </row>
    <row r="177" spans="1:4" ht="12.75" customHeight="1">
      <c r="A177" s="119"/>
      <c r="B177" s="183"/>
      <c r="C177" s="184"/>
      <c r="D177" s="1"/>
    </row>
    <row r="178" spans="1:4" ht="12.75" customHeight="1">
      <c r="A178" s="119"/>
      <c r="B178" s="183"/>
      <c r="C178" s="184"/>
      <c r="D178" s="1"/>
    </row>
    <row r="179" spans="1:4" ht="12.75" customHeight="1">
      <c r="A179" s="119"/>
      <c r="B179" s="183"/>
      <c r="C179" s="184"/>
      <c r="D179" s="1"/>
    </row>
    <row r="180" spans="1:4" ht="12.75" customHeight="1">
      <c r="A180" s="119"/>
      <c r="B180" s="183"/>
      <c r="C180" s="184"/>
      <c r="D180" s="1"/>
    </row>
    <row r="181" spans="1:4" ht="12.75" customHeight="1">
      <c r="A181" s="119"/>
      <c r="B181" s="183"/>
      <c r="C181" s="184"/>
      <c r="D181" s="1"/>
    </row>
    <row r="182" spans="1:4" ht="12.75" customHeight="1">
      <c r="A182" s="119"/>
      <c r="B182" s="183"/>
      <c r="C182" s="184"/>
      <c r="D182" s="1"/>
    </row>
    <row r="183" spans="1:4" ht="12.75" customHeight="1">
      <c r="A183" s="119"/>
      <c r="B183" s="183"/>
      <c r="C183" s="184"/>
      <c r="D183" s="1"/>
    </row>
    <row r="184" spans="1:4" ht="12.75" customHeight="1">
      <c r="A184" s="119"/>
      <c r="B184" s="183"/>
      <c r="C184" s="184"/>
      <c r="D184" s="1"/>
    </row>
    <row r="185" spans="1:4" ht="12.75" customHeight="1">
      <c r="A185" s="119"/>
      <c r="B185" s="183"/>
      <c r="C185" s="184"/>
      <c r="D185" s="1"/>
    </row>
    <row r="186" spans="1:4" ht="12.75" customHeight="1">
      <c r="A186" s="119"/>
      <c r="B186" s="183"/>
      <c r="C186" s="184"/>
      <c r="D186" s="1"/>
    </row>
    <row r="187" spans="1:4" ht="12.75" customHeight="1">
      <c r="A187" s="119"/>
      <c r="B187" s="183"/>
      <c r="C187" s="184"/>
      <c r="D187" s="1"/>
    </row>
    <row r="188" spans="1:4" ht="12.75" customHeight="1">
      <c r="A188" s="119"/>
      <c r="B188" s="183"/>
      <c r="C188" s="184"/>
      <c r="D188" s="1"/>
    </row>
    <row r="189" spans="1:4" ht="12.75" customHeight="1">
      <c r="A189" s="119"/>
      <c r="B189" s="183"/>
      <c r="C189" s="184"/>
      <c r="D189" s="1"/>
    </row>
    <row r="190" spans="1:4" ht="12.75" customHeight="1">
      <c r="A190" s="119"/>
      <c r="B190" s="183"/>
      <c r="C190" s="184"/>
      <c r="D190" s="1"/>
    </row>
    <row r="191" spans="1:4" ht="12.75" customHeight="1">
      <c r="A191" s="119"/>
      <c r="B191" s="183"/>
      <c r="C191" s="184"/>
      <c r="D191" s="1"/>
    </row>
    <row r="192" spans="1:4" ht="12.75" customHeight="1">
      <c r="A192" s="119"/>
      <c r="B192" s="183"/>
      <c r="C192" s="184"/>
      <c r="D192" s="1"/>
    </row>
    <row r="193" spans="1:4" ht="12.75" customHeight="1">
      <c r="A193" s="119"/>
      <c r="B193" s="183"/>
      <c r="C193" s="184"/>
      <c r="D193" s="1"/>
    </row>
    <row r="194" spans="1:4" ht="12.75" customHeight="1">
      <c r="A194" s="119"/>
      <c r="B194" s="183"/>
      <c r="C194" s="184"/>
      <c r="D194" s="1"/>
    </row>
    <row r="195" spans="1:4" ht="12.75" customHeight="1">
      <c r="A195" s="119"/>
      <c r="B195" s="183"/>
      <c r="C195" s="184"/>
      <c r="D195" s="1"/>
    </row>
    <row r="196" spans="1:4" ht="12.75" customHeight="1">
      <c r="A196" s="119"/>
      <c r="B196" s="183"/>
      <c r="C196" s="184"/>
      <c r="D196" s="1"/>
    </row>
    <row r="197" spans="1:4" ht="12.75" customHeight="1">
      <c r="A197" s="119"/>
      <c r="B197" s="183"/>
      <c r="C197" s="184"/>
      <c r="D197" s="1"/>
    </row>
    <row r="198" spans="1:4" ht="12.75" customHeight="1">
      <c r="A198" s="119"/>
      <c r="B198" s="183"/>
      <c r="C198" s="184"/>
      <c r="D198" s="1"/>
    </row>
    <row r="199" spans="1:4" ht="12.75" customHeight="1">
      <c r="A199" s="119"/>
      <c r="B199" s="183"/>
      <c r="C199" s="184"/>
      <c r="D199" s="1"/>
    </row>
    <row r="200" spans="1:4" ht="12.75" customHeight="1">
      <c r="A200" s="119"/>
      <c r="B200" s="183"/>
      <c r="C200" s="184"/>
      <c r="D200" s="1"/>
    </row>
    <row r="201" spans="1:4" ht="12.75" customHeight="1">
      <c r="A201" s="119"/>
      <c r="B201" s="183"/>
      <c r="C201" s="184"/>
      <c r="D201" s="1"/>
    </row>
    <row r="202" spans="1:4" ht="12.75" customHeight="1">
      <c r="A202" s="119"/>
      <c r="B202" s="183"/>
      <c r="C202" s="184"/>
      <c r="D202" s="1"/>
    </row>
    <row r="203" spans="1:4" ht="12.75" customHeight="1">
      <c r="A203" s="119"/>
      <c r="B203" s="183"/>
      <c r="C203" s="184"/>
      <c r="D203" s="1"/>
    </row>
    <row r="204" spans="1:4" ht="12.75" customHeight="1">
      <c r="A204" s="119"/>
      <c r="B204" s="183"/>
      <c r="C204" s="184"/>
      <c r="D204" s="1"/>
    </row>
    <row r="205" spans="1:4" ht="12.75" customHeight="1">
      <c r="A205" s="119"/>
      <c r="B205" s="183"/>
      <c r="C205" s="184"/>
      <c r="D205" s="1"/>
    </row>
    <row r="206" spans="1:4" ht="12.75" customHeight="1">
      <c r="A206" s="119"/>
      <c r="B206" s="183"/>
      <c r="C206" s="184"/>
      <c r="D206" s="1"/>
    </row>
    <row r="207" spans="1:4" ht="12.75" customHeight="1">
      <c r="A207" s="119"/>
      <c r="B207" s="183"/>
      <c r="C207" s="184"/>
      <c r="D207" s="1"/>
    </row>
    <row r="208" spans="1:4" ht="12.75" customHeight="1">
      <c r="A208" s="119"/>
      <c r="B208" s="183"/>
      <c r="C208" s="184"/>
      <c r="D208" s="1"/>
    </row>
    <row r="209" spans="1:4" ht="12.75" customHeight="1">
      <c r="A209" s="119"/>
      <c r="B209" s="183"/>
      <c r="C209" s="184"/>
      <c r="D209" s="1"/>
    </row>
    <row r="210" spans="1:4" ht="12.75" customHeight="1">
      <c r="A210" s="119"/>
      <c r="B210" s="183"/>
      <c r="C210" s="184"/>
      <c r="D210" s="1"/>
    </row>
    <row r="211" spans="1:4" ht="12.75" customHeight="1">
      <c r="A211" s="119"/>
      <c r="B211" s="183"/>
      <c r="C211" s="184"/>
      <c r="D211" s="1"/>
    </row>
    <row r="212" spans="1:4" ht="12.75" customHeight="1">
      <c r="A212" s="119"/>
      <c r="B212" s="183"/>
      <c r="C212" s="184"/>
      <c r="D212" s="1"/>
    </row>
    <row r="213" spans="1:4" ht="12.75" customHeight="1">
      <c r="A213" s="119"/>
      <c r="B213" s="183"/>
      <c r="C213" s="184"/>
      <c r="D213" s="1"/>
    </row>
    <row r="214" spans="1:4" ht="12.75" customHeight="1">
      <c r="A214" s="119"/>
      <c r="B214" s="183"/>
      <c r="C214" s="184"/>
      <c r="D214" s="1"/>
    </row>
    <row r="215" spans="1:4" ht="12.75" customHeight="1">
      <c r="A215" s="119"/>
      <c r="B215" s="183"/>
      <c r="C215" s="184"/>
      <c r="D215" s="1"/>
    </row>
    <row r="216" spans="1:4" ht="12.75" customHeight="1">
      <c r="A216" s="119"/>
      <c r="B216" s="183"/>
      <c r="C216" s="184"/>
      <c r="D216" s="1"/>
    </row>
    <row r="217" spans="1:4" ht="12.75" customHeight="1">
      <c r="A217" s="119"/>
      <c r="B217" s="183"/>
      <c r="C217" s="184"/>
      <c r="D217" s="1"/>
    </row>
    <row r="218" spans="1:4" ht="12.75" customHeight="1">
      <c r="A218" s="119"/>
      <c r="B218" s="183"/>
      <c r="C218" s="184"/>
      <c r="D218" s="1"/>
    </row>
    <row r="219" spans="1:4" ht="12.75" customHeight="1">
      <c r="A219" s="119"/>
      <c r="B219" s="183"/>
      <c r="C219" s="184"/>
      <c r="D219" s="1"/>
    </row>
    <row r="220" spans="1:4" ht="12.75" customHeight="1">
      <c r="A220" s="119"/>
      <c r="B220" s="183"/>
      <c r="C220" s="184"/>
      <c r="D220" s="1"/>
    </row>
    <row r="221" spans="1:4" ht="12.75" customHeight="1">
      <c r="A221" s="119"/>
      <c r="B221" s="183"/>
      <c r="C221" s="184"/>
      <c r="D221" s="1"/>
    </row>
    <row r="222" spans="1:4" ht="12.75" customHeight="1">
      <c r="A222" s="119"/>
      <c r="B222" s="183"/>
      <c r="C222" s="184"/>
      <c r="D222" s="1"/>
    </row>
    <row r="223" spans="1:4" ht="12.75" customHeight="1">
      <c r="A223" s="119"/>
      <c r="B223" s="183"/>
      <c r="C223" s="184"/>
      <c r="D223" s="1"/>
    </row>
    <row r="224" spans="1:4" ht="12.75" customHeight="1">
      <c r="A224" s="119"/>
      <c r="B224" s="183"/>
      <c r="C224" s="184"/>
      <c r="D224" s="1"/>
    </row>
    <row r="225" spans="1:4" ht="12.75" customHeight="1">
      <c r="A225" s="119"/>
      <c r="B225" s="183"/>
      <c r="C225" s="184"/>
      <c r="D225" s="1"/>
    </row>
    <row r="226" spans="1:4" ht="12.75" customHeight="1">
      <c r="A226" s="119"/>
      <c r="B226" s="183"/>
      <c r="C226" s="184"/>
      <c r="D226" s="1"/>
    </row>
    <row r="227" spans="1:4" ht="12.75" customHeight="1">
      <c r="A227" s="119"/>
      <c r="B227" s="183"/>
      <c r="C227" s="184"/>
      <c r="D227" s="1"/>
    </row>
    <row r="228" spans="1:4" ht="12.75" customHeight="1">
      <c r="A228" s="119"/>
      <c r="B228" s="183"/>
      <c r="C228" s="184"/>
      <c r="D228" s="1"/>
    </row>
    <row r="229" spans="1:4" ht="12.75" customHeight="1">
      <c r="A229" s="119"/>
      <c r="B229" s="183"/>
      <c r="C229" s="184"/>
      <c r="D229" s="1"/>
    </row>
    <row r="230" spans="1:4" ht="12.75" customHeight="1">
      <c r="A230" s="119"/>
      <c r="B230" s="183"/>
      <c r="C230" s="184"/>
      <c r="D230" s="1"/>
    </row>
    <row r="231" spans="1:4" ht="12.75" customHeight="1">
      <c r="A231" s="119"/>
      <c r="B231" s="183"/>
      <c r="C231" s="184"/>
      <c r="D231" s="1"/>
    </row>
    <row r="232" spans="1:4" ht="12.75" customHeight="1">
      <c r="A232" s="119"/>
      <c r="B232" s="183"/>
      <c r="C232" s="184"/>
      <c r="D232" s="1"/>
    </row>
    <row r="233" spans="1:4" ht="12.75" customHeight="1">
      <c r="A233" s="119"/>
      <c r="B233" s="183"/>
      <c r="C233" s="184"/>
      <c r="D233" s="1"/>
    </row>
    <row r="234" spans="1:4" ht="12.75" customHeight="1">
      <c r="A234" s="119"/>
      <c r="B234" s="183"/>
      <c r="C234" s="184"/>
      <c r="D234" s="1"/>
    </row>
    <row r="235" spans="1:4" ht="12.75" customHeight="1">
      <c r="A235" s="119"/>
      <c r="B235" s="183"/>
      <c r="C235" s="184"/>
      <c r="D235" s="1"/>
    </row>
    <row r="236" spans="1:4" ht="12.75" customHeight="1">
      <c r="A236" s="119"/>
      <c r="B236" s="183"/>
      <c r="C236" s="184"/>
      <c r="D236" s="1"/>
    </row>
    <row r="237" spans="1:4" ht="12.75" customHeight="1">
      <c r="A237" s="119"/>
      <c r="B237" s="183"/>
      <c r="C237" s="184"/>
      <c r="D237" s="1"/>
    </row>
    <row r="238" spans="1:4" ht="12.75" customHeight="1">
      <c r="A238" s="119"/>
      <c r="B238" s="183"/>
      <c r="C238" s="184"/>
      <c r="D238" s="1"/>
    </row>
    <row r="239" spans="1:4" ht="12.75" customHeight="1">
      <c r="A239" s="119"/>
      <c r="B239" s="183"/>
      <c r="C239" s="184"/>
      <c r="D239" s="1"/>
    </row>
    <row r="240" spans="1:4" ht="12.75" customHeight="1">
      <c r="A240" s="119"/>
      <c r="B240" s="183"/>
      <c r="C240" s="184"/>
      <c r="D240" s="1"/>
    </row>
    <row r="241" spans="1:4" ht="12.75" customHeight="1">
      <c r="A241" s="119"/>
      <c r="B241" s="183"/>
      <c r="C241" s="184"/>
      <c r="D241" s="1"/>
    </row>
    <row r="242" spans="1:4" ht="12.75" customHeight="1">
      <c r="A242" s="119"/>
      <c r="B242" s="183"/>
      <c r="C242" s="184"/>
      <c r="D242" s="1"/>
    </row>
    <row r="243" spans="1:4" ht="12.75" customHeight="1">
      <c r="A243" s="119"/>
      <c r="B243" s="183"/>
      <c r="C243" s="184"/>
      <c r="D243" s="1"/>
    </row>
    <row r="244" spans="1:4" ht="12.75" customHeight="1">
      <c r="A244" s="119"/>
      <c r="B244" s="183"/>
      <c r="C244" s="184"/>
      <c r="D244" s="1"/>
    </row>
    <row r="245" spans="1:4" ht="12.75" customHeight="1">
      <c r="A245" s="119"/>
      <c r="B245" s="183"/>
      <c r="C245" s="184"/>
      <c r="D245" s="1"/>
    </row>
    <row r="246" spans="1:4" ht="12.75" customHeight="1">
      <c r="A246" s="119"/>
      <c r="B246" s="183"/>
      <c r="C246" s="184"/>
      <c r="D246" s="1"/>
    </row>
    <row r="247" spans="1:4" ht="12.75" customHeight="1">
      <c r="A247" s="119"/>
      <c r="B247" s="183"/>
      <c r="C247" s="184"/>
      <c r="D247" s="1"/>
    </row>
    <row r="248" spans="1:4" ht="12.75" customHeight="1">
      <c r="A248" s="119"/>
      <c r="B248" s="183"/>
      <c r="C248" s="184"/>
      <c r="D248" s="1"/>
    </row>
    <row r="249" spans="1:4" ht="12.75" customHeight="1">
      <c r="A249" s="119"/>
      <c r="B249" s="183"/>
      <c r="C249" s="184"/>
      <c r="D249" s="1"/>
    </row>
    <row r="250" spans="1:4" ht="12.75" customHeight="1">
      <c r="A250" s="119"/>
      <c r="B250" s="183"/>
      <c r="C250" s="184"/>
      <c r="D250" s="1"/>
    </row>
    <row r="251" spans="1:4" ht="12.75" customHeight="1">
      <c r="A251" s="119"/>
      <c r="B251" s="183"/>
      <c r="C251" s="184"/>
      <c r="D251" s="1"/>
    </row>
    <row r="252" spans="1:4" ht="12.75" customHeight="1">
      <c r="A252" s="119"/>
      <c r="B252" s="183"/>
      <c r="C252" s="184"/>
      <c r="D252" s="1"/>
    </row>
    <row r="253" spans="1:4" ht="12.75" customHeight="1">
      <c r="A253" s="119"/>
      <c r="B253" s="183"/>
      <c r="C253" s="184"/>
      <c r="D253" s="1"/>
    </row>
    <row r="254" spans="1:4" ht="12.75" customHeight="1">
      <c r="A254" s="119"/>
      <c r="B254" s="183"/>
      <c r="C254" s="184"/>
      <c r="D254" s="1"/>
    </row>
    <row r="255" spans="1:4" ht="12.75" customHeight="1">
      <c r="A255" s="119"/>
      <c r="B255" s="183"/>
      <c r="C255" s="184"/>
      <c r="D255" s="1"/>
    </row>
    <row r="256" spans="1:4" ht="12.75" customHeight="1">
      <c r="A256" s="119"/>
      <c r="B256" s="183"/>
      <c r="C256" s="184"/>
      <c r="D256" s="1"/>
    </row>
    <row r="257" spans="1:4" ht="12.75" customHeight="1">
      <c r="A257" s="119"/>
      <c r="B257" s="183"/>
      <c r="C257" s="184"/>
      <c r="D257" s="1"/>
    </row>
    <row r="258" spans="1:4" ht="12.75" customHeight="1">
      <c r="A258" s="119"/>
      <c r="B258" s="183"/>
      <c r="C258" s="184"/>
      <c r="D258" s="1"/>
    </row>
    <row r="259" spans="1:4" ht="12.75" customHeight="1">
      <c r="A259" s="119"/>
      <c r="B259" s="183"/>
      <c r="C259" s="184"/>
      <c r="D259" s="1"/>
    </row>
    <row r="260" spans="1:4" ht="12.75" customHeight="1">
      <c r="A260" s="119"/>
      <c r="B260" s="183"/>
      <c r="C260" s="184"/>
      <c r="D260" s="1"/>
    </row>
    <row r="261" spans="1:4" ht="12.75" customHeight="1">
      <c r="A261" s="119"/>
      <c r="B261" s="183"/>
      <c r="C261" s="184"/>
      <c r="D261" s="1"/>
    </row>
    <row r="262" spans="1:4" ht="12.75" customHeight="1">
      <c r="A262" s="119"/>
      <c r="B262" s="183"/>
      <c r="C262" s="184"/>
      <c r="D262" s="1"/>
    </row>
    <row r="263" spans="1:4" ht="12.75" customHeight="1">
      <c r="A263" s="119"/>
      <c r="B263" s="183"/>
      <c r="C263" s="184"/>
      <c r="D263" s="1"/>
    </row>
    <row r="264" spans="1:4" ht="12.75" customHeight="1">
      <c r="A264" s="119"/>
      <c r="B264" s="183"/>
      <c r="C264" s="184"/>
      <c r="D264" s="1"/>
    </row>
    <row r="265" spans="1:4" ht="12.75" customHeight="1">
      <c r="A265" s="119"/>
      <c r="B265" s="183"/>
      <c r="C265" s="184"/>
      <c r="D265" s="1"/>
    </row>
    <row r="266" spans="1:4" ht="12.75" customHeight="1">
      <c r="A266" s="119"/>
      <c r="B266" s="183"/>
      <c r="C266" s="184"/>
      <c r="D266" s="1"/>
    </row>
    <row r="267" spans="1:4" ht="12.75" customHeight="1">
      <c r="A267" s="119"/>
      <c r="B267" s="183"/>
      <c r="C267" s="184"/>
      <c r="D267" s="1"/>
    </row>
    <row r="268" spans="1:4" ht="12.75" customHeight="1">
      <c r="A268" s="119"/>
      <c r="B268" s="183"/>
      <c r="C268" s="184"/>
      <c r="D268" s="1"/>
    </row>
    <row r="269" spans="1:4" ht="12.75" customHeight="1">
      <c r="A269" s="119"/>
      <c r="B269" s="183"/>
      <c r="C269" s="184"/>
      <c r="D269" s="1"/>
    </row>
    <row r="270" spans="1:4" ht="12.75" customHeight="1">
      <c r="A270" s="119"/>
      <c r="B270" s="183"/>
      <c r="C270" s="184"/>
      <c r="D270" s="1"/>
    </row>
    <row r="271" spans="1:4" ht="12.75" customHeight="1">
      <c r="A271" s="119"/>
      <c r="B271" s="183"/>
      <c r="C271" s="184"/>
      <c r="D271" s="1"/>
    </row>
    <row r="272" spans="1:4" ht="12.75" customHeight="1">
      <c r="A272" s="119"/>
      <c r="B272" s="183"/>
      <c r="C272" s="184"/>
      <c r="D272" s="1"/>
    </row>
    <row r="273" spans="1:4" ht="12.75" customHeight="1">
      <c r="A273" s="119"/>
      <c r="B273" s="183"/>
      <c r="C273" s="184"/>
      <c r="D273" s="1"/>
    </row>
    <row r="274" spans="1:4" ht="12.75" customHeight="1">
      <c r="A274" s="119"/>
      <c r="B274" s="183"/>
      <c r="C274" s="184"/>
      <c r="D274" s="1"/>
    </row>
    <row r="275" spans="1:4" ht="12.75" customHeight="1">
      <c r="A275" s="119"/>
      <c r="B275" s="183"/>
      <c r="C275" s="184"/>
      <c r="D275" s="1"/>
    </row>
    <row r="276" spans="1:4" ht="12.75" customHeight="1">
      <c r="A276" s="119"/>
      <c r="B276" s="183"/>
      <c r="C276" s="184"/>
      <c r="D276" s="1"/>
    </row>
    <row r="277" spans="1:4" ht="12.75" customHeight="1">
      <c r="A277" s="119"/>
      <c r="B277" s="183"/>
      <c r="C277" s="184"/>
      <c r="D277" s="1"/>
    </row>
    <row r="278" spans="1:4" ht="12.75" customHeight="1">
      <c r="A278" s="119"/>
      <c r="B278" s="183"/>
      <c r="C278" s="184"/>
      <c r="D278" s="1"/>
    </row>
    <row r="279" spans="1:4" ht="12.75" customHeight="1">
      <c r="A279" s="119"/>
      <c r="B279" s="183"/>
      <c r="C279" s="184"/>
      <c r="D279" s="1"/>
    </row>
    <row r="280" spans="1:4" ht="12.75" customHeight="1">
      <c r="A280" s="119"/>
      <c r="B280" s="183"/>
      <c r="C280" s="184"/>
      <c r="D280" s="1"/>
    </row>
    <row r="281" spans="1:4" ht="12.75" customHeight="1">
      <c r="A281" s="119"/>
      <c r="B281" s="183"/>
      <c r="C281" s="184"/>
      <c r="D281" s="1"/>
    </row>
    <row r="282" spans="1:4" ht="12.75" customHeight="1">
      <c r="A282" s="119"/>
      <c r="B282" s="183"/>
      <c r="C282" s="184"/>
      <c r="D282" s="1"/>
    </row>
    <row r="283" spans="1:4" ht="12.75" customHeight="1">
      <c r="A283" s="119"/>
      <c r="B283" s="183"/>
      <c r="C283" s="184"/>
      <c r="D283" s="1"/>
    </row>
    <row r="284" spans="1:4" ht="12.75" customHeight="1">
      <c r="A284" s="119"/>
      <c r="B284" s="183"/>
      <c r="C284" s="184"/>
      <c r="D284" s="1"/>
    </row>
    <row r="285" spans="1:4" ht="12.75" customHeight="1">
      <c r="A285" s="119"/>
      <c r="B285" s="183"/>
      <c r="C285" s="184"/>
      <c r="D285" s="1"/>
    </row>
    <row r="286" spans="1:4" ht="12.75" customHeight="1">
      <c r="A286" s="119"/>
      <c r="B286" s="183"/>
      <c r="C286" s="184"/>
      <c r="D286" s="1"/>
    </row>
    <row r="287" spans="1:4" ht="12.75" customHeight="1">
      <c r="A287" s="119"/>
      <c r="B287" s="183"/>
      <c r="C287" s="184"/>
      <c r="D287" s="1"/>
    </row>
    <row r="288" spans="1:4" ht="12.75" customHeight="1">
      <c r="A288" s="119"/>
      <c r="B288" s="183"/>
      <c r="C288" s="184"/>
      <c r="D288" s="1"/>
    </row>
    <row r="289" spans="1:4" ht="12.75" customHeight="1">
      <c r="A289" s="119"/>
      <c r="B289" s="183"/>
      <c r="C289" s="184"/>
      <c r="D289" s="1"/>
    </row>
    <row r="290" spans="1:4" ht="12.75" customHeight="1">
      <c r="A290" s="119"/>
      <c r="B290" s="183"/>
      <c r="C290" s="184"/>
      <c r="D290" s="1"/>
    </row>
    <row r="291" spans="1:4" ht="12.75" customHeight="1">
      <c r="A291" s="119"/>
      <c r="B291" s="183"/>
      <c r="C291" s="184"/>
      <c r="D291" s="1"/>
    </row>
    <row r="292" spans="1:4" ht="12.75" customHeight="1">
      <c r="A292" s="119"/>
      <c r="B292" s="183"/>
      <c r="C292" s="184"/>
      <c r="D292" s="1"/>
    </row>
    <row r="293" spans="1:4" ht="12.75" customHeight="1">
      <c r="A293" s="119"/>
      <c r="B293" s="183"/>
      <c r="C293" s="184"/>
      <c r="D293" s="1"/>
    </row>
    <row r="294" spans="1:4" ht="12.75" customHeight="1">
      <c r="A294" s="119"/>
      <c r="B294" s="183"/>
      <c r="C294" s="184"/>
      <c r="D294" s="1"/>
    </row>
    <row r="295" spans="1:4" ht="12.75" customHeight="1">
      <c r="A295" s="119"/>
      <c r="B295" s="183"/>
      <c r="C295" s="184"/>
      <c r="D295" s="1"/>
    </row>
    <row r="296" spans="1:4" ht="12.75" customHeight="1">
      <c r="A296" s="119"/>
      <c r="B296" s="183"/>
      <c r="C296" s="184"/>
      <c r="D296" s="1"/>
    </row>
    <row r="297" spans="1:4" ht="12.75" customHeight="1">
      <c r="A297" s="119"/>
      <c r="B297" s="183"/>
      <c r="C297" s="184"/>
      <c r="D297" s="1"/>
    </row>
    <row r="298" spans="1:4" ht="12.75" customHeight="1">
      <c r="A298" s="119"/>
      <c r="B298" s="183"/>
      <c r="C298" s="184"/>
      <c r="D298" s="1"/>
    </row>
    <row r="299" spans="1:4" ht="12.75" customHeight="1">
      <c r="A299" s="119"/>
      <c r="B299" s="183"/>
      <c r="C299" s="184"/>
      <c r="D299" s="1"/>
    </row>
    <row r="300" spans="1:4" ht="12.75" customHeight="1">
      <c r="A300" s="119"/>
      <c r="B300" s="183"/>
      <c r="C300" s="184"/>
      <c r="D300" s="1"/>
    </row>
    <row r="301" spans="1:4" ht="12.75" customHeight="1">
      <c r="A301" s="119"/>
      <c r="B301" s="183"/>
      <c r="C301" s="184"/>
      <c r="D301" s="1"/>
    </row>
    <row r="302" spans="1:4" ht="12.75" customHeight="1">
      <c r="A302" s="119"/>
      <c r="B302" s="183"/>
      <c r="C302" s="184"/>
      <c r="D302" s="1"/>
    </row>
    <row r="303" spans="1:4" ht="12.75" customHeight="1">
      <c r="A303" s="119"/>
      <c r="B303" s="183"/>
      <c r="C303" s="184"/>
      <c r="D303" s="1"/>
    </row>
    <row r="304" spans="1:4" ht="12.75" customHeight="1">
      <c r="A304" s="119"/>
      <c r="B304" s="183"/>
      <c r="C304" s="184"/>
      <c r="D304" s="1"/>
    </row>
    <row r="305" spans="1:4" ht="12.75" customHeight="1">
      <c r="A305" s="119"/>
      <c r="B305" s="183"/>
      <c r="C305" s="184"/>
      <c r="D305" s="1"/>
    </row>
    <row r="306" spans="1:4" ht="12.75" customHeight="1">
      <c r="A306" s="119"/>
      <c r="B306" s="183"/>
      <c r="C306" s="184"/>
      <c r="D306" s="1"/>
    </row>
    <row r="307" spans="1:4" ht="12.75" customHeight="1">
      <c r="A307" s="119"/>
      <c r="B307" s="183"/>
      <c r="C307" s="184"/>
      <c r="D307" s="1"/>
    </row>
    <row r="308" spans="1:4" ht="12.75" customHeight="1">
      <c r="A308" s="119"/>
      <c r="B308" s="183"/>
      <c r="C308" s="184"/>
      <c r="D308" s="1"/>
    </row>
    <row r="309" spans="1:4" ht="12.75" customHeight="1">
      <c r="A309" s="119"/>
      <c r="B309" s="183"/>
      <c r="C309" s="184"/>
      <c r="D309" s="1"/>
    </row>
    <row r="310" spans="1:4" ht="12.75" customHeight="1">
      <c r="A310" s="119"/>
      <c r="B310" s="183"/>
      <c r="C310" s="184"/>
      <c r="D310" s="1"/>
    </row>
    <row r="311" spans="1:4" ht="12.75" customHeight="1">
      <c r="A311" s="119"/>
      <c r="B311" s="183"/>
      <c r="C311" s="184"/>
      <c r="D311" s="1"/>
    </row>
    <row r="312" spans="1:4" ht="12.75" customHeight="1">
      <c r="A312" s="119"/>
      <c r="B312" s="183"/>
      <c r="C312" s="184"/>
      <c r="D312" s="1"/>
    </row>
    <row r="313" spans="1:4" ht="12.75" customHeight="1">
      <c r="A313" s="119"/>
      <c r="B313" s="183"/>
      <c r="C313" s="184"/>
      <c r="D313" s="1"/>
    </row>
    <row r="314" spans="1:4" ht="12.75" customHeight="1">
      <c r="A314" s="119"/>
      <c r="B314" s="183"/>
      <c r="C314" s="184"/>
      <c r="D314" s="1"/>
    </row>
    <row r="315" spans="1:4" ht="12.75" customHeight="1">
      <c r="A315" s="119"/>
      <c r="B315" s="183"/>
      <c r="C315" s="184"/>
      <c r="D315" s="1"/>
    </row>
    <row r="316" spans="1:4" ht="12.75" customHeight="1">
      <c r="A316" s="119"/>
      <c r="B316" s="183"/>
      <c r="C316" s="184"/>
      <c r="D316" s="1"/>
    </row>
    <row r="317" spans="1:4" ht="12.75" customHeight="1">
      <c r="A317" s="119"/>
      <c r="B317" s="183"/>
      <c r="C317" s="184"/>
      <c r="D317" s="1"/>
    </row>
    <row r="318" spans="1:4" ht="12.75" customHeight="1">
      <c r="A318" s="119"/>
      <c r="B318" s="183"/>
      <c r="C318" s="184"/>
      <c r="D318" s="1"/>
    </row>
    <row r="319" spans="1:4" ht="12.75" customHeight="1">
      <c r="A319" s="119"/>
      <c r="B319" s="183"/>
      <c r="C319" s="184"/>
      <c r="D319" s="1"/>
    </row>
    <row r="320" spans="1:4" ht="12.75" customHeight="1">
      <c r="A320" s="119"/>
      <c r="B320" s="183"/>
      <c r="C320" s="184"/>
      <c r="D320" s="1"/>
    </row>
    <row r="321" spans="1:4" ht="12.75" customHeight="1">
      <c r="A321" s="119"/>
      <c r="B321" s="183"/>
      <c r="C321" s="184"/>
      <c r="D321" s="1"/>
    </row>
    <row r="322" spans="1:4" ht="12.75" customHeight="1">
      <c r="A322" s="119"/>
      <c r="B322" s="183"/>
      <c r="C322" s="184"/>
      <c r="D322" s="1"/>
    </row>
    <row r="323" spans="1:4" ht="12.75" customHeight="1">
      <c r="A323" s="119"/>
      <c r="B323" s="183"/>
      <c r="C323" s="184"/>
      <c r="D323" s="1"/>
    </row>
    <row r="324" spans="1:4" ht="12.75" customHeight="1">
      <c r="A324" s="119"/>
      <c r="B324" s="183"/>
      <c r="C324" s="184"/>
      <c r="D324" s="1"/>
    </row>
    <row r="325" spans="1:4" ht="12.75" customHeight="1">
      <c r="A325" s="119"/>
      <c r="B325" s="183"/>
      <c r="C325" s="184"/>
      <c r="D325" s="1"/>
    </row>
    <row r="326" spans="1:4" ht="12.75" customHeight="1">
      <c r="A326" s="119"/>
      <c r="B326" s="183"/>
      <c r="C326" s="184"/>
      <c r="D326" s="1"/>
    </row>
    <row r="327" spans="1:4" ht="12.75" customHeight="1">
      <c r="A327" s="119"/>
      <c r="B327" s="183"/>
      <c r="C327" s="184"/>
      <c r="D327" s="1"/>
    </row>
    <row r="328" spans="1:4" ht="12.75" customHeight="1">
      <c r="A328" s="119"/>
      <c r="B328" s="183"/>
      <c r="C328" s="184"/>
      <c r="D328" s="1"/>
    </row>
    <row r="329" spans="1:4" ht="12.75" customHeight="1">
      <c r="A329" s="119"/>
      <c r="B329" s="183"/>
      <c r="C329" s="184"/>
      <c r="D329" s="1"/>
    </row>
    <row r="330" spans="1:4" ht="12.75" customHeight="1">
      <c r="A330" s="119"/>
      <c r="B330" s="183"/>
      <c r="C330" s="184"/>
      <c r="D330" s="1"/>
    </row>
    <row r="331" spans="1:4" ht="12.75" customHeight="1">
      <c r="A331" s="119"/>
      <c r="B331" s="183"/>
      <c r="C331" s="184"/>
      <c r="D331" s="1"/>
    </row>
    <row r="332" spans="1:4" ht="12.75" customHeight="1">
      <c r="A332" s="119"/>
      <c r="B332" s="183"/>
      <c r="C332" s="184"/>
      <c r="D332" s="1"/>
    </row>
    <row r="333" spans="1:4" ht="12.75" customHeight="1">
      <c r="A333" s="119"/>
      <c r="B333" s="183"/>
      <c r="C333" s="184"/>
      <c r="D333" s="1"/>
    </row>
    <row r="334" spans="1:4" ht="12.75" customHeight="1">
      <c r="A334" s="119"/>
      <c r="B334" s="183"/>
      <c r="C334" s="184"/>
      <c r="D334" s="1"/>
    </row>
    <row r="335" spans="1:4" ht="12.75" customHeight="1">
      <c r="A335" s="119"/>
      <c r="B335" s="183"/>
      <c r="C335" s="184"/>
      <c r="D335" s="1"/>
    </row>
    <row r="336" spans="1:4" ht="12.75" customHeight="1">
      <c r="A336" s="119"/>
      <c r="B336" s="183"/>
      <c r="C336" s="184"/>
      <c r="D336" s="1"/>
    </row>
    <row r="337" spans="1:4" ht="12.75" customHeight="1">
      <c r="A337" s="119"/>
      <c r="B337" s="183"/>
      <c r="C337" s="184"/>
      <c r="D337" s="1"/>
    </row>
    <row r="338" spans="1:4" ht="12.75" customHeight="1">
      <c r="A338" s="119"/>
      <c r="B338" s="183"/>
      <c r="C338" s="184"/>
      <c r="D338" s="1"/>
    </row>
    <row r="339" spans="1:4" ht="12.75" customHeight="1">
      <c r="A339" s="119"/>
      <c r="B339" s="183"/>
      <c r="C339" s="184"/>
      <c r="D339" s="1"/>
    </row>
    <row r="340" spans="1:4" ht="12.75" customHeight="1">
      <c r="A340" s="119"/>
      <c r="B340" s="183"/>
      <c r="C340" s="184"/>
      <c r="D340" s="1"/>
    </row>
    <row r="341" spans="1:4" ht="12.75" customHeight="1">
      <c r="A341" s="119"/>
      <c r="B341" s="183"/>
      <c r="C341" s="184"/>
      <c r="D341" s="1"/>
    </row>
    <row r="342" spans="1:4" ht="12.75" customHeight="1">
      <c r="A342" s="119"/>
      <c r="B342" s="183"/>
      <c r="C342" s="184"/>
      <c r="D342" s="1"/>
    </row>
    <row r="343" spans="1:4" ht="12.75" customHeight="1">
      <c r="A343" s="119"/>
      <c r="B343" s="183"/>
      <c r="C343" s="184"/>
      <c r="D343" s="1"/>
    </row>
    <row r="344" spans="1:4" ht="12.75" customHeight="1">
      <c r="A344" s="119"/>
      <c r="B344" s="183"/>
      <c r="C344" s="184"/>
      <c r="D344" s="1"/>
    </row>
    <row r="345" spans="1:4" ht="12.75" customHeight="1">
      <c r="A345" s="119"/>
      <c r="B345" s="183"/>
      <c r="C345" s="184"/>
      <c r="D345" s="1"/>
    </row>
    <row r="346" spans="1:4" ht="12.75" customHeight="1">
      <c r="A346" s="119"/>
      <c r="B346" s="183"/>
      <c r="C346" s="184"/>
      <c r="D346" s="1"/>
    </row>
    <row r="347" spans="1:4" ht="12.75" customHeight="1">
      <c r="A347" s="119"/>
      <c r="B347" s="183"/>
      <c r="C347" s="184"/>
      <c r="D347" s="1"/>
    </row>
    <row r="348" spans="1:4" ht="12.75" customHeight="1">
      <c r="A348" s="119"/>
      <c r="B348" s="183"/>
      <c r="C348" s="184"/>
      <c r="D348" s="1"/>
    </row>
    <row r="349" spans="1:4" ht="12.75" customHeight="1">
      <c r="A349" s="119"/>
      <c r="B349" s="183"/>
      <c r="C349" s="184"/>
      <c r="D349" s="1"/>
    </row>
    <row r="350" spans="1:4" ht="12.75" customHeight="1">
      <c r="A350" s="119"/>
      <c r="B350" s="183"/>
      <c r="C350" s="184"/>
      <c r="D350" s="1"/>
    </row>
    <row r="351" spans="1:4" ht="12.75" customHeight="1">
      <c r="A351" s="119"/>
      <c r="B351" s="183"/>
      <c r="C351" s="184"/>
      <c r="D351" s="1"/>
    </row>
    <row r="352" spans="1:4" ht="12.75" customHeight="1">
      <c r="A352" s="119"/>
      <c r="B352" s="183"/>
      <c r="C352" s="184"/>
      <c r="D352" s="1"/>
    </row>
    <row r="353" spans="1:4" ht="12.75" customHeight="1">
      <c r="A353" s="119"/>
      <c r="B353" s="183"/>
      <c r="C353" s="184"/>
      <c r="D353" s="1"/>
    </row>
    <row r="354" spans="1:4" ht="12.75" customHeight="1">
      <c r="A354" s="119"/>
      <c r="B354" s="183"/>
      <c r="C354" s="184"/>
      <c r="D354" s="1"/>
    </row>
    <row r="355" spans="1:4" ht="12.75" customHeight="1">
      <c r="A355" s="119"/>
      <c r="B355" s="183"/>
      <c r="C355" s="184"/>
      <c r="D355" s="1"/>
    </row>
    <row r="356" spans="1:4" ht="12.75" customHeight="1">
      <c r="A356" s="119"/>
      <c r="B356" s="183"/>
      <c r="C356" s="184"/>
      <c r="D356" s="1"/>
    </row>
    <row r="357" spans="1:4" ht="12.75" customHeight="1">
      <c r="A357" s="119"/>
      <c r="B357" s="183"/>
      <c r="C357" s="184"/>
      <c r="D357" s="1"/>
    </row>
    <row r="358" spans="1:4" ht="12.75" customHeight="1">
      <c r="A358" s="119"/>
      <c r="B358" s="183"/>
      <c r="C358" s="184"/>
      <c r="D358" s="1"/>
    </row>
    <row r="359" spans="1:4" ht="12.75" customHeight="1">
      <c r="A359" s="119"/>
      <c r="B359" s="183"/>
      <c r="C359" s="184"/>
      <c r="D359" s="1"/>
    </row>
    <row r="360" spans="1:4" ht="12.75" customHeight="1">
      <c r="A360" s="119"/>
      <c r="B360" s="183"/>
      <c r="C360" s="184"/>
      <c r="D360" s="1"/>
    </row>
    <row r="361" spans="1:4" ht="12.75" customHeight="1">
      <c r="A361" s="119"/>
      <c r="B361" s="183"/>
      <c r="C361" s="184"/>
      <c r="D361" s="1"/>
    </row>
    <row r="362" spans="1:4" ht="12.75" customHeight="1">
      <c r="A362" s="119"/>
      <c r="B362" s="183"/>
      <c r="C362" s="184"/>
      <c r="D362" s="1"/>
    </row>
    <row r="363" spans="1:4" ht="12.75" customHeight="1">
      <c r="A363" s="119"/>
      <c r="B363" s="183"/>
      <c r="C363" s="184"/>
      <c r="D363" s="1"/>
    </row>
    <row r="364" spans="1:4" ht="12.75" customHeight="1">
      <c r="A364" s="119"/>
      <c r="B364" s="183"/>
      <c r="C364" s="184"/>
      <c r="D364" s="1"/>
    </row>
    <row r="365" spans="1:4" ht="12.75" customHeight="1">
      <c r="A365" s="119"/>
      <c r="B365" s="183"/>
      <c r="C365" s="184"/>
      <c r="D365" s="1"/>
    </row>
    <row r="366" spans="1:4" ht="12.75" customHeight="1">
      <c r="A366" s="119"/>
      <c r="B366" s="183"/>
      <c r="C366" s="184"/>
      <c r="D366" s="1"/>
    </row>
    <row r="367" spans="1:4" ht="12.75" customHeight="1">
      <c r="A367" s="119"/>
      <c r="B367" s="183"/>
      <c r="C367" s="184"/>
      <c r="D367" s="1"/>
    </row>
    <row r="368" spans="1:4" ht="12.75" customHeight="1">
      <c r="A368" s="119"/>
      <c r="B368" s="183"/>
      <c r="C368" s="184"/>
      <c r="D368" s="1"/>
    </row>
    <row r="369" spans="1:4" ht="12.75" customHeight="1">
      <c r="A369" s="119"/>
      <c r="B369" s="183"/>
      <c r="C369" s="184"/>
      <c r="D369" s="1"/>
    </row>
    <row r="370" spans="1:4" ht="12.75" customHeight="1">
      <c r="A370" s="119"/>
      <c r="B370" s="183"/>
      <c r="C370" s="184"/>
      <c r="D370" s="1"/>
    </row>
    <row r="371" spans="1:4" ht="12.75" customHeight="1">
      <c r="A371" s="119"/>
      <c r="B371" s="183"/>
      <c r="C371" s="184"/>
      <c r="D371" s="1"/>
    </row>
    <row r="372" spans="1:4" ht="12.75" customHeight="1">
      <c r="A372" s="119"/>
      <c r="B372" s="183"/>
      <c r="C372" s="184"/>
      <c r="D372" s="1"/>
    </row>
    <row r="373" spans="1:4" ht="12.75" customHeight="1">
      <c r="A373" s="119"/>
      <c r="B373" s="183"/>
      <c r="C373" s="184"/>
      <c r="D373" s="1"/>
    </row>
    <row r="374" spans="1:4" ht="12.75" customHeight="1">
      <c r="A374" s="119"/>
      <c r="B374" s="183"/>
      <c r="C374" s="184"/>
      <c r="D374" s="1"/>
    </row>
    <row r="375" spans="1:4" ht="12.75" customHeight="1">
      <c r="A375" s="119"/>
      <c r="B375" s="183"/>
      <c r="C375" s="184"/>
      <c r="D375" s="1"/>
    </row>
    <row r="376" spans="1:4" ht="12.75" customHeight="1">
      <c r="A376" s="119"/>
      <c r="B376" s="183"/>
      <c r="C376" s="184"/>
      <c r="D376" s="1"/>
    </row>
    <row r="377" spans="1:4" ht="12.75" customHeight="1">
      <c r="A377" s="119"/>
      <c r="B377" s="183"/>
      <c r="C377" s="184"/>
      <c r="D377" s="1"/>
    </row>
    <row r="378" spans="1:4" ht="12.75" customHeight="1">
      <c r="A378" s="119"/>
      <c r="B378" s="183"/>
      <c r="C378" s="184"/>
      <c r="D378" s="1"/>
    </row>
    <row r="379" spans="1:4" ht="12.75" customHeight="1">
      <c r="A379" s="119"/>
      <c r="B379" s="183"/>
      <c r="C379" s="184"/>
      <c r="D379" s="1"/>
    </row>
    <row r="380" spans="1:4" ht="12.75" customHeight="1">
      <c r="A380" s="119"/>
      <c r="B380" s="183"/>
      <c r="C380" s="184"/>
      <c r="D380" s="1"/>
    </row>
    <row r="381" spans="1:4" ht="12.75" customHeight="1">
      <c r="A381" s="119"/>
      <c r="B381" s="183"/>
      <c r="C381" s="184"/>
      <c r="D381" s="1"/>
    </row>
    <row r="382" spans="1:4" ht="12.75" customHeight="1">
      <c r="A382" s="119"/>
      <c r="B382" s="183"/>
      <c r="C382" s="184"/>
      <c r="D382" s="1"/>
    </row>
    <row r="383" spans="1:4" ht="12.75" customHeight="1">
      <c r="A383" s="119"/>
      <c r="B383" s="183"/>
      <c r="C383" s="184"/>
      <c r="D383" s="1"/>
    </row>
    <row r="384" spans="1:4" ht="12.75" customHeight="1">
      <c r="A384" s="119"/>
      <c r="B384" s="183"/>
      <c r="C384" s="184"/>
      <c r="D384" s="1"/>
    </row>
    <row r="385" spans="1:4" ht="12.75" customHeight="1">
      <c r="A385" s="119"/>
      <c r="B385" s="183"/>
      <c r="C385" s="184"/>
      <c r="D385" s="1"/>
    </row>
    <row r="386" spans="1:4" ht="12.75" customHeight="1">
      <c r="A386" s="119"/>
      <c r="B386" s="183"/>
      <c r="C386" s="184"/>
      <c r="D386" s="1"/>
    </row>
    <row r="387" spans="1:4" ht="12.75" customHeight="1">
      <c r="A387" s="119"/>
      <c r="B387" s="183"/>
      <c r="C387" s="184"/>
      <c r="D387" s="1"/>
    </row>
    <row r="388" spans="1:4" ht="12.75" customHeight="1">
      <c r="A388" s="119"/>
      <c r="B388" s="183"/>
      <c r="C388" s="184"/>
      <c r="D388" s="1"/>
    </row>
    <row r="389" spans="1:4" ht="12.75" customHeight="1">
      <c r="A389" s="119"/>
      <c r="B389" s="183"/>
      <c r="C389" s="184"/>
      <c r="D389" s="1"/>
    </row>
    <row r="390" spans="1:4" ht="12.75" customHeight="1">
      <c r="A390" s="119"/>
      <c r="B390" s="183"/>
      <c r="C390" s="184"/>
      <c r="D390" s="1"/>
    </row>
    <row r="391" spans="1:4" ht="12.75" customHeight="1">
      <c r="A391" s="119"/>
      <c r="B391" s="183"/>
      <c r="C391" s="184"/>
      <c r="D391" s="1"/>
    </row>
    <row r="392" spans="1:4" ht="12.75" customHeight="1">
      <c r="A392" s="119"/>
      <c r="B392" s="183"/>
      <c r="C392" s="184"/>
      <c r="D392" s="1"/>
    </row>
    <row r="393" spans="1:4" ht="12.75" customHeight="1">
      <c r="A393" s="119"/>
      <c r="B393" s="183"/>
      <c r="C393" s="184"/>
      <c r="D393" s="1"/>
    </row>
    <row r="394" spans="1:4" ht="12.75" customHeight="1">
      <c r="A394" s="119"/>
      <c r="B394" s="183"/>
      <c r="C394" s="184"/>
      <c r="D394" s="1"/>
    </row>
    <row r="395" spans="1:4" ht="12.75" customHeight="1">
      <c r="A395" s="119"/>
      <c r="B395" s="183"/>
      <c r="C395" s="184"/>
      <c r="D395" s="1"/>
    </row>
    <row r="396" spans="1:4" ht="12.75" customHeight="1">
      <c r="A396" s="119"/>
      <c r="B396" s="183"/>
      <c r="C396" s="184"/>
      <c r="D396" s="1"/>
    </row>
    <row r="397" spans="1:4" ht="12.75" customHeight="1">
      <c r="A397" s="119"/>
      <c r="B397" s="183"/>
      <c r="C397" s="184"/>
      <c r="D397" s="1"/>
    </row>
    <row r="398" spans="1:4" ht="12.75" customHeight="1">
      <c r="A398" s="119"/>
      <c r="B398" s="183"/>
      <c r="C398" s="184"/>
      <c r="D398" s="1"/>
    </row>
    <row r="399" spans="1:4" ht="12.75" customHeight="1">
      <c r="A399" s="119"/>
      <c r="B399" s="183"/>
      <c r="C399" s="184"/>
      <c r="D399" s="1"/>
    </row>
    <row r="400" spans="1:4" ht="12.75" customHeight="1">
      <c r="A400" s="119"/>
      <c r="B400" s="183"/>
      <c r="C400" s="184"/>
      <c r="D400" s="1"/>
    </row>
    <row r="401" spans="1:4" ht="12.75" customHeight="1">
      <c r="A401" s="119"/>
      <c r="B401" s="183"/>
      <c r="C401" s="184"/>
      <c r="D401" s="1"/>
    </row>
    <row r="402" spans="1:4" ht="12.75" customHeight="1">
      <c r="A402" s="119"/>
      <c r="B402" s="183"/>
      <c r="C402" s="184"/>
      <c r="D402" s="1"/>
    </row>
    <row r="403" spans="1:4" ht="12.75" customHeight="1">
      <c r="A403" s="119"/>
      <c r="B403" s="183"/>
      <c r="C403" s="184"/>
      <c r="D403" s="1"/>
    </row>
    <row r="404" spans="1:4" ht="12.75" customHeight="1">
      <c r="A404" s="119"/>
      <c r="B404" s="183"/>
      <c r="C404" s="184"/>
      <c r="D404" s="1"/>
    </row>
    <row r="405" spans="1:4" ht="12.75" customHeight="1">
      <c r="A405" s="119"/>
      <c r="B405" s="183"/>
      <c r="C405" s="184"/>
      <c r="D405" s="1"/>
    </row>
    <row r="406" spans="1:4" ht="12.75" customHeight="1">
      <c r="A406" s="119"/>
      <c r="B406" s="183"/>
      <c r="C406" s="184"/>
      <c r="D406" s="1"/>
    </row>
    <row r="407" spans="1:4" ht="12.75" customHeight="1">
      <c r="A407" s="119"/>
      <c r="B407" s="183"/>
      <c r="C407" s="184"/>
      <c r="D407" s="1"/>
    </row>
    <row r="408" spans="1:4" ht="12.75" customHeight="1">
      <c r="A408" s="119"/>
      <c r="B408" s="183"/>
      <c r="C408" s="184"/>
      <c r="D408" s="1"/>
    </row>
    <row r="409" spans="1:4" ht="12.75" customHeight="1">
      <c r="A409" s="119"/>
      <c r="B409" s="183"/>
      <c r="C409" s="184"/>
      <c r="D409" s="1"/>
    </row>
    <row r="410" spans="1:4" ht="12.75" customHeight="1">
      <c r="A410" s="119"/>
      <c r="B410" s="183"/>
      <c r="C410" s="184"/>
      <c r="D410" s="1"/>
    </row>
    <row r="411" spans="1:4" ht="12.75" customHeight="1">
      <c r="A411" s="119"/>
      <c r="B411" s="183"/>
      <c r="C411" s="184"/>
      <c r="D411" s="1"/>
    </row>
    <row r="412" spans="1:4" ht="12.75" customHeight="1">
      <c r="A412" s="119"/>
      <c r="B412" s="183"/>
      <c r="C412" s="184"/>
      <c r="D412" s="1"/>
    </row>
    <row r="413" spans="1:4" ht="12.75" customHeight="1">
      <c r="A413" s="119"/>
      <c r="B413" s="183"/>
      <c r="C413" s="184"/>
      <c r="D413" s="1"/>
    </row>
    <row r="414" spans="1:4" ht="12.75" customHeight="1">
      <c r="A414" s="119"/>
      <c r="B414" s="183"/>
      <c r="C414" s="184"/>
      <c r="D414" s="1"/>
    </row>
    <row r="415" spans="1:4" ht="12.75" customHeight="1">
      <c r="A415" s="119"/>
      <c r="B415" s="183"/>
      <c r="C415" s="184"/>
      <c r="D415" s="1"/>
    </row>
    <row r="416" spans="1:4" ht="12.75" customHeight="1">
      <c r="A416" s="119"/>
      <c r="B416" s="183"/>
      <c r="C416" s="184"/>
      <c r="D416" s="1"/>
    </row>
    <row r="417" spans="1:4" ht="12.75" customHeight="1">
      <c r="A417" s="119"/>
      <c r="B417" s="183"/>
      <c r="C417" s="184"/>
      <c r="D417" s="1"/>
    </row>
    <row r="418" spans="1:4" ht="12.75" customHeight="1">
      <c r="A418" s="119"/>
      <c r="B418" s="183"/>
      <c r="C418" s="184"/>
      <c r="D418" s="1"/>
    </row>
    <row r="419" spans="1:4" ht="12.75" customHeight="1">
      <c r="A419" s="119"/>
      <c r="B419" s="183"/>
      <c r="C419" s="184"/>
      <c r="D419" s="1"/>
    </row>
    <row r="420" spans="1:4" ht="12.75" customHeight="1">
      <c r="A420" s="119"/>
      <c r="B420" s="183"/>
      <c r="C420" s="184"/>
      <c r="D420" s="1"/>
    </row>
    <row r="421" spans="1:4" ht="12.75" customHeight="1">
      <c r="A421" s="119"/>
      <c r="B421" s="183"/>
      <c r="C421" s="184"/>
      <c r="D421" s="1"/>
    </row>
    <row r="422" spans="1:4" ht="12.75" customHeight="1">
      <c r="A422" s="119"/>
      <c r="B422" s="183"/>
      <c r="C422" s="184"/>
      <c r="D422" s="1"/>
    </row>
    <row r="423" spans="1:4" ht="12.75" customHeight="1">
      <c r="A423" s="119"/>
      <c r="B423" s="183"/>
      <c r="C423" s="184"/>
      <c r="D423" s="1"/>
    </row>
    <row r="424" spans="1:4" ht="12.75" customHeight="1">
      <c r="A424" s="119"/>
      <c r="B424" s="183"/>
      <c r="C424" s="184"/>
      <c r="D424" s="1"/>
    </row>
    <row r="425" spans="1:4" ht="12.75" customHeight="1">
      <c r="A425" s="119"/>
      <c r="B425" s="183"/>
      <c r="C425" s="184"/>
      <c r="D425" s="1"/>
    </row>
    <row r="426" spans="1:4" ht="12.75" customHeight="1">
      <c r="A426" s="119"/>
      <c r="B426" s="183"/>
      <c r="C426" s="184"/>
      <c r="D426" s="1"/>
    </row>
    <row r="427" spans="1:4" ht="12.75" customHeight="1">
      <c r="A427" s="119"/>
      <c r="B427" s="183"/>
      <c r="C427" s="184"/>
      <c r="D427" s="1"/>
    </row>
    <row r="428" spans="1:4" ht="12.75" customHeight="1">
      <c r="A428" s="119"/>
      <c r="B428" s="183"/>
      <c r="C428" s="184"/>
      <c r="D428" s="1"/>
    </row>
    <row r="429" spans="1:4" ht="12.75" customHeight="1">
      <c r="A429" s="119"/>
      <c r="B429" s="183"/>
      <c r="C429" s="184"/>
      <c r="D429" s="1"/>
    </row>
    <row r="430" spans="1:4" ht="12.75" customHeight="1">
      <c r="A430" s="119"/>
      <c r="B430" s="183"/>
      <c r="C430" s="184"/>
      <c r="D430" s="1"/>
    </row>
    <row r="431" spans="1:4" ht="12.75" customHeight="1">
      <c r="A431" s="119"/>
      <c r="B431" s="183"/>
      <c r="C431" s="184"/>
      <c r="D431" s="1"/>
    </row>
    <row r="432" spans="1:4" ht="12.75" customHeight="1">
      <c r="A432" s="119"/>
      <c r="B432" s="183"/>
      <c r="C432" s="184"/>
      <c r="D432" s="1"/>
    </row>
    <row r="433" spans="1:4" ht="12.75" customHeight="1">
      <c r="A433" s="119"/>
      <c r="B433" s="183"/>
      <c r="C433" s="184"/>
      <c r="D433" s="1"/>
    </row>
    <row r="434" spans="1:4" ht="12.75" customHeight="1">
      <c r="A434" s="119"/>
      <c r="B434" s="183"/>
      <c r="C434" s="184"/>
      <c r="D434" s="1"/>
    </row>
    <row r="435" spans="1:4" ht="12.75" customHeight="1">
      <c r="A435" s="119"/>
      <c r="B435" s="183"/>
      <c r="C435" s="184"/>
      <c r="D435" s="1"/>
    </row>
    <row r="436" spans="1:4" ht="12.75" customHeight="1">
      <c r="A436" s="119"/>
      <c r="B436" s="183"/>
      <c r="C436" s="184"/>
      <c r="D436" s="1"/>
    </row>
    <row r="437" spans="1:4" ht="12.75" customHeight="1">
      <c r="A437" s="119"/>
      <c r="B437" s="183"/>
      <c r="C437" s="184"/>
      <c r="D437" s="1"/>
    </row>
    <row r="438" spans="1:4" ht="12.75" customHeight="1">
      <c r="A438" s="119"/>
      <c r="B438" s="183"/>
      <c r="C438" s="184"/>
      <c r="D438" s="1"/>
    </row>
    <row r="439" spans="1:4" ht="12.75" customHeight="1">
      <c r="A439" s="119"/>
      <c r="B439" s="183"/>
      <c r="C439" s="184"/>
      <c r="D439" s="1"/>
    </row>
    <row r="440" spans="1:4" ht="12.75" customHeight="1">
      <c r="A440" s="119"/>
      <c r="B440" s="183"/>
      <c r="C440" s="184"/>
      <c r="D440" s="1"/>
    </row>
    <row r="441" spans="1:4" ht="12.75" customHeight="1">
      <c r="A441" s="119"/>
      <c r="B441" s="183"/>
      <c r="C441" s="184"/>
      <c r="D441" s="1"/>
    </row>
    <row r="442" spans="1:4" ht="12.75" customHeight="1">
      <c r="A442" s="119"/>
      <c r="B442" s="183"/>
      <c r="C442" s="184"/>
      <c r="D442" s="1"/>
    </row>
    <row r="443" spans="1:4" ht="12.75" customHeight="1">
      <c r="A443" s="119"/>
      <c r="B443" s="183"/>
      <c r="C443" s="184"/>
      <c r="D443" s="1"/>
    </row>
    <row r="444" spans="1:4" ht="12.75" customHeight="1">
      <c r="A444" s="119"/>
      <c r="B444" s="183"/>
      <c r="C444" s="184"/>
      <c r="D444" s="1"/>
    </row>
    <row r="445" spans="1:4" ht="12.75" customHeight="1">
      <c r="A445" s="119"/>
      <c r="B445" s="183"/>
      <c r="C445" s="184"/>
      <c r="D445" s="1"/>
    </row>
    <row r="446" spans="1:4" ht="12.75" customHeight="1">
      <c r="A446" s="119"/>
      <c r="B446" s="183"/>
      <c r="C446" s="184"/>
      <c r="D446" s="1"/>
    </row>
    <row r="447" spans="1:4" ht="12.75" customHeight="1">
      <c r="A447" s="119"/>
      <c r="B447" s="183"/>
      <c r="C447" s="184"/>
      <c r="D447" s="1"/>
    </row>
    <row r="448" spans="1:4" ht="12.75" customHeight="1">
      <c r="A448" s="119"/>
      <c r="B448" s="183"/>
      <c r="C448" s="184"/>
      <c r="D448" s="1"/>
    </row>
    <row r="449" spans="1:4" ht="12.75" customHeight="1">
      <c r="A449" s="119"/>
      <c r="B449" s="183"/>
      <c r="C449" s="184"/>
      <c r="D449" s="1"/>
    </row>
    <row r="450" spans="1:4" ht="12.75" customHeight="1">
      <c r="A450" s="119"/>
      <c r="B450" s="183"/>
      <c r="C450" s="184"/>
      <c r="D450" s="1"/>
    </row>
    <row r="451" spans="1:4" ht="12.75" customHeight="1">
      <c r="A451" s="119"/>
      <c r="B451" s="183"/>
      <c r="C451" s="184"/>
      <c r="D451" s="1"/>
    </row>
    <row r="452" spans="1:4" ht="12.75" customHeight="1">
      <c r="A452" s="119"/>
      <c r="B452" s="183"/>
      <c r="C452" s="184"/>
      <c r="D452" s="1"/>
    </row>
    <row r="453" spans="1:4" ht="12.75" customHeight="1">
      <c r="A453" s="119"/>
      <c r="B453" s="183"/>
      <c r="C453" s="184"/>
      <c r="D453" s="1"/>
    </row>
    <row r="454" spans="1:4" ht="12.75" customHeight="1">
      <c r="A454" s="119"/>
      <c r="B454" s="183"/>
      <c r="C454" s="184"/>
      <c r="D454" s="1"/>
    </row>
    <row r="455" spans="1:4" ht="12.75" customHeight="1">
      <c r="A455" s="119"/>
      <c r="B455" s="183"/>
      <c r="C455" s="184"/>
      <c r="D455" s="1"/>
    </row>
    <row r="456" spans="1:4" ht="12.75" customHeight="1">
      <c r="A456" s="119"/>
      <c r="B456" s="183"/>
      <c r="C456" s="184"/>
      <c r="D456" s="1"/>
    </row>
    <row r="457" spans="1:4" ht="12.75" customHeight="1">
      <c r="A457" s="119"/>
      <c r="B457" s="183"/>
      <c r="C457" s="184"/>
      <c r="D457" s="1"/>
    </row>
    <row r="458" spans="1:4" ht="12.75" customHeight="1">
      <c r="A458" s="119"/>
      <c r="B458" s="183"/>
      <c r="C458" s="184"/>
      <c r="D458" s="1"/>
    </row>
    <row r="459" spans="1:4" ht="12.75" customHeight="1">
      <c r="A459" s="119"/>
      <c r="B459" s="183"/>
      <c r="C459" s="184"/>
      <c r="D459" s="1"/>
    </row>
    <row r="460" spans="1:4" ht="12.75" customHeight="1">
      <c r="A460" s="119"/>
      <c r="B460" s="183"/>
      <c r="C460" s="184"/>
      <c r="D460" s="1"/>
    </row>
    <row r="461" spans="1:4" ht="12.75" customHeight="1">
      <c r="A461" s="119"/>
      <c r="B461" s="183"/>
      <c r="C461" s="184"/>
      <c r="D461" s="1"/>
    </row>
    <row r="462" spans="1:4" ht="12.75" customHeight="1">
      <c r="A462" s="119"/>
      <c r="B462" s="183"/>
      <c r="C462" s="184"/>
      <c r="D462" s="1"/>
    </row>
    <row r="463" spans="1:4" ht="12.75" customHeight="1">
      <c r="A463" s="119"/>
      <c r="B463" s="183"/>
      <c r="C463" s="184"/>
      <c r="D463" s="1"/>
    </row>
    <row r="464" spans="1:4" ht="12.75" customHeight="1">
      <c r="A464" s="119"/>
      <c r="B464" s="183"/>
      <c r="C464" s="184"/>
      <c r="D464" s="1"/>
    </row>
    <row r="465" spans="1:4" ht="12.75" customHeight="1">
      <c r="A465" s="119"/>
      <c r="B465" s="183"/>
      <c r="C465" s="184"/>
      <c r="D465" s="1"/>
    </row>
    <row r="466" spans="1:4" ht="12.75" customHeight="1">
      <c r="A466" s="119"/>
      <c r="B466" s="183"/>
      <c r="C466" s="184"/>
      <c r="D466" s="1"/>
    </row>
    <row r="467" spans="1:4" ht="12.75" customHeight="1">
      <c r="A467" s="119"/>
      <c r="B467" s="183"/>
      <c r="C467" s="184"/>
      <c r="D467" s="1"/>
    </row>
    <row r="468" spans="1:4" ht="12.75" customHeight="1">
      <c r="A468" s="119"/>
      <c r="B468" s="183"/>
      <c r="C468" s="184"/>
      <c r="D468" s="1"/>
    </row>
    <row r="469" spans="1:4" ht="12.75" customHeight="1">
      <c r="A469" s="119"/>
      <c r="B469" s="183"/>
      <c r="C469" s="184"/>
      <c r="D469" s="1"/>
    </row>
    <row r="470" spans="1:4" ht="12.75" customHeight="1">
      <c r="A470" s="119"/>
      <c r="B470" s="183"/>
      <c r="C470" s="184"/>
      <c r="D470" s="1"/>
    </row>
    <row r="471" spans="1:4" ht="12.75" customHeight="1">
      <c r="A471" s="119"/>
      <c r="B471" s="183"/>
      <c r="C471" s="184"/>
      <c r="D471" s="1"/>
    </row>
    <row r="472" spans="1:4" ht="12.75" customHeight="1">
      <c r="A472" s="119"/>
      <c r="B472" s="183"/>
      <c r="C472" s="184"/>
      <c r="D472" s="1"/>
    </row>
    <row r="473" spans="1:4" ht="12.75" customHeight="1">
      <c r="A473" s="119"/>
      <c r="B473" s="183"/>
      <c r="C473" s="184"/>
      <c r="D473" s="1"/>
    </row>
    <row r="474" spans="1:4" ht="12.75" customHeight="1">
      <c r="A474" s="119"/>
      <c r="B474" s="183"/>
      <c r="C474" s="184"/>
      <c r="D474" s="1"/>
    </row>
    <row r="475" spans="1:4" ht="12.75" customHeight="1">
      <c r="A475" s="119"/>
      <c r="B475" s="183"/>
      <c r="C475" s="184"/>
      <c r="D475" s="1"/>
    </row>
    <row r="476" spans="1:4" ht="12.75" customHeight="1">
      <c r="A476" s="119"/>
      <c r="B476" s="183"/>
      <c r="C476" s="184"/>
      <c r="D476" s="1"/>
    </row>
    <row r="477" spans="1:4" ht="12.75" customHeight="1">
      <c r="A477" s="119"/>
      <c r="B477" s="183"/>
      <c r="C477" s="184"/>
      <c r="D477" s="1"/>
    </row>
    <row r="478" spans="1:4" ht="12.75" customHeight="1">
      <c r="A478" s="119"/>
      <c r="B478" s="183"/>
      <c r="C478" s="184"/>
      <c r="D478" s="1"/>
    </row>
    <row r="479" spans="1:4" ht="12.75" customHeight="1">
      <c r="A479" s="119"/>
      <c r="B479" s="183"/>
      <c r="C479" s="184"/>
      <c r="D479" s="1"/>
    </row>
    <row r="480" spans="1:4" ht="12.75" customHeight="1">
      <c r="A480" s="119"/>
      <c r="B480" s="183"/>
      <c r="C480" s="184"/>
      <c r="D480" s="1"/>
    </row>
    <row r="481" spans="1:4" ht="12.75" customHeight="1">
      <c r="A481" s="119"/>
      <c r="B481" s="183"/>
      <c r="C481" s="184"/>
      <c r="D481" s="1"/>
    </row>
    <row r="482" spans="1:4" ht="12.75" customHeight="1">
      <c r="A482" s="119"/>
      <c r="B482" s="183"/>
      <c r="C482" s="184"/>
      <c r="D482" s="1"/>
    </row>
    <row r="483" spans="1:4" ht="12.75" customHeight="1">
      <c r="A483" s="119"/>
      <c r="B483" s="183"/>
      <c r="C483" s="184"/>
      <c r="D483" s="1"/>
    </row>
    <row r="484" spans="1:4" ht="12.75" customHeight="1">
      <c r="A484" s="119"/>
      <c r="B484" s="183"/>
      <c r="C484" s="184"/>
      <c r="D484" s="1"/>
    </row>
    <row r="485" spans="1:4" ht="12.75" customHeight="1">
      <c r="A485" s="119"/>
      <c r="B485" s="183"/>
      <c r="C485" s="184"/>
      <c r="D485" s="1"/>
    </row>
    <row r="486" spans="1:4" ht="12.75" customHeight="1">
      <c r="A486" s="119"/>
      <c r="B486" s="183"/>
      <c r="C486" s="184"/>
      <c r="D486" s="1"/>
    </row>
    <row r="487" spans="1:4" ht="12.75" customHeight="1">
      <c r="A487" s="119"/>
      <c r="B487" s="183"/>
      <c r="C487" s="184"/>
      <c r="D487" s="1"/>
    </row>
    <row r="488" spans="1:4" ht="12.75" customHeight="1">
      <c r="A488" s="119"/>
      <c r="B488" s="183"/>
      <c r="C488" s="184"/>
      <c r="D488" s="1"/>
    </row>
    <row r="489" spans="1:4" ht="12.75" customHeight="1">
      <c r="A489" s="119"/>
      <c r="B489" s="183"/>
      <c r="C489" s="184"/>
      <c r="D489" s="1"/>
    </row>
    <row r="490" spans="1:4" ht="12.75" customHeight="1">
      <c r="A490" s="119"/>
      <c r="B490" s="183"/>
      <c r="C490" s="184"/>
      <c r="D490" s="1"/>
    </row>
    <row r="491" spans="1:4" ht="12.75" customHeight="1">
      <c r="A491" s="119"/>
      <c r="B491" s="183"/>
      <c r="C491" s="184"/>
      <c r="D491" s="1"/>
    </row>
    <row r="492" spans="1:4" ht="12.75" customHeight="1">
      <c r="A492" s="119"/>
      <c r="B492" s="183"/>
      <c r="C492" s="184"/>
      <c r="D492" s="1"/>
    </row>
    <row r="493" spans="1:4" ht="12.75" customHeight="1">
      <c r="A493" s="119"/>
      <c r="B493" s="183"/>
      <c r="C493" s="184"/>
      <c r="D493" s="1"/>
    </row>
    <row r="494" spans="1:4" ht="12.75" customHeight="1">
      <c r="A494" s="119"/>
      <c r="B494" s="183"/>
      <c r="C494" s="184"/>
      <c r="D494" s="1"/>
    </row>
    <row r="495" spans="1:4" ht="12.75" customHeight="1">
      <c r="A495" s="119"/>
      <c r="B495" s="183"/>
      <c r="C495" s="184"/>
      <c r="D495" s="1"/>
    </row>
    <row r="496" spans="1:4" ht="12.75" customHeight="1">
      <c r="A496" s="119"/>
      <c r="B496" s="183"/>
      <c r="C496" s="184"/>
      <c r="D496" s="1"/>
    </row>
    <row r="497" spans="1:4" ht="12.75" customHeight="1">
      <c r="A497" s="119"/>
      <c r="B497" s="183"/>
      <c r="C497" s="184"/>
      <c r="D497" s="1"/>
    </row>
    <row r="498" spans="1:4" ht="12.75" customHeight="1">
      <c r="A498" s="119"/>
      <c r="B498" s="183"/>
      <c r="C498" s="184"/>
      <c r="D498" s="1"/>
    </row>
    <row r="499" spans="1:4" ht="12.75" customHeight="1">
      <c r="A499" s="119"/>
      <c r="B499" s="183"/>
      <c r="C499" s="184"/>
      <c r="D499" s="1"/>
    </row>
    <row r="500" spans="1:4" ht="12.75" customHeight="1">
      <c r="A500" s="119"/>
      <c r="B500" s="183"/>
      <c r="C500" s="184"/>
      <c r="D500" s="1"/>
    </row>
    <row r="501" spans="1:4" ht="12.75" customHeight="1">
      <c r="A501" s="119"/>
      <c r="B501" s="183"/>
      <c r="C501" s="184"/>
      <c r="D501" s="1"/>
    </row>
    <row r="502" spans="1:4" ht="12.75" customHeight="1">
      <c r="A502" s="119"/>
      <c r="B502" s="183"/>
      <c r="C502" s="184"/>
      <c r="D502" s="1"/>
    </row>
    <row r="503" spans="1:4" ht="12.75" customHeight="1">
      <c r="A503" s="119"/>
      <c r="B503" s="183"/>
      <c r="C503" s="184"/>
      <c r="D503" s="1"/>
    </row>
    <row r="504" spans="1:4" ht="12.75" customHeight="1">
      <c r="A504" s="119"/>
      <c r="B504" s="183"/>
      <c r="C504" s="184"/>
      <c r="D504" s="1"/>
    </row>
    <row r="505" spans="1:4" ht="12.75" customHeight="1">
      <c r="A505" s="119"/>
      <c r="B505" s="183"/>
      <c r="C505" s="184"/>
      <c r="D505" s="1"/>
    </row>
    <row r="506" spans="1:4" ht="12.75" customHeight="1">
      <c r="A506" s="119"/>
      <c r="B506" s="183"/>
      <c r="C506" s="184"/>
      <c r="D506" s="1"/>
    </row>
    <row r="507" spans="1:4" ht="12.75" customHeight="1">
      <c r="A507" s="119"/>
      <c r="B507" s="183"/>
      <c r="C507" s="184"/>
      <c r="D507" s="1"/>
    </row>
    <row r="508" spans="1:4" ht="12.75" customHeight="1">
      <c r="A508" s="119"/>
      <c r="B508" s="183"/>
      <c r="C508" s="184"/>
      <c r="D508" s="1"/>
    </row>
    <row r="509" spans="1:4" ht="12.75" customHeight="1">
      <c r="A509" s="119"/>
      <c r="B509" s="183"/>
      <c r="C509" s="184"/>
      <c r="D509" s="1"/>
    </row>
    <row r="510" spans="1:4" ht="12.75" customHeight="1">
      <c r="A510" s="119"/>
      <c r="B510" s="183"/>
      <c r="C510" s="184"/>
      <c r="D510" s="1"/>
    </row>
    <row r="511" spans="1:4" ht="12.75" customHeight="1">
      <c r="A511" s="119"/>
      <c r="B511" s="183"/>
      <c r="C511" s="184"/>
      <c r="D511" s="1"/>
    </row>
    <row r="512" spans="1:4" ht="12.75" customHeight="1">
      <c r="A512" s="119"/>
      <c r="B512" s="183"/>
      <c r="C512" s="184"/>
      <c r="D512" s="1"/>
    </row>
    <row r="513" spans="1:4" ht="12.75" customHeight="1">
      <c r="A513" s="119"/>
      <c r="B513" s="183"/>
      <c r="C513" s="184"/>
      <c r="D513" s="1"/>
    </row>
    <row r="514" spans="1:4" ht="12.75" customHeight="1">
      <c r="A514" s="119"/>
      <c r="B514" s="183"/>
      <c r="C514" s="184"/>
      <c r="D514" s="1"/>
    </row>
    <row r="515" spans="1:4" ht="12.75" customHeight="1">
      <c r="A515" s="119"/>
      <c r="B515" s="183"/>
      <c r="C515" s="184"/>
      <c r="D515" s="1"/>
    </row>
    <row r="516" spans="1:4" ht="12.75" customHeight="1">
      <c r="A516" s="119"/>
      <c r="B516" s="183"/>
      <c r="C516" s="184"/>
      <c r="D516" s="1"/>
    </row>
    <row r="517" spans="1:4" ht="12.75" customHeight="1">
      <c r="A517" s="119"/>
      <c r="B517" s="183"/>
      <c r="C517" s="184"/>
      <c r="D517" s="1"/>
    </row>
    <row r="518" spans="1:4" ht="12.75" customHeight="1">
      <c r="A518" s="119"/>
      <c r="B518" s="183"/>
      <c r="C518" s="184"/>
      <c r="D518" s="1"/>
    </row>
    <row r="519" spans="1:4" ht="12.75" customHeight="1">
      <c r="A519" s="119"/>
      <c r="B519" s="183"/>
      <c r="C519" s="184"/>
      <c r="D519" s="1"/>
    </row>
    <row r="520" spans="1:4" ht="12.75" customHeight="1">
      <c r="A520" s="119"/>
      <c r="B520" s="183"/>
      <c r="C520" s="184"/>
      <c r="D520" s="1"/>
    </row>
    <row r="521" spans="1:4" ht="12.75" customHeight="1">
      <c r="A521" s="119"/>
      <c r="B521" s="183"/>
      <c r="C521" s="184"/>
      <c r="D521" s="1"/>
    </row>
    <row r="522" spans="1:4" ht="12.75" customHeight="1">
      <c r="A522" s="119"/>
      <c r="B522" s="183"/>
      <c r="C522" s="184"/>
      <c r="D522" s="1"/>
    </row>
    <row r="523" spans="1:4" ht="12.75" customHeight="1">
      <c r="A523" s="119"/>
      <c r="B523" s="183"/>
      <c r="C523" s="184"/>
      <c r="D523" s="1"/>
    </row>
    <row r="524" spans="1:4" ht="12.75" customHeight="1">
      <c r="A524" s="119"/>
      <c r="B524" s="183"/>
      <c r="C524" s="184"/>
      <c r="D524" s="1"/>
    </row>
    <row r="525" spans="1:4" ht="12.75" customHeight="1">
      <c r="A525" s="119"/>
      <c r="B525" s="183"/>
      <c r="C525" s="184"/>
      <c r="D525" s="1"/>
    </row>
    <row r="526" spans="1:4" ht="12.75" customHeight="1">
      <c r="A526" s="119"/>
      <c r="B526" s="183"/>
      <c r="C526" s="184"/>
      <c r="D526" s="1"/>
    </row>
    <row r="527" spans="1:4" ht="12.75" customHeight="1">
      <c r="A527" s="119"/>
      <c r="B527" s="183"/>
      <c r="C527" s="184"/>
      <c r="D527" s="1"/>
    </row>
    <row r="528" spans="1:4" ht="12.75" customHeight="1">
      <c r="A528" s="119"/>
      <c r="B528" s="183"/>
      <c r="C528" s="184"/>
      <c r="D528" s="1"/>
    </row>
    <row r="529" spans="1:4" ht="12.75" customHeight="1">
      <c r="A529" s="119"/>
      <c r="B529" s="183"/>
      <c r="C529" s="184"/>
      <c r="D529" s="1"/>
    </row>
    <row r="530" spans="1:4" ht="12.75" customHeight="1">
      <c r="A530" s="119"/>
      <c r="B530" s="183"/>
      <c r="C530" s="184"/>
      <c r="D530" s="1"/>
    </row>
    <row r="531" spans="1:4" ht="12.75" customHeight="1">
      <c r="A531" s="119"/>
      <c r="B531" s="183"/>
      <c r="C531" s="184"/>
      <c r="D531" s="1"/>
    </row>
    <row r="532" spans="1:4" ht="12.75" customHeight="1">
      <c r="A532" s="119"/>
      <c r="B532" s="183"/>
      <c r="C532" s="184"/>
      <c r="D532" s="1"/>
    </row>
    <row r="533" spans="1:4" ht="12.75" customHeight="1">
      <c r="A533" s="119"/>
      <c r="B533" s="183"/>
      <c r="C533" s="184"/>
      <c r="D533" s="1"/>
    </row>
    <row r="534" spans="1:4" ht="12.75" customHeight="1">
      <c r="A534" s="119"/>
      <c r="B534" s="183"/>
      <c r="C534" s="184"/>
      <c r="D534" s="1"/>
    </row>
    <row r="535" spans="1:4" ht="12.75" customHeight="1">
      <c r="A535" s="119"/>
      <c r="B535" s="183"/>
      <c r="C535" s="184"/>
      <c r="D535" s="1"/>
    </row>
    <row r="536" spans="1:4" ht="12.75" customHeight="1">
      <c r="A536" s="119"/>
      <c r="B536" s="183"/>
      <c r="C536" s="184"/>
      <c r="D536" s="1"/>
    </row>
    <row r="537" spans="1:4" ht="12.75" customHeight="1">
      <c r="A537" s="119"/>
      <c r="B537" s="183"/>
      <c r="C537" s="184"/>
      <c r="D537" s="1"/>
    </row>
    <row r="538" spans="1:4" ht="12.75" customHeight="1">
      <c r="A538" s="119"/>
      <c r="B538" s="183"/>
      <c r="C538" s="184"/>
      <c r="D538" s="1"/>
    </row>
    <row r="539" spans="1:4" ht="12.75" customHeight="1">
      <c r="A539" s="119"/>
      <c r="B539" s="183"/>
      <c r="C539" s="184"/>
      <c r="D539" s="1"/>
    </row>
    <row r="540" spans="1:4" ht="12.75" customHeight="1">
      <c r="A540" s="119"/>
      <c r="B540" s="183"/>
      <c r="C540" s="184"/>
      <c r="D540" s="1"/>
    </row>
    <row r="541" spans="1:4" ht="12.75" customHeight="1">
      <c r="A541" s="119"/>
      <c r="B541" s="183"/>
      <c r="C541" s="184"/>
      <c r="D541" s="1"/>
    </row>
    <row r="542" spans="1:4" ht="12.75" customHeight="1">
      <c r="A542" s="119"/>
      <c r="B542" s="183"/>
      <c r="C542" s="184"/>
      <c r="D542" s="1"/>
    </row>
    <row r="543" spans="1:4" ht="12.75" customHeight="1">
      <c r="A543" s="119"/>
      <c r="B543" s="183"/>
      <c r="C543" s="184"/>
      <c r="D543" s="1"/>
    </row>
    <row r="544" spans="1:4" ht="12.75" customHeight="1">
      <c r="A544" s="119"/>
      <c r="B544" s="183"/>
      <c r="C544" s="184"/>
      <c r="D544" s="1"/>
    </row>
    <row r="545" spans="1:4" ht="12.75" customHeight="1">
      <c r="A545" s="119"/>
      <c r="B545" s="183"/>
      <c r="C545" s="184"/>
      <c r="D545" s="1"/>
    </row>
    <row r="546" spans="1:4" ht="12.75" customHeight="1">
      <c r="A546" s="119"/>
      <c r="B546" s="183"/>
      <c r="C546" s="184"/>
      <c r="D546" s="1"/>
    </row>
    <row r="547" spans="1:4" ht="12.75" customHeight="1">
      <c r="A547" s="119"/>
      <c r="B547" s="183"/>
      <c r="C547" s="184"/>
      <c r="D547" s="1"/>
    </row>
    <row r="548" spans="1:4" ht="12.75" customHeight="1">
      <c r="A548" s="119"/>
      <c r="B548" s="183"/>
      <c r="C548" s="184"/>
      <c r="D548" s="1"/>
    </row>
    <row r="549" spans="1:4" ht="12.75" customHeight="1">
      <c r="A549" s="119"/>
      <c r="B549" s="183"/>
      <c r="C549" s="184"/>
      <c r="D549" s="1"/>
    </row>
    <row r="550" spans="1:4" ht="12.75" customHeight="1">
      <c r="A550" s="119"/>
      <c r="B550" s="183"/>
      <c r="C550" s="184"/>
      <c r="D550" s="1"/>
    </row>
    <row r="551" spans="1:4" ht="12.75" customHeight="1">
      <c r="A551" s="119"/>
      <c r="B551" s="183"/>
      <c r="C551" s="184"/>
      <c r="D551" s="1"/>
    </row>
    <row r="552" spans="1:4" ht="12.75" customHeight="1">
      <c r="A552" s="119"/>
      <c r="B552" s="183"/>
      <c r="C552" s="184"/>
      <c r="D552" s="1"/>
    </row>
    <row r="553" spans="1:4" ht="12.75" customHeight="1">
      <c r="A553" s="119"/>
      <c r="B553" s="183"/>
      <c r="C553" s="184"/>
      <c r="D553" s="1"/>
    </row>
    <row r="554" spans="1:4" ht="12.75" customHeight="1">
      <c r="A554" s="119"/>
      <c r="B554" s="183"/>
      <c r="C554" s="184"/>
      <c r="D554" s="1"/>
    </row>
    <row r="555" spans="1:4" ht="12.75" customHeight="1">
      <c r="A555" s="119"/>
      <c r="B555" s="183"/>
      <c r="C555" s="184"/>
      <c r="D555" s="1"/>
    </row>
    <row r="556" spans="1:4" ht="12.75" customHeight="1">
      <c r="A556" s="119"/>
      <c r="B556" s="183"/>
      <c r="C556" s="184"/>
      <c r="D556" s="1"/>
    </row>
    <row r="557" spans="1:4" ht="12.75" customHeight="1">
      <c r="A557" s="119"/>
      <c r="B557" s="183"/>
      <c r="C557" s="184"/>
      <c r="D557" s="1"/>
    </row>
    <row r="558" spans="1:4" ht="12.75" customHeight="1">
      <c r="A558" s="119"/>
      <c r="B558" s="183"/>
      <c r="C558" s="184"/>
      <c r="D558" s="1"/>
    </row>
    <row r="559" spans="1:4" ht="12.75" customHeight="1">
      <c r="A559" s="119"/>
      <c r="B559" s="183"/>
      <c r="C559" s="184"/>
      <c r="D559" s="1"/>
    </row>
    <row r="560" spans="1:4" ht="12.75" customHeight="1">
      <c r="A560" s="119"/>
      <c r="B560" s="183"/>
      <c r="C560" s="184"/>
      <c r="D560" s="1"/>
    </row>
    <row r="561" spans="1:4" ht="12.75" customHeight="1">
      <c r="A561" s="119"/>
      <c r="B561" s="183"/>
      <c r="C561" s="184"/>
      <c r="D561" s="1"/>
    </row>
    <row r="562" spans="1:4" ht="12.75" customHeight="1">
      <c r="A562" s="119"/>
      <c r="B562" s="183"/>
      <c r="C562" s="184"/>
      <c r="D562" s="1"/>
    </row>
    <row r="563" spans="1:4" ht="12.75" customHeight="1">
      <c r="A563" s="119"/>
      <c r="B563" s="183"/>
      <c r="C563" s="184"/>
      <c r="D563" s="1"/>
    </row>
    <row r="564" spans="1:4" ht="12.75" customHeight="1">
      <c r="A564" s="119"/>
      <c r="B564" s="183"/>
      <c r="C564" s="184"/>
      <c r="D564" s="1"/>
    </row>
    <row r="565" spans="1:4" ht="12.75" customHeight="1">
      <c r="A565" s="119"/>
      <c r="B565" s="183"/>
      <c r="C565" s="184"/>
      <c r="D565" s="1"/>
    </row>
    <row r="566" spans="1:4" ht="12.75" customHeight="1">
      <c r="A566" s="119"/>
      <c r="B566" s="183"/>
      <c r="C566" s="184"/>
      <c r="D566" s="1"/>
    </row>
    <row r="567" spans="1:4" ht="12.75" customHeight="1">
      <c r="A567" s="119"/>
      <c r="B567" s="183"/>
      <c r="C567" s="184"/>
      <c r="D567" s="1"/>
    </row>
    <row r="568" spans="1:4" ht="12.75" customHeight="1">
      <c r="A568" s="119"/>
      <c r="B568" s="183"/>
      <c r="C568" s="184"/>
      <c r="D568" s="1"/>
    </row>
    <row r="569" spans="1:4" ht="12.75" customHeight="1">
      <c r="A569" s="119"/>
      <c r="B569" s="183"/>
      <c r="C569" s="184"/>
      <c r="D569" s="1"/>
    </row>
    <row r="570" spans="1:4" ht="12.75" customHeight="1">
      <c r="A570" s="119"/>
      <c r="B570" s="183"/>
      <c r="C570" s="184"/>
      <c r="D570" s="1"/>
    </row>
    <row r="571" spans="1:4" ht="12.75" customHeight="1">
      <c r="A571" s="119"/>
      <c r="B571" s="183"/>
      <c r="C571" s="184"/>
      <c r="D571" s="1"/>
    </row>
    <row r="572" spans="1:4" ht="12.75" customHeight="1">
      <c r="A572" s="119"/>
      <c r="B572" s="183"/>
      <c r="C572" s="184"/>
      <c r="D572" s="1"/>
    </row>
    <row r="573" spans="1:4" ht="12.75" customHeight="1">
      <c r="A573" s="119"/>
      <c r="B573" s="183"/>
      <c r="C573" s="184"/>
      <c r="D573" s="1"/>
    </row>
    <row r="574" spans="1:4" ht="12.75" customHeight="1">
      <c r="A574" s="119"/>
      <c r="B574" s="183"/>
      <c r="C574" s="184"/>
      <c r="D574" s="1"/>
    </row>
    <row r="575" spans="1:4" ht="12.75" customHeight="1">
      <c r="A575" s="119"/>
      <c r="B575" s="183"/>
      <c r="C575" s="184"/>
      <c r="D575" s="1"/>
    </row>
    <row r="576" spans="1:4" ht="12.75" customHeight="1">
      <c r="A576" s="119"/>
      <c r="B576" s="183"/>
      <c r="C576" s="184"/>
      <c r="D576" s="1"/>
    </row>
    <row r="577" spans="1:4" ht="12.75" customHeight="1">
      <c r="A577" s="119"/>
      <c r="B577" s="183"/>
      <c r="C577" s="184"/>
      <c r="D577" s="1"/>
    </row>
    <row r="578" spans="1:4" ht="12.75" customHeight="1">
      <c r="A578" s="119"/>
      <c r="B578" s="183"/>
      <c r="C578" s="184"/>
      <c r="D578" s="1"/>
    </row>
    <row r="579" spans="1:4" ht="12.75" customHeight="1">
      <c r="A579" s="119"/>
      <c r="B579" s="183"/>
      <c r="C579" s="184"/>
      <c r="D579" s="1"/>
    </row>
    <row r="580" spans="1:4" ht="12.75" customHeight="1">
      <c r="A580" s="119"/>
      <c r="B580" s="183"/>
      <c r="C580" s="184"/>
      <c r="D580" s="1"/>
    </row>
    <row r="581" spans="1:4" ht="12.75" customHeight="1">
      <c r="A581" s="119"/>
      <c r="B581" s="183"/>
      <c r="C581" s="184"/>
      <c r="D581" s="1"/>
    </row>
    <row r="582" spans="1:4" ht="12.75" customHeight="1">
      <c r="A582" s="119"/>
      <c r="B582" s="183"/>
      <c r="C582" s="184"/>
      <c r="D582" s="1"/>
    </row>
    <row r="583" spans="1:4" ht="12.75" customHeight="1">
      <c r="A583" s="119"/>
      <c r="B583" s="183"/>
      <c r="C583" s="184"/>
      <c r="D583" s="1"/>
    </row>
    <row r="584" spans="1:4" ht="12.75" customHeight="1">
      <c r="A584" s="119"/>
      <c r="B584" s="183"/>
      <c r="C584" s="184"/>
      <c r="D584" s="1"/>
    </row>
    <row r="585" spans="1:4" ht="12.75" customHeight="1">
      <c r="A585" s="119"/>
      <c r="B585" s="183"/>
      <c r="C585" s="184"/>
      <c r="D585" s="1"/>
    </row>
    <row r="586" spans="1:4" ht="12.75" customHeight="1">
      <c r="A586" s="119"/>
      <c r="B586" s="183"/>
      <c r="C586" s="184"/>
      <c r="D586" s="1"/>
    </row>
    <row r="587" spans="1:4" ht="12.75" customHeight="1">
      <c r="A587" s="119"/>
      <c r="B587" s="183"/>
      <c r="C587" s="184"/>
      <c r="D587" s="1"/>
    </row>
    <row r="588" spans="1:4" ht="12.75" customHeight="1">
      <c r="A588" s="119"/>
      <c r="B588" s="183"/>
      <c r="C588" s="184"/>
      <c r="D588" s="1"/>
    </row>
    <row r="589" spans="1:4" ht="12.75" customHeight="1">
      <c r="A589" s="119"/>
      <c r="B589" s="183"/>
      <c r="C589" s="184"/>
      <c r="D589" s="1"/>
    </row>
    <row r="590" spans="1:4" ht="12.75" customHeight="1">
      <c r="A590" s="119"/>
      <c r="B590" s="183"/>
      <c r="C590" s="184"/>
      <c r="D590" s="1"/>
    </row>
    <row r="591" spans="1:4" ht="12.75" customHeight="1">
      <c r="A591" s="119"/>
      <c r="B591" s="183"/>
      <c r="C591" s="184"/>
      <c r="D591" s="1"/>
    </row>
    <row r="592" spans="1:4" ht="12.75" customHeight="1">
      <c r="A592" s="119"/>
      <c r="B592" s="183"/>
      <c r="C592" s="184"/>
      <c r="D592" s="1"/>
    </row>
    <row r="593" spans="1:4" ht="12.75" customHeight="1">
      <c r="A593" s="119"/>
      <c r="B593" s="183"/>
      <c r="C593" s="184"/>
      <c r="D593" s="1"/>
    </row>
    <row r="594" spans="1:4" ht="12.75" customHeight="1">
      <c r="A594" s="119"/>
      <c r="B594" s="183"/>
      <c r="C594" s="184"/>
      <c r="D594" s="1"/>
    </row>
    <row r="595" spans="1:4" ht="12.75" customHeight="1">
      <c r="A595" s="119"/>
      <c r="B595" s="183"/>
      <c r="C595" s="184"/>
      <c r="D595" s="1"/>
    </row>
    <row r="596" spans="1:4" ht="12.75" customHeight="1">
      <c r="A596" s="119"/>
      <c r="B596" s="183"/>
      <c r="C596" s="184"/>
      <c r="D596" s="1"/>
    </row>
    <row r="597" spans="1:4" ht="12.75" customHeight="1">
      <c r="A597" s="119"/>
      <c r="B597" s="183"/>
      <c r="C597" s="184"/>
      <c r="D597" s="1"/>
    </row>
    <row r="598" spans="1:4" ht="12.75" customHeight="1">
      <c r="A598" s="119"/>
      <c r="B598" s="183"/>
      <c r="C598" s="184"/>
      <c r="D598" s="1"/>
    </row>
    <row r="599" spans="1:4" ht="12.75" customHeight="1">
      <c r="A599" s="119"/>
      <c r="B599" s="183"/>
      <c r="C599" s="184"/>
      <c r="D599" s="1"/>
    </row>
    <row r="600" spans="1:4" ht="12.75" customHeight="1">
      <c r="A600" s="119"/>
      <c r="B600" s="183"/>
      <c r="C600" s="184"/>
      <c r="D600" s="1"/>
    </row>
    <row r="601" spans="1:4" ht="12.75" customHeight="1">
      <c r="A601" s="119"/>
      <c r="B601" s="183"/>
      <c r="C601" s="184"/>
      <c r="D601" s="1"/>
    </row>
    <row r="602" spans="1:4" ht="12.75" customHeight="1">
      <c r="A602" s="119"/>
      <c r="B602" s="183"/>
      <c r="C602" s="184"/>
      <c r="D602" s="1"/>
    </row>
    <row r="603" spans="1:4" ht="12.75" customHeight="1">
      <c r="A603" s="119"/>
      <c r="B603" s="183"/>
      <c r="C603" s="184"/>
      <c r="D603" s="1"/>
    </row>
    <row r="604" spans="1:4" ht="12.75" customHeight="1">
      <c r="A604" s="119"/>
      <c r="B604" s="183"/>
      <c r="C604" s="184"/>
      <c r="D604" s="1"/>
    </row>
    <row r="605" spans="1:4" ht="12.75" customHeight="1">
      <c r="A605" s="119"/>
      <c r="B605" s="183"/>
      <c r="C605" s="184"/>
      <c r="D605" s="1"/>
    </row>
    <row r="606" spans="1:4" ht="12.75" customHeight="1">
      <c r="A606" s="119"/>
      <c r="B606" s="183"/>
      <c r="C606" s="184"/>
      <c r="D606" s="1"/>
    </row>
    <row r="607" spans="1:4" ht="12.75" customHeight="1">
      <c r="A607" s="119"/>
      <c r="B607" s="183"/>
      <c r="C607" s="184"/>
      <c r="D607" s="1"/>
    </row>
    <row r="608" spans="1:4" ht="12.75" customHeight="1">
      <c r="A608" s="119"/>
      <c r="B608" s="183"/>
      <c r="C608" s="184"/>
      <c r="D608" s="1"/>
    </row>
    <row r="609" spans="1:4" ht="12.75" customHeight="1">
      <c r="A609" s="119"/>
      <c r="B609" s="183"/>
      <c r="C609" s="184"/>
      <c r="D609" s="1"/>
    </row>
    <row r="610" spans="1:4" ht="12.75" customHeight="1">
      <c r="A610" s="119"/>
      <c r="B610" s="183"/>
      <c r="C610" s="184"/>
      <c r="D610" s="1"/>
    </row>
    <row r="611" spans="1:4" ht="12.75" customHeight="1">
      <c r="A611" s="119"/>
      <c r="B611" s="183"/>
      <c r="C611" s="184"/>
      <c r="D611" s="1"/>
    </row>
    <row r="612" spans="1:4" ht="12.75" customHeight="1">
      <c r="A612" s="119"/>
      <c r="B612" s="183"/>
      <c r="C612" s="184"/>
      <c r="D612" s="1"/>
    </row>
    <row r="613" spans="1:4" ht="12.75" customHeight="1">
      <c r="A613" s="119"/>
      <c r="B613" s="183"/>
      <c r="C613" s="184"/>
      <c r="D613" s="1"/>
    </row>
    <row r="614" spans="1:4" ht="12.75" customHeight="1">
      <c r="A614" s="119"/>
      <c r="B614" s="183"/>
      <c r="C614" s="184"/>
      <c r="D614" s="1"/>
    </row>
    <row r="615" spans="1:4" ht="12.75" customHeight="1">
      <c r="A615" s="119"/>
      <c r="B615" s="183"/>
      <c r="C615" s="184"/>
      <c r="D615" s="1"/>
    </row>
    <row r="616" spans="1:4" ht="12.75" customHeight="1">
      <c r="A616" s="119"/>
      <c r="B616" s="183"/>
      <c r="C616" s="184"/>
      <c r="D616" s="1"/>
    </row>
    <row r="617" spans="1:4" ht="12.75" customHeight="1">
      <c r="A617" s="119"/>
      <c r="B617" s="183"/>
      <c r="C617" s="184"/>
      <c r="D617" s="1"/>
    </row>
    <row r="618" spans="1:4" ht="12.75" customHeight="1">
      <c r="A618" s="119"/>
      <c r="B618" s="183"/>
      <c r="C618" s="184"/>
      <c r="D618" s="1"/>
    </row>
    <row r="619" spans="1:4" ht="12.75" customHeight="1">
      <c r="A619" s="119"/>
      <c r="B619" s="183"/>
      <c r="C619" s="184"/>
      <c r="D619" s="1"/>
    </row>
    <row r="620" spans="1:4" ht="12.75" customHeight="1">
      <c r="A620" s="119"/>
      <c r="B620" s="183"/>
      <c r="C620" s="184"/>
      <c r="D620" s="1"/>
    </row>
    <row r="621" spans="1:4" ht="12.75" customHeight="1">
      <c r="A621" s="119"/>
      <c r="B621" s="183"/>
      <c r="C621" s="184"/>
      <c r="D621" s="1"/>
    </row>
    <row r="622" spans="1:4" ht="12.75" customHeight="1">
      <c r="A622" s="119"/>
      <c r="B622" s="183"/>
      <c r="C622" s="184"/>
      <c r="D622" s="1"/>
    </row>
    <row r="623" spans="1:4" ht="12.75" customHeight="1">
      <c r="A623" s="119"/>
      <c r="B623" s="183"/>
      <c r="C623" s="184"/>
      <c r="D623" s="1"/>
    </row>
    <row r="624" spans="1:4" ht="12.75" customHeight="1">
      <c r="A624" s="119"/>
      <c r="B624" s="183"/>
      <c r="C624" s="184"/>
      <c r="D624" s="1"/>
    </row>
    <row r="625" spans="1:4" ht="12.75" customHeight="1">
      <c r="A625" s="119"/>
      <c r="B625" s="183"/>
      <c r="C625" s="184"/>
      <c r="D625" s="1"/>
    </row>
    <row r="626" spans="1:4" ht="12.75" customHeight="1">
      <c r="A626" s="119"/>
      <c r="B626" s="183"/>
      <c r="C626" s="184"/>
      <c r="D626" s="1"/>
    </row>
    <row r="627" spans="1:4" ht="12.75" customHeight="1">
      <c r="A627" s="119"/>
      <c r="B627" s="183"/>
      <c r="C627" s="184"/>
      <c r="D627" s="1"/>
    </row>
    <row r="628" spans="1:4" ht="12.75" customHeight="1">
      <c r="A628" s="119"/>
      <c r="B628" s="183"/>
      <c r="C628" s="184"/>
      <c r="D628" s="1"/>
    </row>
    <row r="629" spans="1:4" ht="12.75" customHeight="1">
      <c r="A629" s="119"/>
      <c r="B629" s="183"/>
      <c r="C629" s="184"/>
      <c r="D629" s="1"/>
    </row>
    <row r="630" spans="1:4" ht="12.75" customHeight="1">
      <c r="A630" s="119"/>
      <c r="B630" s="183"/>
      <c r="C630" s="184"/>
      <c r="D630" s="1"/>
    </row>
    <row r="631" spans="1:4" ht="12.75" customHeight="1">
      <c r="A631" s="119"/>
      <c r="B631" s="183"/>
      <c r="C631" s="184"/>
      <c r="D631" s="1"/>
    </row>
    <row r="632" spans="1:4" ht="12.75" customHeight="1">
      <c r="A632" s="119"/>
      <c r="B632" s="183"/>
      <c r="C632" s="184"/>
      <c r="D632" s="1"/>
    </row>
    <row r="633" spans="1:4" ht="12.75" customHeight="1">
      <c r="A633" s="119"/>
      <c r="B633" s="183"/>
      <c r="C633" s="184"/>
      <c r="D633" s="1"/>
    </row>
    <row r="634" spans="1:4" ht="12.75" customHeight="1">
      <c r="A634" s="119"/>
      <c r="B634" s="183"/>
      <c r="C634" s="184"/>
      <c r="D634" s="1"/>
    </row>
    <row r="635" spans="1:4" ht="12.75" customHeight="1">
      <c r="A635" s="119"/>
      <c r="B635" s="183"/>
      <c r="C635" s="184"/>
      <c r="D635" s="1"/>
    </row>
    <row r="636" spans="1:4" ht="12.75" customHeight="1">
      <c r="A636" s="119"/>
      <c r="B636" s="183"/>
      <c r="C636" s="184"/>
      <c r="D636" s="1"/>
    </row>
    <row r="637" spans="1:4" ht="12.75" customHeight="1">
      <c r="A637" s="119"/>
      <c r="B637" s="183"/>
      <c r="C637" s="184"/>
      <c r="D637" s="1"/>
    </row>
    <row r="638" spans="1:4" ht="12.75" customHeight="1">
      <c r="A638" s="119"/>
      <c r="B638" s="183"/>
      <c r="C638" s="184"/>
      <c r="D638" s="1"/>
    </row>
    <row r="639" spans="1:4" ht="12.75" customHeight="1">
      <c r="A639" s="119"/>
      <c r="B639" s="183"/>
      <c r="C639" s="184"/>
      <c r="D639" s="1"/>
    </row>
    <row r="640" spans="1:4" ht="12.75" customHeight="1">
      <c r="A640" s="119"/>
      <c r="B640" s="183"/>
      <c r="C640" s="184"/>
      <c r="D640" s="1"/>
    </row>
    <row r="641" spans="1:4" ht="12.75" customHeight="1">
      <c r="A641" s="119"/>
      <c r="B641" s="183"/>
      <c r="C641" s="184"/>
      <c r="D641" s="1"/>
    </row>
    <row r="642" spans="1:4" ht="12.75" customHeight="1">
      <c r="A642" s="119"/>
      <c r="B642" s="183"/>
      <c r="C642" s="184"/>
      <c r="D642" s="1"/>
    </row>
    <row r="643" spans="1:4" ht="12.75" customHeight="1">
      <c r="A643" s="119"/>
      <c r="B643" s="183"/>
      <c r="C643" s="184"/>
      <c r="D643" s="1"/>
    </row>
    <row r="644" spans="1:4" ht="12.75" customHeight="1">
      <c r="A644" s="119"/>
      <c r="B644" s="183"/>
      <c r="C644" s="184"/>
      <c r="D644" s="1"/>
    </row>
    <row r="645" spans="1:4" ht="12.75" customHeight="1">
      <c r="A645" s="119"/>
      <c r="B645" s="183"/>
      <c r="C645" s="184"/>
      <c r="D645" s="1"/>
    </row>
    <row r="646" spans="1:4" ht="12.75" customHeight="1">
      <c r="A646" s="119"/>
      <c r="B646" s="183"/>
      <c r="C646" s="184"/>
      <c r="D646" s="1"/>
    </row>
    <row r="647" spans="1:4" ht="12.75" customHeight="1">
      <c r="A647" s="119"/>
      <c r="B647" s="183"/>
      <c r="C647" s="184"/>
      <c r="D647" s="1"/>
    </row>
    <row r="648" spans="1:4" ht="12.75" customHeight="1">
      <c r="A648" s="119"/>
      <c r="B648" s="183"/>
      <c r="C648" s="184"/>
      <c r="D648" s="1"/>
    </row>
    <row r="649" spans="1:4" ht="12.75" customHeight="1">
      <c r="A649" s="119"/>
      <c r="B649" s="183"/>
      <c r="C649" s="184"/>
      <c r="D649" s="1"/>
    </row>
    <row r="650" spans="1:4" ht="12.75" customHeight="1">
      <c r="A650" s="119"/>
      <c r="B650" s="183"/>
      <c r="C650" s="184"/>
      <c r="D650" s="1"/>
    </row>
    <row r="651" spans="1:4" ht="12.75" customHeight="1">
      <c r="A651" s="119"/>
      <c r="B651" s="183"/>
      <c r="C651" s="184"/>
      <c r="D651" s="1"/>
    </row>
    <row r="652" spans="1:4" ht="12.75" customHeight="1">
      <c r="A652" s="119"/>
      <c r="B652" s="183"/>
      <c r="C652" s="184"/>
      <c r="D652" s="1"/>
    </row>
    <row r="653" spans="1:4" ht="12.75" customHeight="1">
      <c r="A653" s="119"/>
      <c r="B653" s="183"/>
      <c r="C653" s="184"/>
      <c r="D653" s="1"/>
    </row>
    <row r="654" spans="1:4" ht="12.75" customHeight="1">
      <c r="A654" s="119"/>
      <c r="B654" s="183"/>
      <c r="C654" s="184"/>
      <c r="D654" s="1"/>
    </row>
    <row r="655" spans="1:4" ht="12.75" customHeight="1">
      <c r="A655" s="119"/>
      <c r="B655" s="183"/>
      <c r="C655" s="184"/>
      <c r="D655" s="1"/>
    </row>
    <row r="656" spans="1:4" ht="12.75" customHeight="1">
      <c r="A656" s="119"/>
      <c r="B656" s="183"/>
      <c r="C656" s="184"/>
      <c r="D656" s="1"/>
    </row>
    <row r="657" spans="1:4" ht="12.75" customHeight="1">
      <c r="A657" s="119"/>
      <c r="B657" s="183"/>
      <c r="C657" s="184"/>
      <c r="D657" s="1"/>
    </row>
    <row r="658" spans="1:4" ht="12.75" customHeight="1">
      <c r="A658" s="119"/>
      <c r="B658" s="183"/>
      <c r="C658" s="184"/>
      <c r="D658" s="1"/>
    </row>
    <row r="659" spans="1:4" ht="12.75" customHeight="1">
      <c r="A659" s="119"/>
      <c r="B659" s="183"/>
      <c r="C659" s="184"/>
      <c r="D659" s="1"/>
    </row>
    <row r="660" spans="1:4" ht="12.75" customHeight="1">
      <c r="A660" s="119"/>
      <c r="B660" s="183"/>
      <c r="C660" s="184"/>
      <c r="D660" s="1"/>
    </row>
    <row r="661" spans="1:4" ht="12.75" customHeight="1">
      <c r="A661" s="119"/>
      <c r="B661" s="183"/>
      <c r="C661" s="184"/>
      <c r="D661" s="1"/>
    </row>
    <row r="662" spans="1:4" ht="12.75" customHeight="1">
      <c r="A662" s="119"/>
      <c r="B662" s="183"/>
      <c r="C662" s="184"/>
      <c r="D662" s="1"/>
    </row>
    <row r="663" spans="1:4" ht="12.75" customHeight="1">
      <c r="A663" s="119"/>
      <c r="B663" s="183"/>
      <c r="C663" s="184"/>
      <c r="D663" s="1"/>
    </row>
    <row r="664" spans="1:4" ht="12.75" customHeight="1">
      <c r="A664" s="119"/>
      <c r="B664" s="183"/>
      <c r="C664" s="184"/>
      <c r="D664" s="1"/>
    </row>
    <row r="665" spans="1:4" ht="12.75" customHeight="1">
      <c r="A665" s="119"/>
      <c r="B665" s="183"/>
      <c r="C665" s="184"/>
      <c r="D665" s="1"/>
    </row>
    <row r="666" spans="1:4" ht="12.75" customHeight="1">
      <c r="A666" s="119"/>
      <c r="B666" s="183"/>
      <c r="C666" s="184"/>
      <c r="D666" s="1"/>
    </row>
    <row r="667" spans="1:4" ht="12.75" customHeight="1">
      <c r="A667" s="119"/>
      <c r="B667" s="183"/>
      <c r="C667" s="184"/>
      <c r="D667" s="1"/>
    </row>
    <row r="668" spans="1:4" ht="12.75" customHeight="1">
      <c r="A668" s="119"/>
      <c r="B668" s="183"/>
      <c r="C668" s="184"/>
      <c r="D668" s="1"/>
    </row>
    <row r="669" spans="1:4" ht="12.75" customHeight="1">
      <c r="A669" s="119"/>
      <c r="B669" s="183"/>
      <c r="C669" s="184"/>
      <c r="D669" s="1"/>
    </row>
    <row r="670" spans="1:4" ht="12.75" customHeight="1">
      <c r="A670" s="119"/>
      <c r="B670" s="183"/>
      <c r="C670" s="184"/>
      <c r="D670" s="1"/>
    </row>
    <row r="671" spans="1:4" ht="12.75" customHeight="1">
      <c r="A671" s="119"/>
      <c r="B671" s="183"/>
      <c r="C671" s="184"/>
      <c r="D671" s="1"/>
    </row>
    <row r="672" spans="1:4" ht="12.75" customHeight="1">
      <c r="A672" s="119"/>
      <c r="B672" s="183"/>
      <c r="C672" s="184"/>
      <c r="D672" s="1"/>
    </row>
    <row r="673" spans="1:4" ht="12.75" customHeight="1">
      <c r="A673" s="119"/>
      <c r="B673" s="183"/>
      <c r="C673" s="184"/>
      <c r="D673" s="1"/>
    </row>
    <row r="674" spans="1:4" ht="12.75" customHeight="1">
      <c r="A674" s="119"/>
      <c r="B674" s="183"/>
      <c r="C674" s="184"/>
      <c r="D674" s="1"/>
    </row>
    <row r="675" spans="1:4" ht="12.75" customHeight="1">
      <c r="A675" s="119"/>
      <c r="B675" s="183"/>
      <c r="C675" s="184"/>
      <c r="D675" s="1"/>
    </row>
    <row r="676" spans="1:4" ht="12.75" customHeight="1">
      <c r="A676" s="119"/>
      <c r="B676" s="183"/>
      <c r="C676" s="184"/>
      <c r="D676" s="1"/>
    </row>
    <row r="677" spans="1:4" ht="12.75" customHeight="1">
      <c r="A677" s="119"/>
      <c r="B677" s="183"/>
      <c r="C677" s="184"/>
      <c r="D677" s="1"/>
    </row>
    <row r="678" spans="1:4" ht="12.75" customHeight="1">
      <c r="A678" s="119"/>
      <c r="B678" s="183"/>
      <c r="C678" s="184"/>
      <c r="D678" s="1"/>
    </row>
    <row r="679" spans="1:4" ht="12.75" customHeight="1">
      <c r="A679" s="119"/>
      <c r="B679" s="183"/>
      <c r="C679" s="184"/>
      <c r="D679" s="1"/>
    </row>
    <row r="680" spans="1:4" ht="12.75" customHeight="1">
      <c r="A680" s="119"/>
      <c r="B680" s="183"/>
      <c r="C680" s="184"/>
      <c r="D680" s="1"/>
    </row>
    <row r="681" spans="1:4" ht="12.75" customHeight="1">
      <c r="A681" s="119"/>
      <c r="B681" s="183"/>
      <c r="C681" s="184"/>
      <c r="D681" s="1"/>
    </row>
    <row r="682" spans="1:4" ht="12.75" customHeight="1">
      <c r="A682" s="119"/>
      <c r="B682" s="183"/>
      <c r="C682" s="184"/>
      <c r="D682" s="1"/>
    </row>
    <row r="683" spans="1:4" ht="12.75" customHeight="1">
      <c r="A683" s="119"/>
      <c r="B683" s="183"/>
      <c r="C683" s="184"/>
      <c r="D683" s="1"/>
    </row>
    <row r="684" spans="1:4" ht="12.75" customHeight="1">
      <c r="A684" s="119"/>
      <c r="B684" s="183"/>
      <c r="C684" s="184"/>
      <c r="D684" s="1"/>
    </row>
    <row r="685" spans="1:4" ht="12.75" customHeight="1">
      <c r="A685" s="119"/>
      <c r="B685" s="183"/>
      <c r="C685" s="184"/>
      <c r="D685" s="1"/>
    </row>
    <row r="686" spans="1:4" ht="12.75" customHeight="1">
      <c r="A686" s="119"/>
      <c r="B686" s="183"/>
      <c r="C686" s="184"/>
      <c r="D686" s="1"/>
    </row>
    <row r="687" spans="1:4" ht="12.75" customHeight="1">
      <c r="A687" s="119"/>
      <c r="B687" s="183"/>
      <c r="C687" s="184"/>
      <c r="D687" s="1"/>
    </row>
    <row r="688" spans="1:4" ht="12.75" customHeight="1">
      <c r="A688" s="119"/>
      <c r="B688" s="183"/>
      <c r="C688" s="184"/>
      <c r="D688" s="1"/>
    </row>
    <row r="689" spans="1:4" ht="12.75" customHeight="1">
      <c r="A689" s="119"/>
      <c r="B689" s="183"/>
      <c r="C689" s="184"/>
      <c r="D689" s="1"/>
    </row>
    <row r="690" spans="1:4" ht="12.75" customHeight="1">
      <c r="A690" s="119"/>
      <c r="B690" s="183"/>
      <c r="C690" s="184"/>
      <c r="D690" s="1"/>
    </row>
    <row r="691" spans="1:4" ht="12.75" customHeight="1">
      <c r="A691" s="119"/>
      <c r="B691" s="183"/>
      <c r="C691" s="184"/>
      <c r="D691" s="1"/>
    </row>
    <row r="692" spans="1:4" ht="12.75" customHeight="1">
      <c r="A692" s="119"/>
      <c r="B692" s="183"/>
      <c r="C692" s="184"/>
      <c r="D692" s="1"/>
    </row>
    <row r="693" spans="1:4" ht="12.75" customHeight="1">
      <c r="A693" s="119"/>
      <c r="B693" s="183"/>
      <c r="C693" s="184"/>
      <c r="D693" s="1"/>
    </row>
    <row r="694" spans="1:4" ht="12.75" customHeight="1">
      <c r="A694" s="119"/>
      <c r="B694" s="183"/>
      <c r="C694" s="184"/>
      <c r="D694" s="1"/>
    </row>
    <row r="695" spans="1:4" ht="12.75" customHeight="1">
      <c r="A695" s="119"/>
      <c r="B695" s="183"/>
      <c r="C695" s="184"/>
      <c r="D695" s="1"/>
    </row>
    <row r="696" spans="1:4" ht="12.75" customHeight="1">
      <c r="A696" s="119"/>
      <c r="B696" s="183"/>
      <c r="C696" s="184"/>
      <c r="D696" s="1"/>
    </row>
    <row r="697" spans="1:4" ht="12.75" customHeight="1">
      <c r="A697" s="119"/>
      <c r="B697" s="183"/>
      <c r="C697" s="184"/>
      <c r="D697" s="1"/>
    </row>
    <row r="698" spans="1:4" ht="12.75" customHeight="1">
      <c r="A698" s="119"/>
      <c r="B698" s="183"/>
      <c r="C698" s="184"/>
      <c r="D698" s="1"/>
    </row>
    <row r="699" spans="1:4" ht="12.75" customHeight="1">
      <c r="A699" s="119"/>
      <c r="B699" s="183"/>
      <c r="C699" s="184"/>
      <c r="D699" s="1"/>
    </row>
    <row r="700" spans="1:4" ht="12.75" customHeight="1">
      <c r="A700" s="119"/>
      <c r="B700" s="183"/>
      <c r="C700" s="184"/>
      <c r="D700" s="1"/>
    </row>
    <row r="701" spans="1:4" ht="12.75" customHeight="1">
      <c r="A701" s="119"/>
      <c r="B701" s="183"/>
      <c r="C701" s="184"/>
      <c r="D701" s="1"/>
    </row>
    <row r="702" spans="1:4" ht="12.75" customHeight="1">
      <c r="A702" s="119"/>
      <c r="B702" s="183"/>
      <c r="C702" s="184"/>
      <c r="D702" s="1"/>
    </row>
    <row r="703" spans="1:4" ht="12.75" customHeight="1">
      <c r="A703" s="119"/>
      <c r="B703" s="183"/>
      <c r="C703" s="184"/>
      <c r="D703" s="1"/>
    </row>
    <row r="704" spans="1:4" ht="12.75" customHeight="1">
      <c r="A704" s="119"/>
      <c r="B704" s="183"/>
      <c r="C704" s="184"/>
      <c r="D704" s="1"/>
    </row>
    <row r="705" spans="1:4" ht="12.75" customHeight="1">
      <c r="A705" s="119"/>
      <c r="B705" s="183"/>
      <c r="C705" s="184"/>
      <c r="D705" s="1"/>
    </row>
    <row r="706" spans="1:4" ht="12.75" customHeight="1">
      <c r="A706" s="119"/>
      <c r="B706" s="183"/>
      <c r="C706" s="184"/>
      <c r="D706" s="1"/>
    </row>
    <row r="707" spans="1:4" ht="12.75" customHeight="1">
      <c r="A707" s="119"/>
      <c r="B707" s="183"/>
      <c r="C707" s="184"/>
      <c r="D707" s="1"/>
    </row>
    <row r="708" spans="1:4" ht="12.75" customHeight="1">
      <c r="A708" s="119"/>
      <c r="B708" s="183"/>
      <c r="C708" s="184"/>
      <c r="D708" s="1"/>
    </row>
    <row r="709" spans="1:4" ht="12.75" customHeight="1">
      <c r="A709" s="119"/>
      <c r="B709" s="183"/>
      <c r="C709" s="184"/>
      <c r="D709" s="1"/>
    </row>
    <row r="710" spans="1:4" ht="12.75" customHeight="1">
      <c r="A710" s="119"/>
      <c r="B710" s="183"/>
      <c r="C710" s="184"/>
      <c r="D710" s="1"/>
    </row>
    <row r="711" spans="1:4" ht="12.75" customHeight="1">
      <c r="A711" s="119"/>
      <c r="B711" s="183"/>
      <c r="C711" s="184"/>
      <c r="D711" s="1"/>
    </row>
    <row r="712" spans="1:4" ht="12.75" customHeight="1">
      <c r="A712" s="119"/>
      <c r="B712" s="183"/>
      <c r="C712" s="184"/>
      <c r="D712" s="1"/>
    </row>
    <row r="713" spans="1:4" ht="12.75" customHeight="1">
      <c r="A713" s="119"/>
      <c r="B713" s="183"/>
      <c r="C713" s="184"/>
      <c r="D713" s="1"/>
    </row>
    <row r="714" spans="1:4" ht="12.75" customHeight="1">
      <c r="A714" s="119"/>
      <c r="B714" s="183"/>
      <c r="C714" s="184"/>
      <c r="D714" s="1"/>
    </row>
    <row r="715" spans="1:4" ht="12.75" customHeight="1">
      <c r="A715" s="119"/>
      <c r="B715" s="183"/>
      <c r="C715" s="184"/>
      <c r="D715" s="1"/>
    </row>
    <row r="716" spans="1:4" ht="12.75" customHeight="1">
      <c r="A716" s="119"/>
      <c r="B716" s="183"/>
      <c r="C716" s="184"/>
      <c r="D716" s="1"/>
    </row>
    <row r="717" spans="1:4" ht="12.75" customHeight="1">
      <c r="A717" s="119"/>
      <c r="B717" s="183"/>
      <c r="C717" s="184"/>
      <c r="D717" s="1"/>
    </row>
    <row r="718" spans="1:4" ht="12.75" customHeight="1">
      <c r="A718" s="119"/>
      <c r="B718" s="183"/>
      <c r="C718" s="184"/>
      <c r="D718" s="1"/>
    </row>
    <row r="719" spans="1:4" ht="12.75" customHeight="1">
      <c r="A719" s="119"/>
      <c r="B719" s="183"/>
      <c r="C719" s="184"/>
      <c r="D719" s="1"/>
    </row>
    <row r="720" spans="1:4" ht="12.75" customHeight="1">
      <c r="A720" s="119"/>
      <c r="B720" s="183"/>
      <c r="C720" s="184"/>
      <c r="D720" s="1"/>
    </row>
    <row r="721" spans="1:4" ht="12.75" customHeight="1">
      <c r="A721" s="119"/>
      <c r="B721" s="183"/>
      <c r="C721" s="184"/>
      <c r="D721" s="1"/>
    </row>
    <row r="722" spans="1:4" ht="12.75" customHeight="1">
      <c r="A722" s="119"/>
      <c r="B722" s="183"/>
      <c r="C722" s="184"/>
      <c r="D722" s="1"/>
    </row>
    <row r="723" spans="1:4" ht="12.75" customHeight="1">
      <c r="A723" s="119"/>
      <c r="B723" s="183"/>
      <c r="C723" s="184"/>
      <c r="D723" s="1"/>
    </row>
    <row r="724" spans="1:4" ht="12.75" customHeight="1">
      <c r="A724" s="119"/>
      <c r="B724" s="183"/>
      <c r="C724" s="184"/>
      <c r="D724" s="1"/>
    </row>
    <row r="725" spans="1:4" ht="12.75" customHeight="1">
      <c r="A725" s="119"/>
      <c r="B725" s="183"/>
      <c r="C725" s="184"/>
      <c r="D725" s="1"/>
    </row>
    <row r="726" spans="1:4" ht="12.75" customHeight="1">
      <c r="A726" s="119"/>
      <c r="B726" s="183"/>
      <c r="C726" s="184"/>
      <c r="D726" s="1"/>
    </row>
    <row r="727" spans="1:4" ht="12.75" customHeight="1">
      <c r="A727" s="119"/>
      <c r="B727" s="183"/>
      <c r="C727" s="184"/>
      <c r="D727" s="1"/>
    </row>
    <row r="728" spans="1:4" ht="12.75" customHeight="1">
      <c r="A728" s="119"/>
      <c r="B728" s="183"/>
      <c r="C728" s="184"/>
      <c r="D728" s="1"/>
    </row>
    <row r="729" spans="1:4" ht="12.75" customHeight="1">
      <c r="A729" s="119"/>
      <c r="B729" s="183"/>
      <c r="C729" s="184"/>
      <c r="D729" s="1"/>
    </row>
    <row r="730" spans="1:4" ht="12.75" customHeight="1">
      <c r="A730" s="119"/>
      <c r="B730" s="183"/>
      <c r="C730" s="184"/>
      <c r="D730" s="1"/>
    </row>
    <row r="731" spans="1:4" ht="12.75" customHeight="1">
      <c r="A731" s="119"/>
      <c r="B731" s="183"/>
      <c r="C731" s="184"/>
      <c r="D731" s="1"/>
    </row>
    <row r="732" spans="1:4" ht="12.75" customHeight="1">
      <c r="A732" s="119"/>
      <c r="B732" s="183"/>
      <c r="C732" s="184"/>
      <c r="D732" s="1"/>
    </row>
    <row r="733" spans="1:4" ht="12.75" customHeight="1">
      <c r="A733" s="119"/>
      <c r="B733" s="183"/>
      <c r="C733" s="184"/>
      <c r="D733" s="1"/>
    </row>
    <row r="734" spans="1:4" ht="12.75" customHeight="1">
      <c r="A734" s="119"/>
      <c r="B734" s="183"/>
      <c r="C734" s="184"/>
      <c r="D734" s="1"/>
    </row>
    <row r="735" spans="1:4" ht="12.75" customHeight="1">
      <c r="A735" s="119"/>
      <c r="B735" s="183"/>
      <c r="C735" s="184"/>
      <c r="D735" s="1"/>
    </row>
    <row r="736" spans="1:4" ht="12.75" customHeight="1">
      <c r="A736" s="119"/>
      <c r="B736" s="183"/>
      <c r="C736" s="184"/>
      <c r="D736" s="1"/>
    </row>
    <row r="737" spans="1:4" ht="12.75" customHeight="1">
      <c r="A737" s="119"/>
      <c r="B737" s="183"/>
      <c r="C737" s="184"/>
      <c r="D737" s="1"/>
    </row>
    <row r="738" spans="1:4" ht="12.75" customHeight="1">
      <c r="A738" s="119"/>
      <c r="B738" s="183"/>
      <c r="C738" s="184"/>
      <c r="D738" s="1"/>
    </row>
    <row r="739" spans="1:4" ht="12.75" customHeight="1">
      <c r="A739" s="119"/>
      <c r="B739" s="183"/>
      <c r="C739" s="184"/>
      <c r="D739" s="1"/>
    </row>
    <row r="740" spans="1:4" ht="12.75" customHeight="1">
      <c r="A740" s="119"/>
      <c r="B740" s="183"/>
      <c r="C740" s="184"/>
      <c r="D740" s="1"/>
    </row>
    <row r="741" spans="1:4" ht="12.75" customHeight="1">
      <c r="A741" s="119"/>
      <c r="B741" s="183"/>
      <c r="C741" s="184"/>
      <c r="D741" s="1"/>
    </row>
    <row r="742" spans="1:4" ht="12.75" customHeight="1">
      <c r="A742" s="119"/>
      <c r="B742" s="183"/>
      <c r="C742" s="184"/>
      <c r="D742" s="1"/>
    </row>
    <row r="743" spans="1:4" ht="12.75" customHeight="1">
      <c r="A743" s="119"/>
      <c r="B743" s="183"/>
      <c r="C743" s="184"/>
      <c r="D743" s="1"/>
    </row>
    <row r="744" spans="1:4" ht="12.75" customHeight="1">
      <c r="A744" s="119"/>
      <c r="B744" s="183"/>
      <c r="C744" s="184"/>
      <c r="D744" s="1"/>
    </row>
    <row r="745" spans="1:4" ht="12.75" customHeight="1">
      <c r="A745" s="119"/>
      <c r="B745" s="183"/>
      <c r="C745" s="184"/>
      <c r="D745" s="1"/>
    </row>
    <row r="746" spans="1:4" ht="12.75" customHeight="1">
      <c r="A746" s="119"/>
      <c r="B746" s="183"/>
      <c r="C746" s="184"/>
      <c r="D746" s="1"/>
    </row>
    <row r="747" spans="1:4" ht="12.75" customHeight="1">
      <c r="A747" s="119"/>
      <c r="B747" s="183"/>
      <c r="C747" s="184"/>
      <c r="D747" s="1"/>
    </row>
    <row r="748" spans="1:4" ht="12.75" customHeight="1">
      <c r="A748" s="119"/>
      <c r="B748" s="183"/>
      <c r="C748" s="184"/>
      <c r="D748" s="1"/>
    </row>
    <row r="749" spans="1:4" ht="12.75" customHeight="1">
      <c r="A749" s="119"/>
      <c r="B749" s="183"/>
      <c r="C749" s="184"/>
      <c r="D749" s="1"/>
    </row>
    <row r="750" spans="1:4" ht="12.75" customHeight="1">
      <c r="A750" s="119"/>
      <c r="B750" s="183"/>
      <c r="C750" s="184"/>
      <c r="D750" s="1"/>
    </row>
    <row r="751" spans="1:4" ht="12.75" customHeight="1">
      <c r="A751" s="119"/>
      <c r="B751" s="183"/>
      <c r="C751" s="184"/>
      <c r="D751" s="1"/>
    </row>
    <row r="752" spans="1:4" ht="12.75" customHeight="1">
      <c r="A752" s="119"/>
      <c r="B752" s="183"/>
      <c r="C752" s="184"/>
      <c r="D752" s="1"/>
    </row>
    <row r="753" spans="1:4" ht="12.75" customHeight="1">
      <c r="A753" s="119"/>
      <c r="B753" s="183"/>
      <c r="C753" s="184"/>
      <c r="D753" s="1"/>
    </row>
    <row r="754" spans="1:4" ht="12.75" customHeight="1">
      <c r="A754" s="119"/>
      <c r="B754" s="183"/>
      <c r="C754" s="184"/>
      <c r="D754" s="1"/>
    </row>
    <row r="755" spans="1:4" ht="12.75" customHeight="1">
      <c r="A755" s="119"/>
      <c r="B755" s="183"/>
      <c r="C755" s="184"/>
      <c r="D755" s="1"/>
    </row>
    <row r="756" spans="1:4" ht="12.75" customHeight="1">
      <c r="A756" s="119"/>
      <c r="B756" s="183"/>
      <c r="C756" s="184"/>
      <c r="D756" s="1"/>
    </row>
    <row r="757" spans="1:4" ht="12.75" customHeight="1">
      <c r="A757" s="119"/>
      <c r="B757" s="183"/>
      <c r="C757" s="184"/>
      <c r="D757" s="1"/>
    </row>
    <row r="758" spans="1:4" ht="12.75" customHeight="1">
      <c r="A758" s="119"/>
      <c r="B758" s="183"/>
      <c r="C758" s="184"/>
      <c r="D758" s="1"/>
    </row>
    <row r="759" spans="1:4" ht="12.75" customHeight="1">
      <c r="A759" s="119"/>
      <c r="B759" s="183"/>
      <c r="C759" s="184"/>
      <c r="D759" s="1"/>
    </row>
    <row r="760" spans="1:4" ht="12.75" customHeight="1">
      <c r="A760" s="119"/>
      <c r="B760" s="183"/>
      <c r="C760" s="184"/>
      <c r="D760" s="1"/>
    </row>
    <row r="761" spans="1:4" ht="12.75" customHeight="1">
      <c r="A761" s="119"/>
      <c r="B761" s="183"/>
      <c r="C761" s="184"/>
      <c r="D761" s="1"/>
    </row>
    <row r="762" spans="1:4" ht="12.75" customHeight="1">
      <c r="A762" s="119"/>
      <c r="B762" s="183"/>
      <c r="C762" s="184"/>
      <c r="D762" s="1"/>
    </row>
    <row r="763" spans="1:4" ht="12.75" customHeight="1">
      <c r="A763" s="119"/>
      <c r="B763" s="183"/>
      <c r="C763" s="184"/>
      <c r="D763" s="1"/>
    </row>
    <row r="764" spans="1:4" ht="12.75" customHeight="1">
      <c r="A764" s="119"/>
      <c r="B764" s="183"/>
      <c r="C764" s="184"/>
      <c r="D764" s="1"/>
    </row>
    <row r="765" spans="1:4" ht="12.75" customHeight="1">
      <c r="A765" s="119"/>
      <c r="B765" s="183"/>
      <c r="C765" s="184"/>
      <c r="D765" s="1"/>
    </row>
    <row r="766" spans="1:4" ht="12.75" customHeight="1">
      <c r="A766" s="119"/>
      <c r="B766" s="183"/>
      <c r="C766" s="184"/>
      <c r="D766" s="1"/>
    </row>
    <row r="767" spans="1:4" ht="12.75" customHeight="1">
      <c r="A767" s="119"/>
      <c r="B767" s="183"/>
      <c r="C767" s="184"/>
      <c r="D767" s="1"/>
    </row>
    <row r="768" spans="1:4" ht="12.75" customHeight="1">
      <c r="A768" s="119"/>
      <c r="B768" s="183"/>
      <c r="C768" s="184"/>
      <c r="D768" s="1"/>
    </row>
    <row r="769" spans="1:4" ht="12.75" customHeight="1">
      <c r="A769" s="119"/>
      <c r="B769" s="183"/>
      <c r="C769" s="184"/>
      <c r="D769" s="1"/>
    </row>
    <row r="770" spans="1:4" ht="12.75" customHeight="1">
      <c r="A770" s="119"/>
      <c r="B770" s="183"/>
      <c r="C770" s="184"/>
      <c r="D770" s="1"/>
    </row>
    <row r="771" spans="1:4" ht="12.75" customHeight="1">
      <c r="A771" s="119"/>
      <c r="B771" s="183"/>
      <c r="C771" s="184"/>
      <c r="D771" s="1"/>
    </row>
    <row r="772" spans="1:4" ht="12.75" customHeight="1">
      <c r="A772" s="119"/>
      <c r="B772" s="183"/>
      <c r="C772" s="184"/>
      <c r="D772" s="1"/>
    </row>
    <row r="773" spans="1:4" ht="12.75" customHeight="1">
      <c r="A773" s="119"/>
      <c r="B773" s="183"/>
      <c r="C773" s="184"/>
      <c r="D773" s="1"/>
    </row>
    <row r="774" spans="1:4" ht="12.75" customHeight="1">
      <c r="A774" s="119"/>
      <c r="B774" s="183"/>
      <c r="C774" s="184"/>
      <c r="D774" s="1"/>
    </row>
    <row r="775" spans="1:4" ht="12.75" customHeight="1">
      <c r="A775" s="119"/>
      <c r="B775" s="183"/>
      <c r="C775" s="184"/>
      <c r="D775" s="1"/>
    </row>
    <row r="776" spans="1:4" ht="12.75" customHeight="1">
      <c r="A776" s="119"/>
      <c r="B776" s="183"/>
      <c r="C776" s="184"/>
      <c r="D776" s="1"/>
    </row>
    <row r="777" spans="1:4" ht="12.75" customHeight="1">
      <c r="A777" s="119"/>
      <c r="B777" s="183"/>
      <c r="C777" s="184"/>
      <c r="D777" s="1"/>
    </row>
    <row r="778" spans="1:4" ht="12.75" customHeight="1">
      <c r="A778" s="119"/>
      <c r="B778" s="183"/>
      <c r="C778" s="184"/>
      <c r="D778" s="1"/>
    </row>
    <row r="779" spans="1:4" ht="12.75" customHeight="1">
      <c r="A779" s="119"/>
      <c r="B779" s="183"/>
      <c r="C779" s="184"/>
      <c r="D779" s="1"/>
    </row>
    <row r="780" spans="1:4" ht="12.75" customHeight="1">
      <c r="A780" s="119"/>
      <c r="B780" s="183"/>
      <c r="C780" s="184"/>
      <c r="D780" s="1"/>
    </row>
    <row r="781" spans="1:4" ht="12.75" customHeight="1">
      <c r="A781" s="119"/>
      <c r="B781" s="183"/>
      <c r="C781" s="184"/>
      <c r="D781" s="1"/>
    </row>
    <row r="782" spans="1:4" ht="12.75" customHeight="1">
      <c r="A782" s="119"/>
      <c r="B782" s="183"/>
      <c r="C782" s="184"/>
      <c r="D782" s="1"/>
    </row>
    <row r="783" spans="1:4" ht="12.75" customHeight="1">
      <c r="A783" s="119"/>
      <c r="B783" s="183"/>
      <c r="C783" s="184"/>
      <c r="D783" s="1"/>
    </row>
    <row r="784" spans="1:4" ht="12.75" customHeight="1">
      <c r="A784" s="119"/>
      <c r="B784" s="183"/>
      <c r="C784" s="184"/>
      <c r="D784" s="1"/>
    </row>
    <row r="785" spans="1:4" ht="12.75" customHeight="1">
      <c r="A785" s="119"/>
      <c r="B785" s="183"/>
      <c r="C785" s="184"/>
      <c r="D785" s="1"/>
    </row>
    <row r="786" spans="1:4" ht="12.75" customHeight="1">
      <c r="A786" s="119"/>
      <c r="B786" s="183"/>
      <c r="C786" s="184"/>
      <c r="D786" s="1"/>
    </row>
    <row r="787" spans="1:4" ht="12.75" customHeight="1">
      <c r="A787" s="119"/>
      <c r="B787" s="183"/>
      <c r="C787" s="184"/>
      <c r="D787" s="1"/>
    </row>
    <row r="788" spans="1:4" ht="12.75" customHeight="1">
      <c r="A788" s="119"/>
      <c r="B788" s="183"/>
      <c r="C788" s="184"/>
      <c r="D788" s="1"/>
    </row>
    <row r="789" spans="1:4" ht="12.75" customHeight="1">
      <c r="A789" s="119"/>
      <c r="B789" s="183"/>
      <c r="C789" s="184"/>
      <c r="D789" s="1"/>
    </row>
    <row r="790" spans="1:4" ht="12.75" customHeight="1">
      <c r="A790" s="119"/>
      <c r="B790" s="183"/>
      <c r="C790" s="184"/>
      <c r="D790" s="1"/>
    </row>
    <row r="791" spans="1:4" ht="12.75" customHeight="1">
      <c r="A791" s="119"/>
      <c r="B791" s="183"/>
      <c r="C791" s="184"/>
      <c r="D791" s="1"/>
    </row>
    <row r="792" spans="1:4" ht="12.75" customHeight="1">
      <c r="A792" s="119"/>
      <c r="B792" s="183"/>
      <c r="C792" s="184"/>
      <c r="D792" s="1"/>
    </row>
    <row r="793" spans="1:4" ht="12.75" customHeight="1">
      <c r="A793" s="119"/>
      <c r="B793" s="183"/>
      <c r="C793" s="184"/>
      <c r="D793" s="1"/>
    </row>
    <row r="794" spans="1:4" ht="12.75" customHeight="1">
      <c r="A794" s="119"/>
      <c r="B794" s="183"/>
      <c r="C794" s="184"/>
      <c r="D794" s="1"/>
    </row>
    <row r="795" spans="1:4" ht="12.75" customHeight="1">
      <c r="A795" s="119"/>
      <c r="B795" s="183"/>
      <c r="C795" s="184"/>
      <c r="D795" s="1"/>
    </row>
    <row r="796" spans="1:4" ht="12.75" customHeight="1">
      <c r="A796" s="119"/>
      <c r="B796" s="183"/>
      <c r="C796" s="184"/>
      <c r="D796" s="1"/>
    </row>
    <row r="797" spans="1:4" ht="12.75" customHeight="1">
      <c r="A797" s="119"/>
      <c r="B797" s="183"/>
      <c r="C797" s="184"/>
      <c r="D797" s="1"/>
    </row>
    <row r="798" spans="1:4" ht="12.75" customHeight="1">
      <c r="A798" s="119"/>
      <c r="B798" s="183"/>
      <c r="C798" s="184"/>
      <c r="D798" s="1"/>
    </row>
    <row r="799" spans="1:4" ht="12.75" customHeight="1">
      <c r="A799" s="119"/>
      <c r="B799" s="183"/>
      <c r="C799" s="184"/>
      <c r="D799" s="1"/>
    </row>
    <row r="800" spans="1:4" ht="12.75" customHeight="1">
      <c r="A800" s="119"/>
      <c r="B800" s="183"/>
      <c r="C800" s="184"/>
      <c r="D800" s="1"/>
    </row>
    <row r="801" spans="1:4" ht="12.75" customHeight="1">
      <c r="A801" s="119"/>
      <c r="B801" s="183"/>
      <c r="C801" s="184"/>
      <c r="D801" s="1"/>
    </row>
    <row r="802" spans="1:4" ht="12.75" customHeight="1">
      <c r="A802" s="119"/>
      <c r="B802" s="183"/>
      <c r="C802" s="184"/>
      <c r="D802" s="1"/>
    </row>
    <row r="803" spans="1:4" ht="12.75" customHeight="1">
      <c r="A803" s="119"/>
      <c r="B803" s="183"/>
      <c r="C803" s="184"/>
      <c r="D803" s="1"/>
    </row>
    <row r="804" spans="1:4" ht="12.75" customHeight="1">
      <c r="A804" s="119"/>
      <c r="B804" s="183"/>
      <c r="C804" s="184"/>
      <c r="D804" s="1"/>
    </row>
    <row r="805" spans="1:4" ht="12.75" customHeight="1">
      <c r="A805" s="119"/>
      <c r="B805" s="183"/>
      <c r="C805" s="184"/>
      <c r="D805" s="1"/>
    </row>
    <row r="806" spans="1:4" ht="12.75" customHeight="1">
      <c r="A806" s="119"/>
      <c r="B806" s="183"/>
      <c r="C806" s="184"/>
      <c r="D806" s="1"/>
    </row>
    <row r="807" spans="1:4" ht="12.75" customHeight="1">
      <c r="A807" s="119"/>
      <c r="B807" s="183"/>
      <c r="C807" s="184"/>
      <c r="D807" s="1"/>
    </row>
    <row r="808" spans="1:4" ht="12.75" customHeight="1">
      <c r="A808" s="119"/>
      <c r="B808" s="183"/>
      <c r="C808" s="184"/>
      <c r="D808" s="1"/>
    </row>
    <row r="809" spans="1:4" ht="12.75" customHeight="1">
      <c r="A809" s="119"/>
      <c r="B809" s="183"/>
      <c r="C809" s="184"/>
      <c r="D809" s="1"/>
    </row>
    <row r="810" spans="1:4" ht="12.75" customHeight="1">
      <c r="A810" s="119"/>
      <c r="B810" s="183"/>
      <c r="C810" s="184"/>
      <c r="D810" s="1"/>
    </row>
    <row r="811" spans="1:4" ht="12.75" customHeight="1">
      <c r="A811" s="119"/>
      <c r="B811" s="183"/>
      <c r="C811" s="184"/>
      <c r="D811" s="1"/>
    </row>
    <row r="812" spans="1:4" ht="12.75" customHeight="1">
      <c r="A812" s="119"/>
      <c r="B812" s="183"/>
      <c r="C812" s="184"/>
      <c r="D812" s="1"/>
    </row>
    <row r="813" spans="1:4" ht="12.75" customHeight="1">
      <c r="A813" s="119"/>
      <c r="B813" s="183"/>
      <c r="C813" s="184"/>
      <c r="D813" s="1"/>
    </row>
    <row r="814" spans="1:4" ht="12.75" customHeight="1">
      <c r="A814" s="119"/>
      <c r="B814" s="183"/>
      <c r="C814" s="184"/>
      <c r="D814" s="1"/>
    </row>
    <row r="815" spans="1:4" ht="12.75" customHeight="1">
      <c r="A815" s="119"/>
      <c r="B815" s="183"/>
      <c r="C815" s="184"/>
      <c r="D815" s="1"/>
    </row>
    <row r="816" spans="1:4" ht="12.75" customHeight="1">
      <c r="A816" s="119"/>
      <c r="B816" s="183"/>
      <c r="C816" s="184"/>
      <c r="D816" s="1"/>
    </row>
    <row r="817" spans="1:4" ht="12.75" customHeight="1">
      <c r="A817" s="119"/>
      <c r="B817" s="183"/>
      <c r="C817" s="184"/>
      <c r="D817" s="1"/>
    </row>
    <row r="818" spans="1:4" ht="12.75" customHeight="1">
      <c r="A818" s="119"/>
      <c r="B818" s="183"/>
      <c r="C818" s="184"/>
      <c r="D818" s="1"/>
    </row>
    <row r="819" spans="1:4" ht="12.75" customHeight="1">
      <c r="A819" s="119"/>
      <c r="B819" s="183"/>
      <c r="C819" s="184"/>
      <c r="D819" s="1"/>
    </row>
    <row r="820" spans="1:4" ht="12.75" customHeight="1">
      <c r="A820" s="119"/>
      <c r="B820" s="183"/>
      <c r="C820" s="184"/>
      <c r="D820" s="1"/>
    </row>
    <row r="821" spans="1:4" ht="12.75" customHeight="1">
      <c r="A821" s="119"/>
      <c r="B821" s="183"/>
      <c r="C821" s="184"/>
      <c r="D821" s="1"/>
    </row>
    <row r="822" spans="1:4" ht="12.75" customHeight="1">
      <c r="A822" s="119"/>
      <c r="B822" s="183"/>
      <c r="C822" s="184"/>
      <c r="D822" s="1"/>
    </row>
    <row r="823" spans="1:4" ht="12.75" customHeight="1">
      <c r="A823" s="119"/>
      <c r="B823" s="183"/>
      <c r="C823" s="184"/>
      <c r="D823" s="1"/>
    </row>
    <row r="824" spans="1:4" ht="12.75" customHeight="1">
      <c r="A824" s="119"/>
      <c r="B824" s="183"/>
      <c r="C824" s="184"/>
      <c r="D824" s="1"/>
    </row>
    <row r="825" spans="1:4" ht="12.75" customHeight="1">
      <c r="A825" s="119"/>
      <c r="B825" s="183"/>
      <c r="C825" s="184"/>
      <c r="D825" s="1"/>
    </row>
    <row r="826" spans="1:4" ht="12.75" customHeight="1">
      <c r="A826" s="119"/>
      <c r="B826" s="183"/>
      <c r="C826" s="184"/>
      <c r="D826" s="1"/>
    </row>
    <row r="827" spans="1:4" ht="12.75" customHeight="1">
      <c r="A827" s="119"/>
      <c r="B827" s="183"/>
      <c r="C827" s="184"/>
      <c r="D827" s="1"/>
    </row>
    <row r="828" spans="1:4" ht="12.75" customHeight="1">
      <c r="A828" s="119"/>
      <c r="B828" s="183"/>
      <c r="C828" s="184"/>
      <c r="D828" s="1"/>
    </row>
    <row r="829" spans="1:4" ht="12.75" customHeight="1">
      <c r="A829" s="119"/>
      <c r="B829" s="183"/>
      <c r="C829" s="184"/>
      <c r="D829" s="1"/>
    </row>
    <row r="830" spans="1:4" ht="12.75" customHeight="1">
      <c r="A830" s="119"/>
      <c r="B830" s="183"/>
      <c r="C830" s="184"/>
      <c r="D830" s="1"/>
    </row>
    <row r="831" spans="1:4" ht="12.75" customHeight="1">
      <c r="A831" s="119"/>
      <c r="B831" s="183"/>
      <c r="C831" s="184"/>
      <c r="D831" s="1"/>
    </row>
    <row r="832" spans="1:4" ht="12.75" customHeight="1">
      <c r="A832" s="119"/>
      <c r="B832" s="183"/>
      <c r="C832" s="184"/>
      <c r="D832" s="1"/>
    </row>
    <row r="833" spans="1:4" ht="12.75" customHeight="1">
      <c r="A833" s="119"/>
      <c r="B833" s="183"/>
      <c r="C833" s="184"/>
      <c r="D833" s="1"/>
    </row>
    <row r="834" spans="1:4" ht="12.75" customHeight="1">
      <c r="A834" s="119"/>
      <c r="B834" s="183"/>
      <c r="C834" s="184"/>
      <c r="D834" s="1"/>
    </row>
    <row r="835" spans="1:4" ht="12.75" customHeight="1">
      <c r="A835" s="119"/>
      <c r="B835" s="183"/>
      <c r="C835" s="184"/>
      <c r="D835" s="1"/>
    </row>
    <row r="836" spans="1:4" ht="12.75" customHeight="1">
      <c r="A836" s="119"/>
      <c r="B836" s="183"/>
      <c r="C836" s="184"/>
      <c r="D836" s="1"/>
    </row>
    <row r="837" spans="1:4" ht="12.75" customHeight="1">
      <c r="A837" s="119"/>
      <c r="B837" s="183"/>
      <c r="C837" s="184"/>
      <c r="D837" s="1"/>
    </row>
    <row r="838" spans="1:4" ht="12.75" customHeight="1">
      <c r="A838" s="119"/>
      <c r="B838" s="183"/>
      <c r="C838" s="184"/>
      <c r="D838" s="1"/>
    </row>
    <row r="839" spans="1:4" ht="12.75" customHeight="1">
      <c r="A839" s="119"/>
      <c r="B839" s="183"/>
      <c r="C839" s="184"/>
      <c r="D839" s="1"/>
    </row>
    <row r="840" spans="1:4" ht="12.75" customHeight="1">
      <c r="A840" s="119"/>
      <c r="B840" s="183"/>
      <c r="C840" s="184"/>
      <c r="D840" s="1"/>
    </row>
    <row r="841" spans="1:4" ht="12.75" customHeight="1">
      <c r="A841" s="119"/>
      <c r="B841" s="183"/>
      <c r="C841" s="184"/>
      <c r="D841" s="1"/>
    </row>
    <row r="842" spans="1:4" ht="12.75" customHeight="1">
      <c r="A842" s="119"/>
      <c r="B842" s="183"/>
      <c r="C842" s="184"/>
      <c r="D842" s="1"/>
    </row>
    <row r="843" spans="1:4" ht="12.75" customHeight="1">
      <c r="A843" s="119"/>
      <c r="B843" s="183"/>
      <c r="C843" s="184"/>
      <c r="D843" s="1"/>
    </row>
    <row r="844" spans="1:4" ht="12.75" customHeight="1">
      <c r="A844" s="119"/>
      <c r="B844" s="183"/>
      <c r="C844" s="184"/>
      <c r="D844" s="1"/>
    </row>
    <row r="845" spans="1:4" ht="12.75" customHeight="1">
      <c r="A845" s="119"/>
      <c r="B845" s="183"/>
      <c r="C845" s="184"/>
      <c r="D845" s="1"/>
    </row>
    <row r="846" spans="1:4" ht="12.75" customHeight="1">
      <c r="A846" s="119"/>
      <c r="B846" s="183"/>
      <c r="C846" s="184"/>
      <c r="D846" s="1"/>
    </row>
    <row r="847" spans="1:4" ht="12.75" customHeight="1">
      <c r="A847" s="119"/>
      <c r="B847" s="183"/>
      <c r="C847" s="184"/>
      <c r="D847" s="1"/>
    </row>
    <row r="848" spans="1:4" ht="12.75" customHeight="1">
      <c r="A848" s="119"/>
      <c r="B848" s="183"/>
      <c r="C848" s="184"/>
      <c r="D848" s="1"/>
    </row>
    <row r="849" spans="1:4" ht="12.75" customHeight="1">
      <c r="A849" s="119"/>
      <c r="B849" s="183"/>
      <c r="C849" s="184"/>
      <c r="D849" s="1"/>
    </row>
    <row r="850" spans="1:4" ht="12.75" customHeight="1">
      <c r="A850" s="119"/>
      <c r="B850" s="183"/>
      <c r="C850" s="184"/>
      <c r="D850" s="1"/>
    </row>
    <row r="851" spans="1:4" ht="12.75" customHeight="1">
      <c r="A851" s="119"/>
      <c r="B851" s="183"/>
      <c r="C851" s="184"/>
      <c r="D851" s="1"/>
    </row>
    <row r="852" spans="1:4" ht="12.75" customHeight="1">
      <c r="A852" s="119"/>
      <c r="B852" s="183"/>
      <c r="C852" s="184"/>
      <c r="D852" s="1"/>
    </row>
    <row r="853" spans="1:4" ht="12.75" customHeight="1">
      <c r="A853" s="119"/>
      <c r="B853" s="183"/>
      <c r="C853" s="184"/>
      <c r="D853" s="1"/>
    </row>
    <row r="854" spans="1:4" ht="12.75" customHeight="1">
      <c r="A854" s="119"/>
      <c r="B854" s="183"/>
      <c r="C854" s="184"/>
      <c r="D854" s="1"/>
    </row>
    <row r="855" spans="1:4" ht="12.75" customHeight="1">
      <c r="A855" s="119"/>
      <c r="B855" s="183"/>
      <c r="C855" s="184"/>
      <c r="D855" s="1"/>
    </row>
    <row r="856" spans="1:4" ht="12.75" customHeight="1">
      <c r="A856" s="119"/>
      <c r="B856" s="183"/>
      <c r="C856" s="184"/>
      <c r="D856" s="1"/>
    </row>
    <row r="857" spans="1:4" ht="12.75" customHeight="1">
      <c r="A857" s="119"/>
      <c r="B857" s="183"/>
      <c r="C857" s="184"/>
      <c r="D857" s="1"/>
    </row>
    <row r="858" spans="1:4" ht="12.75" customHeight="1">
      <c r="A858" s="119"/>
      <c r="B858" s="183"/>
      <c r="C858" s="184"/>
      <c r="D858" s="1"/>
    </row>
    <row r="859" spans="1:4" ht="12.75" customHeight="1">
      <c r="A859" s="119"/>
      <c r="B859" s="183"/>
      <c r="C859" s="184"/>
      <c r="D859" s="1"/>
    </row>
    <row r="860" spans="1:4" ht="12.75" customHeight="1">
      <c r="A860" s="119"/>
      <c r="B860" s="183"/>
      <c r="C860" s="184"/>
      <c r="D860" s="1"/>
    </row>
    <row r="861" spans="1:4" ht="12.75" customHeight="1">
      <c r="A861" s="119"/>
      <c r="B861" s="183"/>
      <c r="C861" s="184"/>
      <c r="D861" s="1"/>
    </row>
    <row r="862" spans="1:4" ht="12.75" customHeight="1">
      <c r="A862" s="119"/>
      <c r="B862" s="183"/>
      <c r="C862" s="184"/>
      <c r="D862" s="1"/>
    </row>
    <row r="863" spans="1:4" ht="12.75" customHeight="1">
      <c r="A863" s="119"/>
      <c r="B863" s="183"/>
      <c r="C863" s="184"/>
      <c r="D863" s="1"/>
    </row>
    <row r="864" spans="1:4" ht="12.75" customHeight="1">
      <c r="A864" s="119"/>
      <c r="B864" s="183"/>
      <c r="C864" s="184"/>
      <c r="D864" s="1"/>
    </row>
    <row r="865" spans="1:4" ht="12.75" customHeight="1">
      <c r="A865" s="119"/>
      <c r="B865" s="183"/>
      <c r="C865" s="184"/>
      <c r="D865" s="1"/>
    </row>
    <row r="866" spans="1:4" ht="12.75" customHeight="1">
      <c r="A866" s="119"/>
      <c r="B866" s="183"/>
      <c r="C866" s="184"/>
      <c r="D866" s="1"/>
    </row>
    <row r="867" spans="1:4" ht="12.75" customHeight="1">
      <c r="A867" s="119"/>
      <c r="B867" s="183"/>
      <c r="C867" s="184"/>
      <c r="D867" s="1"/>
    </row>
    <row r="868" spans="1:4" ht="12.75" customHeight="1">
      <c r="A868" s="119"/>
      <c r="B868" s="183"/>
      <c r="C868" s="184"/>
      <c r="D868" s="1"/>
    </row>
    <row r="869" spans="1:4" ht="12.75" customHeight="1">
      <c r="A869" s="119"/>
      <c r="B869" s="183"/>
      <c r="C869" s="184"/>
      <c r="D869" s="1"/>
    </row>
    <row r="870" spans="1:4" ht="12.75" customHeight="1">
      <c r="A870" s="119"/>
      <c r="B870" s="183"/>
      <c r="C870" s="184"/>
      <c r="D870" s="1"/>
    </row>
    <row r="871" spans="1:4" ht="12.75" customHeight="1">
      <c r="A871" s="119"/>
      <c r="B871" s="183"/>
      <c r="C871" s="184"/>
      <c r="D871" s="1"/>
    </row>
    <row r="872" spans="1:4" ht="12.75" customHeight="1">
      <c r="A872" s="119"/>
      <c r="B872" s="183"/>
      <c r="C872" s="184"/>
      <c r="D872" s="1"/>
    </row>
    <row r="873" spans="1:4" ht="12.75" customHeight="1">
      <c r="A873" s="119"/>
      <c r="B873" s="183"/>
      <c r="C873" s="184"/>
      <c r="D873" s="1"/>
    </row>
    <row r="874" spans="1:4" ht="12.75" customHeight="1">
      <c r="A874" s="119"/>
      <c r="B874" s="183"/>
      <c r="C874" s="184"/>
      <c r="D874" s="1"/>
    </row>
    <row r="875" spans="1:4" ht="12.75" customHeight="1">
      <c r="A875" s="119"/>
      <c r="B875" s="183"/>
      <c r="C875" s="184"/>
      <c r="D875" s="1"/>
    </row>
    <row r="876" spans="1:4" ht="12.75" customHeight="1">
      <c r="A876" s="119"/>
      <c r="B876" s="183"/>
      <c r="C876" s="184"/>
      <c r="D876" s="1"/>
    </row>
    <row r="877" spans="1:4" ht="12.75" customHeight="1">
      <c r="A877" s="119"/>
      <c r="B877" s="183"/>
      <c r="C877" s="184"/>
      <c r="D877" s="1"/>
    </row>
    <row r="878" spans="1:4" ht="12.75" customHeight="1">
      <c r="A878" s="119"/>
      <c r="B878" s="183"/>
      <c r="C878" s="184"/>
      <c r="D878" s="1"/>
    </row>
    <row r="879" spans="1:4" ht="12.75" customHeight="1">
      <c r="A879" s="119"/>
      <c r="B879" s="183"/>
      <c r="C879" s="184"/>
      <c r="D879" s="1"/>
    </row>
    <row r="880" spans="1:4" ht="12.75" customHeight="1">
      <c r="A880" s="119"/>
      <c r="B880" s="183"/>
      <c r="C880" s="184"/>
      <c r="D880" s="1"/>
    </row>
    <row r="881" spans="1:4" ht="12.75" customHeight="1">
      <c r="A881" s="119"/>
      <c r="B881" s="183"/>
      <c r="C881" s="184"/>
      <c r="D881" s="1"/>
    </row>
    <row r="882" spans="1:4" ht="12.75" customHeight="1">
      <c r="A882" s="119"/>
      <c r="B882" s="183"/>
      <c r="C882" s="184"/>
      <c r="D882" s="1"/>
    </row>
    <row r="883" spans="1:4" ht="12.75" customHeight="1">
      <c r="A883" s="119"/>
      <c r="B883" s="183"/>
      <c r="C883" s="184"/>
      <c r="D883" s="1"/>
    </row>
    <row r="884" spans="1:4" ht="12.75" customHeight="1">
      <c r="A884" s="119"/>
      <c r="B884" s="183"/>
      <c r="C884" s="184"/>
      <c r="D884" s="1"/>
    </row>
    <row r="885" spans="1:4" ht="12.75" customHeight="1">
      <c r="A885" s="119"/>
      <c r="B885" s="183"/>
      <c r="C885" s="184"/>
      <c r="D885" s="1"/>
    </row>
    <row r="886" spans="1:4" ht="12.75" customHeight="1">
      <c r="A886" s="119"/>
      <c r="B886" s="183"/>
      <c r="C886" s="184"/>
      <c r="D886" s="1"/>
    </row>
    <row r="887" spans="1:4" ht="12.75" customHeight="1">
      <c r="A887" s="119"/>
      <c r="B887" s="183"/>
      <c r="C887" s="184"/>
      <c r="D887" s="1"/>
    </row>
    <row r="888" spans="1:4" ht="12.75" customHeight="1">
      <c r="A888" s="119"/>
      <c r="B888" s="183"/>
      <c r="C888" s="184"/>
      <c r="D888" s="1"/>
    </row>
    <row r="889" spans="1:4" ht="12.75" customHeight="1">
      <c r="A889" s="119"/>
      <c r="B889" s="183"/>
      <c r="C889" s="184"/>
      <c r="D889" s="1"/>
    </row>
    <row r="890" spans="1:4" ht="12.75" customHeight="1">
      <c r="A890" s="119"/>
      <c r="B890" s="183"/>
      <c r="C890" s="184"/>
      <c r="D890" s="1"/>
    </row>
    <row r="891" spans="1:4" ht="12.75" customHeight="1">
      <c r="A891" s="119"/>
      <c r="B891" s="183"/>
      <c r="C891" s="184"/>
      <c r="D891" s="1"/>
    </row>
    <row r="892" spans="1:4" ht="12.75" customHeight="1">
      <c r="A892" s="119"/>
      <c r="B892" s="183"/>
      <c r="C892" s="184"/>
      <c r="D892" s="1"/>
    </row>
    <row r="893" spans="1:4" ht="12.75" customHeight="1">
      <c r="A893" s="119"/>
      <c r="B893" s="183"/>
      <c r="C893" s="184"/>
      <c r="D893" s="1"/>
    </row>
    <row r="894" spans="1:4" ht="12.75" customHeight="1">
      <c r="A894" s="119"/>
      <c r="B894" s="183"/>
      <c r="C894" s="184"/>
      <c r="D894" s="1"/>
    </row>
    <row r="895" spans="1:4" ht="12.75" customHeight="1">
      <c r="A895" s="119"/>
      <c r="B895" s="183"/>
      <c r="C895" s="184"/>
      <c r="D895" s="1"/>
    </row>
    <row r="896" spans="1:4" ht="12.75" customHeight="1">
      <c r="A896" s="119"/>
      <c r="B896" s="183"/>
      <c r="C896" s="184"/>
      <c r="D896" s="1"/>
    </row>
    <row r="897" spans="1:4" ht="12.75" customHeight="1">
      <c r="A897" s="119"/>
      <c r="B897" s="183"/>
      <c r="C897" s="184"/>
      <c r="D897" s="1"/>
    </row>
    <row r="898" spans="1:4" ht="12.75" customHeight="1">
      <c r="A898" s="119"/>
      <c r="B898" s="183"/>
      <c r="C898" s="184"/>
      <c r="D898" s="1"/>
    </row>
    <row r="899" spans="1:4" ht="12.75" customHeight="1">
      <c r="A899" s="119"/>
      <c r="B899" s="183"/>
      <c r="C899" s="184"/>
      <c r="D899" s="1"/>
    </row>
    <row r="900" spans="1:4" ht="12.75" customHeight="1">
      <c r="A900" s="119"/>
      <c r="B900" s="183"/>
      <c r="C900" s="184"/>
      <c r="D900" s="1"/>
    </row>
    <row r="901" spans="1:4" ht="12.75" customHeight="1">
      <c r="A901" s="119"/>
      <c r="B901" s="183"/>
      <c r="C901" s="184"/>
      <c r="D901" s="1"/>
    </row>
    <row r="902" spans="1:4" ht="12.75" customHeight="1">
      <c r="A902" s="119"/>
      <c r="B902" s="183"/>
      <c r="C902" s="184"/>
      <c r="D902" s="1"/>
    </row>
    <row r="903" spans="1:4" ht="12.75" customHeight="1">
      <c r="A903" s="119"/>
      <c r="B903" s="183"/>
      <c r="C903" s="184"/>
      <c r="D903" s="1"/>
    </row>
    <row r="904" spans="1:4" ht="12.75" customHeight="1">
      <c r="A904" s="119"/>
      <c r="B904" s="183"/>
      <c r="C904" s="184"/>
      <c r="D904" s="1"/>
    </row>
    <row r="905" spans="1:4" ht="12.75" customHeight="1">
      <c r="A905" s="119"/>
      <c r="B905" s="183"/>
      <c r="C905" s="184"/>
      <c r="D905" s="1"/>
    </row>
    <row r="906" spans="1:4" ht="12.75" customHeight="1">
      <c r="A906" s="119"/>
      <c r="B906" s="183"/>
      <c r="C906" s="184"/>
      <c r="D906" s="1"/>
    </row>
    <row r="907" spans="1:4" ht="12.75" customHeight="1">
      <c r="A907" s="119"/>
      <c r="B907" s="183"/>
      <c r="C907" s="184"/>
      <c r="D907" s="1"/>
    </row>
    <row r="908" spans="1:4" ht="12.75" customHeight="1">
      <c r="A908" s="119"/>
      <c r="B908" s="183"/>
      <c r="C908" s="184"/>
      <c r="D908" s="1"/>
    </row>
    <row r="909" spans="1:4" ht="12.75" customHeight="1">
      <c r="A909" s="119"/>
      <c r="B909" s="183"/>
      <c r="C909" s="184"/>
      <c r="D909" s="1"/>
    </row>
    <row r="910" spans="1:4" ht="12.75" customHeight="1">
      <c r="A910" s="119"/>
      <c r="B910" s="183"/>
      <c r="C910" s="184"/>
      <c r="D910" s="1"/>
    </row>
    <row r="911" spans="1:4" ht="12.75" customHeight="1">
      <c r="A911" s="119"/>
      <c r="B911" s="183"/>
      <c r="C911" s="184"/>
      <c r="D911" s="1"/>
    </row>
    <row r="912" spans="1:4" ht="12.75" customHeight="1">
      <c r="A912" s="119"/>
      <c r="B912" s="183"/>
      <c r="C912" s="184"/>
      <c r="D912" s="1"/>
    </row>
    <row r="913" spans="1:4" ht="12.75" customHeight="1">
      <c r="A913" s="119"/>
      <c r="B913" s="183"/>
      <c r="C913" s="184"/>
      <c r="D913" s="1"/>
    </row>
    <row r="914" spans="1:4" ht="12.75" customHeight="1">
      <c r="A914" s="119"/>
      <c r="B914" s="183"/>
      <c r="C914" s="184"/>
      <c r="D914" s="1"/>
    </row>
    <row r="915" spans="1:4" ht="12.75" customHeight="1">
      <c r="A915" s="119"/>
      <c r="B915" s="183"/>
      <c r="C915" s="184"/>
      <c r="D915" s="1"/>
    </row>
    <row r="916" spans="1:4" ht="12.75" customHeight="1">
      <c r="A916" s="119"/>
      <c r="B916" s="183"/>
      <c r="C916" s="184"/>
      <c r="D916" s="1"/>
    </row>
    <row r="917" spans="1:4" ht="12.75" customHeight="1">
      <c r="A917" s="119"/>
      <c r="B917" s="183"/>
      <c r="C917" s="184"/>
      <c r="D917" s="1"/>
    </row>
    <row r="918" spans="1:4" ht="12.75" customHeight="1">
      <c r="A918" s="119"/>
      <c r="B918" s="183"/>
      <c r="C918" s="184"/>
      <c r="D918" s="1"/>
    </row>
    <row r="919" spans="1:4" ht="12.75" customHeight="1">
      <c r="A919" s="119"/>
      <c r="B919" s="183"/>
      <c r="C919" s="184"/>
      <c r="D919" s="1"/>
    </row>
    <row r="920" spans="1:4" ht="12.75" customHeight="1">
      <c r="A920" s="119"/>
      <c r="B920" s="183"/>
      <c r="C920" s="184"/>
      <c r="D920" s="1"/>
    </row>
    <row r="921" spans="1:4" ht="12.75" customHeight="1">
      <c r="A921" s="119"/>
      <c r="B921" s="183"/>
      <c r="C921" s="184"/>
      <c r="D921" s="1"/>
    </row>
    <row r="922" spans="1:4" ht="12.75" customHeight="1">
      <c r="A922" s="119"/>
      <c r="B922" s="183"/>
      <c r="C922" s="184"/>
      <c r="D922" s="1"/>
    </row>
    <row r="923" spans="1:4" ht="12.75" customHeight="1">
      <c r="A923" s="119"/>
      <c r="B923" s="183"/>
      <c r="C923" s="184"/>
      <c r="D923" s="1"/>
    </row>
    <row r="924" spans="1:4" ht="12.75" customHeight="1">
      <c r="A924" s="119"/>
      <c r="B924" s="183"/>
      <c r="C924" s="184"/>
      <c r="D924" s="1"/>
    </row>
    <row r="925" spans="1:4" ht="12.75" customHeight="1">
      <c r="A925" s="119"/>
      <c r="B925" s="183"/>
      <c r="C925" s="184"/>
      <c r="D925" s="1"/>
    </row>
    <row r="926" spans="1:4" ht="12.75" customHeight="1">
      <c r="A926" s="119"/>
      <c r="B926" s="183"/>
      <c r="C926" s="184"/>
      <c r="D926" s="1"/>
    </row>
    <row r="927" spans="1:4" ht="12.75" customHeight="1">
      <c r="A927" s="119"/>
      <c r="B927" s="183"/>
      <c r="C927" s="184"/>
      <c r="D927" s="1"/>
    </row>
    <row r="928" spans="1:4" ht="12.75" customHeight="1">
      <c r="A928" s="119"/>
      <c r="B928" s="183"/>
      <c r="C928" s="184"/>
      <c r="D928" s="1"/>
    </row>
    <row r="929" spans="1:4" ht="12.75" customHeight="1">
      <c r="A929" s="119"/>
      <c r="B929" s="183"/>
      <c r="C929" s="184"/>
      <c r="D929" s="1"/>
    </row>
    <row r="930" spans="1:4" ht="12.75" customHeight="1">
      <c r="A930" s="119"/>
      <c r="B930" s="183"/>
      <c r="C930" s="184"/>
      <c r="D930" s="1"/>
    </row>
    <row r="931" spans="1:4" ht="12.75" customHeight="1">
      <c r="A931" s="119"/>
      <c r="B931" s="183"/>
      <c r="C931" s="184"/>
      <c r="D931" s="1"/>
    </row>
    <row r="932" spans="1:4" ht="12.75" customHeight="1">
      <c r="A932" s="119"/>
      <c r="B932" s="183"/>
      <c r="C932" s="184"/>
      <c r="D932" s="1"/>
    </row>
    <row r="933" spans="1:4" ht="12.75" customHeight="1">
      <c r="A933" s="119"/>
      <c r="B933" s="183"/>
      <c r="C933" s="184"/>
      <c r="D933" s="1"/>
    </row>
    <row r="934" spans="1:4" ht="12.75" customHeight="1">
      <c r="A934" s="119"/>
      <c r="B934" s="183"/>
      <c r="C934" s="184"/>
      <c r="D934" s="1"/>
    </row>
    <row r="935" spans="1:4" ht="12.75" customHeight="1">
      <c r="A935" s="119"/>
      <c r="B935" s="183"/>
      <c r="C935" s="184"/>
      <c r="D935" s="1"/>
    </row>
    <row r="936" spans="1:4" ht="12.75" customHeight="1">
      <c r="A936" s="119"/>
      <c r="B936" s="183"/>
      <c r="C936" s="184"/>
      <c r="D936" s="1"/>
    </row>
    <row r="937" spans="1:4" ht="12.75" customHeight="1">
      <c r="A937" s="119"/>
      <c r="B937" s="183"/>
      <c r="C937" s="184"/>
      <c r="D937" s="1"/>
    </row>
    <row r="938" spans="1:4" ht="12.75" customHeight="1">
      <c r="A938" s="119"/>
      <c r="B938" s="183"/>
      <c r="C938" s="184"/>
      <c r="D938" s="1"/>
    </row>
    <row r="939" spans="1:4" ht="12.75" customHeight="1">
      <c r="A939" s="119"/>
      <c r="B939" s="183"/>
      <c r="C939" s="184"/>
      <c r="D939" s="1"/>
    </row>
    <row r="940" spans="1:4" ht="12.75" customHeight="1">
      <c r="A940" s="119"/>
      <c r="B940" s="183"/>
      <c r="C940" s="184"/>
      <c r="D940" s="1"/>
    </row>
    <row r="941" spans="1:4" ht="12.75" customHeight="1">
      <c r="A941" s="119"/>
      <c r="B941" s="183"/>
      <c r="C941" s="184"/>
      <c r="D941" s="1"/>
    </row>
    <row r="942" spans="1:4" ht="12.75" customHeight="1">
      <c r="A942" s="119"/>
      <c r="B942" s="183"/>
      <c r="C942" s="184"/>
      <c r="D942" s="1"/>
    </row>
    <row r="943" spans="1:4" ht="12.75" customHeight="1">
      <c r="A943" s="119"/>
      <c r="B943" s="183"/>
      <c r="C943" s="184"/>
      <c r="D943" s="1"/>
    </row>
    <row r="944" spans="1:4" ht="12.75" customHeight="1">
      <c r="A944" s="119"/>
      <c r="B944" s="183"/>
      <c r="C944" s="184"/>
      <c r="D944" s="1"/>
    </row>
    <row r="945" spans="1:4" ht="12.75" customHeight="1">
      <c r="A945" s="119"/>
      <c r="B945" s="183"/>
      <c r="C945" s="184"/>
      <c r="D945" s="1"/>
    </row>
    <row r="946" spans="1:4" ht="12.75" customHeight="1">
      <c r="A946" s="119"/>
      <c r="B946" s="183"/>
      <c r="C946" s="184"/>
      <c r="D946" s="1"/>
    </row>
    <row r="947" spans="1:4" ht="12.75" customHeight="1">
      <c r="A947" s="119"/>
      <c r="B947" s="183"/>
      <c r="C947" s="184"/>
      <c r="D947" s="1"/>
    </row>
    <row r="948" spans="1:4" ht="12.75" customHeight="1">
      <c r="A948" s="119"/>
      <c r="B948" s="183"/>
      <c r="C948" s="184"/>
      <c r="D948" s="1"/>
    </row>
    <row r="949" spans="1:4" ht="12.75" customHeight="1">
      <c r="A949" s="119"/>
      <c r="B949" s="183"/>
      <c r="C949" s="184"/>
      <c r="D949" s="1"/>
    </row>
    <row r="950" spans="1:4" ht="12.75" customHeight="1">
      <c r="A950" s="119"/>
      <c r="B950" s="183"/>
      <c r="C950" s="184"/>
      <c r="D950" s="1"/>
    </row>
    <row r="951" spans="1:4" ht="12.75" customHeight="1">
      <c r="A951" s="119"/>
      <c r="B951" s="183"/>
      <c r="C951" s="184"/>
      <c r="D951" s="1"/>
    </row>
    <row r="952" spans="1:4" ht="12.75" customHeight="1">
      <c r="A952" s="119"/>
      <c r="B952" s="183"/>
      <c r="C952" s="184"/>
      <c r="D952" s="1"/>
    </row>
    <row r="953" spans="1:4" ht="12.75" customHeight="1">
      <c r="A953" s="119"/>
      <c r="B953" s="183"/>
      <c r="C953" s="184"/>
      <c r="D953" s="1"/>
    </row>
    <row r="954" spans="1:4" ht="12.75" customHeight="1">
      <c r="A954" s="119"/>
      <c r="B954" s="183"/>
      <c r="C954" s="184"/>
      <c r="D954" s="1"/>
    </row>
    <row r="955" spans="1:4" ht="12.75" customHeight="1">
      <c r="A955" s="119"/>
      <c r="B955" s="183"/>
      <c r="C955" s="184"/>
      <c r="D955" s="1"/>
    </row>
    <row r="956" spans="1:4" ht="12.75" customHeight="1">
      <c r="A956" s="119"/>
      <c r="B956" s="183"/>
      <c r="C956" s="184"/>
      <c r="D956" s="1"/>
    </row>
    <row r="957" spans="1:4" ht="12.75" customHeight="1">
      <c r="A957" s="119"/>
      <c r="B957" s="183"/>
      <c r="C957" s="184"/>
      <c r="D957" s="1"/>
    </row>
    <row r="958" spans="1:4" ht="12.75" customHeight="1">
      <c r="A958" s="119"/>
      <c r="B958" s="183"/>
      <c r="C958" s="184"/>
      <c r="D958" s="1"/>
    </row>
    <row r="959" spans="1:4" ht="12.75" customHeight="1">
      <c r="A959" s="119"/>
      <c r="B959" s="183"/>
      <c r="C959" s="184"/>
      <c r="D959" s="1"/>
    </row>
    <row r="960" spans="1:4" ht="12.75" customHeight="1">
      <c r="A960" s="119"/>
      <c r="B960" s="183"/>
      <c r="C960" s="184"/>
      <c r="D960" s="1"/>
    </row>
    <row r="961" spans="1:4" ht="12.75" customHeight="1">
      <c r="A961" s="119"/>
      <c r="B961" s="183"/>
      <c r="C961" s="184"/>
      <c r="D961" s="1"/>
    </row>
    <row r="962" spans="1:4" ht="12.75" customHeight="1">
      <c r="A962" s="119"/>
      <c r="B962" s="183"/>
      <c r="C962" s="184"/>
      <c r="D962" s="1"/>
    </row>
    <row r="963" spans="1:4" ht="12.75" customHeight="1">
      <c r="A963" s="119"/>
      <c r="B963" s="183"/>
      <c r="C963" s="184"/>
      <c r="D963" s="1"/>
    </row>
    <row r="964" spans="1:4" ht="12.75" customHeight="1">
      <c r="A964" s="119"/>
      <c r="B964" s="183"/>
      <c r="C964" s="184"/>
      <c r="D964" s="1"/>
    </row>
    <row r="965" spans="1:4" ht="12.75" customHeight="1">
      <c r="A965" s="119"/>
      <c r="B965" s="183"/>
      <c r="C965" s="184"/>
      <c r="D965" s="1"/>
    </row>
    <row r="966" spans="1:4" ht="12.75" customHeight="1">
      <c r="A966" s="119"/>
      <c r="B966" s="183"/>
      <c r="C966" s="184"/>
      <c r="D966" s="1"/>
    </row>
    <row r="967" spans="1:4" ht="12.75" customHeight="1">
      <c r="A967" s="119"/>
      <c r="B967" s="183"/>
      <c r="C967" s="184"/>
      <c r="D967" s="1"/>
    </row>
    <row r="968" spans="1:4" ht="12.75" customHeight="1">
      <c r="A968" s="119"/>
      <c r="B968" s="183"/>
      <c r="C968" s="184"/>
      <c r="D968" s="1"/>
    </row>
    <row r="969" spans="1:4" ht="12.75" customHeight="1">
      <c r="A969" s="119"/>
      <c r="B969" s="183"/>
      <c r="C969" s="184"/>
      <c r="D969" s="1"/>
    </row>
    <row r="970" spans="1:4" ht="12.75" customHeight="1">
      <c r="A970" s="119"/>
      <c r="B970" s="183"/>
      <c r="C970" s="184"/>
      <c r="D970" s="1"/>
    </row>
    <row r="971" spans="1:4" ht="12.75" customHeight="1">
      <c r="A971" s="119"/>
      <c r="B971" s="183"/>
      <c r="C971" s="184"/>
      <c r="D971" s="1"/>
    </row>
    <row r="972" spans="1:4" ht="12.75" customHeight="1">
      <c r="A972" s="119"/>
      <c r="B972" s="183"/>
      <c r="C972" s="184"/>
      <c r="D972" s="1"/>
    </row>
    <row r="973" spans="1:4" ht="12.75" customHeight="1">
      <c r="A973" s="119"/>
      <c r="B973" s="183"/>
      <c r="C973" s="184"/>
      <c r="D973" s="1"/>
    </row>
    <row r="974" spans="1:4" ht="12.75" customHeight="1">
      <c r="A974" s="119"/>
      <c r="B974" s="183"/>
      <c r="C974" s="184"/>
      <c r="D974" s="1"/>
    </row>
    <row r="975" spans="1:4" ht="12.75" customHeight="1">
      <c r="A975" s="119"/>
      <c r="B975" s="183"/>
      <c r="C975" s="184"/>
      <c r="D975" s="1"/>
    </row>
    <row r="976" spans="1:4" ht="12.75" customHeight="1">
      <c r="A976" s="119"/>
      <c r="B976" s="183"/>
      <c r="C976" s="184"/>
      <c r="D976" s="1"/>
    </row>
    <row r="977" spans="1:4" ht="12.75" customHeight="1">
      <c r="A977" s="119"/>
      <c r="B977" s="183"/>
      <c r="C977" s="184"/>
      <c r="D977" s="1"/>
    </row>
    <row r="978" spans="1:4" ht="12.75" customHeight="1">
      <c r="A978" s="119"/>
      <c r="B978" s="183"/>
      <c r="C978" s="184"/>
      <c r="D978" s="1"/>
    </row>
    <row r="979" spans="1:4" ht="12.75" customHeight="1">
      <c r="A979" s="119"/>
      <c r="B979" s="183"/>
      <c r="C979" s="184"/>
      <c r="D979" s="1"/>
    </row>
    <row r="980" spans="1:4" ht="12.75" customHeight="1">
      <c r="A980" s="119"/>
      <c r="B980" s="183"/>
      <c r="C980" s="184"/>
      <c r="D980" s="1"/>
    </row>
    <row r="981" spans="1:4" ht="12.75" customHeight="1">
      <c r="A981" s="119"/>
      <c r="B981" s="183"/>
      <c r="C981" s="184"/>
      <c r="D981" s="1"/>
    </row>
    <row r="982" spans="1:4" ht="12.75" customHeight="1">
      <c r="A982" s="119"/>
      <c r="B982" s="183"/>
      <c r="C982" s="184"/>
      <c r="D982" s="1"/>
    </row>
    <row r="983" spans="1:4" ht="12.75" customHeight="1">
      <c r="A983" s="119"/>
      <c r="B983" s="183"/>
      <c r="C983" s="184"/>
      <c r="D983" s="1"/>
    </row>
    <row r="984" spans="1:4" ht="12.75" customHeight="1">
      <c r="A984" s="119"/>
      <c r="B984" s="183"/>
      <c r="C984" s="184"/>
      <c r="D984" s="1"/>
    </row>
    <row r="985" spans="1:4" ht="12.75" customHeight="1">
      <c r="A985" s="119"/>
      <c r="B985" s="183"/>
      <c r="C985" s="184"/>
      <c r="D985" s="1"/>
    </row>
    <row r="986" spans="1:4" ht="12.75" customHeight="1">
      <c r="A986" s="119"/>
      <c r="B986" s="183"/>
      <c r="C986" s="184"/>
      <c r="D986" s="1"/>
    </row>
    <row r="987" spans="1:4" ht="12.75" customHeight="1">
      <c r="A987" s="119"/>
      <c r="B987" s="183"/>
      <c r="C987" s="184"/>
      <c r="D987" s="1"/>
    </row>
    <row r="988" spans="1:4" ht="12.75" customHeight="1">
      <c r="A988" s="119"/>
      <c r="B988" s="183"/>
      <c r="C988" s="184"/>
      <c r="D988" s="1"/>
    </row>
    <row r="989" spans="1:4" ht="12.75" customHeight="1">
      <c r="A989" s="119"/>
      <c r="B989" s="183"/>
      <c r="C989" s="184"/>
      <c r="D989" s="1"/>
    </row>
    <row r="990" spans="1:4" ht="12.75" customHeight="1">
      <c r="A990" s="119"/>
      <c r="B990" s="183"/>
      <c r="C990" s="184"/>
      <c r="D990" s="1"/>
    </row>
    <row r="991" spans="1:4" ht="12.75" customHeight="1">
      <c r="A991" s="119"/>
      <c r="B991" s="183"/>
      <c r="C991" s="184"/>
      <c r="D991" s="1"/>
    </row>
    <row r="992" spans="1:4" ht="12.75" customHeight="1">
      <c r="A992" s="119"/>
      <c r="B992" s="183"/>
      <c r="C992" s="184"/>
      <c r="D992" s="1"/>
    </row>
    <row r="993" spans="1:4" ht="12.75" customHeight="1">
      <c r="A993" s="119"/>
      <c r="B993" s="183"/>
      <c r="C993" s="184"/>
      <c r="D993" s="1"/>
    </row>
    <row r="994" spans="1:4" ht="12.75" customHeight="1">
      <c r="A994" s="119"/>
      <c r="B994" s="183"/>
      <c r="C994" s="184"/>
      <c r="D994" s="1"/>
    </row>
    <row r="995" spans="1:4" ht="12.75" customHeight="1">
      <c r="A995" s="119"/>
      <c r="B995" s="183"/>
      <c r="C995" s="184"/>
      <c r="D995" s="1"/>
    </row>
    <row r="996" spans="1:4" ht="12.75" customHeight="1">
      <c r="A996" s="119"/>
      <c r="B996" s="183"/>
      <c r="C996" s="184"/>
      <c r="D996" s="1"/>
    </row>
    <row r="997" spans="1:4" ht="12.75" customHeight="1">
      <c r="A997" s="119"/>
      <c r="B997" s="183"/>
      <c r="C997" s="184"/>
      <c r="D997" s="1"/>
    </row>
    <row r="998" spans="1:4" ht="12.75" customHeight="1">
      <c r="A998" s="119"/>
      <c r="B998" s="183"/>
      <c r="C998" s="184"/>
      <c r="D998" s="1"/>
    </row>
    <row r="999" spans="1:4" ht="12.75" customHeight="1">
      <c r="A999" s="119"/>
      <c r="B999" s="183"/>
      <c r="C999" s="184"/>
      <c r="D999" s="1"/>
    </row>
    <row r="1000" spans="1:4" ht="12.75" customHeight="1">
      <c r="A1000" s="119"/>
      <c r="B1000" s="183"/>
      <c r="C1000" s="184"/>
      <c r="D1000" s="1"/>
    </row>
  </sheetData>
  <customSheetViews>
    <customSheetView guid="{2EAA28DA-25FD-4D42-9D04-3DAACD7A5870}" filter="1" showAutoFilter="1">
      <autoFilter ref="B1:D1" xr:uid="{C082C7CE-2767-49A9-A67C-0726E79CCFAC}"/>
      <extLst>
        <ext uri="GoogleSheetsCustomDataVersion1">
          <go:sheetsCustomData xmlns:go="http://customooxmlschemas.google.com/" filterViewId="343469247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>
      <c r="A1" s="185" t="s">
        <v>274</v>
      </c>
      <c r="B1" s="112"/>
      <c r="C1" s="112"/>
      <c r="D1" s="112"/>
      <c r="E1" s="113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33.75" customHeight="1">
      <c r="A2" s="66"/>
      <c r="B2" s="99" t="s">
        <v>275</v>
      </c>
      <c r="C2" s="100" t="s">
        <v>276</v>
      </c>
      <c r="D2" s="99" t="s">
        <v>277</v>
      </c>
      <c r="E2" s="66" t="s">
        <v>278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12.75" customHeight="1">
      <c r="A3" s="101" t="s">
        <v>279</v>
      </c>
      <c r="B3" s="102" t="s">
        <v>91</v>
      </c>
      <c r="C3" s="66">
        <v>1900</v>
      </c>
      <c r="D3" s="66">
        <v>450</v>
      </c>
      <c r="E3" s="66">
        <f t="shared" ref="E3:E30" si="0">C3*D3</f>
        <v>855000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12.75" customHeight="1">
      <c r="A4" s="101" t="s">
        <v>280</v>
      </c>
      <c r="B4" s="102" t="s">
        <v>91</v>
      </c>
      <c r="C4" s="66">
        <v>1380</v>
      </c>
      <c r="D4" s="66">
        <v>100</v>
      </c>
      <c r="E4" s="66">
        <f t="shared" si="0"/>
        <v>138000</v>
      </c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2.75" customHeight="1">
      <c r="A5" s="101" t="s">
        <v>281</v>
      </c>
      <c r="B5" s="103" t="s">
        <v>282</v>
      </c>
      <c r="C5" s="66">
        <v>9860</v>
      </c>
      <c r="D5" s="66">
        <v>20</v>
      </c>
      <c r="E5" s="66">
        <f t="shared" si="0"/>
        <v>197200</v>
      </c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12.75" customHeight="1">
      <c r="A6" s="101" t="s">
        <v>283</v>
      </c>
      <c r="B6" s="103" t="s">
        <v>282</v>
      </c>
      <c r="C6" s="66">
        <v>10500</v>
      </c>
      <c r="D6" s="66">
        <v>20</v>
      </c>
      <c r="E6" s="66">
        <f t="shared" si="0"/>
        <v>210000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12.75" customHeight="1">
      <c r="A7" s="101" t="s">
        <v>284</v>
      </c>
      <c r="B7" s="103" t="s">
        <v>282</v>
      </c>
      <c r="C7" s="66">
        <v>5800</v>
      </c>
      <c r="D7" s="66">
        <v>20</v>
      </c>
      <c r="E7" s="66">
        <f t="shared" si="0"/>
        <v>116000</v>
      </c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12.75" customHeight="1">
      <c r="A8" s="101" t="s">
        <v>285</v>
      </c>
      <c r="B8" s="103" t="s">
        <v>282</v>
      </c>
      <c r="C8" s="66">
        <v>27840</v>
      </c>
      <c r="D8" s="66">
        <v>10</v>
      </c>
      <c r="E8" s="66">
        <f t="shared" si="0"/>
        <v>278400</v>
      </c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2.75" customHeight="1">
      <c r="A9" s="101" t="s">
        <v>286</v>
      </c>
      <c r="B9" s="103" t="s">
        <v>287</v>
      </c>
      <c r="C9" s="66">
        <v>406</v>
      </c>
      <c r="D9" s="66">
        <v>500</v>
      </c>
      <c r="E9" s="66">
        <f t="shared" si="0"/>
        <v>203000</v>
      </c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2.75" customHeight="1">
      <c r="A10" s="101" t="s">
        <v>288</v>
      </c>
      <c r="B10" s="104" t="s">
        <v>289</v>
      </c>
      <c r="C10" s="66">
        <v>34.799999999999997</v>
      </c>
      <c r="D10" s="66">
        <v>500</v>
      </c>
      <c r="E10" s="66">
        <f t="shared" si="0"/>
        <v>17400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2.75" customHeight="1">
      <c r="A11" s="101" t="s">
        <v>290</v>
      </c>
      <c r="B11" s="103" t="s">
        <v>291</v>
      </c>
      <c r="C11" s="66">
        <v>1774.8</v>
      </c>
      <c r="D11" s="66">
        <v>150</v>
      </c>
      <c r="E11" s="66">
        <f t="shared" si="0"/>
        <v>266220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2.75" customHeight="1">
      <c r="A12" s="101" t="s">
        <v>292</v>
      </c>
      <c r="B12" s="103" t="s">
        <v>293</v>
      </c>
      <c r="C12" s="66">
        <v>17840.669999999998</v>
      </c>
      <c r="D12" s="66">
        <v>12</v>
      </c>
      <c r="E12" s="66">
        <f t="shared" si="0"/>
        <v>214088.04</v>
      </c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2.75" customHeight="1">
      <c r="A13" s="101" t="s">
        <v>294</v>
      </c>
      <c r="B13" s="103" t="s">
        <v>293</v>
      </c>
      <c r="C13" s="66">
        <v>22573.599999999999</v>
      </c>
      <c r="D13" s="66">
        <v>24</v>
      </c>
      <c r="E13" s="66">
        <f t="shared" si="0"/>
        <v>541766.40000000002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2.75" customHeight="1">
      <c r="A14" s="101" t="s">
        <v>295</v>
      </c>
      <c r="B14" s="103" t="s">
        <v>293</v>
      </c>
      <c r="C14" s="66">
        <v>11321.6</v>
      </c>
      <c r="D14" s="66">
        <v>24</v>
      </c>
      <c r="E14" s="66">
        <f t="shared" si="0"/>
        <v>271718.40000000002</v>
      </c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01" t="s">
        <v>296</v>
      </c>
      <c r="B15" s="102" t="s">
        <v>91</v>
      </c>
      <c r="C15" s="66">
        <v>4988</v>
      </c>
      <c r="D15" s="66">
        <v>200</v>
      </c>
      <c r="E15" s="66">
        <f t="shared" si="0"/>
        <v>997600</v>
      </c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01" t="s">
        <v>297</v>
      </c>
      <c r="B16" s="105" t="s">
        <v>102</v>
      </c>
      <c r="C16" s="66">
        <v>2900</v>
      </c>
      <c r="D16" s="66">
        <v>200</v>
      </c>
      <c r="E16" s="66">
        <f t="shared" si="0"/>
        <v>580000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2.75" customHeight="1">
      <c r="A17" s="101" t="s">
        <v>298</v>
      </c>
      <c r="B17" s="102" t="s">
        <v>91</v>
      </c>
      <c r="C17" s="66">
        <v>812</v>
      </c>
      <c r="D17" s="66">
        <v>600</v>
      </c>
      <c r="E17" s="66">
        <f t="shared" si="0"/>
        <v>487200</v>
      </c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2.75" customHeight="1">
      <c r="A18" s="101" t="s">
        <v>299</v>
      </c>
      <c r="B18" s="102" t="s">
        <v>91</v>
      </c>
      <c r="C18" s="66">
        <v>9000</v>
      </c>
      <c r="D18" s="66">
        <v>200</v>
      </c>
      <c r="E18" s="66">
        <f t="shared" si="0"/>
        <v>1800000</v>
      </c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2.75" customHeight="1">
      <c r="A19" s="101" t="s">
        <v>300</v>
      </c>
      <c r="B19" s="106" t="s">
        <v>301</v>
      </c>
      <c r="C19" s="66">
        <v>7000</v>
      </c>
      <c r="D19" s="66">
        <v>1</v>
      </c>
      <c r="E19" s="66">
        <f t="shared" si="0"/>
        <v>7000</v>
      </c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2.75" customHeight="1">
      <c r="A20" s="101" t="s">
        <v>302</v>
      </c>
      <c r="B20" s="106" t="s">
        <v>301</v>
      </c>
      <c r="C20" s="66">
        <v>6700</v>
      </c>
      <c r="D20" s="66">
        <v>1</v>
      </c>
      <c r="E20" s="66">
        <f t="shared" si="0"/>
        <v>6700</v>
      </c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2.75" customHeight="1">
      <c r="A21" s="101" t="s">
        <v>303</v>
      </c>
      <c r="B21" s="106" t="s">
        <v>301</v>
      </c>
      <c r="C21" s="66">
        <v>6400</v>
      </c>
      <c r="D21" s="66">
        <v>1</v>
      </c>
      <c r="E21" s="66">
        <f t="shared" si="0"/>
        <v>6400</v>
      </c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2.75" customHeight="1">
      <c r="A22" s="101" t="s">
        <v>304</v>
      </c>
      <c r="B22" s="106" t="s">
        <v>301</v>
      </c>
      <c r="C22" s="66">
        <v>7000</v>
      </c>
      <c r="D22" s="66">
        <v>1</v>
      </c>
      <c r="E22" s="66">
        <f t="shared" si="0"/>
        <v>7000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2.75" customHeight="1">
      <c r="A23" s="101" t="s">
        <v>305</v>
      </c>
      <c r="B23" s="106" t="s">
        <v>301</v>
      </c>
      <c r="C23" s="66">
        <v>6700</v>
      </c>
      <c r="D23" s="66">
        <v>1</v>
      </c>
      <c r="E23" s="66">
        <f t="shared" si="0"/>
        <v>6700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2.75" customHeight="1">
      <c r="A24" s="101" t="s">
        <v>306</v>
      </c>
      <c r="B24" s="106" t="s">
        <v>301</v>
      </c>
      <c r="C24" s="66">
        <v>6400</v>
      </c>
      <c r="D24" s="66">
        <v>1</v>
      </c>
      <c r="E24" s="66">
        <f t="shared" si="0"/>
        <v>6400</v>
      </c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2.75" customHeight="1">
      <c r="A25" s="101" t="s">
        <v>307</v>
      </c>
      <c r="B25" s="106" t="s">
        <v>301</v>
      </c>
      <c r="C25" s="66">
        <v>22000</v>
      </c>
      <c r="D25" s="66">
        <v>1</v>
      </c>
      <c r="E25" s="66">
        <f t="shared" si="0"/>
        <v>22000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2.75" customHeight="1">
      <c r="A26" s="101" t="s">
        <v>308</v>
      </c>
      <c r="B26" s="106" t="s">
        <v>301</v>
      </c>
      <c r="C26" s="66">
        <v>18000</v>
      </c>
      <c r="D26" s="66">
        <v>1</v>
      </c>
      <c r="E26" s="66">
        <f t="shared" si="0"/>
        <v>18000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2.75" customHeight="1">
      <c r="A27" s="101" t="s">
        <v>309</v>
      </c>
      <c r="B27" s="106" t="s">
        <v>301</v>
      </c>
      <c r="C27" s="66">
        <v>20000</v>
      </c>
      <c r="D27" s="66">
        <v>1</v>
      </c>
      <c r="E27" s="66">
        <f t="shared" si="0"/>
        <v>20000</v>
      </c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2.75" customHeight="1">
      <c r="A28" s="101" t="s">
        <v>310</v>
      </c>
      <c r="B28" s="106" t="s">
        <v>301</v>
      </c>
      <c r="C28" s="66">
        <v>22000</v>
      </c>
      <c r="D28" s="66">
        <v>1</v>
      </c>
      <c r="E28" s="66">
        <f t="shared" si="0"/>
        <v>22000</v>
      </c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2.75" customHeight="1">
      <c r="A29" s="101" t="s">
        <v>311</v>
      </c>
      <c r="B29" s="106" t="s">
        <v>301</v>
      </c>
      <c r="C29" s="66">
        <v>20000</v>
      </c>
      <c r="D29" s="66">
        <v>1</v>
      </c>
      <c r="E29" s="66">
        <f t="shared" si="0"/>
        <v>20000</v>
      </c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2.75" customHeight="1">
      <c r="A30" s="101" t="s">
        <v>308</v>
      </c>
      <c r="B30" s="106" t="s">
        <v>301</v>
      </c>
      <c r="C30" s="66">
        <v>18000</v>
      </c>
      <c r="D30" s="66">
        <v>1</v>
      </c>
      <c r="E30" s="66">
        <f t="shared" si="0"/>
        <v>18000</v>
      </c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32.25" customHeight="1">
      <c r="A31" s="119"/>
      <c r="B31" s="186" t="s">
        <v>278</v>
      </c>
      <c r="C31" s="169"/>
      <c r="D31" s="122"/>
      <c r="E31" s="107">
        <f>SUM(E3:E30)</f>
        <v>7333792.8399999999</v>
      </c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2.75" customHeight="1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2.7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2.75" customHeight="1">
      <c r="A34" s="187" t="s">
        <v>312</v>
      </c>
      <c r="B34" s="128"/>
      <c r="C34" s="128"/>
      <c r="D34" s="128"/>
      <c r="E34" s="128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2.75" customHeight="1">
      <c r="A35" s="128"/>
      <c r="B35" s="139"/>
      <c r="C35" s="139"/>
      <c r="D35" s="139"/>
      <c r="E35" s="128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2.75" customHeight="1">
      <c r="A36" s="128"/>
      <c r="B36" s="128"/>
      <c r="C36" s="128"/>
      <c r="D36" s="128"/>
      <c r="E36" s="128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2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2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2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2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2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2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2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2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2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2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2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2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2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2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2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2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2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2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2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2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2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2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2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2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2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2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2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2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2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2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2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2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2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2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2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2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2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2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2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2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2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2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2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2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2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2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2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2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2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2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2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2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2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2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2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2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2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2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2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2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2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2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2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2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2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2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2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2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2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2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2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2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2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2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2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2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2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2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2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2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2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2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2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2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2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2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2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2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2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2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2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2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2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2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2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2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2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2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2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2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2.7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2.7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2.7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2.7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2.7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2.7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2.7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2.7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2.7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2.7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2.7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2.7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2.7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2.7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2.7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2.7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2.7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2.7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2.7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2.7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2.7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2.7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2.7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2.7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2.7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2.7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2.7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2.7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2.7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2.7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2.7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2.7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2.7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2.7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2.7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2.7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2.7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2.7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2.7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2.7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2.7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2.7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2.7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2.7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2.7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2.7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2.7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2.7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2.7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2.7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2.7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2.7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2.7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2.7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2.7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2.7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2.7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2.7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2.7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2.7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2.7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2.7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2.7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2.7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2.7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2.7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2.7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2.7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2.7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2.7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2.7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2.7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2.7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2.7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2.7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2.7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2.7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2.7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2.7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2.7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2.7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2.7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2.7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2.7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2.7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2.7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2.7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2.7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2.7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2.7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2.7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2.7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2.7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2.7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2.7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2.7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2.7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2.7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2.7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2.7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2.7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2.7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2.7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2.7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2.7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2.7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2.7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2.7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2.7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2.7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2.7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2.7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2.7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2.7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2.7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2.7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2.7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2.7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2.7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2.7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2.7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2.7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2.7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2.7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2.7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2.7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2.7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2.7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2.7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2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2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2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2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2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2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2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2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2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2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2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2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2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2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2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2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2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2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2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2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2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2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2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2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2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2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2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2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2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2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2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2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2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2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2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2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2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2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2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2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2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2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2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2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2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2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2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2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2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2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2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2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2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2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2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2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2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2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2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2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2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2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2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2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2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2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2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2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2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2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2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2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2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2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2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2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2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2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2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2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2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2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2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2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2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2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2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2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2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2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2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2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2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2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2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2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2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2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2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2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2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2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2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2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2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2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2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2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2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2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2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2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2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2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2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2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2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2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2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2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2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2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2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2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2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2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2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2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2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2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2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2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2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2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2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2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2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2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2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2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2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2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2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2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2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2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2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2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2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2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2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2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2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2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2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2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2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2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2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2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2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2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2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2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2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2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2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2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2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2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2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2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2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2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2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2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2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2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2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2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2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2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2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2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2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2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2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2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2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2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2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2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2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2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2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2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2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2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2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2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2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2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2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2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2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2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2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2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2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2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2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2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2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2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2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2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2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2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2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2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2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2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2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2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2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2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2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2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2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2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2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2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2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2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2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2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2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2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2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2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2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2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2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2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2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2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2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2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2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2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2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2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2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2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2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2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2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2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2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2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2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2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2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2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2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2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2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2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2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2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2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2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2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2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2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2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2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2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2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2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2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2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2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2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2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2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2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2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2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2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2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2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2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2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2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2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2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2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2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2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2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2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2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2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2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2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2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2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2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2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2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2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2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2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2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2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2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2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2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2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2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2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2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2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2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2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2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2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2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2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2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2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2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2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2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2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2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2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2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2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2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2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2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2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2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2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2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2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2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2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2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2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2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2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2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2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2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2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2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2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2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2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2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2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2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2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2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2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2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2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2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2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2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2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2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2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2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2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2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2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2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2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2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2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2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2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2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2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2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2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2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2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2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2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2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2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2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2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2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2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2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2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2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2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2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2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2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2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2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2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2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2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2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2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2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2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2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2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2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2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2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2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2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2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2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2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2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2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2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2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2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2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2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2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2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2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2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2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2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2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2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2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2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2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2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2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2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2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2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2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2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2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2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2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2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2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2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2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2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2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2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2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2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2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2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2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2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2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2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2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2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2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2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2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2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2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2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2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2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2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2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2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2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2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2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2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2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2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2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2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2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2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2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2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2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2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2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2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2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2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2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2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2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2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2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2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2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2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2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2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2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2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2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2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2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2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2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2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2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2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2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2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2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2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2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2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2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2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2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2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2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2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2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2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2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2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2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2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2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2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2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2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2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2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2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2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2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2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2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2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2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2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2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2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2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2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2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2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2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2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2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2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2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2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2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2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2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2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2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2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2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2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2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2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2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2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2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2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2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2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2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2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2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2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2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2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2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2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2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2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2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2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2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2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2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2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2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2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2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2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2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2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2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2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2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2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2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2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2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2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2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2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2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2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2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2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2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2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2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2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2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2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2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2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2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2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2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2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2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2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2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2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2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2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2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2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2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2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2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2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2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2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2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2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2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2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2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2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2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2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2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2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2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2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2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2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2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2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2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2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2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2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2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2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2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2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2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2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2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2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2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2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2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2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2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2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2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2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2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2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2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2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2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2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2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2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2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2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2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2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2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2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2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2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2.7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2.7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2.7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2.7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2.7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Jader Albeiro Gomez Agudelo</cp:lastModifiedBy>
  <cp:revision/>
  <dcterms:created xsi:type="dcterms:W3CDTF">2008-09-30T23:12:13Z</dcterms:created>
  <dcterms:modified xsi:type="dcterms:W3CDTF">2024-06-04T14:01:36Z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