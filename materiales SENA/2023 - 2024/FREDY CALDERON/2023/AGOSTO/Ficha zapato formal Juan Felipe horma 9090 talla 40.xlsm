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2" documentId="13_ncr:1_{1CE21C04-62ED-4BB7-ADB8-947B49C39D48}" xr6:coauthVersionLast="47" xr6:coauthVersionMax="47" xr10:uidLastSave="{E54EDA39-8A8B-42B9-BADE-69BDCEF8A33C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<sst xmlns="http://schemas.openxmlformats.org/spreadsheetml/2006/main" count="5071" uniqueCount="1393">
  <si>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</si>
  <si>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</si>
  <si>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</si>
  <si>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</si>
  <si>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</si>
  <si>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</si>
  <si>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</si>
  <si>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</si>
  <si>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</si>
  <si>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</si>
  <si>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</si>
  <si>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</si>
  <si>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zapato deportivo formal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</si>
  <si>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</si>
  <si>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</si>
  <si>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</si>
  <si>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</si>
  <si>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</si>
  <si>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</si>
  <si>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</si>
  <si>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</si>
  <si>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</si>
  <si>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</si>
  <si>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</si>
  <si>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</si>
  <si>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</si>
  <si>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</si>
  <si>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</si>
  <si>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</si>
  <si>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SUELAS</t>
  </si>
  <si>
    <t xml:space="preserve">SUELA EN CAUCHO 
</t>
  </si>
  <si>
    <t>SECUNDARIO_MEDULAR</t>
  </si>
  <si>
    <t xml:space="preserve">CORDON  PLANO 1,10 CM  CAFÉ </t>
  </si>
  <si>
    <t>ODENA 1,1 mm</t>
  </si>
  <si>
    <t>INSUMOS_COMPL_</t>
  </si>
  <si>
    <t xml:space="preserve">CLAVOS ACERO </t>
  </si>
  <si>
    <t>ESPUMA  DE BAJA DENSIDAD</t>
  </si>
  <si>
    <t>lAMBRILLA 3 mm ( EVA)</t>
  </si>
  <si>
    <t>SiNTETICOS_TEXTILES</t>
  </si>
  <si>
    <t>MOIRA FORRO DE BUEN CALIBRE PARA USO EXTERNO E INTERNO POLIESTER</t>
  </si>
  <si>
    <t>ADHESIVOS_Solventes</t>
  </si>
  <si>
    <t xml:space="preserve">ADHESIVO PU
</t>
  </si>
  <si>
    <t xml:space="preserve">AQUAPREN GUARNECIDA
</t>
  </si>
  <si>
    <t xml:space="preserve">LIMPIADOR  DE SUELAS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</si>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</sst>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O4" sqref="O4:R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FC1907-1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45126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79897894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35557.538307856834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35557.538307856834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>
        <v>80</v>
      </c>
      <c r="Y8" s="108">
        <f>IFERROR((V8*X8)," ")</f>
        <v>80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12</v>
      </c>
      <c r="R10" s="316"/>
      <c r="S10" s="317">
        <f>IFERROR(IF(Q10="Unidad","1",(Q10*$K$5)),"")</f>
        <v>12</v>
      </c>
      <c r="T10" s="318"/>
      <c r="U10" s="305"/>
      <c r="V10" s="401"/>
      <c r="W10" s="306">
        <f ca="1">IFERROR(IF(D10="","",INDEX(Tabla_Completa,MATCH('Soli_citud '!D10,Materiales,0),7)*S10),"")</f>
        <v>10781.4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14</v>
      </c>
      <c r="R11" s="316"/>
      <c r="S11" s="317">
        <f t="shared" ref="S11:S31" si="1">IFERROR(IF(Q11="Unidad","1",(Q11*$K$5)),"")</f>
        <v>14</v>
      </c>
      <c r="T11" s="318"/>
      <c r="U11" s="305"/>
      <c r="V11" s="305"/>
      <c r="W11" s="306">
        <f ca="1">IFERROR(IF(D11="","",INDEX(Tabla_Completa,MATCH('Soli_citud '!D11,Materiales,0),7)*S11),"")</f>
        <v>5469.3333333333339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Par</v>
      </c>
      <c r="P12" s="314"/>
      <c r="Q12" s="315">
        <v>1</v>
      </c>
      <c r="R12" s="316"/>
      <c r="S12" s="317">
        <f t="shared" si="1"/>
        <v>1</v>
      </c>
      <c r="T12" s="318"/>
      <c r="U12" s="305"/>
      <c r="V12" s="305"/>
      <c r="W12" s="306">
        <f ca="1">IFERROR(IF(D12="","",INDEX(Tabla_Completa,MATCH('Soli_citud '!D12,Materiales,0),7)*S12),"")</f>
        <v>14150</v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Par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639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cm2</v>
      </c>
      <c r="P14" s="314"/>
      <c r="Q14" s="315">
        <v>1200</v>
      </c>
      <c r="R14" s="316"/>
      <c r="S14" s="317">
        <f t="shared" si="1"/>
        <v>1200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lb</v>
      </c>
      <c r="P15" s="314"/>
      <c r="Q15" s="315">
        <v>0.5</v>
      </c>
      <c r="R15" s="316"/>
      <c r="S15" s="317">
        <f t="shared" si="1"/>
        <v>0.5</v>
      </c>
      <c r="T15" s="318"/>
      <c r="U15" s="305"/>
      <c r="V15" s="305"/>
      <c r="W15" s="306">
        <f ca="1">IFERROR(IF(D15="","",INDEX(Tabla_Completa,MATCH('Soli_citud '!D15,Materiales,0),7)*S15),"")</f>
        <v>0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</v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>
        <f ca="1">IFERROR(IF(D16="","",INDEX(Tabla_Completa,MATCH('Soli_citud '!D16,Materiales,0),7)*S16),"")</f>
        <v>0</v>
      </c>
      <c r="X16" s="306"/>
      <c r="Y16" s="306"/>
    </row>
    <row r="17" spans="1:25" ht="15.75" customHeight="1">
      <c r="A17" s="307" t="s">
        <v>31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cm2</v>
      </c>
      <c r="P17" s="314"/>
      <c r="Q17" s="315">
        <v>1200</v>
      </c>
      <c r="R17" s="316"/>
      <c r="S17" s="317">
        <f t="shared" si="1"/>
        <v>1200</v>
      </c>
      <c r="T17" s="318"/>
      <c r="U17" s="305"/>
      <c r="V17" s="305"/>
      <c r="W17" s="306">
        <f ca="1">IFERROR(IF(D17="","",INDEX(Tabla_Completa,MATCH('Soli_citud '!D17,Materiales,0),7)*S17),"")</f>
        <v>574.64</v>
      </c>
      <c r="X17" s="306"/>
      <c r="Y17" s="306"/>
    </row>
    <row r="18" spans="1:25" ht="15.75" customHeight="1">
      <c r="A18" s="307" t="s">
        <v>38</v>
      </c>
      <c r="B18" s="308"/>
      <c r="C18" s="309"/>
      <c r="D18" s="398" t="s">
        <v>39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cm2</v>
      </c>
      <c r="P18" s="314"/>
      <c r="Q18" s="315">
        <v>1200</v>
      </c>
      <c r="R18" s="316"/>
      <c r="S18" s="317">
        <f t="shared" si="1"/>
        <v>1200</v>
      </c>
      <c r="T18" s="318"/>
      <c r="U18" s="305"/>
      <c r="V18" s="305"/>
      <c r="W18" s="306">
        <f ca="1">IFERROR(IF(D18="","",INDEX(Tabla_Completa,MATCH('Soli_citud '!D18,Materiales,0),7)*S18),"")</f>
        <v>3373.5857142857144</v>
      </c>
      <c r="X18" s="306"/>
      <c r="Y18" s="306"/>
    </row>
    <row r="19" spans="1:25" ht="15.6">
      <c r="A19" s="307" t="s">
        <v>40</v>
      </c>
      <c r="B19" s="308"/>
      <c r="C19" s="309"/>
      <c r="D19" s="310" t="s">
        <v>41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ml</v>
      </c>
      <c r="P19" s="314"/>
      <c r="Q19" s="315">
        <v>5</v>
      </c>
      <c r="R19" s="316"/>
      <c r="S19" s="317">
        <f t="shared" si="1"/>
        <v>5</v>
      </c>
      <c r="T19" s="318"/>
      <c r="U19" s="305"/>
      <c r="V19" s="305"/>
      <c r="W19" s="306">
        <f ca="1">IFERROR(IF(D19="","",INDEX(Tabla_Completa,MATCH('Soli_citud '!D19,Materiales,0),7)*S19),"")</f>
        <v>98.612945838837504</v>
      </c>
      <c r="X19" s="306"/>
      <c r="Y19" s="306"/>
    </row>
    <row r="20" spans="1:25" ht="15.6">
      <c r="A20" s="307" t="s">
        <v>40</v>
      </c>
      <c r="B20" s="308"/>
      <c r="C20" s="309"/>
      <c r="D20" s="310" t="s">
        <v>42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ml</v>
      </c>
      <c r="P20" s="314"/>
      <c r="Q20" s="315">
        <v>5</v>
      </c>
      <c r="R20" s="316"/>
      <c r="S20" s="317">
        <f t="shared" si="1"/>
        <v>5</v>
      </c>
      <c r="T20" s="318"/>
      <c r="U20" s="305"/>
      <c r="V20" s="305"/>
      <c r="W20" s="306">
        <f ca="1">IFERROR(IF(D20="","",INDEX(Tabla_Completa,MATCH('Soli_citud '!D20,Materiales,0),7)*S20),"")</f>
        <v>306.03896961690884</v>
      </c>
      <c r="X20" s="306"/>
      <c r="Y20" s="306"/>
    </row>
    <row r="21" spans="1:25" ht="15.6">
      <c r="A21" s="307" t="s">
        <v>40</v>
      </c>
      <c r="B21" s="308"/>
      <c r="C21" s="309"/>
      <c r="D21" s="310" t="s">
        <v>41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ml</v>
      </c>
      <c r="P21" s="314"/>
      <c r="Q21" s="315">
        <v>5</v>
      </c>
      <c r="R21" s="316"/>
      <c r="S21" s="317">
        <f t="shared" si="1"/>
        <v>5</v>
      </c>
      <c r="T21" s="318"/>
      <c r="U21" s="305"/>
      <c r="V21" s="305"/>
      <c r="W21" s="306">
        <f ca="1">IFERROR(IF(D21="","",INDEX(Tabla_Completa,MATCH('Soli_citud '!D21,Materiales,0),7)*S21),"")</f>
        <v>98.612945838837504</v>
      </c>
      <c r="X21" s="306"/>
      <c r="Y21" s="306"/>
    </row>
    <row r="22" spans="1:25" ht="15.6">
      <c r="A22" s="307" t="s">
        <v>40</v>
      </c>
      <c r="B22" s="308"/>
      <c r="C22" s="309"/>
      <c r="D22" s="310" t="s">
        <v>43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ml</v>
      </c>
      <c r="P22" s="314"/>
      <c r="Q22" s="315">
        <v>5</v>
      </c>
      <c r="R22" s="316"/>
      <c r="S22" s="317">
        <f t="shared" si="1"/>
        <v>5</v>
      </c>
      <c r="T22" s="318"/>
      <c r="U22" s="305"/>
      <c r="V22" s="305"/>
      <c r="W22" s="306">
        <f ca="1">IFERROR(IF(D22="","",INDEX(Tabla_Completa,MATCH('Soli_citud '!D22,Materiales,0),7)*S22),"")</f>
        <v>66.314398943196821</v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44</v>
      </c>
      <c r="B39" s="319"/>
      <c r="C39" s="319"/>
      <c r="D39" s="320" t="s">
        <v>45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40</v>
      </c>
      <c r="O44" s="332"/>
      <c r="P44" s="332"/>
      <c r="Q44" s="332"/>
      <c r="R44" s="327" t="s">
        <v>49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50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51</v>
      </c>
      <c r="O45" s="332"/>
      <c r="P45" s="332"/>
      <c r="Q45" s="332"/>
      <c r="R45" s="328" t="s">
        <v>52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53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56</v>
      </c>
      <c r="O47" s="332"/>
      <c r="P47" s="332"/>
      <c r="Q47" s="332"/>
      <c r="R47" s="329" t="s">
        <v>57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59</v>
      </c>
      <c r="O48" s="332"/>
      <c r="P48" s="332"/>
      <c r="Q48" s="332"/>
      <c r="R48" s="329" t="s">
        <v>60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62</v>
      </c>
      <c r="O49" s="333"/>
      <c r="P49" s="333"/>
      <c r="Q49" s="333"/>
      <c r="R49" s="328" t="s">
        <v>63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64</v>
      </c>
      <c r="O50" s="332"/>
      <c r="P50" s="332"/>
      <c r="Q50" s="332"/>
      <c r="R50" s="329" t="s">
        <v>65</v>
      </c>
      <c r="S50" s="329"/>
      <c r="T50" s="329"/>
      <c r="U50" s="329"/>
      <c r="V50" s="329"/>
      <c r="W50" s="329"/>
      <c r="X50" s="329"/>
    </row>
    <row r="51" spans="1:24" ht="14.45">
      <c r="N51" s="332" t="s">
        <v>38</v>
      </c>
      <c r="O51" s="332"/>
      <c r="P51" s="332"/>
      <c r="Q51" s="332"/>
      <c r="R51" s="329" t="s">
        <v>66</v>
      </c>
      <c r="S51" s="329"/>
      <c r="T51" s="329"/>
      <c r="U51" s="329"/>
      <c r="V51" s="329"/>
      <c r="W51" s="329"/>
      <c r="X51" s="329"/>
    </row>
    <row r="52" spans="1:24" ht="14.45">
      <c r="N52" s="332" t="s">
        <v>29</v>
      </c>
      <c r="O52" s="332"/>
      <c r="P52" s="332"/>
      <c r="Q52" s="332"/>
      <c r="R52" s="329" t="s">
        <v>57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3" sqref="I13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67</v>
      </c>
      <c r="E1" s="415"/>
      <c r="F1" s="415"/>
      <c r="G1" s="415"/>
      <c r="H1" s="415"/>
      <c r="I1" s="415"/>
      <c r="J1" s="421" t="s">
        <v>68</v>
      </c>
      <c r="K1" s="422"/>
      <c r="L1" s="422"/>
      <c r="M1" s="423"/>
      <c r="N1" s="416">
        <f>IF('Soli_citud '!O1="","",'Soli_citud '!O1)</f>
        <v>45126</v>
      </c>
      <c r="O1" s="417"/>
      <c r="P1" s="467" t="s">
        <v>69</v>
      </c>
      <c r="Q1" s="468"/>
      <c r="R1" s="463" t="str">
        <f>IF('Soli_citud '!D4="","",'Soli_citud '!D4)</f>
        <v>zapato deportivo formal</v>
      </c>
      <c r="S1" s="464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71</v>
      </c>
      <c r="K2" s="425"/>
      <c r="L2" s="425"/>
      <c r="M2" s="426"/>
      <c r="N2" s="418" t="str">
        <f>'Soli_citud '!F1</f>
        <v>FC1907-1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72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73</v>
      </c>
      <c r="K4" s="411"/>
      <c r="L4" s="411"/>
      <c r="M4" s="412" t="str">
        <f>IF('Soli_citud '!O4="","",'Soli_citud '!O4)</f>
        <v>Calzado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74</v>
      </c>
      <c r="C6" s="453"/>
      <c r="D6" s="454"/>
      <c r="E6" s="408" t="s">
        <v>75</v>
      </c>
      <c r="F6" s="408"/>
      <c r="G6" s="408"/>
      <c r="H6" s="408"/>
      <c r="I6" s="409"/>
      <c r="J6" s="443" t="s">
        <v>76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35557.538307856834</v>
      </c>
      <c r="C8" s="431"/>
      <c r="D8" s="432"/>
      <c r="E8" s="449" t="s">
        <v>77</v>
      </c>
      <c r="F8" s="450"/>
      <c r="G8" s="450"/>
      <c r="H8" s="450"/>
      <c r="I8" s="451"/>
      <c r="J8" s="445" t="str">
        <f>IF('Soli_citud '!E2="","",'Soli_citud '!E2)</f>
        <v>Fredy Calderón Lozano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78</v>
      </c>
      <c r="C9" s="434"/>
      <c r="D9" s="459"/>
      <c r="E9" s="458" t="s">
        <v>79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80</v>
      </c>
      <c r="K10" s="428"/>
      <c r="L10" s="429"/>
      <c r="M10" s="242">
        <f>'Soli_citud '!K5</f>
        <v>1</v>
      </c>
      <c r="N10" s="447" t="s">
        <v>81</v>
      </c>
      <c r="O10" s="448"/>
      <c r="P10" s="471"/>
      <c r="Q10" s="472"/>
      <c r="R10" s="243" t="s">
        <v>82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83</v>
      </c>
      <c r="B11" s="264" t="s">
        <v>84</v>
      </c>
      <c r="C11" s="460" t="s">
        <v>85</v>
      </c>
      <c r="D11" s="461"/>
      <c r="E11" s="461"/>
      <c r="F11" s="462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19" t="s">
        <v>24</v>
      </c>
      <c r="M11" s="427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FC1907-1</v>
      </c>
      <c r="C12" s="403" t="str">
        <f>IFERROR(IF('Soli_citud '!D10="","",'Soli_citud '!D10),"")</f>
        <v>CUERO NAPA CON CERA Y ACABADO ESPEJO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12</v>
      </c>
      <c r="I12" s="227">
        <v>45142</v>
      </c>
      <c r="J12" s="228">
        <v>12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FC1907-1</v>
      </c>
      <c r="C13" s="403" t="str">
        <f>IFERROR(IF('Soli_citud '!D11="","",'Soli_citud '!D11),"")</f>
        <v xml:space="preserve">CUERO FORRO BADANA
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14</v>
      </c>
      <c r="I13" s="227"/>
      <c r="J13" s="229"/>
      <c r="K13" s="207" cm="1">
        <f t="array" ref="K13">IFERROR(_xlfn.IFS(H13="","",J13=H13,"Cumplido",J13&lt;H13,H13-J13,J13&gt;H13,"Revisar"),"")</f>
        <v>14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FC1907-1</v>
      </c>
      <c r="C14" s="403" t="str">
        <f>IFERROR(IF('Soli_citud '!D12="","",'Soli_citud '!D12),"")</f>
        <v xml:space="preserve">SUELA EN CAUCHO 
</v>
      </c>
      <c r="D14" s="403"/>
      <c r="E14" s="403"/>
      <c r="F14" s="403"/>
      <c r="G14" s="226" t="str">
        <f ca="1">IF('Soli_citud '!O12="","",'Soli_citud '!O12)</f>
        <v>Par</v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FC1907-1</v>
      </c>
      <c r="C15" s="403" t="str">
        <f>IFERROR(IF('Soli_citud '!D13="","",'Soli_citud '!D13),"")</f>
        <v xml:space="preserve">CORDON  PLANO 1,10 CM  CAFÉ </v>
      </c>
      <c r="D15" s="403"/>
      <c r="E15" s="403"/>
      <c r="F15" s="403"/>
      <c r="G15" s="226" t="str">
        <f ca="1">IF('Soli_citud '!O13="","",'Soli_citud '!O13)</f>
        <v>Par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FC1907-1</v>
      </c>
      <c r="C16" s="403" t="str">
        <f>IFERROR(IF('Soli_citud '!D14="","",'Soli_citud '!D14),"")</f>
        <v>ODENA 1,1 mm</v>
      </c>
      <c r="D16" s="403"/>
      <c r="E16" s="403"/>
      <c r="F16" s="403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1200</v>
      </c>
      <c r="I16" s="230"/>
      <c r="J16" s="229"/>
      <c r="K16" s="207" cm="1">
        <f t="array" ref="K16">IFERROR(_xlfn.IFS(H16="","",J16=H16,"Cumplido",J16&lt;H16,H16-J16,J16&gt;H16,"Revisar"),"")</f>
        <v>1200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FC1907-1</v>
      </c>
      <c r="C17" s="403" t="str">
        <f>IFERROR(IF('Soli_citud '!D15="","",'Soli_citud '!D15),"")</f>
        <v xml:space="preserve">CLAVOS ACERO </v>
      </c>
      <c r="D17" s="403"/>
      <c r="E17" s="403"/>
      <c r="F17" s="403"/>
      <c r="G17" s="226" t="str">
        <f ca="1">IF('Soli_citud '!O15="","",'Soli_citud '!O15)</f>
        <v>lb</v>
      </c>
      <c r="H17" s="226" cm="1">
        <f t="array" ref="H17">_xlfn.IFS('Soli_citud '!S15="","",'Soli_citud '!S15&lt;=0,"",'Soli_citud '!S15&gt;0,'Soli_citud '!S15)</f>
        <v>0.5</v>
      </c>
      <c r="I17" s="230"/>
      <c r="J17" s="229"/>
      <c r="K17" s="207" cm="1">
        <f t="array" ref="K17">IFERROR(_xlfn.IFS(H17="","",J17=H17,"Cumplido",J17&lt;H17,H17-J17,J17&gt;H17,"Revisar"),"")</f>
        <v>0.5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>ESPUMA  DE BAJA DENSIDAD</v>
      </c>
      <c r="D18" s="403"/>
      <c r="E18" s="403"/>
      <c r="F18" s="403"/>
      <c r="G18" s="226" t="str">
        <f ca="1">IF('Soli_citud '!O16="","",'Soli_citud '!O16)</f>
        <v>m</v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FC1907-1</v>
      </c>
      <c r="C19" s="403" t="str">
        <f>IFERROR(IF('Soli_citud '!D17="","",'Soli_citud '!D17),"")</f>
        <v>lAMBRILLA 3 mm ( EVA)</v>
      </c>
      <c r="D19" s="403"/>
      <c r="E19" s="403"/>
      <c r="F19" s="403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1200</v>
      </c>
      <c r="I19" s="230"/>
      <c r="J19" s="229"/>
      <c r="K19" s="207" cm="1">
        <f t="array" ref="K19">IFERROR(_xlfn.IFS(H19="","",J19=H19,"Cumplido",J19&lt;H19,H19-J19,J19&gt;H19,"Revisar"),"")</f>
        <v>1200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FC1907-1</v>
      </c>
      <c r="C20" s="403" t="str">
        <f>IFERROR(IF('Soli_citud '!D18="","",'Soli_citud '!D18),"")</f>
        <v>MOIRA FORRO DE BUEN CALIBRE PARA USO EXTERNO E INTERNO POLIESTER</v>
      </c>
      <c r="D20" s="403"/>
      <c r="E20" s="403"/>
      <c r="F20" s="403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1200</v>
      </c>
      <c r="I20" s="230"/>
      <c r="J20" s="229"/>
      <c r="K20" s="207" cm="1">
        <f t="array" ref="K20">IFERROR(_xlfn.IFS(H20="","",J20=H20,"Cumplido",J20&lt;H20,H20-J20,J20&gt;H20,"Revisar"),"")</f>
        <v>1200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FC1907-1</v>
      </c>
      <c r="C21" s="403" t="str">
        <f>IFERROR(IF('Soli_citud '!D19="","",'Soli_citud '!D19),"")</f>
        <v xml:space="preserve">ADHESIVO PU
</v>
      </c>
      <c r="D21" s="403"/>
      <c r="E21" s="403"/>
      <c r="F21" s="403"/>
      <c r="G21" s="226" t="str">
        <f ca="1">IF('Soli_citud '!O19="","",'Soli_citud '!O19)</f>
        <v>ml</v>
      </c>
      <c r="H21" s="226" cm="1">
        <f t="array" ref="H21">_xlfn.IFS('Soli_citud '!S19="","",'Soli_citud '!S19&lt;=0,"",'Soli_citud '!S19&gt;0,'Soli_citud '!S19)</f>
        <v>5</v>
      </c>
      <c r="I21" s="230"/>
      <c r="J21" s="229"/>
      <c r="K21" s="207" cm="1">
        <f t="array" ref="K21">IFERROR(_xlfn.IFS(H21="","",J21=H21,"Cumplido",J21&lt;H21,H21-J21,J21&gt;H21,"Revisar"),"")</f>
        <v>5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FC1907-1</v>
      </c>
      <c r="C22" s="403" t="str">
        <f>IFERROR(IF('Soli_citud '!D20="","",'Soli_citud '!D20),"")</f>
        <v xml:space="preserve">AQUAPREN GUARNECIDA
</v>
      </c>
      <c r="D22" s="403"/>
      <c r="E22" s="403"/>
      <c r="F22" s="403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5</v>
      </c>
      <c r="I22" s="230"/>
      <c r="J22" s="229"/>
      <c r="K22" s="207" cm="1">
        <f t="array" ref="K22">IFERROR(_xlfn.IFS(H22="","",J22=H22,"Cumplido",J22&lt;H22,H22-J22,J22&gt;H22,"Revisar"),"")</f>
        <v>5</v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FC1907-1</v>
      </c>
      <c r="C23" s="403" t="str">
        <f>IFERROR(IF('Soli_citud '!D21="","",'Soli_citud '!D21),"")</f>
        <v xml:space="preserve">ADHESIVO PU
</v>
      </c>
      <c r="D23" s="403"/>
      <c r="E23" s="403"/>
      <c r="F23" s="403"/>
      <c r="G23" s="226" t="str">
        <f ca="1">IF('Soli_citud '!O21="","",'Soli_citud '!O21)</f>
        <v>ml</v>
      </c>
      <c r="H23" s="226" cm="1">
        <f t="array" ref="H23">_xlfn.IFS('Soli_citud '!S21="","",'Soli_citud '!S21&lt;=0,"",'Soli_citud '!S21&gt;0,'Soli_citud '!S21)</f>
        <v>5</v>
      </c>
      <c r="I23" s="230"/>
      <c r="J23" s="229"/>
      <c r="K23" s="207" cm="1">
        <f t="array" ref="K23">IFERROR(_xlfn.IFS(H23="","",J23=H23,"Cumplido",J23&lt;H23,H23-J23,J23&gt;H23,"Revisar"),"")</f>
        <v>5</v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FC1907-1</v>
      </c>
      <c r="C24" s="403" t="str">
        <f>IFERROR(IF('Soli_citud '!D22="","",'Soli_citud '!D22),"")</f>
        <v xml:space="preserve">LIMPIADOR  DE SUELAS </v>
      </c>
      <c r="D24" s="403"/>
      <c r="E24" s="403"/>
      <c r="F24" s="403"/>
      <c r="G24" s="226" t="str">
        <f ca="1">IF('Soli_citud '!O22="","",'Soli_citud '!O22)</f>
        <v>ml</v>
      </c>
      <c r="H24" s="226" cm="1">
        <f t="array" ref="H24">_xlfn.IFS('Soli_citud '!S22="","",'Soli_citud '!S22&lt;=0,"",'Soli_citud '!S22&gt;0,'Soli_citud '!S22)</f>
        <v>5</v>
      </c>
      <c r="I24" s="230"/>
      <c r="J24" s="229"/>
      <c r="K24" s="207" cm="1">
        <f t="array" ref="K24">IFERROR(_xlfn.IFS(H24="","",J24=H24,"Cumplido",J24&lt;H24,H24-J24,J24&gt;H24,"Revisar"),"")</f>
        <v>5</v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97</v>
      </c>
      <c r="F1" s="490"/>
      <c r="Z1" s="252" t="s">
        <v>70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8"/>
      <c r="D6" s="489"/>
      <c r="H6" s="486" t="s">
        <v>99</v>
      </c>
      <c r="I6" s="486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41</v>
      </c>
      <c r="C8" s="140" t="s">
        <v>40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40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42</v>
      </c>
      <c r="C10" s="140" t="s">
        <v>40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40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40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40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43</v>
      </c>
      <c r="C14" s="140" t="s">
        <v>40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40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40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40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40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40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40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238</v>
      </c>
      <c r="C162" s="219" t="s">
        <v>31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31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31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31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31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31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31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32</v>
      </c>
      <c r="C169" s="219" t="s">
        <v>31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31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31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31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31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31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31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31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31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31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31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31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31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31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31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31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31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31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31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31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31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31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31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31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31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31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31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31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31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31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31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31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31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31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31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31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31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31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31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31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31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31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31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31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31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31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31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31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31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31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31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31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31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31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31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31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31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31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31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31</v>
      </c>
      <c r="D228" s="48" t="s">
        <v>243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31</v>
      </c>
      <c r="D229" s="48" t="s">
        <v>243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31</v>
      </c>
      <c r="D230" s="48" t="s">
        <v>243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31</v>
      </c>
      <c r="D231" s="48" t="s">
        <v>243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31</v>
      </c>
      <c r="D232" s="49" t="s">
        <v>240</v>
      </c>
      <c r="E232" s="166">
        <v>16471.25</v>
      </c>
      <c r="F232" s="301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31</v>
      </c>
      <c r="D233" s="49" t="s">
        <v>240</v>
      </c>
      <c r="E233" s="166">
        <v>32931.5</v>
      </c>
      <c r="F233" s="301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31</v>
      </c>
      <c r="D234" s="49" t="s">
        <v>240</v>
      </c>
      <c r="E234" s="166">
        <v>16209.5</v>
      </c>
      <c r="F234" s="301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31</v>
      </c>
      <c r="D235" s="49" t="s">
        <v>240</v>
      </c>
      <c r="E235" s="166">
        <v>32417</v>
      </c>
      <c r="F235" s="301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31</v>
      </c>
      <c r="D236" s="49" t="s">
        <v>240</v>
      </c>
      <c r="E236" s="166">
        <v>50250</v>
      </c>
      <c r="F236" s="301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31</v>
      </c>
      <c r="D237" s="49" t="s">
        <v>240</v>
      </c>
      <c r="E237" s="166">
        <v>25131.5</v>
      </c>
      <c r="F237" s="301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31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31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31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31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36</v>
      </c>
      <c r="C242" s="219" t="s">
        <v>31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243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242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31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31</v>
      </c>
      <c r="D251" s="277" t="s">
        <v>242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31</v>
      </c>
      <c r="D252" s="277" t="s">
        <v>243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243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240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</v>
      </c>
      <c r="C258" s="276" t="s">
        <v>31</v>
      </c>
      <c r="D258" s="277" t="s">
        <v>240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240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208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243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243</v>
      </c>
      <c r="E266" s="141">
        <v>1057</v>
      </c>
      <c r="F266" s="278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243</v>
      </c>
      <c r="E272" s="141">
        <v>819.99999999999989</v>
      </c>
      <c r="F272" s="278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243</v>
      </c>
      <c r="E273" s="141">
        <v>1170</v>
      </c>
      <c r="F273" s="278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243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243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243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243</v>
      </c>
      <c r="E277" s="141">
        <v>13999.16</v>
      </c>
      <c r="F277" s="278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240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218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243</v>
      </c>
      <c r="E283" s="141">
        <v>1035.3</v>
      </c>
      <c r="F283" s="278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242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242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243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243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243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391</v>
      </c>
      <c r="C562" s="219" t="s">
        <v>56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56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56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56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56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56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56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56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56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56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56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56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56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56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56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56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56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56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56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56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56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56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56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56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56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56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56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56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56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56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56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56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56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56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56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56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56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56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56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56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56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56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56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56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56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56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56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56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56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56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56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56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56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56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56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56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56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56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56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56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56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56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56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56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56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56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56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56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56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56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56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56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56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56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56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56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56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56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56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56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56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56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56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56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56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56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56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56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56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56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56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56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56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56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56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56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56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56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56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56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56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56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56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56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56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56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56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56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56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56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56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56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56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56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56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56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56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56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56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56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56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56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56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56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56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56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56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56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56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56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56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56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56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56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56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56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56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56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56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56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56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56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56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56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56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56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56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56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56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56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56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56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56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56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56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56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56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56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56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56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56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56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56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56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56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56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56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56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56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56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56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56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56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56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56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56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56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56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56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56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56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56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56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56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56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56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56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56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56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56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56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56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56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56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56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56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56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56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56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56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56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56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56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56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56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56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56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56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56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56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56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56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56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56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56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56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56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56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56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56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56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56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56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56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56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56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56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56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56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56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56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56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56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56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56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56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56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56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56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56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56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56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56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56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56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56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56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56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56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56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56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56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56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56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56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56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56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56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56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56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56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56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56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56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56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56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56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56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56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56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56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56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56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56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56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56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56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56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56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56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56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56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56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56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56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56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56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56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56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56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56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56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56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56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56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56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56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56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56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56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56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56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56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56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56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56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56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56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56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56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56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56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56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56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56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56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56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56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56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56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56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56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56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56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56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56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56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56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56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56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56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56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56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56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56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56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56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56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56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56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56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56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56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56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56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56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56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56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56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56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56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56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56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56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56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56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56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56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56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56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56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56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56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56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56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56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56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56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56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56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56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56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56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56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56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56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56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56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56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56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56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56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56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56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56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56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56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56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56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56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56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56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56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56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56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56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56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56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56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56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56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56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56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56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56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56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56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56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56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56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56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56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56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56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56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56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56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56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56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56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56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812</v>
      </c>
      <c r="C1011" s="160" t="s">
        <v>38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38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38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38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38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38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38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38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38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38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38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38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38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38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38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38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38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39</v>
      </c>
      <c r="C1028" s="160" t="s">
        <v>38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38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38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38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38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38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38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38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38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38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38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38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38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38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38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38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29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30</v>
      </c>
      <c r="C1068" s="219" t="s">
        <v>29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29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29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29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29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29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1036</v>
      </c>
      <c r="C1328" s="37" t="s">
        <v>34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34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34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34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34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34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34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34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34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34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34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34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34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34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34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34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34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34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34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34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34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34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34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34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34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34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34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34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34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35</v>
      </c>
      <c r="C1357" s="37" t="s">
        <v>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34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34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34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34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34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34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34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34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34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34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34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34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34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34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34</v>
      </c>
      <c r="D1373" s="297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34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34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34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34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34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34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34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34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34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34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34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34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34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34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34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34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34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34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34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34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34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34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34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34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34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34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34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34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34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34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34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34</v>
      </c>
      <c r="D1405" s="248" t="s">
        <v>218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34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34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34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34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34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34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34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34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34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34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64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64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64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64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64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64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64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64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64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64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64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64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64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64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64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64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64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64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64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64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64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64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64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64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64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64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64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64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64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64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64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64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64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64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64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64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64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64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64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64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64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64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64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64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64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64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64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64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64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64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64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64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64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64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64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64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64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64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64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64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64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64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64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64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64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64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64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64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64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64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64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64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64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64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64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64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64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64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64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34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40</v>
      </c>
    </row>
    <row r="3" spans="1:13" outlineLevel="1">
      <c r="A3" s="3" t="s">
        <v>1317</v>
      </c>
      <c r="B3" s="5" t="s">
        <v>218</v>
      </c>
      <c r="D3" s="266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28.9" outlineLevel="1">
      <c r="A4" s="2" t="s">
        <v>1321</v>
      </c>
      <c r="B4" s="5" t="s">
        <v>308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56</v>
      </c>
    </row>
    <row r="5" spans="1:13" ht="28.9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38</v>
      </c>
    </row>
    <row r="9" spans="1:13" outlineLevel="1">
      <c r="A9" s="2" t="s">
        <v>1346</v>
      </c>
      <c r="B9" s="5" t="s">
        <v>1199</v>
      </c>
      <c r="F9" s="2" t="s">
        <v>9</v>
      </c>
      <c r="H9" t="s">
        <v>1347</v>
      </c>
      <c r="I9">
        <v>70323724</v>
      </c>
      <c r="K9" t="s">
        <v>1348</v>
      </c>
      <c r="M9" s="79" t="s">
        <v>29</v>
      </c>
    </row>
    <row r="10" spans="1:13" outlineLevel="1">
      <c r="A10" s="2" t="s">
        <v>1349</v>
      </c>
      <c r="B10" s="5" t="s">
        <v>109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6</v>
      </c>
      <c r="I11" s="22">
        <v>79897894</v>
      </c>
      <c r="K11" t="s">
        <v>1356</v>
      </c>
      <c r="M11" s="233" t="s">
        <v>64</v>
      </c>
    </row>
    <row r="12" spans="1:13" ht="28.9" outlineLevel="1">
      <c r="A12" s="3" t="s">
        <v>1357</v>
      </c>
      <c r="B12" s="5" t="s">
        <v>1030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240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243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