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SANTA BARBARA\"/>
    </mc:Choice>
  </mc:AlternateContent>
  <xr:revisionPtr revIDLastSave="54" documentId="8_{A8EBBC53-855B-4C83-B174-F1D84CDF1723}" xr6:coauthVersionLast="47" xr6:coauthVersionMax="47" xr10:uidLastSave="{0C4AA58C-20A1-4637-BFEF-03BA35D6EC3B}"/>
  <bookViews>
    <workbookView xWindow="-120" yWindow="-120" windowWidth="29040" windowHeight="1572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 s="1"/>
  <c r="O33" i="43"/>
  <c r="S33" i="43"/>
  <c r="W33" i="43" s="1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K22" i="59" s="1" a="1"/>
  <c r="K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K30" i="59" s="1" a="1"/>
  <c r="K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3" i="43"/>
  <c r="W25" i="43"/>
  <c r="W26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W29" i="43"/>
  <c r="W30" i="43"/>
  <c r="B1065" i="38"/>
  <c r="O11" i="43" s="1"/>
  <c r="G13" i="59" s="1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O18" i="43" l="1"/>
  <c r="G20" i="59" s="1"/>
  <c r="O19" i="43"/>
  <c r="G21" i="59" s="1"/>
  <c r="W28" i="43"/>
  <c r="W12" i="43"/>
  <c r="W16" i="43"/>
  <c r="W24" i="43"/>
  <c r="W20" i="43"/>
  <c r="W27" i="43"/>
  <c r="W19" i="43"/>
  <c r="W18" i="43"/>
  <c r="W11" i="43"/>
  <c r="R7" i="59"/>
  <c r="R6" i="59"/>
  <c r="K26" i="59" a="1"/>
  <c r="K26" i="59" s="1"/>
  <c r="B26" i="59"/>
  <c r="O26" i="59"/>
  <c r="B16" i="59"/>
  <c r="K16" i="59" a="1"/>
  <c r="K16" i="59" s="1"/>
  <c r="O16" i="59"/>
  <c r="B25" i="59"/>
  <c r="O25" i="59"/>
  <c r="K25" i="59" a="1"/>
  <c r="K25" i="59" s="1"/>
  <c r="K31" i="59" a="1"/>
  <c r="K31" i="59" s="1"/>
  <c r="B31" i="59"/>
  <c r="O31" i="59"/>
  <c r="K21" i="59" a="1"/>
  <c r="K21" i="59" s="1"/>
  <c r="B21" i="59"/>
  <c r="O21" i="59"/>
  <c r="O15" i="59"/>
  <c r="B15" i="59"/>
  <c r="K15" i="59" a="1"/>
  <c r="K15" i="59" s="1"/>
  <c r="O32" i="59"/>
  <c r="B32" i="59"/>
  <c r="K32" i="59" a="1"/>
  <c r="K32" i="59" s="1"/>
  <c r="K24" i="59" a="1"/>
  <c r="K24" i="59" s="1"/>
  <c r="O24" i="59"/>
  <c r="B24" i="59"/>
  <c r="K20" i="59" a="1"/>
  <c r="K20" i="59" s="1"/>
  <c r="O20" i="59"/>
  <c r="B20" i="59"/>
  <c r="K19" i="59" a="1"/>
  <c r="K19" i="59" s="1"/>
  <c r="B19" i="59"/>
  <c r="O19" i="59"/>
  <c r="B14" i="59"/>
  <c r="O14" i="59"/>
  <c r="K14" i="59" a="1"/>
  <c r="K14" i="59" s="1"/>
  <c r="K29" i="59" a="1"/>
  <c r="K29" i="59" s="1"/>
  <c r="O29" i="59"/>
  <c r="B29" i="59"/>
  <c r="O23" i="59"/>
  <c r="K23" i="59" a="1"/>
  <c r="K23" i="59" s="1"/>
  <c r="B23" i="59"/>
  <c r="K18" i="59" a="1"/>
  <c r="K18" i="59" s="1"/>
  <c r="B18" i="59"/>
  <c r="O18" i="59"/>
  <c r="B28" i="59"/>
  <c r="O28" i="59"/>
  <c r="K28" i="59" a="1"/>
  <c r="K28" i="59" s="1"/>
  <c r="K17" i="59" a="1"/>
  <c r="K17" i="59" s="1"/>
  <c r="B17" i="59"/>
  <c r="O17" i="59"/>
  <c r="B13" i="59"/>
  <c r="K13" i="59" a="1"/>
  <c r="K13" i="59" s="1"/>
  <c r="O13" i="59"/>
  <c r="B27" i="59"/>
  <c r="O27" i="59"/>
  <c r="K27" i="59" a="1"/>
  <c r="K27" i="59" s="1"/>
  <c r="O12" i="59"/>
  <c r="B12" i="59"/>
  <c r="K12" i="59" a="1"/>
  <c r="K12" i="59" s="1"/>
  <c r="O22" i="59"/>
  <c r="B22" i="59"/>
  <c r="B30" i="59"/>
  <c r="O30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<sst xmlns="http://schemas.openxmlformats.org/spreadsheetml/2006/main" count="5073" uniqueCount="1398">
  <si>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</si>
  <si>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</si>
  <si>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</si>
  <si>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</si>
  <si>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</si>
  <si>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</si>
  <si>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</si>
  <si>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</si>
  <si>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</si>
  <si>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MAN_ PROD_ EN CUERO CON TÉCNICAS MANUALES</t>
  </si>
  <si>
    <t>FICHA(#)</t>
  </si>
  <si>
    <t>NOMBRE DEL PRODUCTO</t>
  </si>
  <si>
    <t>CAMPESENA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</si>
  <si>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</si>
  <si>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</si>
  <si>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</si>
  <si>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</si>
  <si>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</si>
  <si>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</si>
  <si>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</si>
  <si>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</si>
  <si>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</si>
  <si>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</si>
  <si>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</si>
  <si>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</si>
  <si>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</si>
  <si>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</si>
  <si>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>AGUJA CORTA CABO DELGADO 100</t>
  </si>
  <si>
    <t>AGUJA CORTA CABO GRUESO 100</t>
  </si>
  <si>
    <t>AGUJA LARGA CABO GRUESO 100</t>
  </si>
  <si>
    <t xml:space="preserve">CARTULINA PLANA </t>
  </si>
  <si>
    <t>SiNTETICOS_TEXTILES</t>
  </si>
  <si>
    <t>INTERLON</t>
  </si>
  <si>
    <t xml:space="preserve">SINTETICO  REF ARSENAL </t>
  </si>
  <si>
    <t>Colores Varios</t>
  </si>
  <si>
    <t>ADHESIVOS_Solventes</t>
  </si>
  <si>
    <t>SOLUCIÓN DE CAUCHO</t>
  </si>
  <si>
    <t xml:space="preserve">AQUAPREN GUARNECIDA
</t>
  </si>
  <si>
    <t>PAPELERIA_P</t>
  </si>
  <si>
    <t>PAPEL PERIODICO</t>
  </si>
  <si>
    <t>CAMBRE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</si>
  <si>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</si>
  <si>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</si>
  <si>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</si>
  <si>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</si>
  <si>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</si>
  <si>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</si>
  <si>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</si>
  <si>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</si>
  <si>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</si>
  <si>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</si>
  <si>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</si>
  <si>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</si>
  <si>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</si>
  <si>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</si>
  <si>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</si>
  <si>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</si>
  <si>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</si>
  <si>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</si>
  <si>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</si>
  <si>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</si>
  <si>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</si>
  <si>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</si>
  <si>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</si>
  <si>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</si>
  <si>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</si>
  <si>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</si>
  <si>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</si>
  <si>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</si>
  <si>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</si>
  <si>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</si>
  <si>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</si>
  <si>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</si>
  <si>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</si>
  <si>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</si>
  <si>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</si>
  <si>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</si>
  <si>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</si>
  <si>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</si>
  <si>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</si>
  <si>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</si>
  <si>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</si>
  <si>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</si>
  <si>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</si>
  <si>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</si>
  <si>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</si>
  <si>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</si>
  <si>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</si>
  <si>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</si>
  <si>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</si>
  <si>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</si>
  <si>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</si>
  <si>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</si>
  <si>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</si>
  <si>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</si>
  <si>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LLEVA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</si>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</sst>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5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56572</xdr:colOff>
      <xdr:row>0</xdr:row>
      <xdr:rowOff>0</xdr:rowOff>
    </xdr:from>
    <xdr:to>
      <xdr:col>24</xdr:col>
      <xdr:colOff>300054</xdr:colOff>
      <xdr:row>3</xdr:row>
      <xdr:rowOff>24848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906E77AE-B00B-47B0-A547-5EC5E1B2E6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042649" y="-863034"/>
          <a:ext cx="1018761" cy="2744830"/>
        </a:xfrm>
        <a:prstGeom prst="rect">
          <a:avLst/>
        </a:prstGeom>
      </xdr:spPr>
    </xdr:pic>
    <xdr:clientData/>
  </xdr:twoCellAnchor>
  <xdr:twoCellAnchor editAs="oneCell">
    <xdr:from>
      <xdr:col>18</xdr:col>
      <xdr:colOff>91110</xdr:colOff>
      <xdr:row>3</xdr:row>
      <xdr:rowOff>39173</xdr:rowOff>
    </xdr:from>
    <xdr:to>
      <xdr:col>21</xdr:col>
      <xdr:colOff>323023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727F131-9B4E-44AB-8ADD-437553BCF9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53" t="15214" r="15877" b="16143"/>
        <a:stretch/>
      </xdr:blipFill>
      <xdr:spPr>
        <a:xfrm>
          <a:off x="7214153" y="1033086"/>
          <a:ext cx="1490870" cy="1029284"/>
        </a:xfrm>
        <a:prstGeom prst="rect">
          <a:avLst/>
        </a:prstGeom>
      </xdr:spPr>
    </xdr:pic>
    <xdr:clientData/>
  </xdr:twoCellAnchor>
  <xdr:twoCellAnchor editAs="oneCell">
    <xdr:from>
      <xdr:col>20</xdr:col>
      <xdr:colOff>430696</xdr:colOff>
      <xdr:row>3</xdr:row>
      <xdr:rowOff>36790</xdr:rowOff>
    </xdr:from>
    <xdr:to>
      <xdr:col>24</xdr:col>
      <xdr:colOff>492884</xdr:colOff>
      <xdr:row>6</xdr:row>
      <xdr:rowOff>265043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E414DBC-B884-4ADC-899D-EBF769933381}"/>
            </a:ext>
            <a:ext uri="{147F2762-F138-4A5C-976F-8EAC2B608ADB}">
              <a16:predDERef xmlns:a16="http://schemas.microsoft.com/office/drawing/2014/main" pred="{0727F131-9B4E-44AB-8ADD-437553BCF9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3426" t="12335" r="3426" b="-2754"/>
        <a:stretch/>
      </xdr:blipFill>
      <xdr:spPr>
        <a:xfrm rot="16200000">
          <a:off x="8705851" y="629410"/>
          <a:ext cx="1009303" cy="1805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21" sqref="D21:N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7"/>
      <c r="B1" s="348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AP1405-1</v>
      </c>
      <c r="G1" s="332"/>
      <c r="H1" s="333"/>
      <c r="I1" s="334" t="s">
        <v>1</v>
      </c>
      <c r="J1" s="335"/>
      <c r="K1" s="245"/>
      <c r="L1" s="336" t="s">
        <v>2</v>
      </c>
      <c r="M1" s="337"/>
      <c r="N1" s="337"/>
      <c r="O1" s="338">
        <v>45426</v>
      </c>
      <c r="P1" s="338"/>
      <c r="Q1" s="338"/>
      <c r="R1" s="339"/>
      <c r="S1" s="384" t="s">
        <v>3</v>
      </c>
      <c r="T1" s="385"/>
      <c r="U1" s="385"/>
      <c r="V1" s="385"/>
      <c r="W1" s="385"/>
      <c r="X1" s="385"/>
      <c r="Y1" s="386"/>
      <c r="Z1" s="252" t="s">
        <v>4</v>
      </c>
    </row>
    <row r="2" spans="1:28" ht="23.25" customHeight="1">
      <c r="A2" s="349"/>
      <c r="B2" s="350"/>
      <c r="C2" s="353" t="s">
        <v>5</v>
      </c>
      <c r="D2" s="354"/>
      <c r="E2" s="355" t="s">
        <v>6</v>
      </c>
      <c r="F2" s="356"/>
      <c r="G2" s="356"/>
      <c r="H2" s="356"/>
      <c r="I2" s="356"/>
      <c r="J2" s="356"/>
      <c r="K2" s="357"/>
      <c r="L2" s="376" t="s">
        <v>7</v>
      </c>
      <c r="M2" s="377"/>
      <c r="N2" s="336"/>
      <c r="O2" s="378">
        <f>IF(E2="","",INDEX(Tabla3[],MATCH('Soli_citud '!E2,Intructores,0),2))</f>
        <v>43687423</v>
      </c>
      <c r="P2" s="378"/>
      <c r="Q2" s="378"/>
      <c r="R2" s="379"/>
      <c r="S2" s="387"/>
      <c r="T2" s="388"/>
      <c r="U2" s="388"/>
      <c r="V2" s="388"/>
      <c r="W2" s="388"/>
      <c r="X2" s="388"/>
      <c r="Y2" s="389"/>
      <c r="Z2" s="30"/>
    </row>
    <row r="3" spans="1:28" ht="24.75" customHeight="1">
      <c r="A3" s="351"/>
      <c r="B3" s="352"/>
      <c r="C3" s="362" t="s">
        <v>8</v>
      </c>
      <c r="D3" s="363"/>
      <c r="E3" s="364" t="s">
        <v>9</v>
      </c>
      <c r="F3" s="365"/>
      <c r="G3" s="365"/>
      <c r="H3" s="365"/>
      <c r="I3" s="365"/>
      <c r="J3" s="365"/>
      <c r="K3" s="366"/>
      <c r="L3" s="376" t="s">
        <v>10</v>
      </c>
      <c r="M3" s="377"/>
      <c r="N3" s="336"/>
      <c r="O3" s="315">
        <v>2974461</v>
      </c>
      <c r="P3" s="380"/>
      <c r="Q3" s="380"/>
      <c r="R3" s="380"/>
      <c r="S3" s="387"/>
      <c r="T3" s="388"/>
      <c r="U3" s="388"/>
      <c r="V3" s="388"/>
      <c r="W3" s="388"/>
      <c r="X3" s="388"/>
      <c r="Y3" s="389"/>
      <c r="Z3" s="30"/>
    </row>
    <row r="4" spans="1:28" ht="30.75" customHeight="1">
      <c r="A4" s="346" t="s">
        <v>11</v>
      </c>
      <c r="B4" s="346"/>
      <c r="C4" s="346"/>
      <c r="D4" s="340" t="s">
        <v>12</v>
      </c>
      <c r="E4" s="341"/>
      <c r="F4" s="341"/>
      <c r="G4" s="341"/>
      <c r="H4" s="341"/>
      <c r="I4" s="341"/>
      <c r="J4" s="341"/>
      <c r="K4" s="341"/>
      <c r="L4" s="342" t="s">
        <v>13</v>
      </c>
      <c r="M4" s="342"/>
      <c r="N4" s="342"/>
      <c r="O4" s="343" t="s">
        <v>14</v>
      </c>
      <c r="P4" s="344"/>
      <c r="Q4" s="344"/>
      <c r="R4" s="345"/>
      <c r="S4" s="387"/>
      <c r="T4" s="388"/>
      <c r="U4" s="388"/>
      <c r="V4" s="388"/>
      <c r="W4" s="388"/>
      <c r="X4" s="388"/>
      <c r="Y4" s="389"/>
      <c r="Z4" s="30"/>
    </row>
    <row r="5" spans="1:28" ht="29.25" customHeight="1">
      <c r="A5" s="367" t="s">
        <v>15</v>
      </c>
      <c r="B5" s="367"/>
      <c r="C5" s="367"/>
      <c r="D5" s="368">
        <f ca="1">IF(K5="","",(SUM(W10:Y28)-(SUMIF(U10:V28,"Restar_Pedido",W10:Y28)))/$K$5)</f>
        <v>128244.36811977104</v>
      </c>
      <c r="E5" s="369"/>
      <c r="F5" s="370"/>
      <c r="G5" s="353" t="s">
        <v>16</v>
      </c>
      <c r="H5" s="371"/>
      <c r="I5" s="371"/>
      <c r="J5" s="354"/>
      <c r="K5" s="327">
        <v>1</v>
      </c>
      <c r="L5" s="327"/>
      <c r="M5" s="328" t="s">
        <v>17</v>
      </c>
      <c r="N5" s="328"/>
      <c r="O5" s="381">
        <f ca="1">IFERROR(IF(K5=0,"",D5*K5),"")</f>
        <v>128244.36811977104</v>
      </c>
      <c r="P5" s="382"/>
      <c r="Q5" s="382"/>
      <c r="R5" s="383"/>
      <c r="S5" s="387"/>
      <c r="T5" s="388"/>
      <c r="U5" s="388"/>
      <c r="V5" s="388"/>
      <c r="W5" s="388"/>
      <c r="X5" s="388"/>
      <c r="Y5" s="389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87"/>
      <c r="T6" s="388"/>
      <c r="U6" s="388"/>
      <c r="V6" s="388"/>
      <c r="W6" s="388"/>
      <c r="X6" s="388"/>
      <c r="Y6" s="389"/>
      <c r="Z6" s="30"/>
      <c r="AA6" s="33"/>
      <c r="AB6" s="33"/>
    </row>
    <row r="7" spans="1:28" ht="24" customHeight="1" thickBot="1">
      <c r="A7" s="358" t="s">
        <v>18</v>
      </c>
      <c r="B7" s="358"/>
      <c r="C7" s="358"/>
      <c r="D7" s="359" t="s">
        <v>19</v>
      </c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60" t="s">
        <v>20</v>
      </c>
      <c r="P7" s="360"/>
      <c r="Q7" s="361" t="s">
        <v>21</v>
      </c>
      <c r="R7" s="361"/>
      <c r="S7" s="388"/>
      <c r="T7" s="388"/>
      <c r="U7" s="388"/>
      <c r="V7" s="388"/>
      <c r="W7" s="388"/>
      <c r="X7" s="388"/>
      <c r="Y7" s="389"/>
      <c r="Z7" s="30"/>
    </row>
    <row r="8" spans="1:28" ht="18.75" customHeight="1">
      <c r="A8" s="358"/>
      <c r="B8" s="358"/>
      <c r="C8" s="358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60"/>
      <c r="P8" s="360"/>
      <c r="Q8" s="361"/>
      <c r="R8" s="361"/>
      <c r="S8" s="373" t="s">
        <v>22</v>
      </c>
      <c r="T8" s="373"/>
      <c r="U8" s="373"/>
      <c r="V8" s="374">
        <f>IF(K5="","",1/K5)</f>
        <v>1</v>
      </c>
      <c r="W8" s="375"/>
      <c r="X8" s="107"/>
      <c r="Y8" s="108">
        <f>IFERROR((V8*X8)," ")</f>
        <v>0</v>
      </c>
      <c r="Z8" s="30"/>
    </row>
    <row r="9" spans="1:28" ht="12" customHeight="1">
      <c r="A9" s="326"/>
      <c r="B9" s="326"/>
      <c r="C9" s="32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72" t="s">
        <v>23</v>
      </c>
      <c r="T9" s="372"/>
      <c r="U9" s="360" t="s">
        <v>24</v>
      </c>
      <c r="V9" s="360"/>
      <c r="W9" s="360" t="s">
        <v>25</v>
      </c>
      <c r="X9" s="360"/>
      <c r="Y9" s="360"/>
    </row>
    <row r="10" spans="1:28" ht="17.25" customHeight="1">
      <c r="A10" s="308" t="s">
        <v>26</v>
      </c>
      <c r="B10" s="308"/>
      <c r="C10" s="309"/>
      <c r="D10" s="321" t="s">
        <v>27</v>
      </c>
      <c r="E10" s="322"/>
      <c r="F10" s="322"/>
      <c r="G10" s="322"/>
      <c r="H10" s="322"/>
      <c r="I10" s="322"/>
      <c r="J10" s="322"/>
      <c r="K10" s="322"/>
      <c r="L10" s="322"/>
      <c r="M10" s="322"/>
      <c r="N10" s="323"/>
      <c r="O10" s="313" t="str">
        <f t="shared" ref="O10:O31" ca="1" si="0">IFERROR(IF(D10="","",INDEX(Tabla_Completa,MATCH(D10,Materiales,0),6)),"")</f>
        <v>U</v>
      </c>
      <c r="P10" s="314"/>
      <c r="Q10" s="315">
        <v>10</v>
      </c>
      <c r="R10" s="316"/>
      <c r="S10" s="317">
        <f>IFERROR(IF(Q10="Unidad","1",(Q10*$K$5)),"")</f>
        <v>10</v>
      </c>
      <c r="T10" s="318"/>
      <c r="U10" s="319"/>
      <c r="V10" s="325"/>
      <c r="W10" s="320">
        <f ca="1">IFERROR(IF(D10="","",INDEX(Tabla_Completa,MATCH('Soli_citud '!D10,Materiales,0),7)*S10),"")</f>
        <v>3433.2999999999997</v>
      </c>
      <c r="X10" s="320"/>
      <c r="Y10" s="320"/>
      <c r="Z10" s="34"/>
    </row>
    <row r="11" spans="1:28" ht="17.25" customHeight="1">
      <c r="A11" s="308" t="s">
        <v>26</v>
      </c>
      <c r="B11" s="308"/>
      <c r="C11" s="309"/>
      <c r="D11" s="321" t="s">
        <v>28</v>
      </c>
      <c r="E11" s="322"/>
      <c r="F11" s="322"/>
      <c r="G11" s="322"/>
      <c r="H11" s="322"/>
      <c r="I11" s="322"/>
      <c r="J11" s="322"/>
      <c r="K11" s="322"/>
      <c r="L11" s="322"/>
      <c r="M11" s="322"/>
      <c r="N11" s="323"/>
      <c r="O11" s="313" t="str">
        <f t="shared" ca="1" si="0"/>
        <v>U</v>
      </c>
      <c r="P11" s="314"/>
      <c r="Q11" s="315">
        <v>10</v>
      </c>
      <c r="R11" s="316"/>
      <c r="S11" s="317">
        <f t="shared" ref="S11:S31" si="1">IFERROR(IF(Q11="Unidad","1",(Q11*$K$5)),"")</f>
        <v>10</v>
      </c>
      <c r="T11" s="318"/>
      <c r="U11" s="319"/>
      <c r="V11" s="319"/>
      <c r="W11" s="320">
        <f ca="1">IFERROR(IF(D11="","",INDEX(Tabla_Completa,MATCH('Soli_citud '!D11,Materiales,0),7)*S11),"")</f>
        <v>3433.2999999999997</v>
      </c>
      <c r="X11" s="320"/>
      <c r="Y11" s="320"/>
    </row>
    <row r="12" spans="1:28" ht="15.75" customHeight="1">
      <c r="A12" s="308" t="s">
        <v>26</v>
      </c>
      <c r="B12" s="308"/>
      <c r="C12" s="309"/>
      <c r="D12" s="324" t="s">
        <v>29</v>
      </c>
      <c r="E12" s="322"/>
      <c r="F12" s="322"/>
      <c r="G12" s="322"/>
      <c r="H12" s="322"/>
      <c r="I12" s="322"/>
      <c r="J12" s="322"/>
      <c r="K12" s="322"/>
      <c r="L12" s="322"/>
      <c r="M12" s="322"/>
      <c r="N12" s="323"/>
      <c r="O12" s="313" t="str">
        <f t="shared" ref="O12" ca="1" si="2">IFERROR(IF(D12="","",INDEX(Tabla_Completa,MATCH(D12,Materiales,0),6)),"")</f>
        <v>U</v>
      </c>
      <c r="P12" s="314"/>
      <c r="Q12" s="315">
        <v>10</v>
      </c>
      <c r="R12" s="316"/>
      <c r="S12" s="317">
        <f t="shared" si="1"/>
        <v>10</v>
      </c>
      <c r="T12" s="318"/>
      <c r="U12" s="319"/>
      <c r="V12" s="319"/>
      <c r="W12" s="320">
        <f ca="1">IFERROR(IF(D12="","",INDEX(Tabla_Completa,MATCH('Soli_citud '!D12,Materiales,0),7)*S12),"")</f>
        <v>3433.2999999999997</v>
      </c>
      <c r="X12" s="320"/>
      <c r="Y12" s="320"/>
    </row>
    <row r="13" spans="1:28" ht="15.75" customHeight="1">
      <c r="A13" s="307" t="s">
        <v>26</v>
      </c>
      <c r="B13" s="308"/>
      <c r="C13" s="309"/>
      <c r="D13" s="321" t="s">
        <v>30</v>
      </c>
      <c r="E13" s="322"/>
      <c r="F13" s="322"/>
      <c r="G13" s="322"/>
      <c r="H13" s="322"/>
      <c r="I13" s="322"/>
      <c r="J13" s="322"/>
      <c r="K13" s="322"/>
      <c r="L13" s="322"/>
      <c r="M13" s="322"/>
      <c r="N13" s="323"/>
      <c r="O13" s="313" t="str">
        <f t="shared" ca="1" si="0"/>
        <v>Pliego</v>
      </c>
      <c r="P13" s="314"/>
      <c r="Q13" s="315">
        <v>5</v>
      </c>
      <c r="R13" s="316"/>
      <c r="S13" s="317">
        <f t="shared" si="1"/>
        <v>5</v>
      </c>
      <c r="T13" s="318"/>
      <c r="U13" s="319"/>
      <c r="V13" s="319"/>
      <c r="W13" s="320">
        <f ca="1">IFERROR(IF(D13="","",INDEX(Tabla_Completa,MATCH('Soli_citud '!D13,Materiales,0),7)*S13),"")</f>
        <v>7915.7666666666673</v>
      </c>
      <c r="X13" s="320"/>
      <c r="Y13" s="320"/>
    </row>
    <row r="14" spans="1:28" ht="17.25" customHeight="1">
      <c r="A14" s="307" t="s">
        <v>31</v>
      </c>
      <c r="B14" s="308"/>
      <c r="C14" s="309"/>
      <c r="D14" s="321" t="s">
        <v>32</v>
      </c>
      <c r="E14" s="322"/>
      <c r="F14" s="322"/>
      <c r="G14" s="322"/>
      <c r="H14" s="322"/>
      <c r="I14" s="322"/>
      <c r="J14" s="322"/>
      <c r="K14" s="322"/>
      <c r="L14" s="322"/>
      <c r="M14" s="322"/>
      <c r="N14" s="323"/>
      <c r="O14" s="313" t="str">
        <f t="shared" ca="1" si="0"/>
        <v>cm2</v>
      </c>
      <c r="P14" s="314"/>
      <c r="Q14" s="315">
        <v>0</v>
      </c>
      <c r="R14" s="316"/>
      <c r="S14" s="317">
        <f t="shared" si="1"/>
        <v>0</v>
      </c>
      <c r="T14" s="318"/>
      <c r="U14" s="319"/>
      <c r="V14" s="319"/>
      <c r="W14" s="320">
        <f ca="1">IFERROR(IF(D14="","",INDEX(Tabla_Completa,MATCH('Soli_citud '!D14,Materiales,0),7)*S14),"")</f>
        <v>0</v>
      </c>
      <c r="X14" s="320"/>
      <c r="Y14" s="320"/>
    </row>
    <row r="15" spans="1:28" ht="15.75" customHeight="1">
      <c r="A15" s="307" t="s">
        <v>31</v>
      </c>
      <c r="B15" s="308"/>
      <c r="C15" s="309"/>
      <c r="D15" s="321" t="s">
        <v>33</v>
      </c>
      <c r="E15" s="322"/>
      <c r="F15" s="322"/>
      <c r="G15" s="322"/>
      <c r="H15" s="322"/>
      <c r="I15" s="322"/>
      <c r="J15" s="322"/>
      <c r="K15" s="322"/>
      <c r="L15" s="322"/>
      <c r="M15" s="322"/>
      <c r="N15" s="323"/>
      <c r="O15" s="313" t="str">
        <f t="shared" ca="1" si="0"/>
        <v>cm2</v>
      </c>
      <c r="P15" s="314"/>
      <c r="Q15" s="315">
        <v>42000</v>
      </c>
      <c r="R15" s="316"/>
      <c r="S15" s="317">
        <f t="shared" si="1"/>
        <v>42000</v>
      </c>
      <c r="T15" s="318"/>
      <c r="U15" s="319" t="s">
        <v>34</v>
      </c>
      <c r="V15" s="319"/>
      <c r="W15" s="320">
        <f ca="1">IFERROR(IF(D15="","",INDEX(Tabla_Completa,MATCH('Soli_citud '!D15,Materiales,0),7)*S15),"")</f>
        <v>26311</v>
      </c>
      <c r="X15" s="320"/>
      <c r="Y15" s="320"/>
    </row>
    <row r="16" spans="1:28" ht="15.75" customHeight="1">
      <c r="A16" s="307" t="s">
        <v>35</v>
      </c>
      <c r="B16" s="308"/>
      <c r="C16" s="309"/>
      <c r="D16" s="321" t="s">
        <v>36</v>
      </c>
      <c r="E16" s="322"/>
      <c r="F16" s="322"/>
      <c r="G16" s="322"/>
      <c r="H16" s="322"/>
      <c r="I16" s="322"/>
      <c r="J16" s="322"/>
      <c r="K16" s="322"/>
      <c r="L16" s="322"/>
      <c r="M16" s="322"/>
      <c r="N16" s="323"/>
      <c r="O16" s="313" t="str">
        <f t="shared" ca="1" si="0"/>
        <v>ml</v>
      </c>
      <c r="P16" s="314"/>
      <c r="Q16" s="315">
        <v>3000</v>
      </c>
      <c r="R16" s="316"/>
      <c r="S16" s="317">
        <f t="shared" si="1"/>
        <v>3000</v>
      </c>
      <c r="T16" s="318"/>
      <c r="U16" s="319"/>
      <c r="V16" s="319"/>
      <c r="W16" s="320">
        <f ca="1">IFERROR(IF(D16="","",INDEX(Tabla_Completa,MATCH('Soli_citud '!D16,Materiales,0),7)*S16),"")</f>
        <v>22509.90752972259</v>
      </c>
      <c r="X16" s="320"/>
      <c r="Y16" s="320"/>
    </row>
    <row r="17" spans="1:25" ht="15.75" customHeight="1">
      <c r="A17" s="307" t="s">
        <v>35</v>
      </c>
      <c r="B17" s="308"/>
      <c r="C17" s="309"/>
      <c r="D17" s="321" t="s">
        <v>37</v>
      </c>
      <c r="E17" s="322"/>
      <c r="F17" s="322"/>
      <c r="G17" s="322"/>
      <c r="H17" s="322"/>
      <c r="I17" s="322"/>
      <c r="J17" s="322"/>
      <c r="K17" s="322"/>
      <c r="L17" s="322"/>
      <c r="M17" s="322"/>
      <c r="N17" s="323"/>
      <c r="O17" s="313" t="str">
        <f t="shared" ca="1" si="0"/>
        <v>ml</v>
      </c>
      <c r="P17" s="314"/>
      <c r="Q17" s="315">
        <v>1000</v>
      </c>
      <c r="R17" s="316"/>
      <c r="S17" s="317">
        <f t="shared" si="1"/>
        <v>1000</v>
      </c>
      <c r="T17" s="318"/>
      <c r="U17" s="319"/>
      <c r="V17" s="319"/>
      <c r="W17" s="320">
        <f ca="1">IFERROR(IF(D17="","",INDEX(Tabla_Completa,MATCH('Soli_citud '!D17,Materiales,0),7)*S17),"")</f>
        <v>61207.793923381774</v>
      </c>
      <c r="X17" s="320"/>
      <c r="Y17" s="320"/>
    </row>
    <row r="18" spans="1:25" ht="15.75" customHeight="1">
      <c r="A18" s="307" t="s">
        <v>38</v>
      </c>
      <c r="B18" s="308"/>
      <c r="C18" s="309"/>
      <c r="D18" s="321" t="s">
        <v>39</v>
      </c>
      <c r="E18" s="322"/>
      <c r="F18" s="322"/>
      <c r="G18" s="322"/>
      <c r="H18" s="322"/>
      <c r="I18" s="322"/>
      <c r="J18" s="322"/>
      <c r="K18" s="322"/>
      <c r="L18" s="322"/>
      <c r="M18" s="322"/>
      <c r="N18" s="323"/>
      <c r="O18" s="313" t="str">
        <f t="shared" ca="1" si="0"/>
        <v/>
      </c>
      <c r="P18" s="314"/>
      <c r="Q18" s="315">
        <v>45</v>
      </c>
      <c r="R18" s="316"/>
      <c r="S18" s="317">
        <f t="shared" si="1"/>
        <v>45</v>
      </c>
      <c r="T18" s="318"/>
      <c r="U18" s="319"/>
      <c r="V18" s="319"/>
      <c r="W18" s="320" t="str">
        <f ca="1">IFERROR(IF(D18="","",INDEX(Tabla_Completa,MATCH('Soli_citud '!D18,Materiales,0),7)*S18),"")</f>
        <v/>
      </c>
      <c r="X18" s="320"/>
      <c r="Y18" s="320"/>
    </row>
    <row r="19" spans="1:25" ht="15.75">
      <c r="A19" s="307" t="s">
        <v>31</v>
      </c>
      <c r="B19" s="308"/>
      <c r="C19" s="309"/>
      <c r="D19" s="310" t="s">
        <v>40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>
        <v>28000</v>
      </c>
      <c r="R19" s="316"/>
      <c r="S19" s="317">
        <f t="shared" si="1"/>
        <v>28000</v>
      </c>
      <c r="T19" s="318"/>
      <c r="U19" s="319"/>
      <c r="V19" s="319"/>
      <c r="W19" s="320" t="str">
        <f ca="1">IFERROR(IF(D19="","",INDEX(Tabla_Completa,MATCH('Soli_citud '!D19,Materiales,0),7)*S19),"")</f>
        <v/>
      </c>
      <c r="X19" s="320"/>
      <c r="Y19" s="320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19"/>
      <c r="V20" s="319"/>
      <c r="W20" s="320" t="str">
        <f ca="1">IFERROR(IF(D20="","",INDEX(Tabla_Completa,MATCH('Soli_citud '!D20,Materiales,0),7)*S20),"")</f>
        <v/>
      </c>
      <c r="X20" s="320"/>
      <c r="Y20" s="320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19"/>
      <c r="V21" s="319"/>
      <c r="W21" s="320" t="str">
        <f ca="1">IFERROR(IF(D21="","",INDEX(Tabla_Completa,MATCH('Soli_citud '!D21,Materiales,0),7)*S21),"")</f>
        <v/>
      </c>
      <c r="X21" s="320"/>
      <c r="Y21" s="320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19"/>
      <c r="V22" s="319"/>
      <c r="W22" s="320" t="str">
        <f ca="1">IFERROR(IF(D22="","",INDEX(Tabla_Completa,MATCH('Soli_citud '!D22,Materiales,0),7)*S22),"")</f>
        <v/>
      </c>
      <c r="X22" s="320"/>
      <c r="Y22" s="320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19"/>
      <c r="V23" s="319"/>
      <c r="W23" s="320" t="str">
        <f ca="1">IFERROR(IF(D23="","",INDEX(Tabla_Completa,MATCH('Soli_citud '!D23,Materiales,0),7)*S23),"")</f>
        <v/>
      </c>
      <c r="X23" s="320"/>
      <c r="Y23" s="320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19"/>
      <c r="V24" s="319"/>
      <c r="W24" s="320" t="str">
        <f ca="1">IFERROR(IF(D24="","",INDEX(Tabla_Completa,MATCH('Soli_citud '!D24,Materiales,0),7)*S24),"")</f>
        <v/>
      </c>
      <c r="X24" s="320"/>
      <c r="Y24" s="320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19"/>
      <c r="V25" s="319"/>
      <c r="W25" s="320" t="str">
        <f ca="1">IFERROR(IF(D25="","",INDEX(Tabla_Completa,MATCH('Soli_citud '!D25,Materiales,0),7)*S25),"")</f>
        <v/>
      </c>
      <c r="X25" s="320"/>
      <c r="Y25" s="320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19"/>
      <c r="V26" s="319"/>
      <c r="W26" s="320" t="str">
        <f ca="1">IFERROR(IF(D26="","",INDEX(Tabla_Completa,MATCH('Soli_citud '!D26,Materiales,0),7)*S26),"")</f>
        <v/>
      </c>
      <c r="X26" s="320"/>
      <c r="Y26" s="320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19"/>
      <c r="V27" s="319"/>
      <c r="W27" s="320" t="str">
        <f ca="1">IFERROR(IF(D27="","",INDEX(Tabla_Completa,MATCH('Soli_citud '!D27,Materiales,0),7)*S27),"")</f>
        <v/>
      </c>
      <c r="X27" s="320"/>
      <c r="Y27" s="320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19"/>
      <c r="V28" s="319"/>
      <c r="W28" s="320" t="str">
        <f ca="1">IFERROR(IF(D28="","",INDEX(Tabla_Completa,MATCH('Soli_citud '!D28,Materiales,0),7)*S28),"")</f>
        <v/>
      </c>
      <c r="X28" s="320"/>
      <c r="Y28" s="320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19"/>
      <c r="V29" s="319"/>
      <c r="W29" s="320" t="str">
        <f ca="1">IFERROR(IF(D29="","",INDEX(Tabla_Completa,MATCH('Soli_citud '!D29,Materiales,0),7)*S29),"")</f>
        <v/>
      </c>
      <c r="X29" s="320"/>
      <c r="Y29" s="320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19"/>
      <c r="V30" s="319"/>
      <c r="W30" s="320" t="str">
        <f ca="1">IFERROR(IF(D30="","",INDEX(Tabla_Completa,MATCH('Soli_citud '!D30,Materiales,0),7)*S30),"")</f>
        <v/>
      </c>
      <c r="X30" s="320"/>
      <c r="Y30" s="320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19"/>
      <c r="V31" s="319"/>
      <c r="W31" s="320" t="str">
        <f ca="1">IFERROR(IF(D31="","",INDEX(Tabla_Completa,MATCH('Soli_citud '!D31,Materiales,0),7)*S31),"")</f>
        <v/>
      </c>
      <c r="X31" s="320"/>
      <c r="Y31" s="320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19"/>
      <c r="V32" s="319"/>
      <c r="W32" s="320" t="str">
        <f ca="1">IFERROR(IF(D32="","",INDEX(Tabla_Completa,MATCH('Soli_citud '!D32,Materiales,0),7)*S32),"")</f>
        <v/>
      </c>
      <c r="X32" s="320"/>
      <c r="Y32" s="320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19"/>
      <c r="V33" s="319"/>
      <c r="W33" s="320" t="str">
        <f ca="1">IFERROR(IF(D33="","",INDEX(Tabla_Completa,MATCH('Soli_citud '!D33,Materiales,0),7)*S33),"")</f>
        <v/>
      </c>
      <c r="X33" s="320"/>
      <c r="Y33" s="320"/>
    </row>
    <row r="34" spans="1:25"/>
    <row r="35" spans="1:25"/>
    <row r="36" spans="1:25"/>
    <row r="37" spans="1:25"/>
    <row r="38" spans="1:25" ht="15" customHeight="1"/>
    <row r="39" spans="1:25" ht="33.75" customHeight="1">
      <c r="A39" s="401" t="s">
        <v>41</v>
      </c>
      <c r="B39" s="401"/>
      <c r="C39" s="401"/>
      <c r="D39" s="402" t="s">
        <v>42</v>
      </c>
      <c r="E39" s="402"/>
      <c r="F39" s="402"/>
      <c r="G39" s="402"/>
      <c r="H39" s="402"/>
      <c r="I39" s="402"/>
      <c r="J39" s="402"/>
      <c r="K39" s="402"/>
      <c r="L39" s="402"/>
      <c r="M39" s="402"/>
      <c r="N39" s="402"/>
      <c r="O39" s="402"/>
      <c r="P39" s="402"/>
      <c r="Q39" s="402"/>
    </row>
    <row r="40" spans="1:25">
      <c r="A40" s="237" t="s">
        <v>43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3" t="s">
        <v>44</v>
      </c>
      <c r="B41" s="403"/>
      <c r="C41" s="403"/>
      <c r="D41" s="403"/>
      <c r="E41" s="403"/>
      <c r="F41" s="403"/>
      <c r="G41" s="403"/>
      <c r="H41" s="403"/>
      <c r="I41" s="403"/>
      <c r="J41" s="403"/>
      <c r="K41" s="403"/>
      <c r="L41" s="403"/>
      <c r="M41" s="403"/>
      <c r="N41" s="403"/>
      <c r="O41" s="403"/>
      <c r="P41" s="403"/>
      <c r="Q41" s="403"/>
    </row>
    <row r="42" spans="1:25">
      <c r="A42" s="404"/>
      <c r="B42" s="404"/>
      <c r="C42" s="404"/>
      <c r="D42" s="404"/>
      <c r="E42" s="404"/>
      <c r="F42" s="404"/>
      <c r="G42" s="404"/>
      <c r="H42" s="404"/>
      <c r="I42" s="404"/>
      <c r="J42" s="404"/>
      <c r="K42" s="404"/>
      <c r="L42" s="404"/>
      <c r="M42" s="404"/>
      <c r="N42" s="404"/>
      <c r="O42" s="404"/>
      <c r="P42" s="404"/>
      <c r="Q42" s="404"/>
    </row>
    <row r="43" spans="1:25">
      <c r="A43" s="404"/>
      <c r="B43" s="404"/>
      <c r="C43" s="404"/>
      <c r="D43" s="404"/>
      <c r="E43" s="404"/>
      <c r="F43" s="404"/>
      <c r="G43" s="404"/>
      <c r="H43" s="404"/>
      <c r="I43" s="404"/>
      <c r="J43" s="404"/>
      <c r="K43" s="404"/>
      <c r="L43" s="404"/>
      <c r="M43" s="404"/>
      <c r="N43" s="404"/>
      <c r="O43" s="404"/>
      <c r="P43" s="404"/>
      <c r="Q43" s="404"/>
    </row>
    <row r="44" spans="1:25" ht="19.5">
      <c r="A44" s="399" t="s">
        <v>45</v>
      </c>
      <c r="B44" s="399"/>
      <c r="C44" s="399"/>
      <c r="D44" s="399"/>
      <c r="E44" s="399"/>
      <c r="F44" s="399"/>
      <c r="G44" s="399"/>
      <c r="H44" s="399"/>
      <c r="I44" s="399"/>
      <c r="J44" s="399"/>
      <c r="K44" s="399"/>
      <c r="L44" s="399"/>
      <c r="N44" s="391" t="s">
        <v>35</v>
      </c>
      <c r="O44" s="391"/>
      <c r="P44" s="391"/>
      <c r="Q44" s="391"/>
      <c r="R44" s="397" t="s">
        <v>46</v>
      </c>
      <c r="S44" s="397"/>
      <c r="T44" s="397"/>
      <c r="U44" s="397"/>
      <c r="V44" s="397"/>
      <c r="W44" s="397"/>
      <c r="X44" s="397"/>
    </row>
    <row r="45" spans="1:25" ht="29.25" customHeight="1">
      <c r="A45" s="400" t="s">
        <v>47</v>
      </c>
      <c r="B45" s="400"/>
      <c r="C45" s="400"/>
      <c r="D45" s="400"/>
      <c r="E45" s="400"/>
      <c r="F45" s="400"/>
      <c r="G45" s="400"/>
      <c r="H45" s="400"/>
      <c r="I45" s="400"/>
      <c r="J45" s="400"/>
      <c r="K45" s="400"/>
      <c r="L45" s="400"/>
      <c r="N45" s="391" t="s">
        <v>48</v>
      </c>
      <c r="O45" s="391"/>
      <c r="P45" s="391"/>
      <c r="Q45" s="391"/>
      <c r="R45" s="398" t="s">
        <v>49</v>
      </c>
      <c r="S45" s="398"/>
      <c r="T45" s="398"/>
      <c r="U45" s="398"/>
      <c r="V45" s="398"/>
      <c r="W45" s="398"/>
      <c r="X45" s="398"/>
    </row>
    <row r="46" spans="1:25" ht="31.5" customHeight="1">
      <c r="A46" s="393" t="s">
        <v>50</v>
      </c>
      <c r="B46" s="393"/>
      <c r="C46" s="393"/>
      <c r="D46" s="393"/>
      <c r="E46" s="393"/>
      <c r="F46" s="393"/>
      <c r="G46" s="393"/>
      <c r="H46" s="393"/>
      <c r="I46" s="393"/>
      <c r="J46" s="393"/>
      <c r="K46" s="393"/>
      <c r="L46" s="393"/>
      <c r="N46" s="391" t="s">
        <v>51</v>
      </c>
      <c r="O46" s="391"/>
      <c r="P46" s="391"/>
      <c r="Q46" s="391"/>
      <c r="R46" s="390" t="s">
        <v>52</v>
      </c>
      <c r="S46" s="390"/>
      <c r="T46" s="390"/>
      <c r="U46" s="390"/>
      <c r="V46" s="390"/>
      <c r="W46" s="390"/>
      <c r="X46" s="390"/>
    </row>
    <row r="47" spans="1:25" ht="28.5" customHeight="1">
      <c r="A47" s="394" t="s">
        <v>53</v>
      </c>
      <c r="B47" s="394"/>
      <c r="C47" s="394"/>
      <c r="D47" s="394"/>
      <c r="E47" s="394"/>
      <c r="F47" s="394"/>
      <c r="G47" s="394"/>
      <c r="H47" s="394"/>
      <c r="I47" s="394"/>
      <c r="J47" s="394"/>
      <c r="K47" s="394"/>
      <c r="L47" s="394"/>
      <c r="N47" s="391" t="s">
        <v>54</v>
      </c>
      <c r="O47" s="391"/>
      <c r="P47" s="391"/>
      <c r="Q47" s="391"/>
      <c r="R47" s="390" t="s">
        <v>55</v>
      </c>
      <c r="S47" s="390"/>
      <c r="T47" s="390"/>
      <c r="U47" s="390"/>
      <c r="V47" s="390"/>
      <c r="W47" s="390"/>
      <c r="X47" s="390"/>
    </row>
    <row r="48" spans="1:25" ht="42.75" customHeight="1">
      <c r="A48" s="395" t="s">
        <v>56</v>
      </c>
      <c r="B48" s="395"/>
      <c r="C48" s="395"/>
      <c r="D48" s="395"/>
      <c r="E48" s="395"/>
      <c r="F48" s="395"/>
      <c r="G48" s="395"/>
      <c r="H48" s="395"/>
      <c r="I48" s="395"/>
      <c r="J48" s="395"/>
      <c r="K48" s="395"/>
      <c r="L48" s="395"/>
      <c r="N48" s="391" t="s">
        <v>57</v>
      </c>
      <c r="O48" s="391"/>
      <c r="P48" s="391"/>
      <c r="Q48" s="391"/>
      <c r="R48" s="390" t="s">
        <v>58</v>
      </c>
      <c r="S48" s="390"/>
      <c r="T48" s="390"/>
      <c r="U48" s="390"/>
      <c r="V48" s="390"/>
      <c r="W48" s="390"/>
      <c r="X48" s="390"/>
    </row>
    <row r="49" spans="1:24" ht="36" customHeight="1">
      <c r="A49" s="395" t="s">
        <v>59</v>
      </c>
      <c r="B49" s="395"/>
      <c r="C49" s="395"/>
      <c r="D49" s="395"/>
      <c r="E49" s="395"/>
      <c r="F49" s="395"/>
      <c r="G49" s="395"/>
      <c r="H49" s="395"/>
      <c r="I49" s="395"/>
      <c r="J49" s="395"/>
      <c r="K49" s="395"/>
      <c r="L49" s="395"/>
      <c r="N49" s="392" t="s">
        <v>60</v>
      </c>
      <c r="O49" s="392"/>
      <c r="P49" s="392"/>
      <c r="Q49" s="392"/>
      <c r="R49" s="398" t="s">
        <v>61</v>
      </c>
      <c r="S49" s="398"/>
      <c r="T49" s="398"/>
      <c r="U49" s="398"/>
      <c r="V49" s="398"/>
      <c r="W49" s="398"/>
      <c r="X49" s="398"/>
    </row>
    <row r="50" spans="1:24" ht="15.75">
      <c r="A50" s="396"/>
      <c r="B50" s="396"/>
      <c r="C50" s="396"/>
      <c r="D50" s="396"/>
      <c r="N50" s="391" t="s">
        <v>38</v>
      </c>
      <c r="O50" s="391"/>
      <c r="P50" s="391"/>
      <c r="Q50" s="391"/>
      <c r="R50" s="390" t="s">
        <v>62</v>
      </c>
      <c r="S50" s="390"/>
      <c r="T50" s="390"/>
      <c r="U50" s="390"/>
      <c r="V50" s="390"/>
      <c r="W50" s="390"/>
      <c r="X50" s="390"/>
    </row>
    <row r="51" spans="1:24" ht="15.75">
      <c r="N51" s="391" t="s">
        <v>31</v>
      </c>
      <c r="O51" s="391"/>
      <c r="P51" s="391"/>
      <c r="Q51" s="391"/>
      <c r="R51" s="390" t="s">
        <v>63</v>
      </c>
      <c r="S51" s="390"/>
      <c r="T51" s="390"/>
      <c r="U51" s="390"/>
      <c r="V51" s="390"/>
      <c r="W51" s="390"/>
      <c r="X51" s="390"/>
    </row>
    <row r="52" spans="1:24" ht="15.75">
      <c r="N52" s="391" t="s">
        <v>64</v>
      </c>
      <c r="O52" s="391"/>
      <c r="P52" s="391"/>
      <c r="Q52" s="391"/>
      <c r="R52" s="390" t="s">
        <v>55</v>
      </c>
      <c r="S52" s="390"/>
      <c r="T52" s="390"/>
      <c r="U52" s="390"/>
      <c r="V52" s="390"/>
      <c r="W52" s="390"/>
      <c r="X52" s="390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3:C33 A10:A12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H21" sqref="H21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>
        <v>0</v>
      </c>
      <c r="B1" s="257"/>
      <c r="C1" s="258"/>
      <c r="D1" s="473" t="s">
        <v>65</v>
      </c>
      <c r="E1" s="474"/>
      <c r="F1" s="474"/>
      <c r="G1" s="474"/>
      <c r="H1" s="474"/>
      <c r="I1" s="474"/>
      <c r="J1" s="479" t="s">
        <v>66</v>
      </c>
      <c r="K1" s="480"/>
      <c r="L1" s="480"/>
      <c r="M1" s="481"/>
      <c r="N1" s="475">
        <f>IF('Soli_citud '!O1="","",'Soli_citud '!O1)</f>
        <v>45426</v>
      </c>
      <c r="O1" s="476"/>
      <c r="P1" s="409" t="s">
        <v>67</v>
      </c>
      <c r="Q1" s="410"/>
      <c r="R1" s="405" t="str">
        <f>IF('Soli_citud '!D4="","",'Soli_citud '!D4)</f>
        <v>CAMPESENA</v>
      </c>
      <c r="S1" s="406"/>
      <c r="Z1" t="s">
        <v>68</v>
      </c>
      <c r="AA1" s="251" t="s">
        <v>68</v>
      </c>
    </row>
    <row r="2" spans="1:27" ht="15.75" customHeight="1" thickBot="1">
      <c r="A2" s="256"/>
      <c r="B2" s="259"/>
      <c r="C2" s="260"/>
      <c r="D2" s="473"/>
      <c r="E2" s="474"/>
      <c r="F2" s="474"/>
      <c r="G2" s="474"/>
      <c r="H2" s="474"/>
      <c r="I2" s="474"/>
      <c r="J2" s="456" t="s">
        <v>69</v>
      </c>
      <c r="K2" s="457"/>
      <c r="L2" s="457"/>
      <c r="M2" s="458"/>
      <c r="N2" s="477" t="str">
        <f>'Soli_citud '!F1</f>
        <v>AP1405-1</v>
      </c>
      <c r="O2" s="461"/>
      <c r="P2" s="411"/>
      <c r="Q2" s="412"/>
      <c r="R2" s="407"/>
      <c r="S2" s="408"/>
    </row>
    <row r="3" spans="1:27" ht="15.75" customHeight="1">
      <c r="A3" s="256"/>
      <c r="B3" s="259"/>
      <c r="C3" s="260"/>
      <c r="D3" s="473"/>
      <c r="E3" s="474"/>
      <c r="F3" s="474"/>
      <c r="G3" s="474"/>
      <c r="H3" s="474"/>
      <c r="I3" s="474"/>
      <c r="J3" s="478" t="s">
        <v>70</v>
      </c>
      <c r="K3" s="478"/>
      <c r="L3" s="478"/>
      <c r="M3" s="478"/>
      <c r="N3" s="465">
        <f>IF('Soli_citud '!O3="","",'Soli_citud '!O3)</f>
        <v>2974461</v>
      </c>
      <c r="O3" s="466"/>
      <c r="P3" s="411"/>
      <c r="Q3" s="412"/>
      <c r="R3" s="415" t="str" cm="1">
        <f t="array" ref="R3">IFERROR(_xlfn.IFS(M4="Calzado Producción","Entrega de Producto",M4="Marroquinería  Producción","Entrega Producto"),"")</f>
        <v/>
      </c>
      <c r="S3" s="416"/>
    </row>
    <row r="4" spans="1:27" ht="15.75" customHeight="1">
      <c r="A4" s="256"/>
      <c r="B4" s="261"/>
      <c r="C4" s="262"/>
      <c r="D4" s="473"/>
      <c r="E4" s="474"/>
      <c r="F4" s="474"/>
      <c r="G4" s="474"/>
      <c r="H4" s="474"/>
      <c r="I4" s="474"/>
      <c r="J4" s="470" t="s">
        <v>71</v>
      </c>
      <c r="K4" s="470"/>
      <c r="L4" s="470"/>
      <c r="M4" s="471" t="str">
        <f>IF('Soli_citud '!O4="","",'Soli_citud '!O4)</f>
        <v>Calzado Formación</v>
      </c>
      <c r="N4" s="471"/>
      <c r="O4" s="472"/>
      <c r="P4" s="411"/>
      <c r="Q4" s="412"/>
      <c r="R4" s="314"/>
      <c r="S4" s="417"/>
    </row>
    <row r="5" spans="1:27" ht="2.25" customHeight="1">
      <c r="A5" s="256"/>
      <c r="P5" s="411"/>
      <c r="Q5" s="412"/>
    </row>
    <row r="6" spans="1:27" ht="27" customHeight="1">
      <c r="A6" s="256"/>
      <c r="B6" s="450" t="s">
        <v>72</v>
      </c>
      <c r="C6" s="451"/>
      <c r="D6" s="452"/>
      <c r="E6" s="467" t="s">
        <v>73</v>
      </c>
      <c r="F6" s="467"/>
      <c r="G6" s="467"/>
      <c r="H6" s="467"/>
      <c r="I6" s="468"/>
      <c r="J6" s="441" t="s">
        <v>74</v>
      </c>
      <c r="K6" s="442"/>
      <c r="L6" s="442"/>
      <c r="M6" s="442"/>
      <c r="N6" s="469"/>
      <c r="O6" s="469"/>
      <c r="P6" s="411"/>
      <c r="Q6" s="412"/>
      <c r="R6" s="418" t="str">
        <f>IF(R3="","","Valor de Producción ($)")</f>
        <v/>
      </c>
      <c r="S6" s="419"/>
    </row>
    <row r="7" spans="1:27" ht="3.75" customHeight="1">
      <c r="A7" s="256"/>
      <c r="B7" s="453"/>
      <c r="C7" s="454"/>
      <c r="D7" s="4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11"/>
      <c r="Q7" s="412"/>
      <c r="R7" s="420" t="str">
        <f ca="1">IFERROR(IF(R3="","",G9*M10),"")</f>
        <v/>
      </c>
      <c r="S7" s="421"/>
    </row>
    <row r="8" spans="1:27" ht="20.25" customHeight="1">
      <c r="A8" s="256"/>
      <c r="B8" s="428">
        <f ca="1">IF('Soli_citud '!D5&lt;= 0,"",'Soli_citud '!D5)</f>
        <v>128244.36811977104</v>
      </c>
      <c r="C8" s="429"/>
      <c r="D8" s="430"/>
      <c r="E8" s="447" t="s">
        <v>75</v>
      </c>
      <c r="F8" s="448"/>
      <c r="G8" s="448"/>
      <c r="H8" s="448"/>
      <c r="I8" s="449"/>
      <c r="J8" s="443" t="str">
        <f>IF('Soli_citud '!E2="","",'Soli_citud '!E2)</f>
        <v>Alina Posada Villada</v>
      </c>
      <c r="K8" s="444"/>
      <c r="L8" s="444"/>
      <c r="M8" s="444"/>
      <c r="N8" s="444"/>
      <c r="O8" s="444"/>
      <c r="P8" s="411"/>
      <c r="Q8" s="412"/>
      <c r="R8" s="420"/>
      <c r="S8" s="421"/>
    </row>
    <row r="9" spans="1:27" ht="3.75" customHeight="1">
      <c r="A9" s="256"/>
      <c r="B9" s="431" t="s">
        <v>76</v>
      </c>
      <c r="C9" s="432"/>
      <c r="D9" s="424"/>
      <c r="E9" s="423" t="s">
        <v>77</v>
      </c>
      <c r="F9" s="423"/>
      <c r="G9" s="435" t="str">
        <f ca="1">IFERROR(IF(D9="","",ROUNDUP(B8*(1+D9),-2)),"")</f>
        <v/>
      </c>
      <c r="H9" s="436"/>
      <c r="I9" s="437"/>
      <c r="J9" s="109"/>
      <c r="K9" s="109"/>
      <c r="L9" s="109"/>
      <c r="M9" s="109"/>
      <c r="N9" s="109"/>
      <c r="O9" s="109"/>
      <c r="P9" s="411"/>
      <c r="Q9" s="412"/>
    </row>
    <row r="10" spans="1:27" ht="27.75" customHeight="1" thickBot="1">
      <c r="A10" s="256"/>
      <c r="B10" s="433"/>
      <c r="C10" s="434"/>
      <c r="D10" s="424"/>
      <c r="E10" s="423"/>
      <c r="F10" s="423"/>
      <c r="G10" s="438"/>
      <c r="H10" s="439"/>
      <c r="I10" s="440"/>
      <c r="J10" s="463" t="s">
        <v>78</v>
      </c>
      <c r="K10" s="463"/>
      <c r="L10" s="464"/>
      <c r="M10" s="241">
        <f>'Soli_citud '!K5</f>
        <v>1</v>
      </c>
      <c r="N10" s="445" t="s">
        <v>79</v>
      </c>
      <c r="O10" s="446"/>
      <c r="P10" s="413"/>
      <c r="Q10" s="414"/>
      <c r="R10" s="242" t="s">
        <v>80</v>
      </c>
      <c r="S10" s="240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81</v>
      </c>
      <c r="B11" s="263" t="s">
        <v>82</v>
      </c>
      <c r="C11" s="425" t="s">
        <v>83</v>
      </c>
      <c r="D11" s="426"/>
      <c r="E11" s="426"/>
      <c r="F11" s="427"/>
      <c r="G11" s="112" t="s">
        <v>84</v>
      </c>
      <c r="H11" s="112" t="s">
        <v>85</v>
      </c>
      <c r="I11" s="236" t="s">
        <v>86</v>
      </c>
      <c r="J11" s="110" t="s">
        <v>87</v>
      </c>
      <c r="K11" s="222" t="s">
        <v>88</v>
      </c>
      <c r="L11" s="461" t="s">
        <v>24</v>
      </c>
      <c r="M11" s="462"/>
      <c r="N11" s="239" t="s">
        <v>89</v>
      </c>
      <c r="O11" s="239" t="s">
        <v>90</v>
      </c>
      <c r="P11" s="243" t="s">
        <v>91</v>
      </c>
      <c r="Q11" s="244" t="s">
        <v>92</v>
      </c>
      <c r="R11" s="235" t="s">
        <v>93</v>
      </c>
      <c r="S11" s="223" t="s">
        <v>94</v>
      </c>
    </row>
    <row r="12" spans="1:27" ht="19.5" customHeight="1">
      <c r="A12" s="78">
        <v>1</v>
      </c>
      <c r="B12" s="264" t="str">
        <f>IF(H12="","",$N$2)</f>
        <v>AP1405-1</v>
      </c>
      <c r="C12" s="422" t="str">
        <f>IFERROR(IF('Soli_citud '!D10="","",'Soli_citud '!D10),"")</f>
        <v>AGUJA CORTA CABO DELGADO 100</v>
      </c>
      <c r="D12" s="422"/>
      <c r="E12" s="422"/>
      <c r="F12" s="422"/>
      <c r="G12" s="225" t="str">
        <f ca="1">IF('Soli_citud '!O10="","",'Soli_citud '!O10)</f>
        <v>U</v>
      </c>
      <c r="H12" s="225" cm="1">
        <f t="array" ref="H12">_xlfn.IFS('Soli_citud '!S10="","",'Soli_citud '!S10&lt;=0,"",'Soli_citud '!S10&gt;0,'Soli_citud '!S10)</f>
        <v>10</v>
      </c>
      <c r="I12" s="226">
        <v>45427</v>
      </c>
      <c r="J12" s="227">
        <v>10</v>
      </c>
      <c r="K12" s="207" t="str" cm="1">
        <f t="array" ref="K12">IFERROR(_xlfn.IFS(H12="","",J12=H12,"Cumplido",J12&lt;H12,H12-J12,J12&gt;H12,"Revisar"),"")</f>
        <v>Cumplido</v>
      </c>
      <c r="L12" s="459"/>
      <c r="M12" s="460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AP1405-1</v>
      </c>
      <c r="C13" s="422" t="str">
        <f>IFERROR(IF('Soli_citud '!D11="","",'Soli_citud '!D11),"")</f>
        <v>AGUJA CORTA CABO GRUESO 100</v>
      </c>
      <c r="D13" s="422"/>
      <c r="E13" s="422"/>
      <c r="F13" s="422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10</v>
      </c>
      <c r="I13" s="226">
        <v>45427</v>
      </c>
      <c r="J13" s="228">
        <v>10</v>
      </c>
      <c r="K13" s="207" t="str" cm="1">
        <f t="array" ref="K13">IFERROR(_xlfn.IFS(H13="","",J13=H13,"Cumplido",J13&lt;H13,H13-J13,J13&gt;H13,"Revisar"),"")</f>
        <v>Cumplido</v>
      </c>
      <c r="L13" s="459"/>
      <c r="M13" s="460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AP1405-1</v>
      </c>
      <c r="C14" s="422" t="str">
        <f>IFERROR(IF('Soli_citud '!D12="","",'Soli_citud '!D12),"")</f>
        <v>AGUJA LARGA CABO GRUESO 100</v>
      </c>
      <c r="D14" s="422"/>
      <c r="E14" s="422"/>
      <c r="F14" s="422"/>
      <c r="G14" s="225" t="str">
        <f ca="1">IF('Soli_citud '!O12="","",'Soli_citud '!O12)</f>
        <v>U</v>
      </c>
      <c r="H14" s="225" cm="1">
        <f t="array" ref="H14">_xlfn.IFS('Soli_citud '!S12="","",'Soli_citud '!S12&lt;=0,"",'Soli_citud '!S12&gt;0,'Soli_citud '!S12)</f>
        <v>10</v>
      </c>
      <c r="I14" s="226">
        <v>45427</v>
      </c>
      <c r="J14" s="228">
        <v>10</v>
      </c>
      <c r="K14" s="207" t="str" cm="1">
        <f t="array" ref="K14">IFERROR(_xlfn.IFS(H14="","",J14=H14,"Cumplido",J14&lt;H14,H14-J14,J14&gt;H14,"Revisar"),"")</f>
        <v>Cumplido</v>
      </c>
      <c r="L14" s="459"/>
      <c r="M14" s="460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AP1405-1</v>
      </c>
      <c r="C15" s="422" t="str">
        <f>IFERROR(IF('Soli_citud '!D13="","",'Soli_citud '!D13),"")</f>
        <v xml:space="preserve">CARTULINA PLANA </v>
      </c>
      <c r="D15" s="422"/>
      <c r="E15" s="422"/>
      <c r="F15" s="422"/>
      <c r="G15" s="225" t="str">
        <f ca="1">IF('Soli_citud '!O13="","",'Soli_citud '!O13)</f>
        <v>Pliego</v>
      </c>
      <c r="H15" s="225" cm="1">
        <f t="array" ref="H15">_xlfn.IFS('Soli_citud '!S13="","",'Soli_citud '!S13&lt;=0,"",'Soli_citud '!S13&gt;0,'Soli_citud '!S13)</f>
        <v>5</v>
      </c>
      <c r="I15" s="226">
        <v>45427</v>
      </c>
      <c r="J15" s="228">
        <v>0</v>
      </c>
      <c r="K15" s="207" cm="1">
        <f t="array" ref="K15">IFERROR(_xlfn.IFS(H15="","",J15=H15,"Cumplido",J15&lt;H15,H15-J15,J15&gt;H15,"Revisar"),"")</f>
        <v>5</v>
      </c>
      <c r="L15" s="459" t="s">
        <v>95</v>
      </c>
      <c r="M15" s="460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22" t="str">
        <f>IFERROR(IF('Soli_citud '!D14="","",'Soli_citud '!D14),"")</f>
        <v>INTERLON</v>
      </c>
      <c r="D16" s="422"/>
      <c r="E16" s="422"/>
      <c r="F16" s="422"/>
      <c r="G16" s="225" t="str">
        <f ca="1">IF('Soli_citud '!O14="","",'Soli_citud '!O14)</f>
        <v>cm2</v>
      </c>
      <c r="H16" s="225" t="str" cm="1">
        <f t="array" ref="H16">_xlfn.IFS('Soli_citud '!S14="","",'Soli_citud '!S14&lt;=0,"",'Soli_citud '!S14&gt;0,'Soli_citud '!S14)</f>
        <v/>
      </c>
      <c r="I16" s="226">
        <v>45427</v>
      </c>
      <c r="J16" s="228"/>
      <c r="K16" s="207" t="str" cm="1">
        <f t="array" ref="K16">IFERROR(_xlfn.IFS(H16="","",J16=H16,"Cumplido",J16&lt;H16,H16-J16,J16&gt;H16,"Revisar"),"")</f>
        <v/>
      </c>
      <c r="L16" s="459" t="s">
        <v>96</v>
      </c>
      <c r="M16" s="460"/>
      <c r="N16" s="227">
        <v>140</v>
      </c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AP1405-1</v>
      </c>
      <c r="C17" s="422" t="str">
        <f>IFERROR(IF('Soli_citud '!D15="","",'Soli_citud '!D15),"")</f>
        <v xml:space="preserve">SINTETICO  REF ARSENAL </v>
      </c>
      <c r="D17" s="422"/>
      <c r="E17" s="422"/>
      <c r="F17" s="422"/>
      <c r="G17" s="225" t="str">
        <f ca="1">IF('Soli_citud '!O15="","",'Soli_citud '!O15)</f>
        <v>cm2</v>
      </c>
      <c r="H17" s="225" cm="1">
        <f t="array" ref="H17">_xlfn.IFS('Soli_citud '!S15="","",'Soli_citud '!S15&lt;=0,"",'Soli_citud '!S15&gt;0,'Soli_citud '!S15)</f>
        <v>42000</v>
      </c>
      <c r="I17" s="226">
        <v>45427</v>
      </c>
      <c r="J17" s="228">
        <v>42000</v>
      </c>
      <c r="K17" s="207" t="str" cm="1">
        <f t="array" ref="K17">IFERROR(_xlfn.IFS(H17="","",J17=H17,"Cumplido",J17&lt;H17,H17-J17,J17&gt;H17,"Revisar"),"")</f>
        <v>Cumplido</v>
      </c>
      <c r="L17" s="459"/>
      <c r="M17" s="460"/>
      <c r="N17" s="227">
        <v>140</v>
      </c>
      <c r="O17" s="208">
        <f t="shared" si="0"/>
        <v>300</v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AP1405-1</v>
      </c>
      <c r="C18" s="422" t="str">
        <f>IFERROR(IF('Soli_citud '!D16="","",'Soli_citud '!D16),"")</f>
        <v>SOLUCIÓN DE CAUCHO</v>
      </c>
      <c r="D18" s="422"/>
      <c r="E18" s="422"/>
      <c r="F18" s="422"/>
      <c r="G18" s="225" t="str">
        <f ca="1">IF('Soli_citud '!O16="","",'Soli_citud '!O16)</f>
        <v>ml</v>
      </c>
      <c r="H18" s="225" cm="1">
        <f t="array" ref="H18">_xlfn.IFS('Soli_citud '!S16="","",'Soli_citud '!S16&lt;=0,"",'Soli_citud '!S16&gt;0,'Soli_citud '!S16)</f>
        <v>3000</v>
      </c>
      <c r="I18" s="226">
        <v>45427</v>
      </c>
      <c r="J18" s="228">
        <v>3000</v>
      </c>
      <c r="K18" s="207" t="str" cm="1">
        <f t="array" ref="K18">IFERROR(_xlfn.IFS(H18="","",J18=H18,"Cumplido",J18&lt;H18,H18-J18,J18&gt;H18,"Revisar"),"")</f>
        <v>Cumplido</v>
      </c>
      <c r="L18" s="459"/>
      <c r="M18" s="460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AP1405-1</v>
      </c>
      <c r="C19" s="422" t="str">
        <f>IFERROR(IF('Soli_citud '!D17="","",'Soli_citud '!D17),"")</f>
        <v xml:space="preserve">AQUAPREN GUARNECIDA
</v>
      </c>
      <c r="D19" s="422"/>
      <c r="E19" s="422"/>
      <c r="F19" s="422"/>
      <c r="G19" s="225" t="str">
        <f ca="1">IF('Soli_citud '!O17="","",'Soli_citud '!O17)</f>
        <v>ml</v>
      </c>
      <c r="H19" s="225" cm="1">
        <f t="array" ref="H19">_xlfn.IFS('Soli_citud '!S17="","",'Soli_citud '!S17&lt;=0,"",'Soli_citud '!S17&gt;0,'Soli_citud '!S17)</f>
        <v>1000</v>
      </c>
      <c r="I19" s="226">
        <v>45427</v>
      </c>
      <c r="J19" s="228">
        <v>1000</v>
      </c>
      <c r="K19" s="207" t="str" cm="1">
        <f t="array" ref="K19">IFERROR(_xlfn.IFS(H19="","",J19=H19,"Cumplido",J19&lt;H19,H19-J19,J19&gt;H19,"Revisar"),"")</f>
        <v>Cumplido</v>
      </c>
      <c r="L19" s="459"/>
      <c r="M19" s="460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AP1405-1</v>
      </c>
      <c r="C20" s="422" t="str">
        <f>IFERROR(IF('Soli_citud '!D18="","",'Soli_citud '!D18),"")</f>
        <v>PAPEL PERIODICO</v>
      </c>
      <c r="D20" s="422"/>
      <c r="E20" s="422"/>
      <c r="F20" s="422"/>
      <c r="G20" s="225" t="str">
        <f ca="1">IF('Soli_citud '!O18="","",'Soli_citud '!O18)</f>
        <v/>
      </c>
      <c r="H20" s="225" cm="1">
        <f t="array" ref="H20">_xlfn.IFS('Soli_citud '!S18="","",'Soli_citud '!S18&lt;=0,"",'Soli_citud '!S18&gt;0,'Soli_citud '!S18)</f>
        <v>45</v>
      </c>
      <c r="I20" s="226">
        <v>45427</v>
      </c>
      <c r="J20" s="228">
        <v>0</v>
      </c>
      <c r="K20" s="207" cm="1">
        <f t="array" ref="K20">IFERROR(_xlfn.IFS(H20="","",J20=H20,"Cumplido",J20&lt;H20,H20-J20,J20&gt;H20,"Revisar"),"")</f>
        <v>45</v>
      </c>
      <c r="L20" s="459" t="s">
        <v>95</v>
      </c>
      <c r="M20" s="460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AP1405-1</v>
      </c>
      <c r="C21" s="422" t="str">
        <f>IFERROR(IF('Soli_citud '!D19="","",'Soli_citud '!D19),"")</f>
        <v>CAMBRE</v>
      </c>
      <c r="D21" s="422"/>
      <c r="E21" s="422"/>
      <c r="F21" s="422"/>
      <c r="G21" s="225" t="str">
        <f ca="1">IF('Soli_citud '!O19="","",'Soli_citud '!O19)</f>
        <v/>
      </c>
      <c r="H21" s="225" cm="1">
        <f t="array" ref="H21">_xlfn.IFS('Soli_citud '!S19="","",'Soli_citud '!S19&lt;=0,"",'Soli_citud '!S19&gt;0,'Soli_citud '!S19)</f>
        <v>28000</v>
      </c>
      <c r="I21" s="226">
        <v>45427</v>
      </c>
      <c r="J21" s="228">
        <v>28000</v>
      </c>
      <c r="K21" s="207" t="str" cm="1">
        <f t="array" ref="K21">IFERROR(_xlfn.IFS(H21="","",J21=H21,"Cumplido",J21&lt;H21,H21-J21,J21&gt;H21,"Revisar"),"")</f>
        <v>Cumplido</v>
      </c>
      <c r="L21" s="459"/>
      <c r="M21" s="460"/>
      <c r="N21" s="227">
        <v>140</v>
      </c>
      <c r="O21" s="208">
        <f t="shared" si="0"/>
        <v>200</v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22" t="str">
        <f>IFERROR(IF('Soli_citud '!D20="","",'Soli_citud '!D20),"")</f>
        <v/>
      </c>
      <c r="D22" s="422"/>
      <c r="E22" s="422"/>
      <c r="F22" s="422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59"/>
      <c r="M22" s="460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22" t="str">
        <f>IFERROR(IF('Soli_citud '!D21="","",'Soli_citud '!D21),"")</f>
        <v/>
      </c>
      <c r="D23" s="422"/>
      <c r="E23" s="422"/>
      <c r="F23" s="422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59"/>
      <c r="M23" s="460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22" t="str">
        <f>IFERROR(IF('Soli_citud '!D22="","",'Soli_citud '!D22),"")</f>
        <v/>
      </c>
      <c r="D24" s="422"/>
      <c r="E24" s="422"/>
      <c r="F24" s="422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59"/>
      <c r="M24" s="460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22" t="str">
        <f>IFERROR(IF('Soli_citud '!D23="","",'Soli_citud '!D23),"")</f>
        <v/>
      </c>
      <c r="D25" s="422"/>
      <c r="E25" s="422"/>
      <c r="F25" s="422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59"/>
      <c r="M25" s="460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22" t="str">
        <f>IFERROR(IF('Soli_citud '!D24="","",'Soli_citud '!D24),"")</f>
        <v/>
      </c>
      <c r="D26" s="422"/>
      <c r="E26" s="422"/>
      <c r="F26" s="422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59"/>
      <c r="M26" s="460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22" t="str">
        <f>IFERROR(IF('Soli_citud '!D25="","",'Soli_citud '!D25),"")</f>
        <v/>
      </c>
      <c r="D27" s="422"/>
      <c r="E27" s="422"/>
      <c r="F27" s="422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59"/>
      <c r="M27" s="460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22" t="str">
        <f>IFERROR(IF('Soli_citud '!D26="","",'Soli_citud '!D26),"")</f>
        <v/>
      </c>
      <c r="D28" s="422"/>
      <c r="E28" s="422"/>
      <c r="F28" s="422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59"/>
      <c r="M28" s="460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22" t="str">
        <f>IFERROR(IF('Soli_citud '!D27="","",'Soli_citud '!D27),"")</f>
        <v/>
      </c>
      <c r="D29" s="422"/>
      <c r="E29" s="422"/>
      <c r="F29" s="422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59"/>
      <c r="M29" s="460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22" t="str">
        <f>IFERROR(IF('Soli_citud '!D28="","",'Soli_citud '!D28),"")</f>
        <v/>
      </c>
      <c r="D30" s="422"/>
      <c r="E30" s="422"/>
      <c r="F30" s="422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59"/>
      <c r="M30" s="460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22" t="str">
        <f>IFERROR(IF('Soli_citud '!D29="","",'Soli_citud '!D29),"")</f>
        <v/>
      </c>
      <c r="D31" s="422"/>
      <c r="E31" s="422"/>
      <c r="F31" s="422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59"/>
      <c r="M31" s="460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22" t="str">
        <f>IFERROR(IF('Soli_citud '!D30="","",'Soli_citud '!D30),"")</f>
        <v/>
      </c>
      <c r="D32" s="422"/>
      <c r="E32" s="422"/>
      <c r="F32" s="422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59"/>
      <c r="M32" s="460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3"/>
      <c r="B1" s="483"/>
      <c r="C1" s="483"/>
      <c r="D1" s="483"/>
      <c r="E1" s="488" t="s">
        <v>97</v>
      </c>
      <c r="F1" s="488"/>
      <c r="Z1" s="251" t="s">
        <v>68</v>
      </c>
    </row>
    <row r="2" spans="1:26" ht="18.75" customHeight="1">
      <c r="A2" s="483"/>
      <c r="B2" s="483"/>
      <c r="C2" s="483"/>
      <c r="D2" s="483"/>
      <c r="E2" s="488"/>
      <c r="F2" s="488"/>
    </row>
    <row r="3" spans="1:26" ht="24" customHeight="1">
      <c r="A3" s="483"/>
      <c r="B3" s="483"/>
      <c r="C3" s="483"/>
      <c r="D3" s="483"/>
      <c r="E3" s="489">
        <f>SUM(Total_AdhySol,Total_SECUNDARIO_MEDULAR,Total_Cuero,Total_Herrajes,Total_Sint_y_Tex,Total_Suelas,Total_Herramientas,Total_Ins_Compl)</f>
        <v>863</v>
      </c>
      <c r="F3" s="489"/>
    </row>
    <row r="5" spans="1:26" ht="40.5" customHeight="1">
      <c r="B5"/>
      <c r="C5"/>
      <c r="D5"/>
    </row>
    <row r="6" spans="1:26" ht="34.5" customHeight="1">
      <c r="A6" s="115" t="s">
        <v>98</v>
      </c>
      <c r="B6" s="303">
        <f>SUBTOTAL(3,(BD!$B$8:$B$20))</f>
        <v>13</v>
      </c>
      <c r="C6" s="484"/>
      <c r="D6" s="485"/>
      <c r="H6" s="482" t="s">
        <v>99</v>
      </c>
      <c r="I6" s="482"/>
    </row>
    <row r="7" spans="1:26" ht="47.25">
      <c r="A7" s="73" t="s">
        <v>81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35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35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37</v>
      </c>
      <c r="C10" s="140" t="s">
        <v>35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35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35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35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35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35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35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35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36</v>
      </c>
      <c r="C18" s="140" t="s">
        <v>35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35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4" t="s">
        <v>35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81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124</v>
      </c>
      <c r="C34" s="218" t="s">
        <v>125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8" t="s">
        <v>125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8" t="s">
        <v>125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8" t="s">
        <v>125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8" t="s">
        <v>125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8" t="s">
        <v>125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8" t="s">
        <v>125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8" t="s">
        <v>125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8" t="s">
        <v>125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8" t="s">
        <v>125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8" t="s">
        <v>125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8" t="s">
        <v>125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8" t="s">
        <v>125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8" t="s">
        <v>125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8" t="s">
        <v>125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8" t="s">
        <v>125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8" t="s">
        <v>125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8" t="s">
        <v>125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8" t="s">
        <v>125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8" t="s">
        <v>125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8" t="s">
        <v>125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8" t="s">
        <v>125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8" t="s">
        <v>125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8" t="s">
        <v>125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8" t="s">
        <v>125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8" t="s">
        <v>125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8" t="s">
        <v>125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8" t="s">
        <v>125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8" t="s">
        <v>125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8" t="s">
        <v>125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8" t="s">
        <v>125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8" t="s">
        <v>125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8" t="s">
        <v>125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8" t="s">
        <v>125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8" t="s">
        <v>125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8" t="s">
        <v>125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8" t="s">
        <v>125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8" t="s">
        <v>125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8" t="s">
        <v>125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8" t="s">
        <v>125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8" t="s">
        <v>125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8" t="s">
        <v>125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8" t="s">
        <v>125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8" t="s">
        <v>125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8" t="s">
        <v>125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8" t="s">
        <v>125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8" t="s">
        <v>125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8" t="s">
        <v>125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8" t="s">
        <v>125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8" t="s">
        <v>125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8" t="s">
        <v>125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8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8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8" t="s">
        <v>125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8" t="s">
        <v>125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8" t="s">
        <v>125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8" t="s">
        <v>125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8" t="s">
        <v>125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8" t="s">
        <v>125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8" t="s">
        <v>125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8" t="s">
        <v>125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8" t="s">
        <v>125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8" t="s">
        <v>125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8" t="s">
        <v>125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8" t="s">
        <v>125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8" t="s">
        <v>125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8" t="s">
        <v>125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8" t="s">
        <v>125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8" t="s">
        <v>125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8" t="s">
        <v>125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8" t="s">
        <v>125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8" t="s">
        <v>125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8" t="s">
        <v>125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8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8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8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8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8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8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8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8" t="s">
        <v>125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8" t="s">
        <v>125</v>
      </c>
      <c r="D115" s="48" t="s">
        <v>209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8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8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8" t="s">
        <v>125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8" t="s">
        <v>125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8" t="s">
        <v>125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8" t="s">
        <v>125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8" t="s">
        <v>125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8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8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8" t="s">
        <v>125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8" t="s">
        <v>125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8" t="s">
        <v>125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8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8" t="s">
        <v>125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8" t="s">
        <v>125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8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8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8" t="s">
        <v>125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8" t="s">
        <v>125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8" t="s">
        <v>125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8" t="s">
        <v>125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8" t="s">
        <v>125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8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8" t="s">
        <v>125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8" t="s">
        <v>125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8" t="s">
        <v>125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81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239</v>
      </c>
      <c r="C162" s="218" t="s">
        <v>240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8" t="s">
        <v>240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8" t="s">
        <v>240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8" t="s">
        <v>240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8" t="s">
        <v>240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8" t="s">
        <v>240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8" t="s">
        <v>240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8" t="s">
        <v>240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8" t="s">
        <v>240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8" t="s">
        <v>240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8" t="s">
        <v>240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8" t="s">
        <v>240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8" t="s">
        <v>240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8" t="s">
        <v>240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8" t="s">
        <v>240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8" t="s">
        <v>240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8" t="s">
        <v>240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8" t="s">
        <v>240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8" t="s">
        <v>240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8" t="s">
        <v>240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8" t="s">
        <v>240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8" t="s">
        <v>240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8" t="s">
        <v>240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8" t="s">
        <v>240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8" t="s">
        <v>240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8" t="s">
        <v>240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8" t="s">
        <v>240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8" t="s">
        <v>240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8" t="s">
        <v>240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8" t="s">
        <v>240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8" t="s">
        <v>240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8" t="s">
        <v>240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8" t="s">
        <v>240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8" t="s">
        <v>240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8" t="s">
        <v>240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8" t="s">
        <v>240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8" t="s">
        <v>240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8" t="s">
        <v>240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8" t="s">
        <v>240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8" t="s">
        <v>240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8" t="s">
        <v>240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8" t="s">
        <v>240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8" t="s">
        <v>240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8" t="s">
        <v>240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8" t="s">
        <v>240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8" t="s">
        <v>240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8" t="s">
        <v>240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8" t="s">
        <v>240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8" t="s">
        <v>240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8" t="s">
        <v>240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8" t="s">
        <v>240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8" t="s">
        <v>240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8" t="s">
        <v>240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8" t="s">
        <v>240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8" t="s">
        <v>240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8" t="s">
        <v>240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8" t="s">
        <v>240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8" t="s">
        <v>240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8" t="s">
        <v>240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8" t="s">
        <v>240</v>
      </c>
      <c r="D221" s="48" t="s">
        <v>177</v>
      </c>
      <c r="E221" s="43">
        <v>475.34</v>
      </c>
      <c r="F221" s="299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8" t="s">
        <v>240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8" t="s">
        <v>240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8" t="s">
        <v>240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8" t="s">
        <v>240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8" t="s">
        <v>240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8" t="s">
        <v>240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8" t="s">
        <v>240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312</v>
      </c>
      <c r="C229" s="218" t="s">
        <v>240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313</v>
      </c>
      <c r="C230" s="218" t="s">
        <v>240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314</v>
      </c>
      <c r="C231" s="218" t="s">
        <v>240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8" t="s">
        <v>240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8" t="s">
        <v>240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8" t="s">
        <v>240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8" t="s">
        <v>240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8" t="s">
        <v>240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8" t="s">
        <v>240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8" t="s">
        <v>240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8" t="s">
        <v>240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8" t="s">
        <v>240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8" t="s">
        <v>240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8" t="s">
        <v>240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8" t="s">
        <v>240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8" t="s">
        <v>240</v>
      </c>
      <c r="D244" s="48" t="s">
        <v>245</v>
      </c>
      <c r="E244" s="43">
        <v>26000</v>
      </c>
      <c r="F244" s="193" t="s">
        <v>248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8" t="s">
        <v>240</v>
      </c>
      <c r="D245" s="48" t="s">
        <v>245</v>
      </c>
      <c r="E245" s="43">
        <v>13000</v>
      </c>
      <c r="F245" s="193" t="s">
        <v>248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5" t="s">
        <v>240</v>
      </c>
      <c r="D246" s="48" t="s">
        <v>245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5" t="s">
        <v>240</v>
      </c>
      <c r="D247" s="48" t="s">
        <v>244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332</v>
      </c>
      <c r="C248" s="275" t="s">
        <v>240</v>
      </c>
      <c r="D248" s="48" t="s">
        <v>115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5" t="s">
        <v>240</v>
      </c>
      <c r="D249" s="48" t="s">
        <v>115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5" t="s">
        <v>240</v>
      </c>
      <c r="D250" s="276" t="s">
        <v>115</v>
      </c>
      <c r="E250" s="141">
        <v>7266.665</v>
      </c>
      <c r="F250" s="277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5" t="s">
        <v>240</v>
      </c>
      <c r="D251" s="276" t="s">
        <v>244</v>
      </c>
      <c r="E251" s="141">
        <v>5000</v>
      </c>
      <c r="F251" s="277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5" t="s">
        <v>240</v>
      </c>
      <c r="D252" s="276" t="s">
        <v>245</v>
      </c>
      <c r="E252" s="302">
        <v>7183</v>
      </c>
      <c r="F252" s="277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5" t="s">
        <v>240</v>
      </c>
      <c r="D253" s="276" t="s">
        <v>245</v>
      </c>
      <c r="E253" s="302">
        <v>10597</v>
      </c>
      <c r="F253" s="277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5" t="s">
        <v>240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5" t="s">
        <v>240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5" t="s">
        <v>240</v>
      </c>
      <c r="D256" s="276" t="s">
        <v>248</v>
      </c>
      <c r="E256" s="141"/>
      <c r="F256" s="277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5" t="s">
        <v>240</v>
      </c>
      <c r="D257" s="276" t="s">
        <v>242</v>
      </c>
      <c r="E257" s="141">
        <v>8000</v>
      </c>
      <c r="F257" s="277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342</v>
      </c>
      <c r="C258" s="275" t="s">
        <v>240</v>
      </c>
      <c r="D258" s="276" t="s">
        <v>242</v>
      </c>
      <c r="E258" s="141">
        <v>10000</v>
      </c>
      <c r="F258" s="277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343</v>
      </c>
      <c r="C259" s="275" t="s">
        <v>240</v>
      </c>
      <c r="D259" s="276" t="s">
        <v>242</v>
      </c>
      <c r="E259" s="141">
        <v>10000</v>
      </c>
      <c r="F259" s="277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344</v>
      </c>
      <c r="C260" s="275" t="s">
        <v>240</v>
      </c>
      <c r="D260" s="276" t="s">
        <v>248</v>
      </c>
      <c r="E260" s="141"/>
      <c r="F260" s="277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345</v>
      </c>
      <c r="C261" s="275" t="s">
        <v>240</v>
      </c>
      <c r="D261" s="276" t="s">
        <v>209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346</v>
      </c>
      <c r="C262" s="275" t="s">
        <v>240</v>
      </c>
      <c r="D262" s="276" t="s">
        <v>311</v>
      </c>
      <c r="E262" s="141">
        <v>28.18</v>
      </c>
      <c r="F262" s="277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347</v>
      </c>
      <c r="C263" s="275" t="s">
        <v>240</v>
      </c>
      <c r="D263" s="276" t="s">
        <v>311</v>
      </c>
      <c r="E263" s="141">
        <v>2700</v>
      </c>
      <c r="F263" s="277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348</v>
      </c>
      <c r="C264" s="275" t="s">
        <v>240</v>
      </c>
      <c r="D264" s="276" t="s">
        <v>311</v>
      </c>
      <c r="E264" s="141">
        <v>18.53</v>
      </c>
      <c r="F264" s="277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349</v>
      </c>
      <c r="C265" s="275" t="s">
        <v>240</v>
      </c>
      <c r="D265" s="276" t="s">
        <v>245</v>
      </c>
      <c r="E265" s="141">
        <v>1800</v>
      </c>
      <c r="F265" s="277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350</v>
      </c>
      <c r="C266" s="275" t="s">
        <v>240</v>
      </c>
      <c r="D266" s="276" t="s">
        <v>245</v>
      </c>
      <c r="E266" s="141">
        <v>1057</v>
      </c>
      <c r="F266" s="277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351</v>
      </c>
      <c r="C267" s="275" t="s">
        <v>240</v>
      </c>
      <c r="D267" s="276" t="s">
        <v>311</v>
      </c>
      <c r="E267" s="141">
        <v>18.53</v>
      </c>
      <c r="F267" s="277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352</v>
      </c>
      <c r="C268" s="275" t="s">
        <v>240</v>
      </c>
      <c r="D268" s="276" t="s">
        <v>311</v>
      </c>
      <c r="E268" s="141">
        <v>22.8</v>
      </c>
      <c r="F268" s="277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353</v>
      </c>
      <c r="C269" s="275" t="s">
        <v>240</v>
      </c>
      <c r="D269" s="276" t="s">
        <v>311</v>
      </c>
      <c r="E269" s="141">
        <v>22.8</v>
      </c>
      <c r="F269" s="277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354</v>
      </c>
      <c r="C270" s="275" t="s">
        <v>240</v>
      </c>
      <c r="D270" s="276" t="s">
        <v>311</v>
      </c>
      <c r="E270" s="141">
        <v>14.73</v>
      </c>
      <c r="F270" s="277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355</v>
      </c>
      <c r="C271" s="275" t="s">
        <v>240</v>
      </c>
      <c r="D271" s="276" t="s">
        <v>311</v>
      </c>
      <c r="E271" s="141">
        <v>14.73</v>
      </c>
      <c r="F271" s="277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356</v>
      </c>
      <c r="C272" s="275" t="s">
        <v>240</v>
      </c>
      <c r="D272" s="276" t="s">
        <v>245</v>
      </c>
      <c r="E272" s="141">
        <v>819.99999999999989</v>
      </c>
      <c r="F272" s="277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357</v>
      </c>
      <c r="C273" s="275" t="s">
        <v>240</v>
      </c>
      <c r="D273" s="276" t="s">
        <v>245</v>
      </c>
      <c r="E273" s="141">
        <v>1170</v>
      </c>
      <c r="F273" s="277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358</v>
      </c>
      <c r="C274" s="275" t="s">
        <v>240</v>
      </c>
      <c r="D274" s="276" t="s">
        <v>245</v>
      </c>
      <c r="E274" s="141">
        <v>8000</v>
      </c>
      <c r="F274" s="277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359</v>
      </c>
      <c r="C275" s="275" t="s">
        <v>240</v>
      </c>
      <c r="D275" s="276" t="s">
        <v>245</v>
      </c>
      <c r="E275" s="141">
        <v>11000</v>
      </c>
      <c r="F275" s="277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360</v>
      </c>
      <c r="C276" s="275" t="s">
        <v>240</v>
      </c>
      <c r="D276" s="276" t="s">
        <v>245</v>
      </c>
      <c r="E276" s="141">
        <v>10858</v>
      </c>
      <c r="F276" s="277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361</v>
      </c>
      <c r="C277" s="275" t="s">
        <v>240</v>
      </c>
      <c r="D277" s="276" t="s">
        <v>245</v>
      </c>
      <c r="E277" s="141">
        <v>13999.16</v>
      </c>
      <c r="F277" s="277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362</v>
      </c>
      <c r="C278" s="275" t="s">
        <v>240</v>
      </c>
      <c r="D278" s="276" t="s">
        <v>242</v>
      </c>
      <c r="E278" s="141"/>
      <c r="F278" s="277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363</v>
      </c>
      <c r="C279" s="275" t="s">
        <v>240</v>
      </c>
      <c r="D279" s="276" t="s">
        <v>248</v>
      </c>
      <c r="E279" s="141"/>
      <c r="F279" s="277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364</v>
      </c>
      <c r="C280" s="275" t="s">
        <v>240</v>
      </c>
      <c r="D280" s="276" t="s">
        <v>248</v>
      </c>
      <c r="E280" s="141"/>
      <c r="F280" s="277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365</v>
      </c>
      <c r="C281" s="275" t="s">
        <v>240</v>
      </c>
      <c r="D281" s="276" t="s">
        <v>366</v>
      </c>
      <c r="E281" s="141"/>
      <c r="F281" s="276" t="s">
        <v>366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367</v>
      </c>
      <c r="C282" s="275" t="s">
        <v>240</v>
      </c>
      <c r="D282" s="276" t="s">
        <v>219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368</v>
      </c>
      <c r="C283" s="275" t="s">
        <v>240</v>
      </c>
      <c r="D283" s="276" t="s">
        <v>245</v>
      </c>
      <c r="E283" s="141">
        <v>1035.3</v>
      </c>
      <c r="F283" s="277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369</v>
      </c>
      <c r="C284" s="275" t="s">
        <v>240</v>
      </c>
      <c r="D284" s="276" t="s">
        <v>244</v>
      </c>
      <c r="E284" s="141">
        <v>700</v>
      </c>
      <c r="F284" s="277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370</v>
      </c>
      <c r="C285" s="275" t="s">
        <v>240</v>
      </c>
      <c r="D285" s="276" t="s">
        <v>244</v>
      </c>
      <c r="E285" s="141">
        <v>1100</v>
      </c>
      <c r="F285" s="277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371</v>
      </c>
      <c r="C286" s="275" t="s">
        <v>240</v>
      </c>
      <c r="D286" s="276" t="s">
        <v>311</v>
      </c>
      <c r="E286" s="141">
        <v>1000</v>
      </c>
      <c r="F286" s="277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372</v>
      </c>
      <c r="C287" s="275" t="s">
        <v>240</v>
      </c>
      <c r="D287" s="276" t="s">
        <v>245</v>
      </c>
      <c r="E287" s="141">
        <v>700</v>
      </c>
      <c r="F287" s="277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373</v>
      </c>
      <c r="C288" s="275" t="s">
        <v>240</v>
      </c>
      <c r="D288" s="48" t="s">
        <v>245</v>
      </c>
      <c r="E288" s="166">
        <v>84</v>
      </c>
      <c r="F288" s="277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374</v>
      </c>
      <c r="C289" s="275" t="s">
        <v>240</v>
      </c>
      <c r="D289" s="276" t="s">
        <v>245</v>
      </c>
      <c r="E289" s="166">
        <v>10780</v>
      </c>
      <c r="F289" s="277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90"/>
      <c r="D514" s="490"/>
      <c r="E514"/>
      <c r="F514" s="189"/>
      <c r="H514"/>
      <c r="I514"/>
    </row>
    <row r="515" spans="1:10" ht="15" customHeight="1">
      <c r="A515" s="118" t="s">
        <v>81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375</v>
      </c>
      <c r="C516" s="218" t="s">
        <v>51</v>
      </c>
      <c r="D516" s="48" t="s">
        <v>376</v>
      </c>
      <c r="E516" s="43">
        <v>380</v>
      </c>
      <c r="F516" s="188" t="s">
        <v>376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377</v>
      </c>
      <c r="C517" s="218" t="s">
        <v>51</v>
      </c>
      <c r="D517" s="50" t="s">
        <v>376</v>
      </c>
      <c r="E517" s="52">
        <v>848.47</v>
      </c>
      <c r="F517" s="51" t="s">
        <v>376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378</v>
      </c>
      <c r="C518" s="218" t="s">
        <v>51</v>
      </c>
      <c r="D518" s="50" t="s">
        <v>376</v>
      </c>
      <c r="E518" s="43">
        <v>815</v>
      </c>
      <c r="F518" s="188" t="s">
        <v>376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379</v>
      </c>
      <c r="C519" s="218" t="s">
        <v>51</v>
      </c>
      <c r="D519" s="50" t="s">
        <v>376</v>
      </c>
      <c r="E519" s="43">
        <v>623.66666666666663</v>
      </c>
      <c r="F519" s="188" t="s">
        <v>376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380</v>
      </c>
      <c r="C520" s="218" t="s">
        <v>51</v>
      </c>
      <c r="D520" s="48" t="s">
        <v>376</v>
      </c>
      <c r="E520" s="43">
        <v>698.53</v>
      </c>
      <c r="F520" s="188" t="s">
        <v>376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381</v>
      </c>
      <c r="C521" s="218" t="s">
        <v>51</v>
      </c>
      <c r="D521" s="48" t="s">
        <v>376</v>
      </c>
      <c r="E521" s="43">
        <v>390.66666666666669</v>
      </c>
      <c r="F521" s="188" t="s">
        <v>376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382</v>
      </c>
      <c r="C522" s="218" t="s">
        <v>51</v>
      </c>
      <c r="D522" s="48" t="s">
        <v>376</v>
      </c>
      <c r="E522" s="43">
        <v>477.19</v>
      </c>
      <c r="F522" s="51" t="s">
        <v>376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383</v>
      </c>
      <c r="C523" s="218" t="s">
        <v>51</v>
      </c>
      <c r="D523" s="48" t="s">
        <v>376</v>
      </c>
      <c r="E523" s="43">
        <v>998.41</v>
      </c>
      <c r="F523" s="188" t="s">
        <v>376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384</v>
      </c>
      <c r="C524" s="218" t="s">
        <v>51</v>
      </c>
      <c r="D524" s="48" t="s">
        <v>376</v>
      </c>
      <c r="E524" s="43">
        <v>898.44999999999993</v>
      </c>
      <c r="F524" s="188" t="s">
        <v>376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385</v>
      </c>
      <c r="C525" s="218" t="s">
        <v>51</v>
      </c>
      <c r="D525" s="214" t="s">
        <v>376</v>
      </c>
      <c r="E525" s="216">
        <v>1500</v>
      </c>
      <c r="F525" s="174" t="s">
        <v>376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386</v>
      </c>
      <c r="C526" s="218" t="s">
        <v>51</v>
      </c>
      <c r="D526" s="48" t="s">
        <v>376</v>
      </c>
      <c r="E526" s="215">
        <v>53371.5</v>
      </c>
      <c r="F526" s="51" t="s">
        <v>376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387</v>
      </c>
      <c r="C527" s="218" t="s">
        <v>51</v>
      </c>
      <c r="D527" s="48" t="s">
        <v>376</v>
      </c>
      <c r="E527" s="43">
        <v>897.26</v>
      </c>
      <c r="F527" s="188" t="s">
        <v>376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388</v>
      </c>
      <c r="C528" s="218" t="s">
        <v>51</v>
      </c>
      <c r="D528" s="53" t="s">
        <v>376</v>
      </c>
      <c r="E528" s="43">
        <v>1673.3335</v>
      </c>
      <c r="F528" s="188" t="s">
        <v>376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389</v>
      </c>
      <c r="C529" s="218" t="s">
        <v>51</v>
      </c>
      <c r="D529" s="50" t="s">
        <v>376</v>
      </c>
      <c r="E529" s="45">
        <v>250</v>
      </c>
      <c r="F529" s="51" t="s">
        <v>376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390</v>
      </c>
      <c r="C530" s="218" t="s">
        <v>51</v>
      </c>
      <c r="D530" s="50" t="s">
        <v>376</v>
      </c>
      <c r="E530" s="52">
        <v>898.45</v>
      </c>
      <c r="F530" s="51" t="s">
        <v>376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391</v>
      </c>
      <c r="C531" s="218" t="s">
        <v>51</v>
      </c>
      <c r="D531" s="50" t="s">
        <v>376</v>
      </c>
      <c r="E531" s="52">
        <v>898.45</v>
      </c>
      <c r="F531" s="51" t="s">
        <v>376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392</v>
      </c>
      <c r="C532" s="218" t="s">
        <v>51</v>
      </c>
      <c r="D532" s="213" t="s">
        <v>376</v>
      </c>
      <c r="E532" s="145">
        <v>549.78</v>
      </c>
      <c r="F532" s="51" t="s">
        <v>376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393</v>
      </c>
      <c r="C533" s="218" t="s">
        <v>51</v>
      </c>
      <c r="D533" s="213" t="s">
        <v>376</v>
      </c>
      <c r="E533" s="217">
        <v>357</v>
      </c>
      <c r="F533" s="51" t="s">
        <v>376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394</v>
      </c>
      <c r="C534" s="218" t="s">
        <v>51</v>
      </c>
      <c r="D534" s="213" t="s">
        <v>376</v>
      </c>
      <c r="E534" s="145">
        <v>998.41</v>
      </c>
      <c r="F534" s="51" t="s">
        <v>376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395</v>
      </c>
      <c r="C535" s="218" t="s">
        <v>51</v>
      </c>
      <c r="D535" s="144" t="s">
        <v>376</v>
      </c>
      <c r="E535" s="145">
        <v>898.45</v>
      </c>
      <c r="F535" s="54" t="s">
        <v>376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396</v>
      </c>
      <c r="C536" s="218" t="s">
        <v>51</v>
      </c>
      <c r="D536" s="172" t="s">
        <v>376</v>
      </c>
      <c r="E536" s="173">
        <v>1200</v>
      </c>
      <c r="F536" s="174" t="s">
        <v>376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397</v>
      </c>
      <c r="C537" s="218" t="s">
        <v>51</v>
      </c>
      <c r="D537" s="144" t="s">
        <v>376</v>
      </c>
      <c r="E537" s="141">
        <v>1217</v>
      </c>
      <c r="F537" s="188" t="s">
        <v>376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398</v>
      </c>
      <c r="C538" s="218" t="s">
        <v>51</v>
      </c>
      <c r="D538" s="144" t="s">
        <v>376</v>
      </c>
      <c r="E538" s="145">
        <v>759.22</v>
      </c>
      <c r="F538" s="51" t="s">
        <v>376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98</v>
      </c>
      <c r="B560" s="305">
        <f>SUBTOTAL(3,(B562:B983))</f>
        <v>422</v>
      </c>
      <c r="C560" s="491"/>
      <c r="D560" s="492"/>
      <c r="E560"/>
      <c r="F560" s="189"/>
      <c r="H560"/>
      <c r="I560"/>
    </row>
    <row r="561" spans="1:10" ht="15" customHeight="1">
      <c r="A561" s="73" t="s">
        <v>81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1" t="s">
        <v>399</v>
      </c>
      <c r="C562" s="218" t="s">
        <v>54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400</v>
      </c>
      <c r="C563" s="218" t="s">
        <v>54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401</v>
      </c>
      <c r="C564" s="218" t="s">
        <v>54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402</v>
      </c>
      <c r="C565" s="218" t="s">
        <v>54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403</v>
      </c>
      <c r="C566" s="218" t="s">
        <v>54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404</v>
      </c>
      <c r="C567" s="218" t="s">
        <v>54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405</v>
      </c>
      <c r="C568" s="218" t="s">
        <v>54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406</v>
      </c>
      <c r="C569" s="218" t="s">
        <v>54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407</v>
      </c>
      <c r="C570" s="218" t="s">
        <v>54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408</v>
      </c>
      <c r="C571" s="218" t="s">
        <v>54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409</v>
      </c>
      <c r="C572" s="218" t="s">
        <v>54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410</v>
      </c>
      <c r="C573" s="218" t="s">
        <v>54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411</v>
      </c>
      <c r="C574" s="218" t="s">
        <v>54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412</v>
      </c>
      <c r="C575" s="218" t="s">
        <v>54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413</v>
      </c>
      <c r="C576" s="218" t="s">
        <v>54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414</v>
      </c>
      <c r="C577" s="218" t="s">
        <v>54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415</v>
      </c>
      <c r="C578" s="218" t="s">
        <v>54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416</v>
      </c>
      <c r="C579" s="218" t="s">
        <v>54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417</v>
      </c>
      <c r="C580" s="218" t="s">
        <v>54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418</v>
      </c>
      <c r="C581" s="218" t="s">
        <v>54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419</v>
      </c>
      <c r="C582" s="218" t="s">
        <v>54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420</v>
      </c>
      <c r="C583" s="218" t="s">
        <v>54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421</v>
      </c>
      <c r="C584" s="218" t="s">
        <v>54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422</v>
      </c>
      <c r="C585" s="218" t="s">
        <v>54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423</v>
      </c>
      <c r="C586" s="218" t="s">
        <v>54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424</v>
      </c>
      <c r="C587" s="218" t="s">
        <v>54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425</v>
      </c>
      <c r="C588" s="218" t="s">
        <v>54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426</v>
      </c>
      <c r="C589" s="218" t="s">
        <v>54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427</v>
      </c>
      <c r="C590" s="218" t="s">
        <v>54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428</v>
      </c>
      <c r="C591" s="218" t="s">
        <v>54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429</v>
      </c>
      <c r="C592" s="218" t="s">
        <v>54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430</v>
      </c>
      <c r="C593" s="218" t="s">
        <v>54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431</v>
      </c>
      <c r="C594" s="218" t="s">
        <v>54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432</v>
      </c>
      <c r="C595" s="218" t="s">
        <v>54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433</v>
      </c>
      <c r="C596" s="218" t="s">
        <v>54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434</v>
      </c>
      <c r="C597" s="218" t="s">
        <v>54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435</v>
      </c>
      <c r="C598" s="218" t="s">
        <v>54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436</v>
      </c>
      <c r="C599" s="218" t="s">
        <v>54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437</v>
      </c>
      <c r="C600" s="218" t="s">
        <v>54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438</v>
      </c>
      <c r="C601" s="218" t="s">
        <v>54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439</v>
      </c>
      <c r="C602" s="218" t="s">
        <v>54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440</v>
      </c>
      <c r="C603" s="218" t="s">
        <v>54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441</v>
      </c>
      <c r="C604" s="218" t="s">
        <v>54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442</v>
      </c>
      <c r="C605" s="218" t="s">
        <v>54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443</v>
      </c>
      <c r="C606" s="218" t="s">
        <v>54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444</v>
      </c>
      <c r="C607" s="218" t="s">
        <v>54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445</v>
      </c>
      <c r="C608" s="218" t="s">
        <v>54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446</v>
      </c>
      <c r="C609" s="218" t="s">
        <v>54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447</v>
      </c>
      <c r="C610" s="218" t="s">
        <v>54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448</v>
      </c>
      <c r="C611" s="218" t="s">
        <v>54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449</v>
      </c>
      <c r="C612" s="218" t="s">
        <v>54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450</v>
      </c>
      <c r="C613" s="218" t="s">
        <v>54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451</v>
      </c>
      <c r="C614" s="218" t="s">
        <v>54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452</v>
      </c>
      <c r="C615" s="218" t="s">
        <v>54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453</v>
      </c>
      <c r="C616" s="218" t="s">
        <v>54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454</v>
      </c>
      <c r="C617" s="218" t="s">
        <v>54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455</v>
      </c>
      <c r="C618" s="218" t="s">
        <v>54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456</v>
      </c>
      <c r="C619" s="218" t="s">
        <v>54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457</v>
      </c>
      <c r="C620" s="218" t="s">
        <v>54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458</v>
      </c>
      <c r="C621" s="218" t="s">
        <v>54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459</v>
      </c>
      <c r="C622" s="218" t="s">
        <v>54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460</v>
      </c>
      <c r="C623" s="218" t="s">
        <v>54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461</v>
      </c>
      <c r="C624" s="218" t="s">
        <v>54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462</v>
      </c>
      <c r="C625" s="218" t="s">
        <v>54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463</v>
      </c>
      <c r="C626" s="218" t="s">
        <v>54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464</v>
      </c>
      <c r="C627" s="218" t="s">
        <v>54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465</v>
      </c>
      <c r="C628" s="218" t="s">
        <v>54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466</v>
      </c>
      <c r="C629" s="218" t="s">
        <v>54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467</v>
      </c>
      <c r="C630" s="218" t="s">
        <v>54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468</v>
      </c>
      <c r="C631" s="218" t="s">
        <v>54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469</v>
      </c>
      <c r="C632" s="218" t="s">
        <v>54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470</v>
      </c>
      <c r="C633" s="218" t="s">
        <v>54</v>
      </c>
      <c r="D633" s="48" t="s">
        <v>115</v>
      </c>
      <c r="E633" s="55">
        <v>32000</v>
      </c>
      <c r="F633" s="194" t="s">
        <v>115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471</v>
      </c>
      <c r="C634" s="218" t="s">
        <v>54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472</v>
      </c>
      <c r="C635" s="218" t="s">
        <v>54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473</v>
      </c>
      <c r="C636" s="218" t="s">
        <v>54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474</v>
      </c>
      <c r="C637" s="218" t="s">
        <v>54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475</v>
      </c>
      <c r="C638" s="218" t="s">
        <v>54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476</v>
      </c>
      <c r="C639" s="218" t="s">
        <v>54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477</v>
      </c>
      <c r="C640" s="218" t="s">
        <v>54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478</v>
      </c>
      <c r="C641" s="218" t="s">
        <v>54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479</v>
      </c>
      <c r="C642" s="218" t="s">
        <v>54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480</v>
      </c>
      <c r="C643" s="218" t="s">
        <v>54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481</v>
      </c>
      <c r="C644" s="218" t="s">
        <v>54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482</v>
      </c>
      <c r="C645" s="218" t="s">
        <v>54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483</v>
      </c>
      <c r="C646" s="218" t="s">
        <v>54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484</v>
      </c>
      <c r="C647" s="218" t="s">
        <v>54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485</v>
      </c>
      <c r="C648" s="218" t="s">
        <v>54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486</v>
      </c>
      <c r="C649" s="218" t="s">
        <v>54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487</v>
      </c>
      <c r="C650" s="218" t="s">
        <v>54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488</v>
      </c>
      <c r="C651" s="218" t="s">
        <v>54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489</v>
      </c>
      <c r="C652" s="218" t="s">
        <v>54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490</v>
      </c>
      <c r="C653" s="218" t="s">
        <v>54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491</v>
      </c>
      <c r="C654" s="218" t="s">
        <v>54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492</v>
      </c>
      <c r="C655" s="218" t="s">
        <v>54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493</v>
      </c>
      <c r="C656" s="218" t="s">
        <v>54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494</v>
      </c>
      <c r="C657" s="218" t="s">
        <v>54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495</v>
      </c>
      <c r="C658" s="218" t="s">
        <v>54</v>
      </c>
      <c r="D658" s="48" t="s">
        <v>115</v>
      </c>
      <c r="E658" s="55">
        <v>1173.3399999999999</v>
      </c>
      <c r="F658" s="194" t="s">
        <v>115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496</v>
      </c>
      <c r="C659" s="218" t="s">
        <v>54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497</v>
      </c>
      <c r="C660" s="218" t="s">
        <v>54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498</v>
      </c>
      <c r="C661" s="218" t="s">
        <v>54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499</v>
      </c>
      <c r="C662" s="218" t="s">
        <v>54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500</v>
      </c>
      <c r="C663" s="218" t="s">
        <v>54</v>
      </c>
      <c r="D663" s="48" t="s">
        <v>115</v>
      </c>
      <c r="E663" s="55">
        <v>1173.3399999999999</v>
      </c>
      <c r="F663" s="194" t="s">
        <v>115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501</v>
      </c>
      <c r="C664" s="218" t="s">
        <v>54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502</v>
      </c>
      <c r="C665" s="218" t="s">
        <v>54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503</v>
      </c>
      <c r="C666" s="218" t="s">
        <v>54</v>
      </c>
      <c r="D666" s="48" t="s">
        <v>115</v>
      </c>
      <c r="E666" s="55">
        <v>1173.3399999999999</v>
      </c>
      <c r="F666" s="194" t="s">
        <v>115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504</v>
      </c>
      <c r="C667" s="218" t="s">
        <v>54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505</v>
      </c>
      <c r="C668" s="218" t="s">
        <v>54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506</v>
      </c>
      <c r="C669" s="218" t="s">
        <v>54</v>
      </c>
      <c r="D669" s="48" t="s">
        <v>115</v>
      </c>
      <c r="E669" s="55">
        <v>1018.64</v>
      </c>
      <c r="F669" s="194" t="s">
        <v>115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507</v>
      </c>
      <c r="C670" s="218" t="s">
        <v>54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508</v>
      </c>
      <c r="C671" s="218" t="s">
        <v>54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509</v>
      </c>
      <c r="C672" s="218" t="s">
        <v>54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510</v>
      </c>
      <c r="C673" s="218" t="s">
        <v>54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511</v>
      </c>
      <c r="C674" s="218" t="s">
        <v>54</v>
      </c>
      <c r="D674" s="48" t="s">
        <v>115</v>
      </c>
      <c r="E674" s="55">
        <v>2746.52</v>
      </c>
      <c r="F674" s="194" t="s">
        <v>115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512</v>
      </c>
      <c r="C675" s="218" t="s">
        <v>54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513</v>
      </c>
      <c r="C676" s="218" t="s">
        <v>54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514</v>
      </c>
      <c r="C677" s="218" t="s">
        <v>54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515</v>
      </c>
      <c r="C678" s="218" t="s">
        <v>54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516</v>
      </c>
      <c r="C679" s="218" t="s">
        <v>54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517</v>
      </c>
      <c r="C680" s="218" t="s">
        <v>54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518</v>
      </c>
      <c r="C681" s="218" t="s">
        <v>54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519</v>
      </c>
      <c r="C682" s="218" t="s">
        <v>54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520</v>
      </c>
      <c r="C683" s="218" t="s">
        <v>54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521</v>
      </c>
      <c r="C684" s="218" t="s">
        <v>54</v>
      </c>
      <c r="D684" s="48" t="s">
        <v>115</v>
      </c>
      <c r="E684" s="55">
        <v>2563</v>
      </c>
      <c r="F684" s="188" t="s">
        <v>115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522</v>
      </c>
      <c r="C685" s="218" t="s">
        <v>54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523</v>
      </c>
      <c r="C686" s="218" t="s">
        <v>54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524</v>
      </c>
      <c r="C687" s="218" t="s">
        <v>54</v>
      </c>
      <c r="D687" s="48" t="s">
        <v>115</v>
      </c>
      <c r="E687" s="43">
        <v>2563</v>
      </c>
      <c r="F687" s="188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525</v>
      </c>
      <c r="C688" s="218" t="s">
        <v>54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526</v>
      </c>
      <c r="C689" s="218" t="s">
        <v>54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527</v>
      </c>
      <c r="C690" s="218" t="s">
        <v>54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528</v>
      </c>
      <c r="C691" s="218" t="s">
        <v>54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529</v>
      </c>
      <c r="C692" s="218" t="s">
        <v>54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530</v>
      </c>
      <c r="C693" s="218" t="s">
        <v>54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531</v>
      </c>
      <c r="C694" s="218" t="s">
        <v>54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532</v>
      </c>
      <c r="C695" s="218" t="s">
        <v>54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533</v>
      </c>
      <c r="C696" s="218" t="s">
        <v>54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534</v>
      </c>
      <c r="C697" s="218" t="s">
        <v>54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535</v>
      </c>
      <c r="C698" s="218" t="s">
        <v>54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536</v>
      </c>
      <c r="C699" s="218" t="s">
        <v>54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537</v>
      </c>
      <c r="C700" s="218" t="s">
        <v>54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538</v>
      </c>
      <c r="C701" s="218" t="s">
        <v>54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539</v>
      </c>
      <c r="C702" s="218" t="s">
        <v>54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540</v>
      </c>
      <c r="C703" s="218" t="s">
        <v>54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541</v>
      </c>
      <c r="C704" s="218" t="s">
        <v>54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542</v>
      </c>
      <c r="C705" s="218" t="s">
        <v>54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543</v>
      </c>
      <c r="C706" s="218" t="s">
        <v>54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544</v>
      </c>
      <c r="C707" s="218" t="s">
        <v>54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545</v>
      </c>
      <c r="C708" s="218" t="s">
        <v>54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546</v>
      </c>
      <c r="C709" s="218" t="s">
        <v>54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547</v>
      </c>
      <c r="C710" s="218" t="s">
        <v>54</v>
      </c>
      <c r="D710" s="48" t="s">
        <v>115</v>
      </c>
      <c r="E710" s="55">
        <v>1000</v>
      </c>
      <c r="F710" s="194" t="s">
        <v>115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548</v>
      </c>
      <c r="C711" s="218" t="s">
        <v>54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549</v>
      </c>
      <c r="C712" s="218" t="s">
        <v>54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550</v>
      </c>
      <c r="C713" s="218" t="s">
        <v>54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551</v>
      </c>
      <c r="C714" s="218" t="s">
        <v>54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552</v>
      </c>
      <c r="C715" s="218" t="s">
        <v>54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553</v>
      </c>
      <c r="C716" s="218" t="s">
        <v>54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554</v>
      </c>
      <c r="C717" s="218" t="s">
        <v>54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555</v>
      </c>
      <c r="C718" s="218" t="s">
        <v>54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556</v>
      </c>
      <c r="C719" s="218" t="s">
        <v>54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557</v>
      </c>
      <c r="C720" s="218" t="s">
        <v>54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558</v>
      </c>
      <c r="C721" s="218" t="s">
        <v>54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559</v>
      </c>
      <c r="C722" s="218" t="s">
        <v>54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560</v>
      </c>
      <c r="C723" s="218" t="s">
        <v>54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561</v>
      </c>
      <c r="C724" s="218" t="s">
        <v>54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562</v>
      </c>
      <c r="C725" s="218" t="s">
        <v>54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563</v>
      </c>
      <c r="C726" s="218" t="s">
        <v>54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564</v>
      </c>
      <c r="C727" s="218" t="s">
        <v>54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565</v>
      </c>
      <c r="C728" s="218" t="s">
        <v>54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566</v>
      </c>
      <c r="C729" s="218" t="s">
        <v>54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567</v>
      </c>
      <c r="C730" s="218" t="s">
        <v>54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568</v>
      </c>
      <c r="C731" s="218" t="s">
        <v>54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569</v>
      </c>
      <c r="C732" s="218" t="s">
        <v>54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570</v>
      </c>
      <c r="C733" s="218" t="s">
        <v>54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571</v>
      </c>
      <c r="C734" s="218" t="s">
        <v>54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572</v>
      </c>
      <c r="C735" s="218" t="s">
        <v>54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573</v>
      </c>
      <c r="C736" s="218" t="s">
        <v>54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574</v>
      </c>
      <c r="C737" s="218" t="s">
        <v>54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575</v>
      </c>
      <c r="C738" s="218" t="s">
        <v>54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576</v>
      </c>
      <c r="C739" s="218" t="s">
        <v>54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577</v>
      </c>
      <c r="C740" s="218" t="s">
        <v>54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578</v>
      </c>
      <c r="C741" s="218" t="s">
        <v>54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579</v>
      </c>
      <c r="C742" s="218" t="s">
        <v>54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580</v>
      </c>
      <c r="C743" s="218" t="s">
        <v>54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581</v>
      </c>
      <c r="C744" s="218" t="s">
        <v>54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582</v>
      </c>
      <c r="C745" s="218" t="s">
        <v>54</v>
      </c>
      <c r="D745" s="48" t="s">
        <v>115</v>
      </c>
      <c r="E745" s="43">
        <v>690.75</v>
      </c>
      <c r="F745" s="188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583</v>
      </c>
      <c r="C746" s="218" t="s">
        <v>54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584</v>
      </c>
      <c r="C747" s="218" t="s">
        <v>54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585</v>
      </c>
      <c r="C748" s="218" t="s">
        <v>54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586</v>
      </c>
      <c r="C749" s="218" t="s">
        <v>54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587</v>
      </c>
      <c r="C750" s="218" t="s">
        <v>54</v>
      </c>
      <c r="D750" s="48" t="s">
        <v>115</v>
      </c>
      <c r="E750" s="43">
        <v>690.75</v>
      </c>
      <c r="F750" s="188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588</v>
      </c>
      <c r="C751" s="218" t="s">
        <v>54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589</v>
      </c>
      <c r="C752" s="218" t="s">
        <v>54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590</v>
      </c>
      <c r="C753" s="218" t="s">
        <v>54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591</v>
      </c>
      <c r="C754" s="218" t="s">
        <v>54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592</v>
      </c>
      <c r="C755" s="218" t="s">
        <v>54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593</v>
      </c>
      <c r="C756" s="218" t="s">
        <v>54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594</v>
      </c>
      <c r="C757" s="218" t="s">
        <v>54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595</v>
      </c>
      <c r="C758" s="218" t="s">
        <v>54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596</v>
      </c>
      <c r="C759" s="218" t="s">
        <v>54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597</v>
      </c>
      <c r="C760" s="218" t="s">
        <v>54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598</v>
      </c>
      <c r="C761" s="218" t="s">
        <v>54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599</v>
      </c>
      <c r="C762" s="218" t="s">
        <v>54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600</v>
      </c>
      <c r="C763" s="218" t="s">
        <v>54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601</v>
      </c>
      <c r="C764" s="218" t="s">
        <v>54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602</v>
      </c>
      <c r="C765" s="218" t="s">
        <v>54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603</v>
      </c>
      <c r="C766" s="218" t="s">
        <v>54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604</v>
      </c>
      <c r="C767" s="218" t="s">
        <v>54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605</v>
      </c>
      <c r="C768" s="218" t="s">
        <v>54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606</v>
      </c>
      <c r="C769" s="218" t="s">
        <v>54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607</v>
      </c>
      <c r="C770" s="218" t="s">
        <v>54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608</v>
      </c>
      <c r="C771" s="218" t="s">
        <v>54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609</v>
      </c>
      <c r="C772" s="218" t="s">
        <v>54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610</v>
      </c>
      <c r="C773" s="218" t="s">
        <v>54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611</v>
      </c>
      <c r="C774" s="218" t="s">
        <v>54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612</v>
      </c>
      <c r="C775" s="218" t="s">
        <v>54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613</v>
      </c>
      <c r="C776" s="218" t="s">
        <v>54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614</v>
      </c>
      <c r="C777" s="218" t="s">
        <v>54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615</v>
      </c>
      <c r="C778" s="218" t="s">
        <v>54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616</v>
      </c>
      <c r="C779" s="218" t="s">
        <v>54</v>
      </c>
      <c r="D779" s="48" t="s">
        <v>115</v>
      </c>
      <c r="E779" s="55">
        <v>690.75</v>
      </c>
      <c r="F779" s="194" t="s">
        <v>115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617</v>
      </c>
      <c r="C780" s="218" t="s">
        <v>54</v>
      </c>
      <c r="D780" s="48" t="s">
        <v>115</v>
      </c>
      <c r="E780" s="56">
        <v>1505.04</v>
      </c>
      <c r="F780" s="188" t="s">
        <v>115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618</v>
      </c>
      <c r="C781" s="218" t="s">
        <v>54</v>
      </c>
      <c r="D781" s="48" t="s">
        <v>115</v>
      </c>
      <c r="E781" s="56">
        <v>3628.57</v>
      </c>
      <c r="F781" s="188" t="s">
        <v>115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619</v>
      </c>
      <c r="C782" s="218" t="s">
        <v>54</v>
      </c>
      <c r="D782" s="48" t="s">
        <v>115</v>
      </c>
      <c r="E782" s="56">
        <v>1505.04</v>
      </c>
      <c r="F782" s="188" t="s">
        <v>115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620</v>
      </c>
      <c r="C783" s="218" t="s">
        <v>54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621</v>
      </c>
      <c r="C784" s="218" t="s">
        <v>54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622</v>
      </c>
      <c r="C785" s="218" t="s">
        <v>54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623</v>
      </c>
      <c r="C786" s="218" t="s">
        <v>54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624</v>
      </c>
      <c r="C787" s="218" t="s">
        <v>54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625</v>
      </c>
      <c r="C788" s="218" t="s">
        <v>54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626</v>
      </c>
      <c r="C789" s="218" t="s">
        <v>54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627</v>
      </c>
      <c r="C790" s="218" t="s">
        <v>54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628</v>
      </c>
      <c r="C791" s="218" t="s">
        <v>54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629</v>
      </c>
      <c r="C792" s="218" t="s">
        <v>54</v>
      </c>
      <c r="D792" s="48" t="s">
        <v>115</v>
      </c>
      <c r="E792" s="43">
        <v>1266.6666666666667</v>
      </c>
      <c r="F792" s="188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630</v>
      </c>
      <c r="C793" s="218" t="s">
        <v>54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631</v>
      </c>
      <c r="C794" s="218" t="s">
        <v>54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632</v>
      </c>
      <c r="C795" s="218" t="s">
        <v>54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633</v>
      </c>
      <c r="C796" s="218" t="s">
        <v>54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634</v>
      </c>
      <c r="C797" s="218" t="s">
        <v>54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635</v>
      </c>
      <c r="C798" s="218" t="s">
        <v>54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636</v>
      </c>
      <c r="C799" s="218" t="s">
        <v>54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637</v>
      </c>
      <c r="C800" s="218" t="s">
        <v>54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638</v>
      </c>
      <c r="C801" s="218" t="s">
        <v>54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639</v>
      </c>
      <c r="C802" s="218" t="s">
        <v>54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640</v>
      </c>
      <c r="C803" s="218" t="s">
        <v>54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641</v>
      </c>
      <c r="C804" s="218" t="s">
        <v>54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642</v>
      </c>
      <c r="C805" s="218" t="s">
        <v>54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643</v>
      </c>
      <c r="C806" s="218" t="s">
        <v>54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644</v>
      </c>
      <c r="C807" s="218" t="s">
        <v>54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645</v>
      </c>
      <c r="C808" s="218" t="s">
        <v>54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646</v>
      </c>
      <c r="C809" s="218" t="s">
        <v>54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647</v>
      </c>
      <c r="C810" s="218" t="s">
        <v>54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648</v>
      </c>
      <c r="C811" s="218" t="s">
        <v>54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649</v>
      </c>
      <c r="C812" s="218" t="s">
        <v>54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650</v>
      </c>
      <c r="C813" s="218" t="s">
        <v>54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651</v>
      </c>
      <c r="C814" s="218" t="s">
        <v>54</v>
      </c>
      <c r="D814" s="48" t="s">
        <v>115</v>
      </c>
      <c r="E814" s="43">
        <v>3356</v>
      </c>
      <c r="F814" s="188" t="s">
        <v>115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652</v>
      </c>
      <c r="C815" s="218" t="s">
        <v>54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653</v>
      </c>
      <c r="C816" s="218" t="s">
        <v>54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654</v>
      </c>
      <c r="C817" s="218" t="s">
        <v>54</v>
      </c>
      <c r="D817" s="48" t="s">
        <v>115</v>
      </c>
      <c r="E817" s="55">
        <v>23075</v>
      </c>
      <c r="F817" s="194" t="s">
        <v>115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655</v>
      </c>
      <c r="C818" s="218" t="s">
        <v>54</v>
      </c>
      <c r="D818" s="48" t="s">
        <v>115</v>
      </c>
      <c r="E818" s="55">
        <v>23075.289999999997</v>
      </c>
      <c r="F818" s="188" t="s">
        <v>115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656</v>
      </c>
      <c r="C819" s="218" t="s">
        <v>54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657</v>
      </c>
      <c r="C820" s="218" t="s">
        <v>54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658</v>
      </c>
      <c r="C821" s="218" t="s">
        <v>54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659</v>
      </c>
      <c r="C822" s="218" t="s">
        <v>54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660</v>
      </c>
      <c r="C823" s="218" t="s">
        <v>54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661</v>
      </c>
      <c r="C824" s="218" t="s">
        <v>54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662</v>
      </c>
      <c r="C825" s="218" t="s">
        <v>54</v>
      </c>
      <c r="D825" s="48" t="s">
        <v>115</v>
      </c>
      <c r="E825" s="55">
        <v>3356</v>
      </c>
      <c r="F825" s="194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663</v>
      </c>
      <c r="C826" s="218" t="s">
        <v>54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664</v>
      </c>
      <c r="C827" s="218" t="s">
        <v>54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665</v>
      </c>
      <c r="C828" s="218" t="s">
        <v>54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666</v>
      </c>
      <c r="C829" s="218" t="s">
        <v>54</v>
      </c>
      <c r="D829" s="48" t="s">
        <v>115</v>
      </c>
      <c r="E829" s="55">
        <v>198</v>
      </c>
      <c r="F829" s="194" t="s">
        <v>115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667</v>
      </c>
      <c r="C830" s="218" t="s">
        <v>54</v>
      </c>
      <c r="D830" s="48" t="s">
        <v>115</v>
      </c>
      <c r="E830" s="55">
        <v>3356</v>
      </c>
      <c r="F830" s="194" t="s">
        <v>115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668</v>
      </c>
      <c r="C831" s="218" t="s">
        <v>54</v>
      </c>
      <c r="D831" s="48" t="s">
        <v>115</v>
      </c>
      <c r="E831" s="55">
        <v>198</v>
      </c>
      <c r="F831" s="194" t="s">
        <v>115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669</v>
      </c>
      <c r="C832" s="218" t="s">
        <v>54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670</v>
      </c>
      <c r="C833" s="218" t="s">
        <v>54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671</v>
      </c>
      <c r="C834" s="218" t="s">
        <v>54</v>
      </c>
      <c r="D834" s="48" t="s">
        <v>115</v>
      </c>
      <c r="E834" s="43">
        <v>198</v>
      </c>
      <c r="F834" s="188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672</v>
      </c>
      <c r="C835" s="218" t="s">
        <v>54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673</v>
      </c>
      <c r="C836" s="218" t="s">
        <v>54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674</v>
      </c>
      <c r="C837" s="218" t="s">
        <v>54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675</v>
      </c>
      <c r="C838" s="218" t="s">
        <v>54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676</v>
      </c>
      <c r="C839" s="218" t="s">
        <v>54</v>
      </c>
      <c r="D839" s="48" t="s">
        <v>115</v>
      </c>
      <c r="E839" s="55">
        <v>3356</v>
      </c>
      <c r="F839" s="194" t="s">
        <v>115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677</v>
      </c>
      <c r="C840" s="218" t="s">
        <v>54</v>
      </c>
      <c r="D840" s="48" t="s">
        <v>115</v>
      </c>
      <c r="E840" s="55">
        <v>1100</v>
      </c>
      <c r="F840" s="194" t="s">
        <v>115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678</v>
      </c>
      <c r="C841" s="218" t="s">
        <v>54</v>
      </c>
      <c r="D841" s="48" t="s">
        <v>115</v>
      </c>
      <c r="E841" s="55">
        <v>1350</v>
      </c>
      <c r="F841" s="194" t="s">
        <v>115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679</v>
      </c>
      <c r="C842" s="218" t="s">
        <v>54</v>
      </c>
      <c r="D842" s="48" t="s">
        <v>115</v>
      </c>
      <c r="E842" s="55">
        <v>925</v>
      </c>
      <c r="F842" s="194" t="s">
        <v>115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680</v>
      </c>
      <c r="C843" s="218" t="s">
        <v>54</v>
      </c>
      <c r="D843" s="48" t="s">
        <v>115</v>
      </c>
      <c r="E843" s="43">
        <v>3373</v>
      </c>
      <c r="F843" s="188" t="s">
        <v>115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681</v>
      </c>
      <c r="C844" s="218" t="s">
        <v>54</v>
      </c>
      <c r="D844" s="48" t="s">
        <v>115</v>
      </c>
      <c r="E844" s="56">
        <v>1275.68</v>
      </c>
      <c r="F844" s="188" t="s">
        <v>115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682</v>
      </c>
      <c r="C845" s="218" t="s">
        <v>54</v>
      </c>
      <c r="D845" s="48" t="s">
        <v>115</v>
      </c>
      <c r="E845" s="55">
        <v>3373</v>
      </c>
      <c r="F845" s="194" t="s">
        <v>115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683</v>
      </c>
      <c r="C846" s="218" t="s">
        <v>54</v>
      </c>
      <c r="D846" s="48" t="s">
        <v>115</v>
      </c>
      <c r="E846" s="56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684</v>
      </c>
      <c r="C847" s="218" t="s">
        <v>54</v>
      </c>
      <c r="D847" s="48" t="s">
        <v>115</v>
      </c>
      <c r="E847" s="43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685</v>
      </c>
      <c r="C848" s="218" t="s">
        <v>54</v>
      </c>
      <c r="D848" s="48" t="s">
        <v>115</v>
      </c>
      <c r="E848" s="55">
        <v>2746.52</v>
      </c>
      <c r="F848" s="194" t="s">
        <v>115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686</v>
      </c>
      <c r="C849" s="218" t="s">
        <v>54</v>
      </c>
      <c r="D849" s="48" t="s">
        <v>115</v>
      </c>
      <c r="E849" s="43">
        <v>1275.68</v>
      </c>
      <c r="F849" s="188" t="s">
        <v>115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687</v>
      </c>
      <c r="C850" s="218" t="s">
        <v>54</v>
      </c>
      <c r="D850" s="48" t="s">
        <v>115</v>
      </c>
      <c r="E850" s="43">
        <v>1225.7</v>
      </c>
      <c r="F850" s="188" t="s">
        <v>115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688</v>
      </c>
      <c r="C851" s="218" t="s">
        <v>54</v>
      </c>
      <c r="D851" s="48" t="s">
        <v>115</v>
      </c>
      <c r="E851" s="43">
        <v>3881.78</v>
      </c>
      <c r="F851" s="188" t="s">
        <v>115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689</v>
      </c>
      <c r="C852" s="218" t="s">
        <v>54</v>
      </c>
      <c r="D852" s="48" t="s">
        <v>115</v>
      </c>
      <c r="E852" s="43">
        <v>1275.68</v>
      </c>
      <c r="F852" s="188" t="s">
        <v>115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690</v>
      </c>
      <c r="C853" s="218" t="s">
        <v>54</v>
      </c>
      <c r="D853" s="48" t="s">
        <v>115</v>
      </c>
      <c r="E853" s="43">
        <v>3881.78</v>
      </c>
      <c r="F853" s="188" t="s">
        <v>115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691</v>
      </c>
      <c r="C854" s="218" t="s">
        <v>54</v>
      </c>
      <c r="D854" s="48" t="s">
        <v>115</v>
      </c>
      <c r="E854" s="55">
        <v>1225.7</v>
      </c>
      <c r="F854" s="194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692</v>
      </c>
      <c r="C855" s="218" t="s">
        <v>54</v>
      </c>
      <c r="D855" s="48" t="s">
        <v>115</v>
      </c>
      <c r="E855" s="43">
        <v>1225.7</v>
      </c>
      <c r="F855" s="188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693</v>
      </c>
      <c r="C856" s="218" t="s">
        <v>54</v>
      </c>
      <c r="D856" s="48" t="s">
        <v>115</v>
      </c>
      <c r="E856" s="43">
        <v>2400</v>
      </c>
      <c r="F856" s="188" t="s">
        <v>115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694</v>
      </c>
      <c r="C857" s="218" t="s">
        <v>54</v>
      </c>
      <c r="D857" s="48" t="s">
        <v>115</v>
      </c>
      <c r="E857" s="43">
        <v>1275.68</v>
      </c>
      <c r="F857" s="188" t="s">
        <v>115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695</v>
      </c>
      <c r="C858" s="218" t="s">
        <v>54</v>
      </c>
      <c r="D858" s="48" t="s">
        <v>115</v>
      </c>
      <c r="E858" s="43">
        <v>1225.7</v>
      </c>
      <c r="F858" s="188" t="s">
        <v>115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696</v>
      </c>
      <c r="C859" s="218" t="s">
        <v>54</v>
      </c>
      <c r="D859" s="48" t="s">
        <v>115</v>
      </c>
      <c r="E859" s="43">
        <v>1275.68</v>
      </c>
      <c r="F859" s="188" t="s">
        <v>115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697</v>
      </c>
      <c r="C860" s="218" t="s">
        <v>54</v>
      </c>
      <c r="D860" s="48" t="s">
        <v>115</v>
      </c>
      <c r="E860" s="43">
        <v>2400</v>
      </c>
      <c r="F860" s="188" t="s">
        <v>115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698</v>
      </c>
      <c r="C861" s="218" t="s">
        <v>54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699</v>
      </c>
      <c r="C862" s="218" t="s">
        <v>54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700</v>
      </c>
      <c r="C863" s="218" t="s">
        <v>54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701</v>
      </c>
      <c r="C864" s="218" t="s">
        <v>54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702</v>
      </c>
      <c r="C865" s="218" t="s">
        <v>54</v>
      </c>
      <c r="D865" s="48" t="s">
        <v>115</v>
      </c>
      <c r="E865" s="43">
        <v>131.97</v>
      </c>
      <c r="F865" s="188" t="s">
        <v>115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703</v>
      </c>
      <c r="C866" s="218" t="s">
        <v>54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704</v>
      </c>
      <c r="C867" s="218" t="s">
        <v>54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705</v>
      </c>
      <c r="C868" s="218" t="s">
        <v>54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706</v>
      </c>
      <c r="C869" s="218" t="s">
        <v>54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707</v>
      </c>
      <c r="C870" s="218" t="s">
        <v>54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708</v>
      </c>
      <c r="C871" s="218" t="s">
        <v>54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709</v>
      </c>
      <c r="C872" s="218" t="s">
        <v>54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710</v>
      </c>
      <c r="C873" s="218" t="s">
        <v>54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711</v>
      </c>
      <c r="C874" s="218" t="s">
        <v>54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712</v>
      </c>
      <c r="C875" s="218" t="s">
        <v>54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713</v>
      </c>
      <c r="C876" s="218" t="s">
        <v>54</v>
      </c>
      <c r="D876" s="48" t="s">
        <v>115</v>
      </c>
      <c r="E876" s="43">
        <v>249.9</v>
      </c>
      <c r="F876" s="188" t="s">
        <v>115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714</v>
      </c>
      <c r="C877" s="218" t="s">
        <v>54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715</v>
      </c>
      <c r="C878" s="218" t="s">
        <v>54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716</v>
      </c>
      <c r="C879" s="218" t="s">
        <v>54</v>
      </c>
      <c r="D879" s="48" t="s">
        <v>115</v>
      </c>
      <c r="E879" s="55">
        <v>131.97</v>
      </c>
      <c r="F879" s="194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717</v>
      </c>
      <c r="C880" s="218" t="s">
        <v>54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718</v>
      </c>
      <c r="C881" s="218" t="s">
        <v>54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719</v>
      </c>
      <c r="C882" s="218" t="s">
        <v>54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720</v>
      </c>
      <c r="C883" s="218" t="s">
        <v>54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721</v>
      </c>
      <c r="C884" s="218" t="s">
        <v>54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722</v>
      </c>
      <c r="C885" s="218" t="s">
        <v>54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723</v>
      </c>
      <c r="C886" s="218" t="s">
        <v>54</v>
      </c>
      <c r="D886" s="48" t="s">
        <v>115</v>
      </c>
      <c r="E886" s="43">
        <v>131.97</v>
      </c>
      <c r="F886" s="194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724</v>
      </c>
      <c r="C887" s="218" t="s">
        <v>54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725</v>
      </c>
      <c r="C888" s="218" t="s">
        <v>54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726</v>
      </c>
      <c r="C889" s="218" t="s">
        <v>54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727</v>
      </c>
      <c r="C890" s="218" t="s">
        <v>54</v>
      </c>
      <c r="D890" s="48" t="s">
        <v>115</v>
      </c>
      <c r="E890" s="55">
        <v>131.97</v>
      </c>
      <c r="F890" s="194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728</v>
      </c>
      <c r="C891" s="218" t="s">
        <v>54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729</v>
      </c>
      <c r="C892" s="218" t="s">
        <v>54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730</v>
      </c>
      <c r="C893" s="218" t="s">
        <v>54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731</v>
      </c>
      <c r="C894" s="218" t="s">
        <v>54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732</v>
      </c>
      <c r="C895" s="218" t="s">
        <v>54</v>
      </c>
      <c r="D895" s="48" t="s">
        <v>115</v>
      </c>
      <c r="E895" s="55">
        <v>131.97</v>
      </c>
      <c r="F895" s="194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733</v>
      </c>
      <c r="C896" s="218" t="s">
        <v>54</v>
      </c>
      <c r="D896" s="48" t="s">
        <v>115</v>
      </c>
      <c r="E896" s="55">
        <v>6957.9299999999994</v>
      </c>
      <c r="F896" s="194" t="s">
        <v>115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734</v>
      </c>
      <c r="C897" s="218" t="s">
        <v>54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735</v>
      </c>
      <c r="C898" s="218" t="s">
        <v>54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736</v>
      </c>
      <c r="C899" s="218" t="s">
        <v>54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737</v>
      </c>
      <c r="C900" s="218" t="s">
        <v>54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738</v>
      </c>
      <c r="C901" s="218" t="s">
        <v>54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739</v>
      </c>
      <c r="C902" s="218" t="s">
        <v>54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740</v>
      </c>
      <c r="C903" s="218" t="s">
        <v>54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741</v>
      </c>
      <c r="C904" s="218" t="s">
        <v>54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742</v>
      </c>
      <c r="C905" s="218" t="s">
        <v>54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743</v>
      </c>
      <c r="C906" s="218" t="s">
        <v>54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744</v>
      </c>
      <c r="C907" s="218" t="s">
        <v>54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745</v>
      </c>
      <c r="C908" s="218" t="s">
        <v>54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746</v>
      </c>
      <c r="C909" s="218" t="s">
        <v>54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747</v>
      </c>
      <c r="C910" s="218" t="s">
        <v>54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748</v>
      </c>
      <c r="C911" s="218" t="s">
        <v>54</v>
      </c>
      <c r="D911" s="48" t="s">
        <v>115</v>
      </c>
      <c r="E911" s="55">
        <v>1</v>
      </c>
      <c r="F911" s="194" t="s">
        <v>115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749</v>
      </c>
      <c r="C912" s="218" t="s">
        <v>54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750</v>
      </c>
      <c r="C913" s="218" t="s">
        <v>54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751</v>
      </c>
      <c r="C914" s="218" t="s">
        <v>54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752</v>
      </c>
      <c r="C915" s="218" t="s">
        <v>54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753</v>
      </c>
      <c r="C916" s="218" t="s">
        <v>54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754</v>
      </c>
      <c r="C917" s="218" t="s">
        <v>54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755</v>
      </c>
      <c r="C918" s="218" t="s">
        <v>54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756</v>
      </c>
      <c r="C919" s="218" t="s">
        <v>54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757</v>
      </c>
      <c r="C920" s="218" t="s">
        <v>54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758</v>
      </c>
      <c r="C921" s="218" t="s">
        <v>54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759</v>
      </c>
      <c r="C922" s="218" t="s">
        <v>54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760</v>
      </c>
      <c r="C923" s="218" t="s">
        <v>54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761</v>
      </c>
      <c r="C924" s="218" t="s">
        <v>54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762</v>
      </c>
      <c r="C925" s="218" t="s">
        <v>54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763</v>
      </c>
      <c r="C926" s="218" t="s">
        <v>54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764</v>
      </c>
      <c r="C927" s="218" t="s">
        <v>54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765</v>
      </c>
      <c r="C928" s="218" t="s">
        <v>54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766</v>
      </c>
      <c r="C929" s="218" t="s">
        <v>54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767</v>
      </c>
      <c r="C930" s="218" t="s">
        <v>54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768</v>
      </c>
      <c r="C931" s="218" t="s">
        <v>54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769</v>
      </c>
      <c r="C932" s="218" t="s">
        <v>54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770</v>
      </c>
      <c r="C933" s="218" t="s">
        <v>54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771</v>
      </c>
      <c r="C934" s="218" t="s">
        <v>54</v>
      </c>
      <c r="D934" s="48" t="s">
        <v>115</v>
      </c>
      <c r="E934" s="55">
        <v>1800</v>
      </c>
      <c r="F934" s="194" t="s">
        <v>115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772</v>
      </c>
      <c r="C935" s="218" t="s">
        <v>54</v>
      </c>
      <c r="D935" s="48" t="s">
        <v>115</v>
      </c>
      <c r="E935" s="55">
        <v>546</v>
      </c>
      <c r="F935" s="194" t="s">
        <v>115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773</v>
      </c>
      <c r="C936" s="218" t="s">
        <v>54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774</v>
      </c>
      <c r="C937" s="218" t="s">
        <v>54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775</v>
      </c>
      <c r="C938" s="218" t="s">
        <v>54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776</v>
      </c>
      <c r="C939" s="218" t="s">
        <v>54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777</v>
      </c>
      <c r="C940" s="218" t="s">
        <v>54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778</v>
      </c>
      <c r="C941" s="218" t="s">
        <v>54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779</v>
      </c>
      <c r="C942" s="218" t="s">
        <v>54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780</v>
      </c>
      <c r="C943" s="218" t="s">
        <v>54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781</v>
      </c>
      <c r="C944" s="218" t="s">
        <v>54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782</v>
      </c>
      <c r="C945" s="218" t="s">
        <v>54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783</v>
      </c>
      <c r="C946" s="218" t="s">
        <v>54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784</v>
      </c>
      <c r="C947" s="218" t="s">
        <v>54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785</v>
      </c>
      <c r="C948" s="218" t="s">
        <v>54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786</v>
      </c>
      <c r="C949" s="218" t="s">
        <v>54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787</v>
      </c>
      <c r="C950" s="218" t="s">
        <v>54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788</v>
      </c>
      <c r="C951" s="218" t="s">
        <v>54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789</v>
      </c>
      <c r="C952" s="218" t="s">
        <v>54</v>
      </c>
      <c r="D952" s="48" t="s">
        <v>115</v>
      </c>
      <c r="E952" s="55">
        <v>952</v>
      </c>
      <c r="F952" s="194" t="s">
        <v>115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790</v>
      </c>
      <c r="C953" s="218" t="s">
        <v>54</v>
      </c>
      <c r="D953" s="48" t="s">
        <v>115</v>
      </c>
      <c r="E953" s="55">
        <v>925</v>
      </c>
      <c r="F953" s="194" t="s">
        <v>115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791</v>
      </c>
      <c r="C954" s="218" t="s">
        <v>54</v>
      </c>
      <c r="D954" s="48" t="s">
        <v>115</v>
      </c>
      <c r="E954" s="55">
        <v>1100</v>
      </c>
      <c r="F954" s="194" t="s">
        <v>115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792</v>
      </c>
      <c r="C955" s="218" t="s">
        <v>54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793</v>
      </c>
      <c r="C956" s="218" t="s">
        <v>54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794</v>
      </c>
      <c r="C957" s="218" t="s">
        <v>54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795</v>
      </c>
      <c r="C958" s="218" t="s">
        <v>54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796</v>
      </c>
      <c r="C959" s="218" t="s">
        <v>54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797</v>
      </c>
      <c r="C960" s="218" t="s">
        <v>54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798</v>
      </c>
      <c r="C961" s="218" t="s">
        <v>54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799</v>
      </c>
      <c r="C962" s="218" t="s">
        <v>54</v>
      </c>
      <c r="D962" s="48" t="s">
        <v>115</v>
      </c>
      <c r="E962" s="55">
        <v>3111.85</v>
      </c>
      <c r="F962" s="194" t="s">
        <v>115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800</v>
      </c>
      <c r="C963" s="218" t="s">
        <v>54</v>
      </c>
      <c r="D963" s="48" t="s">
        <v>115</v>
      </c>
      <c r="E963" s="43">
        <v>1550</v>
      </c>
      <c r="F963" s="188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801</v>
      </c>
      <c r="C964" s="218" t="s">
        <v>54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802</v>
      </c>
      <c r="C965" s="218" t="s">
        <v>54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803</v>
      </c>
      <c r="C966" s="218" t="s">
        <v>54</v>
      </c>
      <c r="D966" s="48" t="s">
        <v>115</v>
      </c>
      <c r="E966" s="43">
        <v>1550</v>
      </c>
      <c r="F966" s="188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804</v>
      </c>
      <c r="C967" s="218" t="s">
        <v>54</v>
      </c>
      <c r="D967" s="48" t="s">
        <v>115</v>
      </c>
      <c r="E967" s="55">
        <v>1550</v>
      </c>
      <c r="F967" s="194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805</v>
      </c>
      <c r="C968" s="218" t="s">
        <v>54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806</v>
      </c>
      <c r="C969" s="218" t="s">
        <v>54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807</v>
      </c>
      <c r="C970" s="218" t="s">
        <v>54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808</v>
      </c>
      <c r="C971" s="218" t="s">
        <v>54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809</v>
      </c>
      <c r="C972" s="218" t="s">
        <v>54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810</v>
      </c>
      <c r="C973" s="218" t="s">
        <v>54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811</v>
      </c>
      <c r="C974" s="218" t="s">
        <v>54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812</v>
      </c>
      <c r="C975" s="218" t="s">
        <v>54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813</v>
      </c>
      <c r="C976" s="218" t="s">
        <v>54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814</v>
      </c>
      <c r="C977" s="218" t="s">
        <v>54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815</v>
      </c>
      <c r="C978" s="218" t="s">
        <v>54</v>
      </c>
      <c r="D978" s="48" t="s">
        <v>115</v>
      </c>
      <c r="E978" s="55">
        <v>998.41</v>
      </c>
      <c r="F978" s="194" t="s">
        <v>115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816</v>
      </c>
      <c r="C979" s="218" t="s">
        <v>54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817</v>
      </c>
      <c r="C980" s="218" t="s">
        <v>54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818</v>
      </c>
      <c r="C981" s="218" t="s">
        <v>54</v>
      </c>
      <c r="D981" s="48" t="s">
        <v>115</v>
      </c>
      <c r="E981" s="55">
        <v>1173.3399999999999</v>
      </c>
      <c r="F981" s="194" t="s">
        <v>115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819</v>
      </c>
      <c r="C982" s="218" t="s">
        <v>54</v>
      </c>
      <c r="D982" s="48" t="s">
        <v>115</v>
      </c>
      <c r="E982" s="55">
        <v>3844</v>
      </c>
      <c r="F982" s="194" t="s">
        <v>115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820</v>
      </c>
      <c r="C983" s="218" t="s">
        <v>54</v>
      </c>
      <c r="D983" s="48" t="s">
        <v>115</v>
      </c>
      <c r="E983" s="55">
        <v>1200</v>
      </c>
      <c r="F983" s="194" t="s">
        <v>115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98</v>
      </c>
      <c r="B1009" s="249">
        <f>SUBTOTAL(3,(B1011:B1043))</f>
        <v>33</v>
      </c>
      <c r="C1009" s="490"/>
      <c r="D1009" s="490"/>
      <c r="E1009"/>
      <c r="F1009" s="189"/>
      <c r="H1009"/>
      <c r="I1009"/>
    </row>
    <row r="1010" spans="1:10" ht="47.25">
      <c r="A1010" s="118" t="s">
        <v>81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821</v>
      </c>
      <c r="C1011" s="160" t="s">
        <v>31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822</v>
      </c>
      <c r="C1012" s="160" t="s">
        <v>31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823</v>
      </c>
      <c r="C1013" s="160" t="s">
        <v>31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824</v>
      </c>
      <c r="C1014" s="160" t="s">
        <v>31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825</v>
      </c>
      <c r="C1015" s="160" t="s">
        <v>31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32</v>
      </c>
      <c r="C1016" s="160" t="s">
        <v>31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826</v>
      </c>
      <c r="C1017" s="160" t="s">
        <v>31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827</v>
      </c>
      <c r="C1018" s="160" t="s">
        <v>31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828</v>
      </c>
      <c r="C1019" s="160" t="s">
        <v>31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829</v>
      </c>
      <c r="C1020" s="160" t="s">
        <v>31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830</v>
      </c>
      <c r="C1021" s="160" t="s">
        <v>31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831</v>
      </c>
      <c r="C1022" s="160" t="s">
        <v>31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832</v>
      </c>
      <c r="C1023" s="160" t="s">
        <v>31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833</v>
      </c>
      <c r="C1024" s="160" t="s">
        <v>31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834</v>
      </c>
      <c r="C1025" s="160" t="s">
        <v>31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835</v>
      </c>
      <c r="C1026" s="160" t="s">
        <v>31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836</v>
      </c>
      <c r="C1027" s="160" t="s">
        <v>31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837</v>
      </c>
      <c r="C1028" s="160" t="s">
        <v>31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838</v>
      </c>
      <c r="C1029" s="160" t="s">
        <v>31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839</v>
      </c>
      <c r="C1030" s="160" t="s">
        <v>31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840</v>
      </c>
      <c r="C1031" s="160" t="s">
        <v>31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841</v>
      </c>
      <c r="C1032" s="160" t="s">
        <v>31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842</v>
      </c>
      <c r="C1033" s="160" t="s">
        <v>31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33</v>
      </c>
      <c r="C1034" s="160" t="s">
        <v>31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843</v>
      </c>
      <c r="C1035" s="160" t="s">
        <v>31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844</v>
      </c>
      <c r="C1036" s="160" t="s">
        <v>31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845</v>
      </c>
      <c r="C1037" s="160" t="s">
        <v>31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846</v>
      </c>
      <c r="C1038" s="160" t="s">
        <v>31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847</v>
      </c>
      <c r="C1039" s="160" t="s">
        <v>31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848</v>
      </c>
      <c r="C1040" s="160" t="s">
        <v>31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849</v>
      </c>
      <c r="C1041" s="160" t="s">
        <v>31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850</v>
      </c>
      <c r="C1042" s="160" t="s">
        <v>31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851</v>
      </c>
      <c r="C1043" s="160" t="s">
        <v>31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93"/>
      <c r="D1064" s="492"/>
      <c r="E1064"/>
      <c r="F1064" s="189"/>
      <c r="H1064"/>
      <c r="I1064"/>
    </row>
    <row r="1065" spans="1:10" ht="21.75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81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30">
      <c r="A1067" s="83">
        <v>1</v>
      </c>
      <c r="B1067" s="206" t="s">
        <v>852</v>
      </c>
      <c r="C1067" s="218" t="s">
        <v>64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853</v>
      </c>
      <c r="C1068" s="218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854</v>
      </c>
      <c r="C1069" s="218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855</v>
      </c>
      <c r="C1070" s="218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856</v>
      </c>
      <c r="C1071" s="218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857</v>
      </c>
      <c r="C1072" s="218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858</v>
      </c>
      <c r="C1073" s="218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90"/>
      <c r="D1105" s="490"/>
      <c r="E1105"/>
      <c r="F1105" s="189"/>
      <c r="H1105"/>
      <c r="I1105"/>
    </row>
    <row r="1106" spans="1:10" ht="47.25">
      <c r="A1106" s="81" t="s">
        <v>81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30">
      <c r="A1107" s="83">
        <v>1</v>
      </c>
      <c r="B1107" s="206" t="s">
        <v>859</v>
      </c>
      <c r="C1107" s="37" t="s">
        <v>860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861</v>
      </c>
      <c r="C1108" s="37" t="s">
        <v>860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862</v>
      </c>
      <c r="C1109" s="37" t="s">
        <v>860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863</v>
      </c>
      <c r="C1110" s="37" t="s">
        <v>860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864</v>
      </c>
      <c r="C1111" s="37" t="s">
        <v>860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865</v>
      </c>
      <c r="C1112" s="37" t="s">
        <v>860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866</v>
      </c>
      <c r="C1113" s="37" t="s">
        <v>860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867</v>
      </c>
      <c r="C1114" s="37" t="s">
        <v>860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868</v>
      </c>
      <c r="C1115" s="37" t="s">
        <v>860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869</v>
      </c>
      <c r="C1116" s="37" t="s">
        <v>860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870</v>
      </c>
      <c r="C1117" s="37" t="s">
        <v>860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871</v>
      </c>
      <c r="C1118" s="37" t="s">
        <v>860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872</v>
      </c>
      <c r="C1119" s="37" t="s">
        <v>860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873</v>
      </c>
      <c r="C1120" s="37" t="s">
        <v>860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874</v>
      </c>
      <c r="C1121" s="37" t="s">
        <v>860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875</v>
      </c>
      <c r="C1122" s="37" t="s">
        <v>860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876</v>
      </c>
      <c r="C1123" s="37" t="s">
        <v>860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877</v>
      </c>
      <c r="C1124" s="37" t="s">
        <v>860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878</v>
      </c>
      <c r="C1125" s="37" t="s">
        <v>860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879</v>
      </c>
      <c r="C1126" s="37" t="s">
        <v>860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880</v>
      </c>
      <c r="C1127" s="37" t="s">
        <v>860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881</v>
      </c>
      <c r="C1128" s="37" t="s">
        <v>860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882</v>
      </c>
      <c r="C1129" s="37" t="s">
        <v>860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883</v>
      </c>
      <c r="C1130" s="37" t="s">
        <v>860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884</v>
      </c>
      <c r="C1131" s="37" t="s">
        <v>860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885</v>
      </c>
      <c r="C1132" s="274" t="s">
        <v>860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886</v>
      </c>
      <c r="C1133" s="275" t="s">
        <v>860</v>
      </c>
      <c r="D1133" s="276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887</v>
      </c>
      <c r="C1134" s="275" t="s">
        <v>860</v>
      </c>
      <c r="D1134" s="276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888</v>
      </c>
      <c r="C1135" s="275" t="s">
        <v>860</v>
      </c>
      <c r="D1135" s="276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889</v>
      </c>
      <c r="C1136" s="275" t="s">
        <v>860</v>
      </c>
      <c r="D1136" s="276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890</v>
      </c>
      <c r="C1137" s="275" t="s">
        <v>860</v>
      </c>
      <c r="D1137" s="276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891</v>
      </c>
      <c r="C1138" s="275" t="s">
        <v>860</v>
      </c>
      <c r="D1138" s="276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892</v>
      </c>
      <c r="C1139" s="275" t="s">
        <v>860</v>
      </c>
      <c r="D1139" s="276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893</v>
      </c>
      <c r="C1140" s="275" t="s">
        <v>860</v>
      </c>
      <c r="D1140" s="276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894</v>
      </c>
      <c r="C1141" s="275" t="s">
        <v>860</v>
      </c>
      <c r="D1141" s="276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895</v>
      </c>
      <c r="C1142" s="275" t="s">
        <v>860</v>
      </c>
      <c r="D1142" s="276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896</v>
      </c>
      <c r="C1143" s="275" t="s">
        <v>860</v>
      </c>
      <c r="D1143" s="276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897</v>
      </c>
      <c r="C1144" s="275" t="s">
        <v>860</v>
      </c>
      <c r="D1144" s="276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898</v>
      </c>
      <c r="C1145" s="275" t="s">
        <v>860</v>
      </c>
      <c r="D1145" s="276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899</v>
      </c>
      <c r="C1146" s="275" t="s">
        <v>860</v>
      </c>
      <c r="D1146" s="276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900</v>
      </c>
      <c r="C1147" s="275" t="s">
        <v>860</v>
      </c>
      <c r="D1147" s="276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901</v>
      </c>
      <c r="C1148" s="275" t="s">
        <v>860</v>
      </c>
      <c r="D1148" s="276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902</v>
      </c>
      <c r="C1149" s="275" t="s">
        <v>860</v>
      </c>
      <c r="D1149" s="276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903</v>
      </c>
      <c r="C1150" s="275" t="s">
        <v>860</v>
      </c>
      <c r="D1150" s="276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904</v>
      </c>
      <c r="C1151" s="275" t="s">
        <v>860</v>
      </c>
      <c r="D1151" s="276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905</v>
      </c>
      <c r="C1152" s="275" t="s">
        <v>860</v>
      </c>
      <c r="D1152" s="276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906</v>
      </c>
      <c r="C1153" s="275" t="s">
        <v>860</v>
      </c>
      <c r="D1153" s="276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907</v>
      </c>
      <c r="C1154" s="275" t="s">
        <v>860</v>
      </c>
      <c r="D1154" s="276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908</v>
      </c>
      <c r="C1155" s="275" t="s">
        <v>860</v>
      </c>
      <c r="D1155" s="276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909</v>
      </c>
      <c r="C1156" s="275" t="s">
        <v>860</v>
      </c>
      <c r="D1156" s="276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910</v>
      </c>
      <c r="C1157" s="275" t="s">
        <v>860</v>
      </c>
      <c r="D1157" s="276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911</v>
      </c>
      <c r="C1158" s="275" t="s">
        <v>860</v>
      </c>
      <c r="D1158" s="276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912</v>
      </c>
      <c r="C1159" s="275" t="s">
        <v>860</v>
      </c>
      <c r="D1159" s="276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913</v>
      </c>
      <c r="C1160" s="275" t="s">
        <v>860</v>
      </c>
      <c r="D1160" s="276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914</v>
      </c>
      <c r="C1161" s="275" t="s">
        <v>860</v>
      </c>
      <c r="D1161" s="276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915</v>
      </c>
      <c r="C1162" s="275" t="s">
        <v>860</v>
      </c>
      <c r="D1162" s="276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916</v>
      </c>
      <c r="C1163" s="275" t="s">
        <v>860</v>
      </c>
      <c r="D1163" s="276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917</v>
      </c>
      <c r="C1164" s="275" t="s">
        <v>860</v>
      </c>
      <c r="D1164" s="276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918</v>
      </c>
      <c r="C1165" s="275" t="s">
        <v>860</v>
      </c>
      <c r="D1165" s="276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919</v>
      </c>
      <c r="C1166" s="275" t="s">
        <v>860</v>
      </c>
      <c r="D1166" s="276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920</v>
      </c>
      <c r="C1167" s="275" t="s">
        <v>860</v>
      </c>
      <c r="D1167" s="276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921</v>
      </c>
      <c r="C1168" s="275" t="s">
        <v>860</v>
      </c>
      <c r="D1168" s="276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922</v>
      </c>
      <c r="C1169" s="275" t="s">
        <v>860</v>
      </c>
      <c r="D1169" s="276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923</v>
      </c>
      <c r="C1170" s="275" t="s">
        <v>860</v>
      </c>
      <c r="D1170" s="276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924</v>
      </c>
      <c r="C1171" s="275" t="s">
        <v>860</v>
      </c>
      <c r="D1171" s="276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925</v>
      </c>
      <c r="C1172" s="275" t="s">
        <v>860</v>
      </c>
      <c r="D1172" s="276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926</v>
      </c>
      <c r="C1173" s="275" t="s">
        <v>860</v>
      </c>
      <c r="D1173" s="276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927</v>
      </c>
      <c r="C1174" s="275" t="s">
        <v>860</v>
      </c>
      <c r="D1174" s="276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928</v>
      </c>
      <c r="C1175" s="275" t="s">
        <v>860</v>
      </c>
      <c r="D1175" s="276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929</v>
      </c>
      <c r="C1176" s="275" t="s">
        <v>860</v>
      </c>
      <c r="D1176" s="276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930</v>
      </c>
      <c r="C1177" s="275" t="s">
        <v>860</v>
      </c>
      <c r="D1177" s="276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931</v>
      </c>
      <c r="C1178" s="275" t="s">
        <v>860</v>
      </c>
      <c r="D1178" s="276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932</v>
      </c>
      <c r="C1179" s="275" t="s">
        <v>860</v>
      </c>
      <c r="D1179" s="276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933</v>
      </c>
      <c r="C1180" s="275" t="s">
        <v>860</v>
      </c>
      <c r="D1180" s="276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934</v>
      </c>
      <c r="C1181" s="275" t="s">
        <v>860</v>
      </c>
      <c r="D1181" s="276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935</v>
      </c>
      <c r="C1182" s="275" t="s">
        <v>860</v>
      </c>
      <c r="D1182" s="276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936</v>
      </c>
      <c r="C1183" s="275" t="s">
        <v>860</v>
      </c>
      <c r="D1183" s="276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937</v>
      </c>
      <c r="C1184" s="275" t="s">
        <v>860</v>
      </c>
      <c r="D1184" s="276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938</v>
      </c>
      <c r="C1185" s="275" t="s">
        <v>860</v>
      </c>
      <c r="D1185" s="276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939</v>
      </c>
      <c r="C1186" s="275" t="s">
        <v>860</v>
      </c>
      <c r="D1186" s="276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940</v>
      </c>
      <c r="C1187" s="275" t="s">
        <v>860</v>
      </c>
      <c r="D1187" s="276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941</v>
      </c>
      <c r="C1188" s="275" t="s">
        <v>860</v>
      </c>
      <c r="D1188" s="276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942</v>
      </c>
      <c r="C1189" s="275" t="s">
        <v>860</v>
      </c>
      <c r="D1189" s="276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943</v>
      </c>
      <c r="C1190" s="275" t="s">
        <v>860</v>
      </c>
      <c r="D1190" s="276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944</v>
      </c>
      <c r="C1191" s="275" t="s">
        <v>860</v>
      </c>
      <c r="D1191" s="276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945</v>
      </c>
      <c r="C1192" s="275" t="s">
        <v>860</v>
      </c>
      <c r="D1192" s="276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946</v>
      </c>
      <c r="C1193" s="275" t="s">
        <v>860</v>
      </c>
      <c r="D1193" s="276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947</v>
      </c>
      <c r="C1194" s="275" t="s">
        <v>860</v>
      </c>
      <c r="D1194" s="276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948</v>
      </c>
      <c r="C1195" s="275" t="s">
        <v>860</v>
      </c>
      <c r="D1195" s="276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949</v>
      </c>
      <c r="C1196" s="275" t="s">
        <v>860</v>
      </c>
      <c r="D1196" s="276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950</v>
      </c>
      <c r="C1197" s="275" t="s">
        <v>860</v>
      </c>
      <c r="D1197" s="276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951</v>
      </c>
      <c r="C1198" s="275" t="s">
        <v>860</v>
      </c>
      <c r="D1198" s="276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952</v>
      </c>
      <c r="C1199" s="275" t="s">
        <v>860</v>
      </c>
      <c r="D1199" s="276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953</v>
      </c>
      <c r="C1200" s="275" t="s">
        <v>860</v>
      </c>
      <c r="D1200" s="276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954</v>
      </c>
      <c r="C1201" s="275" t="s">
        <v>860</v>
      </c>
      <c r="D1201" s="276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955</v>
      </c>
      <c r="C1202" s="275" t="s">
        <v>860</v>
      </c>
      <c r="D1202" s="276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956</v>
      </c>
      <c r="C1203" s="275" t="s">
        <v>860</v>
      </c>
      <c r="D1203" s="276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957</v>
      </c>
      <c r="C1204" s="275" t="s">
        <v>860</v>
      </c>
      <c r="D1204" s="276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958</v>
      </c>
      <c r="C1205" s="275" t="s">
        <v>860</v>
      </c>
      <c r="D1205" s="276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959</v>
      </c>
      <c r="C1206" s="275" t="s">
        <v>860</v>
      </c>
      <c r="D1206" s="276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960</v>
      </c>
      <c r="C1207" s="275" t="s">
        <v>860</v>
      </c>
      <c r="D1207" s="276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961</v>
      </c>
      <c r="C1208" s="275" t="s">
        <v>860</v>
      </c>
      <c r="D1208" s="276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962</v>
      </c>
      <c r="C1209" s="275" t="s">
        <v>860</v>
      </c>
      <c r="D1209" s="276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963</v>
      </c>
      <c r="C1210" s="275" t="s">
        <v>860</v>
      </c>
      <c r="D1210" s="276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964</v>
      </c>
      <c r="C1211" s="275" t="s">
        <v>860</v>
      </c>
      <c r="D1211" s="276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965</v>
      </c>
      <c r="C1212" s="275" t="s">
        <v>860</v>
      </c>
      <c r="D1212" s="276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966</v>
      </c>
      <c r="C1213" s="275" t="s">
        <v>860</v>
      </c>
      <c r="D1213" s="276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967</v>
      </c>
      <c r="C1214" s="275" t="s">
        <v>860</v>
      </c>
      <c r="D1214" s="276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968</v>
      </c>
      <c r="C1215" s="275" t="s">
        <v>860</v>
      </c>
      <c r="D1215" s="276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969</v>
      </c>
      <c r="C1216" s="275" t="s">
        <v>860</v>
      </c>
      <c r="D1216" s="276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970</v>
      </c>
      <c r="C1217" s="275" t="s">
        <v>860</v>
      </c>
      <c r="D1217" s="276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971</v>
      </c>
      <c r="C1218" s="275" t="s">
        <v>860</v>
      </c>
      <c r="D1218" s="276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972</v>
      </c>
      <c r="C1219" s="275" t="s">
        <v>860</v>
      </c>
      <c r="D1219" s="276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973</v>
      </c>
      <c r="C1220" s="275" t="s">
        <v>860</v>
      </c>
      <c r="D1220" s="276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974</v>
      </c>
      <c r="C1221" s="275" t="s">
        <v>860</v>
      </c>
      <c r="D1221" s="276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975</v>
      </c>
      <c r="C1222" s="275" t="s">
        <v>860</v>
      </c>
      <c r="D1222" s="276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976</v>
      </c>
      <c r="C1223" s="275" t="s">
        <v>860</v>
      </c>
      <c r="D1223" s="276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977</v>
      </c>
      <c r="C1224" s="275" t="s">
        <v>860</v>
      </c>
      <c r="D1224" s="276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978</v>
      </c>
      <c r="C1225" s="275" t="s">
        <v>860</v>
      </c>
      <c r="D1225" s="276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979</v>
      </c>
      <c r="C1226" s="275" t="s">
        <v>860</v>
      </c>
      <c r="D1226" s="276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980</v>
      </c>
      <c r="C1227" s="275" t="s">
        <v>860</v>
      </c>
      <c r="D1227" s="276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981</v>
      </c>
      <c r="C1228" s="275" t="s">
        <v>860</v>
      </c>
      <c r="D1228" s="276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982</v>
      </c>
      <c r="C1229" s="275" t="s">
        <v>860</v>
      </c>
      <c r="D1229" s="276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983</v>
      </c>
      <c r="C1230" s="275" t="s">
        <v>860</v>
      </c>
      <c r="D1230" s="276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984</v>
      </c>
      <c r="C1231" s="275" t="s">
        <v>860</v>
      </c>
      <c r="D1231" s="276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985</v>
      </c>
      <c r="C1232" s="275" t="s">
        <v>860</v>
      </c>
      <c r="D1232" s="276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986</v>
      </c>
      <c r="C1233" s="275" t="s">
        <v>860</v>
      </c>
      <c r="D1233" s="276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987</v>
      </c>
      <c r="C1234" s="275" t="s">
        <v>860</v>
      </c>
      <c r="D1234" s="276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988</v>
      </c>
      <c r="C1235" s="275" t="s">
        <v>860</v>
      </c>
      <c r="D1235" s="276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989</v>
      </c>
      <c r="C1236" s="275" t="s">
        <v>860</v>
      </c>
      <c r="D1236" s="276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990</v>
      </c>
      <c r="C1237" s="275" t="s">
        <v>860</v>
      </c>
      <c r="D1237" s="276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991</v>
      </c>
      <c r="C1238" s="275" t="s">
        <v>860</v>
      </c>
      <c r="D1238" s="276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992</v>
      </c>
      <c r="C1239" s="275" t="s">
        <v>860</v>
      </c>
      <c r="D1239" s="276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993</v>
      </c>
      <c r="C1240" s="275" t="s">
        <v>860</v>
      </c>
      <c r="D1240" s="276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994</v>
      </c>
      <c r="C1241" s="275" t="s">
        <v>860</v>
      </c>
      <c r="D1241" s="276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995</v>
      </c>
      <c r="C1242" s="275" t="s">
        <v>860</v>
      </c>
      <c r="D1242" s="276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996</v>
      </c>
      <c r="C1243" s="275" t="s">
        <v>860</v>
      </c>
      <c r="D1243" s="276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997</v>
      </c>
      <c r="C1244" s="275" t="s">
        <v>860</v>
      </c>
      <c r="D1244" s="276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998</v>
      </c>
      <c r="C1245" s="275" t="s">
        <v>860</v>
      </c>
      <c r="D1245" s="276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999</v>
      </c>
      <c r="C1246" s="275" t="s">
        <v>860</v>
      </c>
      <c r="D1246" s="276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1000</v>
      </c>
      <c r="C1247" s="275" t="s">
        <v>860</v>
      </c>
      <c r="D1247" s="276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1001</v>
      </c>
      <c r="C1248" s="275" t="s">
        <v>860</v>
      </c>
      <c r="D1248" s="276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1002</v>
      </c>
      <c r="C1249" s="275" t="s">
        <v>860</v>
      </c>
      <c r="D1249" s="276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1003</v>
      </c>
      <c r="C1250" s="275" t="s">
        <v>860</v>
      </c>
      <c r="D1250" s="276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1004</v>
      </c>
      <c r="C1251" s="275" t="s">
        <v>860</v>
      </c>
      <c r="D1251" s="276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1005</v>
      </c>
      <c r="C1252" s="275" t="s">
        <v>860</v>
      </c>
      <c r="D1252" s="276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1006</v>
      </c>
      <c r="C1253" s="275" t="s">
        <v>860</v>
      </c>
      <c r="D1253" s="276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1007</v>
      </c>
      <c r="C1254" s="275" t="s">
        <v>860</v>
      </c>
      <c r="D1254" s="276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1008</v>
      </c>
      <c r="C1255" s="275" t="s">
        <v>860</v>
      </c>
      <c r="D1255" s="276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1009</v>
      </c>
      <c r="C1256" s="275" t="s">
        <v>860</v>
      </c>
      <c r="D1256" s="276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1010</v>
      </c>
      <c r="C1257" s="275" t="s">
        <v>860</v>
      </c>
      <c r="D1257" s="276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1011</v>
      </c>
      <c r="C1258" s="275" t="s">
        <v>860</v>
      </c>
      <c r="D1258" s="276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1012</v>
      </c>
      <c r="C1259" s="275" t="s">
        <v>860</v>
      </c>
      <c r="D1259" s="276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1013</v>
      </c>
      <c r="C1260" s="275" t="s">
        <v>860</v>
      </c>
      <c r="D1260" s="276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1014</v>
      </c>
      <c r="C1261" s="275" t="s">
        <v>860</v>
      </c>
      <c r="D1261" s="276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1015</v>
      </c>
      <c r="C1262" s="275" t="s">
        <v>860</v>
      </c>
      <c r="D1262" s="276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1016</v>
      </c>
      <c r="C1263" s="275" t="s">
        <v>860</v>
      </c>
      <c r="D1263" s="276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1017</v>
      </c>
      <c r="C1264" s="275" t="s">
        <v>860</v>
      </c>
      <c r="D1264" s="276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1018</v>
      </c>
      <c r="C1265" s="275" t="s">
        <v>860</v>
      </c>
      <c r="D1265" s="276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1019</v>
      </c>
      <c r="C1266" s="275" t="s">
        <v>860</v>
      </c>
      <c r="D1266" s="276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1020</v>
      </c>
      <c r="C1267" s="275" t="s">
        <v>860</v>
      </c>
      <c r="D1267" s="276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1021</v>
      </c>
      <c r="C1268" s="275" t="s">
        <v>860</v>
      </c>
      <c r="D1268" s="276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1022</v>
      </c>
      <c r="C1269" s="275" t="s">
        <v>860</v>
      </c>
      <c r="D1269" s="276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1023</v>
      </c>
      <c r="C1270" s="275" t="s">
        <v>860</v>
      </c>
      <c r="D1270" s="276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1024</v>
      </c>
      <c r="C1271" s="275" t="s">
        <v>860</v>
      </c>
      <c r="D1271" s="276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1025</v>
      </c>
      <c r="C1272" s="275" t="s">
        <v>860</v>
      </c>
      <c r="D1272" s="276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1026</v>
      </c>
      <c r="C1273" s="275" t="s">
        <v>860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1027</v>
      </c>
      <c r="C1274" s="275" t="s">
        <v>860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1028</v>
      </c>
      <c r="C1275" s="275" t="s">
        <v>860</v>
      </c>
      <c r="D1275" s="276" t="s">
        <v>1029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1030</v>
      </c>
      <c r="C1276" s="275" t="s">
        <v>860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1031</v>
      </c>
      <c r="C1277" s="275" t="s">
        <v>860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1032</v>
      </c>
      <c r="C1278" s="275" t="s">
        <v>860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1033</v>
      </c>
      <c r="C1279" s="275" t="s">
        <v>860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1034</v>
      </c>
      <c r="C1280" s="275" t="s">
        <v>860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1035</v>
      </c>
      <c r="C1281" s="275" t="s">
        <v>860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1036</v>
      </c>
      <c r="C1282" s="275" t="s">
        <v>860</v>
      </c>
      <c r="D1282" s="276" t="s">
        <v>1029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1037</v>
      </c>
      <c r="C1283" s="275" t="s">
        <v>860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1037</v>
      </c>
      <c r="C1284" s="275" t="s">
        <v>860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1038</v>
      </c>
      <c r="C1285" s="275" t="s">
        <v>860</v>
      </c>
      <c r="D1285" s="276" t="s">
        <v>1039</v>
      </c>
      <c r="E1285" s="141">
        <v>10166.700000000001</v>
      </c>
      <c r="F1285" s="277" t="s">
        <v>1039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1040</v>
      </c>
      <c r="C1286" s="275" t="s">
        <v>860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1041</v>
      </c>
      <c r="C1287" s="275" t="s">
        <v>860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1042</v>
      </c>
      <c r="C1288" s="275" t="s">
        <v>860</v>
      </c>
      <c r="D1288" s="276" t="s">
        <v>209</v>
      </c>
      <c r="E1288" s="141">
        <v>62000</v>
      </c>
      <c r="F1288" s="277" t="s">
        <v>209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1043</v>
      </c>
      <c r="C1289" s="275" t="s">
        <v>860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1044</v>
      </c>
      <c r="C1290" s="275" t="s">
        <v>860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98</v>
      </c>
      <c r="B1326" s="132">
        <f>SUBTOTAL(3,B1328:B1380)</f>
        <v>53</v>
      </c>
      <c r="C1326" s="486"/>
      <c r="D1326" s="487"/>
      <c r="E1326"/>
      <c r="F1326" s="189"/>
      <c r="H1326"/>
      <c r="I1326"/>
    </row>
    <row r="1327" spans="1:10" ht="47.25">
      <c r="A1327" s="73" t="s">
        <v>81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27</v>
      </c>
      <c r="C1328" s="37" t="s">
        <v>26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1045</v>
      </c>
      <c r="C1329" s="37" t="s">
        <v>26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1046</v>
      </c>
      <c r="C1330" s="37" t="s">
        <v>26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1047</v>
      </c>
      <c r="C1331" s="37" t="s">
        <v>26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1048</v>
      </c>
      <c r="C1332" s="37" t="s">
        <v>26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28</v>
      </c>
      <c r="C1333" s="37" t="s">
        <v>26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1049</v>
      </c>
      <c r="C1334" s="37" t="s">
        <v>26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1050</v>
      </c>
      <c r="C1335" s="37" t="s">
        <v>26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1051</v>
      </c>
      <c r="C1336" s="37" t="s">
        <v>26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1052</v>
      </c>
      <c r="C1337" s="37" t="s">
        <v>26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1053</v>
      </c>
      <c r="C1338" s="37" t="s">
        <v>26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1054</v>
      </c>
      <c r="C1339" s="37" t="s">
        <v>26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1055</v>
      </c>
      <c r="C1340" s="37" t="s">
        <v>26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29</v>
      </c>
      <c r="C1341" s="37" t="s">
        <v>26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1056</v>
      </c>
      <c r="C1342" s="37" t="s">
        <v>26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1057</v>
      </c>
      <c r="C1343" s="37" t="s">
        <v>26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1058</v>
      </c>
      <c r="C1344" s="37" t="s">
        <v>26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1059</v>
      </c>
      <c r="C1345" s="37" t="s">
        <v>26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1060</v>
      </c>
      <c r="C1346" s="37" t="s">
        <v>26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1061</v>
      </c>
      <c r="C1347" s="37" t="s">
        <v>26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26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26</v>
      </c>
      <c r="D1349" s="48" t="s">
        <v>1064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26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26</v>
      </c>
      <c r="D1351" s="48" t="s">
        <v>1068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26</v>
      </c>
      <c r="D1352" s="48" t="s">
        <v>1066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26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30</v>
      </c>
      <c r="C1354" s="37" t="s">
        <v>26</v>
      </c>
      <c r="D1354" s="48" t="s">
        <v>1072</v>
      </c>
      <c r="E1354" s="43">
        <v>1583.1533333333334</v>
      </c>
      <c r="F1354" s="188" t="s">
        <v>1072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1073</v>
      </c>
      <c r="C1355" s="37" t="s">
        <v>26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1074</v>
      </c>
      <c r="C1356" s="37" t="s">
        <v>26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1075</v>
      </c>
      <c r="C1357" s="37" t="s">
        <v>26</v>
      </c>
      <c r="D1357" s="98" t="s">
        <v>366</v>
      </c>
      <c r="E1357" s="43"/>
      <c r="F1357" s="98" t="s">
        <v>366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1076</v>
      </c>
      <c r="C1358" s="37" t="s">
        <v>26</v>
      </c>
      <c r="D1358" s="98" t="s">
        <v>366</v>
      </c>
      <c r="E1358" s="43"/>
      <c r="F1358" s="98" t="s">
        <v>366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1077</v>
      </c>
      <c r="C1359" s="37" t="s">
        <v>26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1078</v>
      </c>
      <c r="C1360" s="37" t="s">
        <v>26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1079</v>
      </c>
      <c r="C1361" s="37" t="s">
        <v>26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1080</v>
      </c>
      <c r="C1362" s="37" t="s">
        <v>26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1081</v>
      </c>
      <c r="C1363" s="37" t="s">
        <v>26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1082</v>
      </c>
      <c r="C1364" s="37" t="s">
        <v>26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1083</v>
      </c>
      <c r="C1365" s="37" t="s">
        <v>26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1084</v>
      </c>
      <c r="C1366" s="37" t="s">
        <v>26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1085</v>
      </c>
      <c r="C1367" s="37" t="s">
        <v>26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1086</v>
      </c>
      <c r="C1368" s="37" t="s">
        <v>26</v>
      </c>
      <c r="D1368" s="48" t="s">
        <v>1087</v>
      </c>
      <c r="E1368" s="43">
        <v>23233.4</v>
      </c>
      <c r="F1368" s="188" t="s">
        <v>1039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1088</v>
      </c>
      <c r="C1369" s="37" t="s">
        <v>26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1089</v>
      </c>
      <c r="C1370" s="37" t="s">
        <v>26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1090</v>
      </c>
      <c r="C1371" s="37" t="s">
        <v>26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1091</v>
      </c>
      <c r="C1372" s="37" t="s">
        <v>26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1092</v>
      </c>
      <c r="C1373" s="161" t="s">
        <v>26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1093</v>
      </c>
      <c r="C1374" s="161" t="s">
        <v>26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1094</v>
      </c>
      <c r="C1375" s="161" t="s">
        <v>26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1095</v>
      </c>
      <c r="C1376" s="161" t="s">
        <v>26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1096</v>
      </c>
      <c r="C1377" s="161" t="s">
        <v>26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1097</v>
      </c>
      <c r="C1378" s="161" t="s">
        <v>26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1098</v>
      </c>
      <c r="C1379" s="37" t="s">
        <v>26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1099</v>
      </c>
      <c r="C1380" s="218" t="s">
        <v>26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1100</v>
      </c>
      <c r="C1381" s="218" t="s">
        <v>26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1101</v>
      </c>
      <c r="C1382" s="220" t="s">
        <v>26</v>
      </c>
      <c r="D1382" s="292" t="s">
        <v>115</v>
      </c>
      <c r="E1382" s="221"/>
      <c r="F1382" s="193" t="s">
        <v>115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0" t="s">
        <v>26</v>
      </c>
      <c r="D1383" s="10" t="s">
        <v>115</v>
      </c>
      <c r="E1383" s="221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1103</v>
      </c>
      <c r="C1384" s="218" t="s">
        <v>26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1104</v>
      </c>
      <c r="C1385" s="218" t="s">
        <v>26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1105</v>
      </c>
      <c r="C1386" s="218" t="s">
        <v>26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1106</v>
      </c>
      <c r="C1387" s="218" t="s">
        <v>26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1107</v>
      </c>
      <c r="C1388" s="218" t="s">
        <v>26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1108</v>
      </c>
      <c r="C1389" s="218" t="s">
        <v>26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1109</v>
      </c>
      <c r="C1390" s="218" t="s">
        <v>26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1110</v>
      </c>
      <c r="C1391" s="218" t="s">
        <v>26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1111</v>
      </c>
      <c r="C1392" s="218" t="s">
        <v>26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1112</v>
      </c>
      <c r="C1393" s="218" t="s">
        <v>26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1113</v>
      </c>
      <c r="C1394" s="218" t="s">
        <v>26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1114</v>
      </c>
      <c r="C1395" s="218" t="s">
        <v>26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1115</v>
      </c>
      <c r="C1396" s="218" t="s">
        <v>26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1116</v>
      </c>
      <c r="C1397" s="218" t="s">
        <v>26</v>
      </c>
      <c r="D1397" s="247" t="s">
        <v>1064</v>
      </c>
      <c r="E1397" s="166">
        <v>74866.666666666672</v>
      </c>
      <c r="F1397" s="193" t="s">
        <v>1064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1117</v>
      </c>
      <c r="C1398" s="218" t="s">
        <v>26</v>
      </c>
      <c r="D1398" s="247" t="s">
        <v>1118</v>
      </c>
      <c r="E1398" s="166">
        <v>74866.666666666672</v>
      </c>
      <c r="F1398" s="193" t="s">
        <v>1118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1119</v>
      </c>
      <c r="C1399" s="218" t="s">
        <v>26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1120</v>
      </c>
      <c r="C1400" s="218" t="s">
        <v>26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1121</v>
      </c>
      <c r="C1401" s="218" t="s">
        <v>26</v>
      </c>
      <c r="D1401" s="247" t="s">
        <v>1072</v>
      </c>
      <c r="E1401" s="166">
        <v>513.33285714285716</v>
      </c>
      <c r="F1401" s="193" t="s">
        <v>1072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1122</v>
      </c>
      <c r="C1402" s="218" t="s">
        <v>26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1123</v>
      </c>
      <c r="C1403" s="218" t="s">
        <v>26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1124</v>
      </c>
      <c r="C1404" s="218" t="s">
        <v>26</v>
      </c>
      <c r="D1404" s="247" t="s">
        <v>177</v>
      </c>
      <c r="E1404" s="166">
        <v>3200</v>
      </c>
      <c r="F1404" s="193" t="s">
        <v>177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1125</v>
      </c>
      <c r="C1405" s="218" t="s">
        <v>26</v>
      </c>
      <c r="D1405" s="247" t="s">
        <v>219</v>
      </c>
      <c r="E1405" s="166">
        <v>7200</v>
      </c>
      <c r="F1405" s="193" t="s">
        <v>1064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1126</v>
      </c>
      <c r="C1406" s="220" t="s">
        <v>26</v>
      </c>
      <c r="D1406" s="10" t="s">
        <v>366</v>
      </c>
      <c r="E1406" s="221"/>
      <c r="F1406" s="292" t="s">
        <v>366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1127</v>
      </c>
      <c r="C1407" s="218" t="s">
        <v>26</v>
      </c>
      <c r="D1407" s="10" t="s">
        <v>366</v>
      </c>
      <c r="E1407" s="166"/>
      <c r="F1407" s="10" t="s">
        <v>366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1128</v>
      </c>
      <c r="C1408" s="218" t="s">
        <v>26</v>
      </c>
      <c r="D1408" s="10" t="s">
        <v>366</v>
      </c>
      <c r="E1408" s="166"/>
      <c r="F1408" s="10" t="s">
        <v>366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1129</v>
      </c>
      <c r="C1409" s="218" t="s">
        <v>26</v>
      </c>
      <c r="D1409" s="10" t="s">
        <v>366</v>
      </c>
      <c r="E1409" s="166"/>
      <c r="F1409" s="10" t="s">
        <v>366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1130</v>
      </c>
      <c r="C1410" s="218" t="s">
        <v>26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1131</v>
      </c>
      <c r="C1411" s="218" t="s">
        <v>26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1132</v>
      </c>
      <c r="C1412" s="218" t="s">
        <v>26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1133</v>
      </c>
      <c r="C1413" s="218" t="s">
        <v>26</v>
      </c>
      <c r="D1413" s="10" t="s">
        <v>366</v>
      </c>
      <c r="E1413" s="166"/>
      <c r="F1413" s="10" t="s">
        <v>366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1134</v>
      </c>
      <c r="C1414" s="218" t="s">
        <v>26</v>
      </c>
      <c r="D1414" s="10" t="s">
        <v>366</v>
      </c>
      <c r="E1414" s="166"/>
      <c r="F1414" s="10" t="s">
        <v>366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1135</v>
      </c>
      <c r="C1415" s="220" t="s">
        <v>26</v>
      </c>
      <c r="D1415" s="10" t="s">
        <v>366</v>
      </c>
      <c r="E1415" s="221"/>
      <c r="F1415" s="10" t="s">
        <v>366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98</v>
      </c>
      <c r="B1426" s="136">
        <f>SUBTOTAL(3,Tabla34[Material])</f>
        <v>83</v>
      </c>
      <c r="C1426" s="486"/>
      <c r="D1426" s="487"/>
      <c r="E1426"/>
      <c r="F1426" s="189"/>
      <c r="H1426"/>
      <c r="I1426"/>
    </row>
    <row r="1427" spans="1:10" ht="47.25">
      <c r="A1427" s="134" t="s">
        <v>81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1136</v>
      </c>
      <c r="C1428" s="218" t="s">
        <v>38</v>
      </c>
      <c r="D1428" s="234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1138</v>
      </c>
      <c r="C1429" s="218" t="s">
        <v>38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1139</v>
      </c>
      <c r="C1430" s="218" t="s">
        <v>38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1140</v>
      </c>
      <c r="C1431" s="218" t="s">
        <v>38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1141</v>
      </c>
      <c r="C1432" s="218" t="s">
        <v>38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1142</v>
      </c>
      <c r="C1433" s="218" t="s">
        <v>38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1143</v>
      </c>
      <c r="C1434" s="218" t="s">
        <v>38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1144</v>
      </c>
      <c r="C1435" s="218" t="s">
        <v>38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1145</v>
      </c>
      <c r="C1436" s="218" t="s">
        <v>38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1146</v>
      </c>
      <c r="C1437" s="218" t="s">
        <v>38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1147</v>
      </c>
      <c r="C1438" s="218" t="s">
        <v>38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1148</v>
      </c>
      <c r="C1439" s="218" t="s">
        <v>38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8" t="s">
        <v>38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8" t="s">
        <v>38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8" t="s">
        <v>38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8" t="s">
        <v>38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8" t="s">
        <v>38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1154</v>
      </c>
      <c r="C1445" s="218" t="s">
        <v>38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1155</v>
      </c>
      <c r="C1446" s="218" t="s">
        <v>38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8" t="s">
        <v>38</v>
      </c>
      <c r="D1447" s="48" t="s">
        <v>1072</v>
      </c>
      <c r="E1447" s="43">
        <v>3215</v>
      </c>
      <c r="F1447" s="188" t="s">
        <v>1072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8" t="s">
        <v>38</v>
      </c>
      <c r="D1448" s="48" t="s">
        <v>1072</v>
      </c>
      <c r="E1448" s="43">
        <v>8300</v>
      </c>
      <c r="F1448" s="188" t="s">
        <v>1072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8" t="s">
        <v>38</v>
      </c>
      <c r="D1449" s="48" t="s">
        <v>1072</v>
      </c>
      <c r="E1449" s="43">
        <v>3276</v>
      </c>
      <c r="F1449" s="188" t="s">
        <v>1072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8" t="s">
        <v>38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8" t="s">
        <v>38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8" t="s">
        <v>38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8" t="s">
        <v>38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8" t="s">
        <v>38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8" t="s">
        <v>38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8" t="s">
        <v>38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8" t="s">
        <v>38</v>
      </c>
      <c r="D1457" s="48" t="s">
        <v>1072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8" t="s">
        <v>38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8" t="s">
        <v>38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8" t="s">
        <v>38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8" t="s">
        <v>38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8" t="s">
        <v>38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8" t="s">
        <v>38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8" t="s">
        <v>38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8" t="s">
        <v>38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8" t="s">
        <v>38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8" t="s">
        <v>38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8" t="s">
        <v>38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1178</v>
      </c>
      <c r="C1469" s="218" t="s">
        <v>38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1179</v>
      </c>
      <c r="C1470" s="218" t="s">
        <v>38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1180</v>
      </c>
      <c r="C1471" s="218" t="s">
        <v>38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1181</v>
      </c>
      <c r="C1472" s="218" t="s">
        <v>38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1182</v>
      </c>
      <c r="C1473" s="218" t="s">
        <v>38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1183</v>
      </c>
      <c r="C1474" s="218" t="s">
        <v>38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1184</v>
      </c>
      <c r="C1475" s="218" t="s">
        <v>38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1185</v>
      </c>
      <c r="C1476" s="218" t="s">
        <v>38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1186</v>
      </c>
      <c r="C1477" s="218" t="s">
        <v>38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1187</v>
      </c>
      <c r="C1478" s="218" t="s">
        <v>38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1188</v>
      </c>
      <c r="C1479" s="218" t="s">
        <v>38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1189</v>
      </c>
      <c r="C1480" s="218" t="s">
        <v>38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1190</v>
      </c>
      <c r="C1481" s="218" t="s">
        <v>38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1191</v>
      </c>
      <c r="C1482" s="218" t="s">
        <v>38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1192</v>
      </c>
      <c r="C1483" s="218" t="s">
        <v>38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1193</v>
      </c>
      <c r="C1484" s="218" t="s">
        <v>38</v>
      </c>
      <c r="D1484" s="48" t="s">
        <v>1194</v>
      </c>
      <c r="E1484" s="43">
        <v>17375</v>
      </c>
      <c r="F1484" s="188" t="s">
        <v>1194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1195</v>
      </c>
      <c r="C1485" s="218" t="s">
        <v>38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1196</v>
      </c>
      <c r="C1486" s="218" t="s">
        <v>38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1197</v>
      </c>
      <c r="C1487" s="218" t="s">
        <v>38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1198</v>
      </c>
      <c r="C1488" s="218" t="s">
        <v>38</v>
      </c>
      <c r="D1488" s="48" t="s">
        <v>1072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1199</v>
      </c>
      <c r="C1489" s="218" t="s">
        <v>38</v>
      </c>
      <c r="D1489" s="48" t="s">
        <v>1072</v>
      </c>
      <c r="E1489" s="43">
        <v>9275</v>
      </c>
      <c r="F1489" s="188" t="s">
        <v>1072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1200</v>
      </c>
      <c r="C1490" s="218" t="s">
        <v>38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1201</v>
      </c>
      <c r="C1491" s="218" t="s">
        <v>38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1202</v>
      </c>
      <c r="C1492" s="218" t="s">
        <v>38</v>
      </c>
      <c r="D1492" s="48" t="s">
        <v>1072</v>
      </c>
      <c r="E1492" s="43">
        <v>189.5</v>
      </c>
      <c r="F1492" s="188" t="s">
        <v>1072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1203</v>
      </c>
      <c r="C1493" s="218" t="s">
        <v>38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1204</v>
      </c>
      <c r="C1494" s="218" t="s">
        <v>38</v>
      </c>
      <c r="D1494" s="48" t="s">
        <v>1205</v>
      </c>
      <c r="E1494" s="43">
        <v>5850</v>
      </c>
      <c r="F1494" s="188" t="s">
        <v>1205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1206</v>
      </c>
      <c r="C1495" s="218" t="s">
        <v>38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1207</v>
      </c>
      <c r="C1496" s="218" t="s">
        <v>38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1208</v>
      </c>
      <c r="C1497" s="218" t="s">
        <v>38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1209</v>
      </c>
      <c r="C1498" s="218" t="s">
        <v>38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1210</v>
      </c>
      <c r="C1499" s="218" t="s">
        <v>38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1211</v>
      </c>
      <c r="C1500" s="218" t="s">
        <v>38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1212</v>
      </c>
      <c r="C1501" s="218" t="s">
        <v>38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1213</v>
      </c>
      <c r="C1502" s="218" t="s">
        <v>38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1214</v>
      </c>
      <c r="C1503" s="218" t="s">
        <v>38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1215</v>
      </c>
      <c r="C1504" s="218" t="s">
        <v>38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1216</v>
      </c>
      <c r="C1505" s="218" t="s">
        <v>38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1217</v>
      </c>
      <c r="C1506" s="218" t="s">
        <v>38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8" t="s">
        <v>38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8" t="s">
        <v>38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1220</v>
      </c>
      <c r="C1509" s="218" t="s">
        <v>38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1221</v>
      </c>
      <c r="C1510" s="37" t="s">
        <v>26</v>
      </c>
      <c r="D1510" s="48" t="s">
        <v>1072</v>
      </c>
      <c r="E1510" s="43">
        <v>1583.1533333333334</v>
      </c>
      <c r="F1510" s="188" t="s">
        <v>1072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98</v>
      </c>
      <c r="B1520" s="165">
        <f>SUBTOTAL(3,(B1522:B1607))</f>
        <v>86</v>
      </c>
      <c r="C1520" s="490"/>
      <c r="D1520" s="490"/>
      <c r="E1520"/>
      <c r="F1520" s="189"/>
      <c r="H1520"/>
      <c r="I1520"/>
    </row>
    <row r="1521" spans="1:10" ht="47.25">
      <c r="A1521" s="92" t="s">
        <v>81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1222</v>
      </c>
      <c r="C1522" s="100" t="s">
        <v>1223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1224</v>
      </c>
      <c r="C1523" s="100" t="s">
        <v>1223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1225</v>
      </c>
      <c r="C1524" s="100" t="s">
        <v>1223</v>
      </c>
      <c r="D1524" s="93" t="s">
        <v>1226</v>
      </c>
      <c r="E1524" s="94"/>
      <c r="F1524" s="198" t="s">
        <v>1226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1227</v>
      </c>
      <c r="C1525" s="100" t="s">
        <v>1223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1228</v>
      </c>
      <c r="C1526" s="100" t="s">
        <v>1223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1229</v>
      </c>
      <c r="C1527" s="100" t="s">
        <v>1223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1230</v>
      </c>
      <c r="C1528" s="100" t="s">
        <v>1223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1231</v>
      </c>
      <c r="C1529" s="100" t="s">
        <v>1223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1232</v>
      </c>
      <c r="C1530" s="100" t="s">
        <v>1223</v>
      </c>
      <c r="D1530" s="93" t="s">
        <v>1233</v>
      </c>
      <c r="E1530" s="94"/>
      <c r="F1530" s="198" t="s">
        <v>1233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1234</v>
      </c>
      <c r="C1531" s="100" t="s">
        <v>1223</v>
      </c>
      <c r="D1531" s="96" t="s">
        <v>1226</v>
      </c>
      <c r="E1531" s="94"/>
      <c r="F1531" s="197" t="s">
        <v>1226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1235</v>
      </c>
      <c r="C1532" s="100" t="s">
        <v>1223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1236</v>
      </c>
      <c r="C1533" s="100" t="s">
        <v>1223</v>
      </c>
      <c r="D1533" s="93" t="s">
        <v>1226</v>
      </c>
      <c r="E1533" s="94"/>
      <c r="F1533" s="198" t="s">
        <v>1226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1237</v>
      </c>
      <c r="C1534" s="100" t="s">
        <v>1223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1238</v>
      </c>
      <c r="C1535" s="100" t="s">
        <v>1223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1239</v>
      </c>
      <c r="C1536" s="100" t="s">
        <v>1223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1240</v>
      </c>
      <c r="C1537" s="100" t="s">
        <v>1223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1241</v>
      </c>
      <c r="C1538" s="100" t="s">
        <v>1223</v>
      </c>
      <c r="D1538" s="93" t="s">
        <v>1233</v>
      </c>
      <c r="E1538" s="94"/>
      <c r="F1538" s="198" t="s">
        <v>1233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1242</v>
      </c>
      <c r="C1539" s="100" t="s">
        <v>1223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1223</v>
      </c>
      <c r="D1540" s="93" t="s">
        <v>1233</v>
      </c>
      <c r="E1540" s="94"/>
      <c r="F1540" s="198" t="s">
        <v>1233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1223</v>
      </c>
      <c r="D1541" s="93" t="s">
        <v>1039</v>
      </c>
      <c r="E1541" s="94"/>
      <c r="F1541" s="198" t="s">
        <v>1039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1223</v>
      </c>
      <c r="D1542" s="93" t="s">
        <v>1233</v>
      </c>
      <c r="E1542" s="94"/>
      <c r="F1542" s="198" t="s">
        <v>1233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1223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1223</v>
      </c>
      <c r="D1544" s="93" t="s">
        <v>1039</v>
      </c>
      <c r="E1544" s="94"/>
      <c r="F1544" s="198" t="s">
        <v>1039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1223</v>
      </c>
      <c r="D1545" s="96" t="s">
        <v>1233</v>
      </c>
      <c r="E1545" s="94"/>
      <c r="F1545" s="197" t="s">
        <v>1233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1223</v>
      </c>
      <c r="D1546" s="96" t="s">
        <v>1233</v>
      </c>
      <c r="E1546" s="94"/>
      <c r="F1546" s="197" t="s">
        <v>1233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1223</v>
      </c>
      <c r="D1547" s="93" t="s">
        <v>1233</v>
      </c>
      <c r="E1547" s="94"/>
      <c r="F1547" s="198" t="s">
        <v>1233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1223</v>
      </c>
      <c r="D1548" s="93" t="s">
        <v>1233</v>
      </c>
      <c r="E1548" s="94"/>
      <c r="F1548" s="198" t="s">
        <v>1233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1223</v>
      </c>
      <c r="D1549" s="96" t="s">
        <v>1233</v>
      </c>
      <c r="E1549" s="94"/>
      <c r="F1549" s="197" t="s">
        <v>1233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1223</v>
      </c>
      <c r="D1550" s="93" t="s">
        <v>1039</v>
      </c>
      <c r="E1550" s="94"/>
      <c r="F1550" s="198" t="s">
        <v>1039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1254</v>
      </c>
      <c r="C1551" s="100" t="s">
        <v>1223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1255</v>
      </c>
      <c r="C1552" s="100" t="s">
        <v>1223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1256</v>
      </c>
      <c r="C1553" s="100" t="s">
        <v>1223</v>
      </c>
      <c r="D1553" s="93" t="s">
        <v>1226</v>
      </c>
      <c r="E1553" s="94"/>
      <c r="F1553" s="198" t="s">
        <v>1226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1257</v>
      </c>
      <c r="C1554" s="100" t="s">
        <v>1223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1258</v>
      </c>
      <c r="C1555" s="100" t="s">
        <v>1223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1259</v>
      </c>
      <c r="C1556" s="100" t="s">
        <v>1223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1260</v>
      </c>
      <c r="C1557" s="100" t="s">
        <v>1223</v>
      </c>
      <c r="D1557" s="96" t="s">
        <v>1233</v>
      </c>
      <c r="E1557" s="94"/>
      <c r="F1557" s="197" t="s">
        <v>1233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1261</v>
      </c>
      <c r="C1558" s="100" t="s">
        <v>1223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1262</v>
      </c>
      <c r="C1559" s="100" t="s">
        <v>1223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1263</v>
      </c>
      <c r="C1560" s="100" t="s">
        <v>1223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1264</v>
      </c>
      <c r="C1561" s="100" t="s">
        <v>1223</v>
      </c>
      <c r="D1561" s="96" t="s">
        <v>1233</v>
      </c>
      <c r="E1561" s="94"/>
      <c r="F1561" s="197" t="s">
        <v>1233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1265</v>
      </c>
      <c r="C1562" s="100" t="s">
        <v>1223</v>
      </c>
      <c r="D1562" s="96" t="s">
        <v>1039</v>
      </c>
      <c r="E1562" s="94"/>
      <c r="F1562" s="197" t="s">
        <v>1039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1266</v>
      </c>
      <c r="C1563" s="100" t="s">
        <v>1223</v>
      </c>
      <c r="D1563" s="96" t="s">
        <v>1267</v>
      </c>
      <c r="E1563" s="94"/>
      <c r="F1563" s="197" t="s">
        <v>1267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1268</v>
      </c>
      <c r="C1564" s="100" t="s">
        <v>1223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1269</v>
      </c>
      <c r="C1565" s="100" t="s">
        <v>1223</v>
      </c>
      <c r="D1565" s="96" t="s">
        <v>1039</v>
      </c>
      <c r="E1565" s="94"/>
      <c r="F1565" s="197" t="s">
        <v>1039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1270</v>
      </c>
      <c r="C1566" s="100" t="s">
        <v>1223</v>
      </c>
      <c r="D1566" s="93" t="s">
        <v>1039</v>
      </c>
      <c r="E1566" s="94"/>
      <c r="F1566" s="198" t="s">
        <v>1039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1271</v>
      </c>
      <c r="C1567" s="100" t="s">
        <v>1223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1272</v>
      </c>
      <c r="C1568" s="100" t="s">
        <v>1223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1273</v>
      </c>
      <c r="C1569" s="100" t="s">
        <v>1223</v>
      </c>
      <c r="D1569" s="93" t="s">
        <v>1029</v>
      </c>
      <c r="E1569" s="162">
        <v>205766.7</v>
      </c>
      <c r="F1569" s="198" t="s">
        <v>1029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1274</v>
      </c>
      <c r="C1570" s="100" t="s">
        <v>1223</v>
      </c>
      <c r="D1570" s="93" t="s">
        <v>1039</v>
      </c>
      <c r="E1570" s="94"/>
      <c r="F1570" s="198" t="s">
        <v>1039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1275</v>
      </c>
      <c r="C1571" s="100" t="s">
        <v>1223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1276</v>
      </c>
      <c r="C1572" s="100" t="s">
        <v>1223</v>
      </c>
      <c r="D1572" s="93" t="s">
        <v>1233</v>
      </c>
      <c r="E1572" s="94"/>
      <c r="F1572" s="198" t="s">
        <v>1233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1277</v>
      </c>
      <c r="C1573" s="100" t="s">
        <v>1223</v>
      </c>
      <c r="D1573" s="96" t="s">
        <v>1233</v>
      </c>
      <c r="E1573" s="94"/>
      <c r="F1573" s="197" t="s">
        <v>1233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1278</v>
      </c>
      <c r="C1574" s="100" t="s">
        <v>1223</v>
      </c>
      <c r="D1574" s="93" t="s">
        <v>1233</v>
      </c>
      <c r="E1574" s="94"/>
      <c r="F1574" s="198" t="s">
        <v>1233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1279</v>
      </c>
      <c r="C1575" s="100" t="s">
        <v>1223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1280</v>
      </c>
      <c r="C1576" s="100" t="s">
        <v>1223</v>
      </c>
      <c r="D1576" s="93" t="s">
        <v>1233</v>
      </c>
      <c r="E1576" s="94"/>
      <c r="F1576" s="198" t="s">
        <v>1233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1281</v>
      </c>
      <c r="C1577" s="100" t="s">
        <v>1223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1282</v>
      </c>
      <c r="C1578" s="100" t="s">
        <v>1223</v>
      </c>
      <c r="D1578" s="96" t="s">
        <v>1233</v>
      </c>
      <c r="E1578" s="94"/>
      <c r="F1578" s="197" t="s">
        <v>1233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1283</v>
      </c>
      <c r="C1579" s="100" t="s">
        <v>1223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1284</v>
      </c>
      <c r="C1580" s="100" t="s">
        <v>1223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1285</v>
      </c>
      <c r="C1581" s="100" t="s">
        <v>1223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1286</v>
      </c>
      <c r="C1582" s="100" t="s">
        <v>1223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1287</v>
      </c>
      <c r="C1583" s="100" t="s">
        <v>1223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1288</v>
      </c>
      <c r="C1584" s="100" t="s">
        <v>1223</v>
      </c>
      <c r="D1584" s="93" t="s">
        <v>1226</v>
      </c>
      <c r="E1584" s="94"/>
      <c r="F1584" s="198" t="s">
        <v>1226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1289</v>
      </c>
      <c r="C1585" s="100" t="s">
        <v>1223</v>
      </c>
      <c r="D1585" s="93" t="s">
        <v>1226</v>
      </c>
      <c r="E1585" s="94"/>
      <c r="F1585" s="198" t="s">
        <v>1226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1290</v>
      </c>
      <c r="C1586" s="100" t="s">
        <v>1223</v>
      </c>
      <c r="D1586" s="96" t="s">
        <v>1233</v>
      </c>
      <c r="E1586" s="94"/>
      <c r="F1586" s="197" t="s">
        <v>1233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1291</v>
      </c>
      <c r="C1587" s="100" t="s">
        <v>1223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1292</v>
      </c>
      <c r="C1588" s="100" t="s">
        <v>1223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1293</v>
      </c>
      <c r="C1589" s="100" t="s">
        <v>1223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1294</v>
      </c>
      <c r="C1590" s="100" t="s">
        <v>1223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1295</v>
      </c>
      <c r="C1591" s="100" t="s">
        <v>1223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1296</v>
      </c>
      <c r="C1592" s="100" t="s">
        <v>1223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1297</v>
      </c>
      <c r="C1593" s="100" t="s">
        <v>1223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1298</v>
      </c>
      <c r="C1594" s="100" t="s">
        <v>1223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1299</v>
      </c>
      <c r="C1595" s="100" t="s">
        <v>1223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1300</v>
      </c>
      <c r="C1596" s="100" t="s">
        <v>1223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1301</v>
      </c>
      <c r="C1597" s="100" t="s">
        <v>1223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1302</v>
      </c>
      <c r="C1598" s="100" t="s">
        <v>1223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1303</v>
      </c>
      <c r="C1599" s="100" t="s">
        <v>1223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1304</v>
      </c>
      <c r="C1600" s="100" t="s">
        <v>1223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1305</v>
      </c>
      <c r="C1601" s="100" t="s">
        <v>1223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1306</v>
      </c>
      <c r="C1602" s="100" t="s">
        <v>1223</v>
      </c>
      <c r="D1602" s="96" t="s">
        <v>1233</v>
      </c>
      <c r="E1602" s="94"/>
      <c r="F1602" s="197" t="s">
        <v>1233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1307</v>
      </c>
      <c r="C1603" s="100" t="s">
        <v>1223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1308</v>
      </c>
      <c r="C1604" s="100" t="s">
        <v>1223</v>
      </c>
      <c r="D1604" s="93" t="s">
        <v>1233</v>
      </c>
      <c r="E1604" s="94"/>
      <c r="F1604" s="198" t="s">
        <v>1233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1309</v>
      </c>
      <c r="C1605" s="100" t="s">
        <v>1223</v>
      </c>
      <c r="D1605" s="96" t="s">
        <v>1233</v>
      </c>
      <c r="E1605" s="94"/>
      <c r="F1605" s="197" t="s">
        <v>1233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1310</v>
      </c>
      <c r="C1606" s="100" t="s">
        <v>1223</v>
      </c>
      <c r="D1606" s="96" t="s">
        <v>1233</v>
      </c>
      <c r="E1606" s="94"/>
      <c r="F1606" s="197" t="s">
        <v>1233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1311</v>
      </c>
      <c r="C1607" s="100" t="s">
        <v>1223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C1426:D1426"/>
    <mergeCell ref="C1520:D1520"/>
    <mergeCell ref="C514:D514"/>
    <mergeCell ref="C560:D560"/>
    <mergeCell ref="C1009:D1009"/>
    <mergeCell ref="C1064:D1064"/>
    <mergeCell ref="C1105:D1105"/>
    <mergeCell ref="H6:I6"/>
    <mergeCell ref="A1:D3"/>
    <mergeCell ref="C6:D6"/>
    <mergeCell ref="C1326:D1326"/>
    <mergeCell ref="E1:F2"/>
    <mergeCell ref="E3:F3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1312</v>
      </c>
      <c r="F1" s="12" t="s">
        <v>1313</v>
      </c>
      <c r="H1" s="15" t="s">
        <v>1314</v>
      </c>
      <c r="I1" s="15" t="s">
        <v>1315</v>
      </c>
      <c r="K1" s="15" t="s">
        <v>24</v>
      </c>
      <c r="M1" s="15" t="s">
        <v>1316</v>
      </c>
    </row>
    <row r="2" spans="1:13" ht="44.25" customHeight="1" outlineLevel="1">
      <c r="A2" s="13" t="s">
        <v>1317</v>
      </c>
      <c r="B2" s="13" t="s">
        <v>1318</v>
      </c>
      <c r="D2" s="265" t="s">
        <v>1319</v>
      </c>
      <c r="F2" s="3" t="s">
        <v>1320</v>
      </c>
      <c r="H2" s="16" t="s">
        <v>1321</v>
      </c>
      <c r="I2" s="17">
        <v>71765586</v>
      </c>
      <c r="K2" t="s">
        <v>1322</v>
      </c>
      <c r="M2" s="79" t="s">
        <v>35</v>
      </c>
    </row>
    <row r="3" spans="1:13" outlineLevel="1">
      <c r="A3" s="3" t="s">
        <v>1323</v>
      </c>
      <c r="B3" s="5" t="s">
        <v>219</v>
      </c>
      <c r="D3" s="265" t="s">
        <v>14</v>
      </c>
      <c r="F3" s="2" t="s">
        <v>1324</v>
      </c>
      <c r="H3" s="18" t="s">
        <v>6</v>
      </c>
      <c r="I3" s="19">
        <v>43687423</v>
      </c>
      <c r="K3" t="s">
        <v>1325</v>
      </c>
      <c r="M3" s="79" t="s">
        <v>51</v>
      </c>
    </row>
    <row r="4" spans="1:13" ht="30" outlineLevel="1">
      <c r="A4" s="2" t="s">
        <v>1326</v>
      </c>
      <c r="B4" s="5" t="s">
        <v>311</v>
      </c>
      <c r="D4" s="266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54</v>
      </c>
    </row>
    <row r="5" spans="1:13" ht="30" outlineLevel="1">
      <c r="A5" s="3" t="s">
        <v>1331</v>
      </c>
      <c r="B5" s="5" t="s">
        <v>1332</v>
      </c>
      <c r="D5" s="268" t="s">
        <v>1333</v>
      </c>
      <c r="F5" s="2" t="s">
        <v>1334</v>
      </c>
      <c r="H5" s="21" t="s">
        <v>1335</v>
      </c>
      <c r="I5" s="22">
        <v>1036620040</v>
      </c>
      <c r="K5" t="s">
        <v>1336</v>
      </c>
      <c r="M5" s="79" t="s">
        <v>860</v>
      </c>
    </row>
    <row r="6" spans="1:13" outlineLevel="1">
      <c r="A6" s="2" t="s">
        <v>330</v>
      </c>
      <c r="B6" s="5" t="s">
        <v>330</v>
      </c>
      <c r="D6" t="s">
        <v>1337</v>
      </c>
      <c r="F6" s="3" t="s">
        <v>1338</v>
      </c>
      <c r="H6" s="16" t="s">
        <v>1339</v>
      </c>
      <c r="I6" s="23">
        <v>1033686182</v>
      </c>
      <c r="K6" t="s">
        <v>1340</v>
      </c>
      <c r="M6" s="113" t="s">
        <v>26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1345</v>
      </c>
      <c r="M7" s="79" t="s">
        <v>240</v>
      </c>
    </row>
    <row r="8" spans="1:13" outlineLevel="1">
      <c r="A8" s="3" t="s">
        <v>1346</v>
      </c>
      <c r="B8" s="5" t="s">
        <v>1347</v>
      </c>
      <c r="F8" s="3" t="s">
        <v>1348</v>
      </c>
      <c r="H8" s="24" t="s">
        <v>1349</v>
      </c>
      <c r="I8" s="20">
        <v>71292446</v>
      </c>
      <c r="K8" t="s">
        <v>34</v>
      </c>
      <c r="M8" s="79" t="s">
        <v>31</v>
      </c>
    </row>
    <row r="9" spans="1:13" outlineLevel="1">
      <c r="A9" s="2" t="s">
        <v>1350</v>
      </c>
      <c r="B9" s="5" t="s">
        <v>1205</v>
      </c>
      <c r="F9" s="2" t="s">
        <v>1351</v>
      </c>
      <c r="H9" t="s">
        <v>1352</v>
      </c>
      <c r="I9">
        <v>70323724</v>
      </c>
      <c r="K9" t="s">
        <v>1353</v>
      </c>
      <c r="M9" s="79" t="s">
        <v>64</v>
      </c>
    </row>
    <row r="10" spans="1:13" outlineLevel="1">
      <c r="A10" s="2" t="s">
        <v>1354</v>
      </c>
      <c r="B10" s="5" t="s">
        <v>110</v>
      </c>
      <c r="F10" s="3" t="s">
        <v>1355</v>
      </c>
      <c r="H10" s="24" t="s">
        <v>1356</v>
      </c>
      <c r="I10" s="20">
        <v>32142539</v>
      </c>
      <c r="K10" t="s">
        <v>1357</v>
      </c>
      <c r="M10" s="232" t="s">
        <v>125</v>
      </c>
    </row>
    <row r="11" spans="1:13" outlineLevel="1">
      <c r="A11" s="2" t="s">
        <v>1358</v>
      </c>
      <c r="B11" s="5" t="s">
        <v>1359</v>
      </c>
      <c r="F11" s="2" t="s">
        <v>1360</v>
      </c>
      <c r="H11" s="21" t="s">
        <v>1361</v>
      </c>
      <c r="I11" s="22">
        <v>79897894</v>
      </c>
      <c r="K11" t="s">
        <v>1362</v>
      </c>
      <c r="M11" s="232" t="s">
        <v>38</v>
      </c>
    </row>
    <row r="12" spans="1:13" ht="30" outlineLevel="1">
      <c r="A12" s="3" t="s">
        <v>1363</v>
      </c>
      <c r="B12" s="5" t="s">
        <v>1039</v>
      </c>
      <c r="F12" s="301" t="s">
        <v>9</v>
      </c>
      <c r="H12" s="27" t="s">
        <v>1364</v>
      </c>
      <c r="I12" s="28">
        <v>32184975</v>
      </c>
      <c r="M12" s="232" t="s">
        <v>1223</v>
      </c>
    </row>
    <row r="13" spans="1:13" outlineLevel="1">
      <c r="A13" s="3" t="s">
        <v>1365</v>
      </c>
      <c r="B13" s="5" t="s">
        <v>1365</v>
      </c>
      <c r="H13" s="21" t="s">
        <v>1366</v>
      </c>
      <c r="I13" s="22">
        <v>71662031</v>
      </c>
    </row>
    <row r="14" spans="1:13" outlineLevel="1">
      <c r="A14" s="3" t="s">
        <v>1367</v>
      </c>
      <c r="B14" s="5" t="s">
        <v>1233</v>
      </c>
      <c r="H14" s="24" t="s">
        <v>1368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1369</v>
      </c>
      <c r="I15" s="26">
        <v>16757142</v>
      </c>
    </row>
    <row r="16" spans="1:13" outlineLevel="1">
      <c r="A16" s="2" t="s">
        <v>1370</v>
      </c>
      <c r="B16" s="5" t="s">
        <v>242</v>
      </c>
      <c r="H16" s="253" t="s">
        <v>1371</v>
      </c>
      <c r="I16" s="22">
        <v>71278905</v>
      </c>
    </row>
    <row r="17" spans="1:9" outlineLevel="1">
      <c r="A17" s="2" t="s">
        <v>1372</v>
      </c>
      <c r="B17" s="5" t="s">
        <v>366</v>
      </c>
      <c r="H17" s="24" t="s">
        <v>1373</v>
      </c>
      <c r="I17" s="20">
        <v>1152194903</v>
      </c>
    </row>
    <row r="18" spans="1:9" outlineLevel="1">
      <c r="A18" s="2" t="s">
        <v>1374</v>
      </c>
      <c r="B18" s="5" t="s">
        <v>1226</v>
      </c>
      <c r="H18" s="25" t="s">
        <v>1375</v>
      </c>
      <c r="I18" s="255" t="s">
        <v>1376</v>
      </c>
    </row>
    <row r="19" spans="1:9" outlineLevel="1">
      <c r="A19" s="3" t="s">
        <v>1377</v>
      </c>
      <c r="B19" s="5" t="s">
        <v>245</v>
      </c>
      <c r="H19" s="24" t="s">
        <v>1378</v>
      </c>
      <c r="I19" s="20">
        <v>71639999</v>
      </c>
    </row>
    <row r="20" spans="1:9" outlineLevel="1">
      <c r="A20" t="s">
        <v>1379</v>
      </c>
      <c r="B20" s="5" t="s">
        <v>1380</v>
      </c>
      <c r="H20" s="25" t="s">
        <v>1381</v>
      </c>
      <c r="I20" s="26">
        <v>1121878447</v>
      </c>
    </row>
    <row r="21" spans="1:9" outlineLevel="1">
      <c r="A21" t="s">
        <v>1382</v>
      </c>
      <c r="B21" s="6" t="s">
        <v>111</v>
      </c>
      <c r="H21" s="21" t="s">
        <v>1383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1384</v>
      </c>
      <c r="I22" s="20">
        <v>43506380</v>
      </c>
    </row>
    <row r="23" spans="1:9" outlineLevel="1">
      <c r="A23" s="4" t="s">
        <v>1385</v>
      </c>
      <c r="B23" s="5" t="s">
        <v>211</v>
      </c>
      <c r="H23" s="24" t="s">
        <v>1386</v>
      </c>
      <c r="I23" s="20">
        <v>43498846</v>
      </c>
    </row>
    <row r="24" spans="1:9" outlineLevel="1">
      <c r="A24" t="s">
        <v>1387</v>
      </c>
      <c r="B24" s="5" t="s">
        <v>177</v>
      </c>
      <c r="H24" s="21" t="s">
        <v>1388</v>
      </c>
      <c r="I24" s="22">
        <v>1128404319</v>
      </c>
    </row>
    <row r="25" spans="1:9" outlineLevel="1">
      <c r="A25" s="4" t="s">
        <v>1072</v>
      </c>
      <c r="B25" s="5" t="s">
        <v>1072</v>
      </c>
      <c r="H25" s="24" t="s">
        <v>1389</v>
      </c>
      <c r="I25" s="20">
        <v>1037584367</v>
      </c>
    </row>
    <row r="26" spans="1:9" outlineLevel="1">
      <c r="A26" t="s">
        <v>1194</v>
      </c>
      <c r="B26" s="5" t="s">
        <v>1194</v>
      </c>
      <c r="H26" s="25" t="s">
        <v>1390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1391</v>
      </c>
      <c r="I27" s="20">
        <v>5820573</v>
      </c>
    </row>
    <row r="28" spans="1:9" outlineLevel="1">
      <c r="A28" s="4" t="s">
        <v>1392</v>
      </c>
      <c r="B28" s="5" t="s">
        <v>115</v>
      </c>
      <c r="H28" s="201" t="s">
        <v>1393</v>
      </c>
      <c r="I28" s="26">
        <v>80810881</v>
      </c>
    </row>
    <row r="29" spans="1:9" outlineLevel="1">
      <c r="H29" s="201" t="s">
        <v>1394</v>
      </c>
      <c r="I29" s="26">
        <v>70566616</v>
      </c>
    </row>
    <row r="30" spans="1:9" outlineLevel="1">
      <c r="H30" s="11" t="s">
        <v>1395</v>
      </c>
      <c r="I30" s="88">
        <v>71765633</v>
      </c>
    </row>
    <row r="31" spans="1:9" outlineLevel="1">
      <c r="H31" s="254" t="s">
        <v>1396</v>
      </c>
      <c r="I31" s="254">
        <v>43874217</v>
      </c>
    </row>
    <row r="32" spans="1:9" outlineLevel="1">
      <c r="H32" t="s">
        <v>1397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