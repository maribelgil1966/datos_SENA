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ia\OneDrive\Escritorio\complementario 2023\Componente de Resocializacion\"/>
    </mc:Choice>
  </mc:AlternateContent>
  <xr:revisionPtr revIDLastSave="11" documentId="8_{E5528F16-8418-4265-BE0C-726CE7F2546D}" xr6:coauthVersionLast="47" xr6:coauthVersionMax="47" xr10:uidLastSave="{332ED98D-18F6-49B1-AEBD-F912408E276F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<sst xmlns="http://schemas.openxmlformats.org/spreadsheetml/2006/main" count="5057" uniqueCount="1394">
  <si>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</si>
  <si>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</si>
  <si>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</si>
  <si>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</si>
  <si>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</si>
  <si>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</si>
  <si>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</si>
  <si>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</si>
  <si>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</si>
  <si>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COMPLEMENTARIO MARROQUINERIA</t>
  </si>
  <si>
    <t>FICHA(#)</t>
  </si>
  <si>
    <t>NOMBRE DEL PRODUCTO</t>
  </si>
  <si>
    <t xml:space="preserve">cinturon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</si>
  <si>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</si>
  <si>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</si>
  <si>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</si>
  <si>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</si>
  <si>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</si>
  <si>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</si>
  <si>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</si>
  <si>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</si>
  <si>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</si>
  <si>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</si>
  <si>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</si>
  <si>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</si>
  <si>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</si>
  <si>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ADHESIVOS_Solventes</t>
  </si>
  <si>
    <t xml:space="preserve">PEGANTE CEMENTO DE CONTACTO BASE CLOROPRENO
</t>
  </si>
  <si>
    <t>QUÍMICOS</t>
  </si>
  <si>
    <t>Tinta marroquinera negra</t>
  </si>
  <si>
    <t>HERRAMIENTAS_</t>
  </si>
  <si>
    <t xml:space="preserve">PERFORADORES/SACABOCADOS
</t>
  </si>
  <si>
    <t>Mateante acuoso</t>
  </si>
  <si>
    <t>INSUMOS_COMPL_</t>
  </si>
  <si>
    <t xml:space="preserve">AGUJAS CAPOTERA CON PUNTA #5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</si>
  <si>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</si>
  <si>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</si>
  <si>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</si>
  <si>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</si>
  <si>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</si>
  <si>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</si>
  <si>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</si>
  <si>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</si>
  <si>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</si>
  <si>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</si>
  <si>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</si>
  <si>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</si>
  <si>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</si>
  <si>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</si>
  <si>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</si>
  <si>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</si>
  <si>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</si>
  <si>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</si>
  <si>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</si>
  <si>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</si>
  <si>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</si>
  <si>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</si>
  <si>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</si>
  <si>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</si>
  <si>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</si>
  <si>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</si>
  <si>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</si>
  <si>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</si>
  <si>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</si>
  <si>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</si>
  <si>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</si>
  <si>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</si>
  <si>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</si>
  <si>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</si>
  <si>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</si>
  <si>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</si>
  <si>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</si>
  <si>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</si>
  <si>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</si>
  <si>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</si>
  <si>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</si>
  <si>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</si>
  <si>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</si>
  <si>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</si>
  <si>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</si>
  <si>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</si>
  <si>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</si>
  <si>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</si>
  <si>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</si>
  <si>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</si>
  <si>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</si>
  <si>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</si>
  <si>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</si>
  <si>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</si>
  <si>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</si>
  <si>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</si>
  <si>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cuero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</si>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</sst>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314738</xdr:colOff>
      <xdr:row>0</xdr:row>
      <xdr:rowOff>140804</xdr:rowOff>
    </xdr:from>
    <xdr:to>
      <xdr:col>23</xdr:col>
      <xdr:colOff>190499</xdr:colOff>
      <xdr:row>6</xdr:row>
      <xdr:rowOff>115957</xdr:rowOff>
    </xdr:to>
    <xdr:pic>
      <xdr:nvPicPr>
        <xdr:cNvPr id="3" name="Imagen 2" descr="CINTURON.">
          <a:extLst>
            <a:ext uri="{FF2B5EF4-FFF2-40B4-BE49-F238E27FC236}">
              <a16:creationId xmlns:a16="http://schemas.microsoft.com/office/drawing/2014/main" id="{6CF69745-61C5-FF2D-8329-9B3A4311BC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600"/>
        <a:stretch/>
      </xdr:blipFill>
      <xdr:spPr bwMode="auto">
        <a:xfrm>
          <a:off x="7818781" y="140804"/>
          <a:ext cx="1615109" cy="174763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29" sqref="D2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5"/>
      <c r="B1" s="376"/>
      <c r="C1" s="358" t="s">
        <v>0</v>
      </c>
      <c r="D1" s="359"/>
      <c r="E1" s="359"/>
      <c r="F1" s="360" t="str">
        <f>IF(E2="","",CONCATENATE(LEFT(E2,1),MID(E2,SEARCH(" ",E2)+1,1),TEXT(O1,"DD"),TEXT(O1,"MM"),"-",IF(K1="",1,K1)))</f>
        <v>AM0310-1</v>
      </c>
      <c r="G1" s="361"/>
      <c r="H1" s="362"/>
      <c r="I1" s="363" t="s">
        <v>1</v>
      </c>
      <c r="J1" s="364"/>
      <c r="K1" s="246"/>
      <c r="L1" s="342" t="s">
        <v>2</v>
      </c>
      <c r="M1" s="365"/>
      <c r="N1" s="365"/>
      <c r="O1" s="366">
        <v>45202</v>
      </c>
      <c r="P1" s="366"/>
      <c r="Q1" s="366"/>
      <c r="R1" s="367"/>
      <c r="S1" s="349" t="s">
        <v>3</v>
      </c>
      <c r="T1" s="350"/>
      <c r="U1" s="350"/>
      <c r="V1" s="350"/>
      <c r="W1" s="350"/>
      <c r="X1" s="350"/>
      <c r="Y1" s="351"/>
      <c r="Z1" s="253" t="s">
        <v>4</v>
      </c>
    </row>
    <row r="2" spans="1:28" ht="23.25" customHeight="1">
      <c r="A2" s="377"/>
      <c r="B2" s="378"/>
      <c r="C2" s="381" t="s">
        <v>5</v>
      </c>
      <c r="D2" s="382"/>
      <c r="E2" s="383" t="s">
        <v>6</v>
      </c>
      <c r="F2" s="384"/>
      <c r="G2" s="384"/>
      <c r="H2" s="384"/>
      <c r="I2" s="384"/>
      <c r="J2" s="384"/>
      <c r="K2" s="385"/>
      <c r="L2" s="340" t="s">
        <v>7</v>
      </c>
      <c r="M2" s="341"/>
      <c r="N2" s="342"/>
      <c r="O2" s="343">
        <f>IF(E2="","",INDEX(Tabla3[],MATCH('Soli_citud '!E2,Intructores,0),2))</f>
        <v>71765586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0"/>
    </row>
    <row r="3" spans="1:28" ht="24.75" customHeight="1">
      <c r="A3" s="379"/>
      <c r="B3" s="380"/>
      <c r="C3" s="389" t="s">
        <v>8</v>
      </c>
      <c r="D3" s="390"/>
      <c r="E3" s="391" t="s">
        <v>9</v>
      </c>
      <c r="F3" s="392"/>
      <c r="G3" s="392"/>
      <c r="H3" s="392"/>
      <c r="I3" s="392"/>
      <c r="J3" s="392"/>
      <c r="K3" s="393"/>
      <c r="L3" s="340" t="s">
        <v>10</v>
      </c>
      <c r="M3" s="341"/>
      <c r="N3" s="342"/>
      <c r="O3" s="316">
        <v>2851012</v>
      </c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0"/>
    </row>
    <row r="4" spans="1:28" ht="30.75" customHeight="1">
      <c r="A4" s="374" t="s">
        <v>11</v>
      </c>
      <c r="B4" s="374"/>
      <c r="C4" s="374"/>
      <c r="D4" s="368" t="s">
        <v>12</v>
      </c>
      <c r="E4" s="369"/>
      <c r="F4" s="369"/>
      <c r="G4" s="369"/>
      <c r="H4" s="369"/>
      <c r="I4" s="369"/>
      <c r="J4" s="369"/>
      <c r="K4" s="369"/>
      <c r="L4" s="370" t="s">
        <v>13</v>
      </c>
      <c r="M4" s="370"/>
      <c r="N4" s="370"/>
      <c r="O4" s="371" t="s">
        <v>14</v>
      </c>
      <c r="P4" s="372"/>
      <c r="Q4" s="372"/>
      <c r="R4" s="373"/>
      <c r="S4" s="352"/>
      <c r="T4" s="353"/>
      <c r="U4" s="353"/>
      <c r="V4" s="353"/>
      <c r="W4" s="353"/>
      <c r="X4" s="353"/>
      <c r="Y4" s="354"/>
      <c r="Z4" s="30"/>
    </row>
    <row r="5" spans="1:28" ht="29.25" customHeight="1">
      <c r="A5" s="394" t="s">
        <v>15</v>
      </c>
      <c r="B5" s="394"/>
      <c r="C5" s="394"/>
      <c r="D5" s="395">
        <f ca="1">IF(K5="","",(SUM(W10:Y28)-(SUMIF(U10:V28,"Restar_Pedido",W10:Y28)))/$K$5)</f>
        <v>4629.2243196829586</v>
      </c>
      <c r="E5" s="396"/>
      <c r="F5" s="397"/>
      <c r="G5" s="381" t="s">
        <v>16</v>
      </c>
      <c r="H5" s="398"/>
      <c r="I5" s="398"/>
      <c r="J5" s="382"/>
      <c r="K5" s="356">
        <v>21</v>
      </c>
      <c r="L5" s="356"/>
      <c r="M5" s="357" t="s">
        <v>17</v>
      </c>
      <c r="N5" s="357"/>
      <c r="O5" s="346">
        <f ca="1">IFERROR(IF(K5=0,"",D5*K5),"")</f>
        <v>97213.710713342123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2"/>
      <c r="T6" s="353"/>
      <c r="U6" s="353"/>
      <c r="V6" s="353"/>
      <c r="W6" s="353"/>
      <c r="X6" s="353"/>
      <c r="Y6" s="354"/>
      <c r="Z6" s="30"/>
      <c r="AA6" s="33"/>
      <c r="AB6" s="33"/>
    </row>
    <row r="7" spans="1:28" ht="24" customHeight="1" thickBot="1">
      <c r="A7" s="386" t="s">
        <v>18</v>
      </c>
      <c r="B7" s="386"/>
      <c r="C7" s="386"/>
      <c r="D7" s="387" t="s">
        <v>19</v>
      </c>
      <c r="E7" s="387"/>
      <c r="F7" s="387"/>
      <c r="G7" s="387"/>
      <c r="H7" s="387"/>
      <c r="I7" s="387"/>
      <c r="J7" s="387"/>
      <c r="K7" s="387"/>
      <c r="L7" s="387"/>
      <c r="M7" s="387"/>
      <c r="N7" s="387"/>
      <c r="O7" s="335" t="s">
        <v>20</v>
      </c>
      <c r="P7" s="335"/>
      <c r="Q7" s="388" t="s">
        <v>21</v>
      </c>
      <c r="R7" s="388"/>
      <c r="S7" s="353"/>
      <c r="T7" s="353"/>
      <c r="U7" s="353"/>
      <c r="V7" s="353"/>
      <c r="W7" s="353"/>
      <c r="X7" s="353"/>
      <c r="Y7" s="354"/>
      <c r="Z7" s="30"/>
    </row>
    <row r="8" spans="1:28" ht="18.75" customHeight="1">
      <c r="A8" s="386"/>
      <c r="B8" s="386"/>
      <c r="C8" s="386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35"/>
      <c r="P8" s="335"/>
      <c r="Q8" s="388"/>
      <c r="R8" s="388"/>
      <c r="S8" s="337" t="s">
        <v>22</v>
      </c>
      <c r="T8" s="337"/>
      <c r="U8" s="337"/>
      <c r="V8" s="338">
        <f>IF(K5="","",1/K5)</f>
        <v>4.7619047619047616E-2</v>
      </c>
      <c r="W8" s="339"/>
      <c r="X8" s="107"/>
      <c r="Y8" s="108">
        <f>IFERROR((V8*X8)," ")</f>
        <v>0</v>
      </c>
      <c r="Z8" s="30"/>
    </row>
    <row r="9" spans="1:28" ht="12" customHeight="1">
      <c r="A9" s="355"/>
      <c r="B9" s="355"/>
      <c r="C9" s="35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6" t="s">
        <v>23</v>
      </c>
      <c r="T9" s="336"/>
      <c r="U9" s="335" t="s">
        <v>24</v>
      </c>
      <c r="V9" s="335"/>
      <c r="W9" s="335" t="s">
        <v>25</v>
      </c>
      <c r="X9" s="335"/>
      <c r="Y9" s="335"/>
    </row>
    <row r="10" spans="1:28" ht="17.25" customHeight="1">
      <c r="A10" s="309" t="s">
        <v>26</v>
      </c>
      <c r="B10" s="309"/>
      <c r="C10" s="310"/>
      <c r="D10" s="399" t="s">
        <v>27</v>
      </c>
      <c r="E10" s="400"/>
      <c r="F10" s="400"/>
      <c r="G10" s="400"/>
      <c r="H10" s="400"/>
      <c r="I10" s="400"/>
      <c r="J10" s="400"/>
      <c r="K10" s="400"/>
      <c r="L10" s="400"/>
      <c r="M10" s="400"/>
      <c r="N10" s="401"/>
      <c r="O10" s="314" t="str">
        <f t="shared" ref="O10:O31" ca="1" si="0">IFERROR(IF(D10="","",INDEX(Tabla_Completa,MATCH(D10,Materiales,0),6)),"")</f>
        <v>ml</v>
      </c>
      <c r="P10" s="315"/>
      <c r="Q10" s="316">
        <v>120</v>
      </c>
      <c r="R10" s="317"/>
      <c r="S10" s="318">
        <f>IFERROR(IF(Q10="Unidad","1",(Q10*$K$5)),"")</f>
        <v>2520</v>
      </c>
      <c r="T10" s="319"/>
      <c r="U10" s="306"/>
      <c r="V10" s="402"/>
      <c r="W10" s="307">
        <f ca="1">IFERROR(IF(D10="","",INDEX(Tabla_Completa,MATCH('Soli_citud '!D10,Materiales,0),7)*S10),"")</f>
        <v>44013.780713342137</v>
      </c>
      <c r="X10" s="307"/>
      <c r="Y10" s="307"/>
      <c r="Z10" s="34"/>
    </row>
    <row r="11" spans="1:28" ht="17.25" customHeight="1">
      <c r="A11" s="308" t="s">
        <v>28</v>
      </c>
      <c r="B11" s="309"/>
      <c r="C11" s="310"/>
      <c r="D11" s="399" t="s">
        <v>29</v>
      </c>
      <c r="E11" s="400"/>
      <c r="F11" s="400"/>
      <c r="G11" s="400"/>
      <c r="H11" s="400"/>
      <c r="I11" s="400"/>
      <c r="J11" s="400"/>
      <c r="K11" s="400"/>
      <c r="L11" s="400"/>
      <c r="M11" s="400"/>
      <c r="N11" s="401"/>
      <c r="O11" s="314" t="str">
        <f t="shared" ca="1" si="0"/>
        <v>gal</v>
      </c>
      <c r="P11" s="315"/>
      <c r="Q11" s="316">
        <v>25</v>
      </c>
      <c r="R11" s="317"/>
      <c r="S11" s="318">
        <f t="shared" ref="S11:S31" si="1">IFERROR(IF(Q11="Unidad","1",(Q11*$K$5)),"")</f>
        <v>525</v>
      </c>
      <c r="T11" s="319"/>
      <c r="U11" s="306"/>
      <c r="V11" s="306"/>
      <c r="W11" s="307">
        <f ca="1">IFERROR(IF(D11="","",INDEX(Tabla_Completa,MATCH('Soli_citud '!D11,Materiales,0),7)*S11),"")</f>
        <v>0</v>
      </c>
      <c r="X11" s="307"/>
      <c r="Y11" s="307"/>
    </row>
    <row r="12" spans="1:28" ht="15.75" customHeight="1">
      <c r="A12" s="308" t="s">
        <v>30</v>
      </c>
      <c r="B12" s="309"/>
      <c r="C12" s="310"/>
      <c r="D12" s="403" t="s">
        <v>31</v>
      </c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314" t="str">
        <f ca="1">IFERROR(IF(D12="","",INDEX(Tabla_Completa,MATCH(D12,Materiales,0),6)),"")</f>
        <v>U</v>
      </c>
      <c r="P12" s="315"/>
      <c r="Q12" s="316">
        <v>0.05</v>
      </c>
      <c r="R12" s="317"/>
      <c r="S12" s="318">
        <f t="shared" si="1"/>
        <v>1.05</v>
      </c>
      <c r="T12" s="319"/>
      <c r="U12" s="306"/>
      <c r="V12" s="306"/>
      <c r="W12" s="307">
        <f ca="1">IFERROR(IF(D12="","",INDEX(Tabla_Completa,MATCH('Soli_citud '!D12,Materiales,0),7)*S12),"")</f>
        <v>46725</v>
      </c>
      <c r="X12" s="307"/>
      <c r="Y12" s="307"/>
    </row>
    <row r="13" spans="1:28" ht="15.75" customHeight="1">
      <c r="A13" s="308" t="s">
        <v>28</v>
      </c>
      <c r="B13" s="309"/>
      <c r="C13" s="310"/>
      <c r="D13" s="399" t="s">
        <v>32</v>
      </c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314" t="str">
        <f ca="1">IFERROR(IF(D13="","",INDEX(Tabla_Completa,MATCH(D13,Materiales,0),6)),"")</f>
        <v>ml</v>
      </c>
      <c r="P13" s="315"/>
      <c r="Q13" s="316">
        <v>25</v>
      </c>
      <c r="R13" s="317"/>
      <c r="S13" s="318">
        <f t="shared" si="1"/>
        <v>525</v>
      </c>
      <c r="T13" s="319"/>
      <c r="U13" s="306"/>
      <c r="V13" s="306"/>
      <c r="W13" s="307">
        <f ca="1">IFERROR(IF(D13="","",INDEX(Tabla_Completa,MATCH('Soli_citud '!D13,Materiales,0),7)*S13),"")</f>
        <v>0</v>
      </c>
      <c r="X13" s="307"/>
      <c r="Y13" s="307"/>
    </row>
    <row r="14" spans="1:28" ht="17.25" customHeight="1">
      <c r="A14" s="308" t="s">
        <v>33</v>
      </c>
      <c r="B14" s="309"/>
      <c r="C14" s="310"/>
      <c r="D14" s="399" t="s">
        <v>34</v>
      </c>
      <c r="E14" s="400"/>
      <c r="F14" s="400"/>
      <c r="G14" s="400"/>
      <c r="H14" s="400"/>
      <c r="I14" s="400"/>
      <c r="J14" s="400"/>
      <c r="K14" s="400"/>
      <c r="L14" s="400"/>
      <c r="M14" s="400"/>
      <c r="N14" s="401"/>
      <c r="O14" s="314" t="str">
        <f t="shared" ca="1" si="0"/>
        <v>U</v>
      </c>
      <c r="P14" s="315"/>
      <c r="Q14" s="316">
        <v>1</v>
      </c>
      <c r="R14" s="317"/>
      <c r="S14" s="318">
        <f t="shared" si="1"/>
        <v>21</v>
      </c>
      <c r="T14" s="319"/>
      <c r="U14" s="306"/>
      <c r="V14" s="306"/>
      <c r="W14" s="307">
        <f ca="1">IFERROR(IF(D14="","",INDEX(Tabla_Completa,MATCH('Soli_citud '!D14,Materiales,0),7)*S14),"")</f>
        <v>6474.9299999999994</v>
      </c>
      <c r="X14" s="307"/>
      <c r="Y14" s="307"/>
    </row>
    <row r="15" spans="1:28" ht="15.75" customHeight="1">
      <c r="A15" s="308"/>
      <c r="B15" s="309"/>
      <c r="C15" s="310"/>
      <c r="D15" s="399"/>
      <c r="E15" s="400"/>
      <c r="F15" s="400"/>
      <c r="G15" s="400"/>
      <c r="H15" s="400"/>
      <c r="I15" s="400"/>
      <c r="J15" s="400"/>
      <c r="K15" s="400"/>
      <c r="L15" s="400"/>
      <c r="M15" s="400"/>
      <c r="N15" s="401"/>
      <c r="O15" s="314" t="str">
        <f t="shared" ca="1" si="0"/>
        <v/>
      </c>
      <c r="P15" s="315"/>
      <c r="Q15" s="316"/>
      <c r="R15" s="317"/>
      <c r="S15" s="318">
        <f t="shared" si="1"/>
        <v>0</v>
      </c>
      <c r="T15" s="319"/>
      <c r="U15" s="306"/>
      <c r="V15" s="306"/>
      <c r="W15" s="307" t="str">
        <f ca="1">IFERROR(IF(D15="","",INDEX(Tabla_Completa,MATCH('Soli_citud '!D15,Materiales,0),7)*S15),"")</f>
        <v/>
      </c>
      <c r="X15" s="307"/>
      <c r="Y15" s="307"/>
    </row>
    <row r="16" spans="1:28" ht="15.75" customHeight="1">
      <c r="A16" s="308"/>
      <c r="B16" s="309"/>
      <c r="C16" s="310"/>
      <c r="D16" s="399"/>
      <c r="E16" s="400"/>
      <c r="F16" s="400"/>
      <c r="G16" s="400"/>
      <c r="H16" s="400"/>
      <c r="I16" s="400"/>
      <c r="J16" s="400"/>
      <c r="K16" s="400"/>
      <c r="L16" s="400"/>
      <c r="M16" s="400"/>
      <c r="N16" s="401"/>
      <c r="O16" s="314" t="str">
        <f t="shared" ca="1" si="0"/>
        <v/>
      </c>
      <c r="P16" s="315"/>
      <c r="Q16" s="316"/>
      <c r="R16" s="317"/>
      <c r="S16" s="318">
        <f t="shared" si="1"/>
        <v>0</v>
      </c>
      <c r="T16" s="319"/>
      <c r="U16" s="306"/>
      <c r="V16" s="306"/>
      <c r="W16" s="307" t="str">
        <f ca="1">IFERROR(IF(D16="","",INDEX(Tabla_Completa,MATCH('Soli_citud '!D16,Materiales,0),7)*S16),"")</f>
        <v/>
      </c>
      <c r="X16" s="307"/>
      <c r="Y16" s="307"/>
    </row>
    <row r="17" spans="1:25" ht="15.75" customHeight="1">
      <c r="A17" s="308"/>
      <c r="B17" s="309"/>
      <c r="C17" s="310"/>
      <c r="D17" s="399"/>
      <c r="E17" s="400"/>
      <c r="F17" s="400"/>
      <c r="G17" s="400"/>
      <c r="H17" s="400"/>
      <c r="I17" s="400"/>
      <c r="J17" s="400"/>
      <c r="K17" s="400"/>
      <c r="L17" s="400"/>
      <c r="M17" s="400"/>
      <c r="N17" s="401"/>
      <c r="O17" s="314" t="str">
        <f t="shared" ca="1" si="0"/>
        <v/>
      </c>
      <c r="P17" s="315"/>
      <c r="Q17" s="316"/>
      <c r="R17" s="317"/>
      <c r="S17" s="318">
        <f t="shared" si="1"/>
        <v>0</v>
      </c>
      <c r="T17" s="319"/>
      <c r="U17" s="306"/>
      <c r="V17" s="306"/>
      <c r="W17" s="307" t="str">
        <f ca="1">IFERROR(IF(D17="","",INDEX(Tabla_Completa,MATCH('Soli_citud '!D17,Materiales,0),7)*S17),"")</f>
        <v/>
      </c>
      <c r="X17" s="307"/>
      <c r="Y17" s="307"/>
    </row>
    <row r="18" spans="1:25" ht="15.75" customHeight="1">
      <c r="A18" s="308"/>
      <c r="B18" s="309"/>
      <c r="C18" s="310"/>
      <c r="D18" s="399"/>
      <c r="E18" s="400"/>
      <c r="F18" s="400"/>
      <c r="G18" s="400"/>
      <c r="H18" s="400"/>
      <c r="I18" s="400"/>
      <c r="J18" s="400"/>
      <c r="K18" s="400"/>
      <c r="L18" s="400"/>
      <c r="M18" s="400"/>
      <c r="N18" s="401"/>
      <c r="O18" s="314" t="str">
        <f t="shared" ca="1" si="0"/>
        <v/>
      </c>
      <c r="P18" s="315"/>
      <c r="Q18" s="316"/>
      <c r="R18" s="317"/>
      <c r="S18" s="318">
        <f t="shared" si="1"/>
        <v>0</v>
      </c>
      <c r="T18" s="319"/>
      <c r="U18" s="306"/>
      <c r="V18" s="306"/>
      <c r="W18" s="307" t="str">
        <f ca="1">IFERROR(IF(D18="","",INDEX(Tabla_Completa,MATCH('Soli_citud '!D18,Materiales,0),7)*S18),"")</f>
        <v/>
      </c>
      <c r="X18" s="307"/>
      <c r="Y18" s="307"/>
    </row>
    <row r="19" spans="1:25" ht="15.75">
      <c r="A19" s="308"/>
      <c r="B19" s="309"/>
      <c r="C19" s="310"/>
      <c r="D19" s="311"/>
      <c r="E19" s="312"/>
      <c r="F19" s="312"/>
      <c r="G19" s="312"/>
      <c r="H19" s="312"/>
      <c r="I19" s="312"/>
      <c r="J19" s="312"/>
      <c r="K19" s="312"/>
      <c r="L19" s="312"/>
      <c r="M19" s="312"/>
      <c r="N19" s="313"/>
      <c r="O19" s="314" t="str">
        <f t="shared" ca="1" si="0"/>
        <v/>
      </c>
      <c r="P19" s="315"/>
      <c r="Q19" s="316"/>
      <c r="R19" s="317"/>
      <c r="S19" s="318">
        <f t="shared" si="1"/>
        <v>0</v>
      </c>
      <c r="T19" s="319"/>
      <c r="U19" s="306"/>
      <c r="V19" s="306"/>
      <c r="W19" s="307" t="str">
        <f ca="1">IFERROR(IF(D19="","",INDEX(Tabla_Completa,MATCH('Soli_citud '!D19,Materiales,0),7)*S19),"")</f>
        <v/>
      </c>
      <c r="X19" s="307"/>
      <c r="Y19" s="307"/>
    </row>
    <row r="20" spans="1:25" ht="15.75">
      <c r="A20" s="308"/>
      <c r="B20" s="309"/>
      <c r="C20" s="310"/>
      <c r="D20" s="311"/>
      <c r="E20" s="312"/>
      <c r="F20" s="312"/>
      <c r="G20" s="312"/>
      <c r="H20" s="312"/>
      <c r="I20" s="312"/>
      <c r="J20" s="312"/>
      <c r="K20" s="312"/>
      <c r="L20" s="312"/>
      <c r="M20" s="312"/>
      <c r="N20" s="313"/>
      <c r="O20" s="314" t="str">
        <f t="shared" ca="1" si="0"/>
        <v/>
      </c>
      <c r="P20" s="315"/>
      <c r="Q20" s="316"/>
      <c r="R20" s="317"/>
      <c r="S20" s="318">
        <f t="shared" si="1"/>
        <v>0</v>
      </c>
      <c r="T20" s="319"/>
      <c r="U20" s="306"/>
      <c r="V20" s="306"/>
      <c r="W20" s="307" t="str">
        <f ca="1">IFERROR(IF(D20="","",INDEX(Tabla_Completa,MATCH('Soli_citud '!D20,Materiales,0),7)*S20),"")</f>
        <v/>
      </c>
      <c r="X20" s="307"/>
      <c r="Y20" s="307"/>
    </row>
    <row r="21" spans="1:25" ht="15.75">
      <c r="A21" s="308"/>
      <c r="B21" s="309"/>
      <c r="C21" s="310"/>
      <c r="D21" s="311"/>
      <c r="E21" s="312"/>
      <c r="F21" s="312"/>
      <c r="G21" s="312"/>
      <c r="H21" s="312"/>
      <c r="I21" s="312"/>
      <c r="J21" s="312"/>
      <c r="K21" s="312"/>
      <c r="L21" s="312"/>
      <c r="M21" s="312"/>
      <c r="N21" s="313"/>
      <c r="O21" s="314" t="str">
        <f t="shared" ca="1" si="0"/>
        <v/>
      </c>
      <c r="P21" s="315"/>
      <c r="Q21" s="316"/>
      <c r="R21" s="317"/>
      <c r="S21" s="318">
        <f t="shared" si="1"/>
        <v>0</v>
      </c>
      <c r="T21" s="319"/>
      <c r="U21" s="306"/>
      <c r="V21" s="306"/>
      <c r="W21" s="307" t="str">
        <f ca="1">IFERROR(IF(D21="","",INDEX(Tabla_Completa,MATCH('Soli_citud '!D21,Materiales,0),7)*S21),"")</f>
        <v/>
      </c>
      <c r="X21" s="307"/>
      <c r="Y21" s="307"/>
    </row>
    <row r="22" spans="1:25" ht="15.75">
      <c r="A22" s="308"/>
      <c r="B22" s="309"/>
      <c r="C22" s="310"/>
      <c r="D22" s="311"/>
      <c r="E22" s="312"/>
      <c r="F22" s="312"/>
      <c r="G22" s="312"/>
      <c r="H22" s="312"/>
      <c r="I22" s="312"/>
      <c r="J22" s="312"/>
      <c r="K22" s="312"/>
      <c r="L22" s="312"/>
      <c r="M22" s="312"/>
      <c r="N22" s="313"/>
      <c r="O22" s="314" t="str">
        <f t="shared" ca="1" si="0"/>
        <v/>
      </c>
      <c r="P22" s="315"/>
      <c r="Q22" s="316"/>
      <c r="R22" s="317"/>
      <c r="S22" s="318">
        <f t="shared" si="1"/>
        <v>0</v>
      </c>
      <c r="T22" s="319"/>
      <c r="U22" s="306"/>
      <c r="V22" s="306"/>
      <c r="W22" s="307" t="str">
        <f ca="1">IFERROR(IF(D22="","",INDEX(Tabla_Completa,MATCH('Soli_citud '!D22,Materiales,0),7)*S22),"")</f>
        <v/>
      </c>
      <c r="X22" s="307"/>
      <c r="Y22" s="307"/>
    </row>
    <row r="23" spans="1:25" ht="15.75">
      <c r="A23" s="308"/>
      <c r="B23" s="309"/>
      <c r="C23" s="310"/>
      <c r="D23" s="311"/>
      <c r="E23" s="312"/>
      <c r="F23" s="312"/>
      <c r="G23" s="312"/>
      <c r="H23" s="312"/>
      <c r="I23" s="312"/>
      <c r="J23" s="312"/>
      <c r="K23" s="312"/>
      <c r="L23" s="312"/>
      <c r="M23" s="312"/>
      <c r="N23" s="313"/>
      <c r="O23" s="314" t="str">
        <f t="shared" ca="1" si="0"/>
        <v/>
      </c>
      <c r="P23" s="315"/>
      <c r="Q23" s="316"/>
      <c r="R23" s="317"/>
      <c r="S23" s="318">
        <f t="shared" si="1"/>
        <v>0</v>
      </c>
      <c r="T23" s="319"/>
      <c r="U23" s="306"/>
      <c r="V23" s="306"/>
      <c r="W23" s="307" t="str">
        <f ca="1">IFERROR(IF(D23="","",INDEX(Tabla_Completa,MATCH('Soli_citud '!D23,Materiales,0),7)*S23),"")</f>
        <v/>
      </c>
      <c r="X23" s="307"/>
      <c r="Y23" s="307"/>
    </row>
    <row r="24" spans="1:25" ht="15.75">
      <c r="A24" s="308"/>
      <c r="B24" s="309"/>
      <c r="C24" s="310"/>
      <c r="D24" s="311"/>
      <c r="E24" s="312"/>
      <c r="F24" s="312"/>
      <c r="G24" s="312"/>
      <c r="H24" s="312"/>
      <c r="I24" s="312"/>
      <c r="J24" s="312"/>
      <c r="K24" s="312"/>
      <c r="L24" s="312"/>
      <c r="M24" s="312"/>
      <c r="N24" s="313"/>
      <c r="O24" s="314" t="str">
        <f t="shared" ca="1" si="0"/>
        <v/>
      </c>
      <c r="P24" s="315"/>
      <c r="Q24" s="316"/>
      <c r="R24" s="317"/>
      <c r="S24" s="318">
        <f t="shared" si="1"/>
        <v>0</v>
      </c>
      <c r="T24" s="319"/>
      <c r="U24" s="306"/>
      <c r="V24" s="306"/>
      <c r="W24" s="307" t="str">
        <f ca="1">IFERROR(IF(D24="","",INDEX(Tabla_Completa,MATCH('Soli_citud '!D24,Materiales,0),7)*S24),"")</f>
        <v/>
      </c>
      <c r="X24" s="307"/>
      <c r="Y24" s="307"/>
    </row>
    <row r="25" spans="1:25" ht="15.75">
      <c r="A25" s="308"/>
      <c r="B25" s="309"/>
      <c r="C25" s="310"/>
      <c r="D25" s="311"/>
      <c r="E25" s="312"/>
      <c r="F25" s="312"/>
      <c r="G25" s="312"/>
      <c r="H25" s="312"/>
      <c r="I25" s="312"/>
      <c r="J25" s="312"/>
      <c r="K25" s="312"/>
      <c r="L25" s="312"/>
      <c r="M25" s="312"/>
      <c r="N25" s="313"/>
      <c r="O25" s="314" t="str">
        <f t="shared" ca="1" si="0"/>
        <v/>
      </c>
      <c r="P25" s="315"/>
      <c r="Q25" s="316"/>
      <c r="R25" s="317"/>
      <c r="S25" s="318">
        <f t="shared" si="1"/>
        <v>0</v>
      </c>
      <c r="T25" s="319"/>
      <c r="U25" s="306"/>
      <c r="V25" s="306"/>
      <c r="W25" s="307" t="str">
        <f ca="1">IFERROR(IF(D25="","",INDEX(Tabla_Completa,MATCH('Soli_citud '!D25,Materiales,0),7)*S25),"")</f>
        <v/>
      </c>
      <c r="X25" s="307"/>
      <c r="Y25" s="307"/>
    </row>
    <row r="26" spans="1:25" ht="15.75">
      <c r="A26" s="308"/>
      <c r="B26" s="309"/>
      <c r="C26" s="310"/>
      <c r="D26" s="311"/>
      <c r="E26" s="312"/>
      <c r="F26" s="312"/>
      <c r="G26" s="312"/>
      <c r="H26" s="312"/>
      <c r="I26" s="312"/>
      <c r="J26" s="312"/>
      <c r="K26" s="312"/>
      <c r="L26" s="312"/>
      <c r="M26" s="312"/>
      <c r="N26" s="313"/>
      <c r="O26" s="314" t="str">
        <f t="shared" ca="1" si="0"/>
        <v/>
      </c>
      <c r="P26" s="315"/>
      <c r="Q26" s="316"/>
      <c r="R26" s="317"/>
      <c r="S26" s="318">
        <f t="shared" si="1"/>
        <v>0</v>
      </c>
      <c r="T26" s="319"/>
      <c r="U26" s="306"/>
      <c r="V26" s="306"/>
      <c r="W26" s="307" t="str">
        <f ca="1">IFERROR(IF(D26="","",INDEX(Tabla_Completa,MATCH('Soli_citud '!D26,Materiales,0),7)*S26),"")</f>
        <v/>
      </c>
      <c r="X26" s="307"/>
      <c r="Y26" s="307"/>
    </row>
    <row r="27" spans="1:25" ht="15.75">
      <c r="A27" s="308"/>
      <c r="B27" s="309"/>
      <c r="C27" s="310"/>
      <c r="D27" s="311"/>
      <c r="E27" s="312"/>
      <c r="F27" s="312"/>
      <c r="G27" s="312"/>
      <c r="H27" s="312"/>
      <c r="I27" s="312"/>
      <c r="J27" s="312"/>
      <c r="K27" s="312"/>
      <c r="L27" s="312"/>
      <c r="M27" s="312"/>
      <c r="N27" s="313"/>
      <c r="O27" s="314" t="str">
        <f t="shared" ca="1" si="0"/>
        <v/>
      </c>
      <c r="P27" s="315"/>
      <c r="Q27" s="316"/>
      <c r="R27" s="317"/>
      <c r="S27" s="318">
        <f t="shared" si="1"/>
        <v>0</v>
      </c>
      <c r="T27" s="319"/>
      <c r="U27" s="306"/>
      <c r="V27" s="306"/>
      <c r="W27" s="307" t="str">
        <f ca="1">IFERROR(IF(D27="","",INDEX(Tabla_Completa,MATCH('Soli_citud '!D27,Materiales,0),7)*S27),"")</f>
        <v/>
      </c>
      <c r="X27" s="307"/>
      <c r="Y27" s="307"/>
    </row>
    <row r="28" spans="1:25" ht="15.75">
      <c r="A28" s="308"/>
      <c r="B28" s="309"/>
      <c r="C28" s="310"/>
      <c r="D28" s="311"/>
      <c r="E28" s="312"/>
      <c r="F28" s="312"/>
      <c r="G28" s="312"/>
      <c r="H28" s="312"/>
      <c r="I28" s="312"/>
      <c r="J28" s="312"/>
      <c r="K28" s="312"/>
      <c r="L28" s="312"/>
      <c r="M28" s="312"/>
      <c r="N28" s="313"/>
      <c r="O28" s="314" t="str">
        <f t="shared" ca="1" si="0"/>
        <v/>
      </c>
      <c r="P28" s="315"/>
      <c r="Q28" s="316"/>
      <c r="R28" s="317"/>
      <c r="S28" s="318">
        <f t="shared" si="1"/>
        <v>0</v>
      </c>
      <c r="T28" s="319"/>
      <c r="U28" s="306"/>
      <c r="V28" s="306"/>
      <c r="W28" s="307" t="str">
        <f ca="1">IFERROR(IF(D28="","",INDEX(Tabla_Completa,MATCH('Soli_citud '!D28,Materiales,0),7)*S28),"")</f>
        <v/>
      </c>
      <c r="X28" s="307"/>
      <c r="Y28" s="307"/>
    </row>
    <row r="29" spans="1:25" ht="15.75">
      <c r="A29" s="308"/>
      <c r="B29" s="309"/>
      <c r="C29" s="310"/>
      <c r="D29" s="311"/>
      <c r="E29" s="312"/>
      <c r="F29" s="312"/>
      <c r="G29" s="312"/>
      <c r="H29" s="312"/>
      <c r="I29" s="312"/>
      <c r="J29" s="312"/>
      <c r="K29" s="312"/>
      <c r="L29" s="312"/>
      <c r="M29" s="312"/>
      <c r="N29" s="313"/>
      <c r="O29" s="314" t="str">
        <f t="shared" ca="1" si="0"/>
        <v/>
      </c>
      <c r="P29" s="315"/>
      <c r="Q29" s="316"/>
      <c r="R29" s="317"/>
      <c r="S29" s="318">
        <f t="shared" si="1"/>
        <v>0</v>
      </c>
      <c r="T29" s="319"/>
      <c r="U29" s="306"/>
      <c r="V29" s="306"/>
      <c r="W29" s="307" t="str">
        <f ca="1">IFERROR(IF(D29="","",INDEX(Tabla_Completa,MATCH('Soli_citud '!D29,Materiales,0),7)*S29),"")</f>
        <v/>
      </c>
      <c r="X29" s="307"/>
      <c r="Y29" s="307"/>
    </row>
    <row r="30" spans="1:25" ht="15.75">
      <c r="A30" s="308"/>
      <c r="B30" s="309"/>
      <c r="C30" s="310"/>
      <c r="D30" s="311"/>
      <c r="E30" s="312"/>
      <c r="F30" s="312"/>
      <c r="G30" s="312"/>
      <c r="H30" s="312"/>
      <c r="I30" s="312"/>
      <c r="J30" s="312"/>
      <c r="K30" s="312"/>
      <c r="L30" s="312"/>
      <c r="M30" s="312"/>
      <c r="N30" s="313"/>
      <c r="O30" s="314" t="str">
        <f t="shared" ca="1" si="0"/>
        <v/>
      </c>
      <c r="P30" s="315"/>
      <c r="Q30" s="316"/>
      <c r="R30" s="317"/>
      <c r="S30" s="318">
        <f t="shared" si="1"/>
        <v>0</v>
      </c>
      <c r="T30" s="319"/>
      <c r="U30" s="306"/>
      <c r="V30" s="306"/>
      <c r="W30" s="307" t="str">
        <f ca="1">IFERROR(IF(D30="","",INDEX(Tabla_Completa,MATCH('Soli_citud '!D30,Materiales,0),7)*S30),"")</f>
        <v/>
      </c>
      <c r="X30" s="307"/>
      <c r="Y30" s="307"/>
    </row>
    <row r="31" spans="1:25" ht="15.75">
      <c r="A31" s="308"/>
      <c r="B31" s="309"/>
      <c r="C31" s="310"/>
      <c r="D31" s="311"/>
      <c r="E31" s="312"/>
      <c r="F31" s="312"/>
      <c r="G31" s="312"/>
      <c r="H31" s="312"/>
      <c r="I31" s="312"/>
      <c r="J31" s="312"/>
      <c r="K31" s="312"/>
      <c r="L31" s="312"/>
      <c r="M31" s="312"/>
      <c r="N31" s="313"/>
      <c r="O31" s="314" t="str">
        <f t="shared" ca="1" si="0"/>
        <v/>
      </c>
      <c r="P31" s="315"/>
      <c r="Q31" s="316"/>
      <c r="R31" s="317"/>
      <c r="S31" s="318">
        <f t="shared" si="1"/>
        <v>0</v>
      </c>
      <c r="T31" s="319"/>
      <c r="U31" s="306"/>
      <c r="V31" s="306"/>
      <c r="W31" s="307" t="str">
        <f ca="1">IFERROR(IF(D31="","",INDEX(Tabla_Completa,MATCH('Soli_citud '!D31,Materiales,0),7)*S31),"")</f>
        <v/>
      </c>
      <c r="X31" s="307"/>
      <c r="Y31" s="307"/>
    </row>
    <row r="32" spans="1:25" ht="15.75">
      <c r="A32" s="308"/>
      <c r="B32" s="309"/>
      <c r="C32" s="310"/>
      <c r="D32" s="311"/>
      <c r="E32" s="312"/>
      <c r="F32" s="312"/>
      <c r="G32" s="312"/>
      <c r="H32" s="312"/>
      <c r="I32" s="312"/>
      <c r="J32" s="312"/>
      <c r="K32" s="312"/>
      <c r="L32" s="312"/>
      <c r="M32" s="312"/>
      <c r="N32" s="313"/>
      <c r="O32" s="314" t="str">
        <f t="shared" ref="O32:O33" ca="1" si="2">IFERROR(IF(D32="","",INDEX(Tabla_Completa,MATCH(D32,Materiales,0),6)),"")</f>
        <v/>
      </c>
      <c r="P32" s="315"/>
      <c r="Q32" s="316"/>
      <c r="R32" s="317"/>
      <c r="S32" s="318">
        <f t="shared" ref="S32:S33" si="3">IFERROR(IF(Q32="Unidad","1",(Q32*$K$5)),"")</f>
        <v>0</v>
      </c>
      <c r="T32" s="319"/>
      <c r="U32" s="306"/>
      <c r="V32" s="306"/>
      <c r="W32" s="307" t="str">
        <f ca="1">IFERROR(IF(D32="","",INDEX(Tabla_Completa,MATCH('Soli_citud '!D32,Materiales,0),7)*S32),"")</f>
        <v/>
      </c>
      <c r="X32" s="307"/>
      <c r="Y32" s="307"/>
    </row>
    <row r="33" spans="1:25" ht="15.75">
      <c r="A33" s="308"/>
      <c r="B33" s="309"/>
      <c r="C33" s="310"/>
      <c r="D33" s="311"/>
      <c r="E33" s="312"/>
      <c r="F33" s="312"/>
      <c r="G33" s="312"/>
      <c r="H33" s="312"/>
      <c r="I33" s="312"/>
      <c r="J33" s="312"/>
      <c r="K33" s="312"/>
      <c r="L33" s="312"/>
      <c r="M33" s="312"/>
      <c r="N33" s="313"/>
      <c r="O33" s="314" t="str">
        <f t="shared" ca="1" si="2"/>
        <v/>
      </c>
      <c r="P33" s="315"/>
      <c r="Q33" s="316"/>
      <c r="R33" s="317"/>
      <c r="S33" s="318">
        <f t="shared" si="3"/>
        <v>0</v>
      </c>
      <c r="T33" s="319"/>
      <c r="U33" s="306"/>
      <c r="V33" s="306"/>
      <c r="W33" s="307" t="str">
        <f ca="1">IFERROR(IF(D33="","",INDEX(Tabla_Completa,MATCH('Soli_citud '!D33,Materiales,0),7)*S33),"")</f>
        <v/>
      </c>
      <c r="X33" s="307"/>
      <c r="Y33" s="307"/>
    </row>
    <row r="34" spans="1:25"/>
    <row r="35" spans="1:25"/>
    <row r="36" spans="1:25"/>
    <row r="37" spans="1:25"/>
    <row r="38" spans="1:25" ht="15" customHeight="1"/>
    <row r="39" spans="1:25" ht="33.75" customHeight="1">
      <c r="A39" s="320" t="s">
        <v>35</v>
      </c>
      <c r="B39" s="320"/>
      <c r="C39" s="320"/>
      <c r="D39" s="321" t="s">
        <v>36</v>
      </c>
      <c r="E39" s="321"/>
      <c r="F39" s="321"/>
      <c r="G39" s="321"/>
      <c r="H39" s="321"/>
      <c r="I39" s="321"/>
      <c r="J39" s="321"/>
      <c r="K39" s="321"/>
      <c r="L39" s="321"/>
      <c r="M39" s="321"/>
      <c r="N39" s="321"/>
      <c r="O39" s="321"/>
      <c r="P39" s="321"/>
      <c r="Q39" s="321"/>
    </row>
    <row r="40" spans="1:25">
      <c r="A40" s="238" t="s">
        <v>37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2" t="s">
        <v>38</v>
      </c>
      <c r="B41" s="322"/>
      <c r="C41" s="322"/>
      <c r="D41" s="322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</row>
    <row r="42" spans="1:25">
      <c r="A42" s="323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</row>
    <row r="43" spans="1:25">
      <c r="A43" s="323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</row>
    <row r="44" spans="1:25" ht="19.5">
      <c r="A44" s="331" t="s">
        <v>39</v>
      </c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N44" s="333" t="s">
        <v>26</v>
      </c>
      <c r="O44" s="333"/>
      <c r="P44" s="333"/>
      <c r="Q44" s="333"/>
      <c r="R44" s="328" t="s">
        <v>40</v>
      </c>
      <c r="S44" s="328"/>
      <c r="T44" s="328"/>
      <c r="U44" s="328"/>
      <c r="V44" s="328"/>
      <c r="W44" s="328"/>
      <c r="X44" s="328"/>
    </row>
    <row r="45" spans="1:25" ht="29.25" customHeight="1">
      <c r="A45" s="332" t="s">
        <v>41</v>
      </c>
      <c r="B45" s="332"/>
      <c r="C45" s="332"/>
      <c r="D45" s="332"/>
      <c r="E45" s="332"/>
      <c r="F45" s="332"/>
      <c r="G45" s="332"/>
      <c r="H45" s="332"/>
      <c r="I45" s="332"/>
      <c r="J45" s="332"/>
      <c r="K45" s="332"/>
      <c r="L45" s="332"/>
      <c r="N45" s="333" t="s">
        <v>42</v>
      </c>
      <c r="O45" s="333"/>
      <c r="P45" s="333"/>
      <c r="Q45" s="333"/>
      <c r="R45" s="329" t="s">
        <v>43</v>
      </c>
      <c r="S45" s="329"/>
      <c r="T45" s="329"/>
      <c r="U45" s="329"/>
      <c r="V45" s="329"/>
      <c r="W45" s="329"/>
      <c r="X45" s="329"/>
    </row>
    <row r="46" spans="1:25" ht="31.5" customHeight="1">
      <c r="A46" s="324" t="s">
        <v>44</v>
      </c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N46" s="333" t="s">
        <v>45</v>
      </c>
      <c r="O46" s="333"/>
      <c r="P46" s="333"/>
      <c r="Q46" s="333"/>
      <c r="R46" s="330" t="s">
        <v>46</v>
      </c>
      <c r="S46" s="330"/>
      <c r="T46" s="330"/>
      <c r="U46" s="330"/>
      <c r="V46" s="330"/>
      <c r="W46" s="330"/>
      <c r="X46" s="330"/>
    </row>
    <row r="47" spans="1:25" ht="28.5" customHeight="1">
      <c r="A47" s="325" t="s">
        <v>47</v>
      </c>
      <c r="B47" s="325"/>
      <c r="C47" s="325"/>
      <c r="D47" s="325"/>
      <c r="E47" s="325"/>
      <c r="F47" s="325"/>
      <c r="G47" s="325"/>
      <c r="H47" s="325"/>
      <c r="I47" s="325"/>
      <c r="J47" s="325"/>
      <c r="K47" s="325"/>
      <c r="L47" s="325"/>
      <c r="N47" s="333" t="s">
        <v>48</v>
      </c>
      <c r="O47" s="333"/>
      <c r="P47" s="333"/>
      <c r="Q47" s="333"/>
      <c r="R47" s="330" t="s">
        <v>49</v>
      </c>
      <c r="S47" s="330"/>
      <c r="T47" s="330"/>
      <c r="U47" s="330"/>
      <c r="V47" s="330"/>
      <c r="W47" s="330"/>
      <c r="X47" s="330"/>
    </row>
    <row r="48" spans="1:25" ht="42.75" customHeight="1">
      <c r="A48" s="326" t="s">
        <v>50</v>
      </c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N48" s="333" t="s">
        <v>51</v>
      </c>
      <c r="O48" s="333"/>
      <c r="P48" s="333"/>
      <c r="Q48" s="333"/>
      <c r="R48" s="330" t="s">
        <v>52</v>
      </c>
      <c r="S48" s="330"/>
      <c r="T48" s="330"/>
      <c r="U48" s="330"/>
      <c r="V48" s="330"/>
      <c r="W48" s="330"/>
      <c r="X48" s="330"/>
    </row>
    <row r="49" spans="1:24" ht="36" customHeight="1">
      <c r="A49" s="326" t="s">
        <v>53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N49" s="334" t="s">
        <v>54</v>
      </c>
      <c r="O49" s="334"/>
      <c r="P49" s="334"/>
      <c r="Q49" s="334"/>
      <c r="R49" s="329" t="s">
        <v>55</v>
      </c>
      <c r="S49" s="329"/>
      <c r="T49" s="329"/>
      <c r="U49" s="329"/>
      <c r="V49" s="329"/>
      <c r="W49" s="329"/>
      <c r="X49" s="329"/>
    </row>
    <row r="50" spans="1:24" ht="15.75">
      <c r="A50" s="327"/>
      <c r="B50" s="327"/>
      <c r="C50" s="327"/>
      <c r="D50" s="327"/>
      <c r="N50" s="333" t="s">
        <v>56</v>
      </c>
      <c r="O50" s="333"/>
      <c r="P50" s="333"/>
      <c r="Q50" s="333"/>
      <c r="R50" s="330" t="s">
        <v>57</v>
      </c>
      <c r="S50" s="330"/>
      <c r="T50" s="330"/>
      <c r="U50" s="330"/>
      <c r="V50" s="330"/>
      <c r="W50" s="330"/>
      <c r="X50" s="330"/>
    </row>
    <row r="51" spans="1:24" ht="15.75">
      <c r="N51" s="333" t="s">
        <v>58</v>
      </c>
      <c r="O51" s="333"/>
      <c r="P51" s="333"/>
      <c r="Q51" s="333"/>
      <c r="R51" s="330" t="s">
        <v>59</v>
      </c>
      <c r="S51" s="330"/>
      <c r="T51" s="330"/>
      <c r="U51" s="330"/>
      <c r="V51" s="330"/>
      <c r="W51" s="330"/>
      <c r="X51" s="330"/>
    </row>
    <row r="52" spans="1:24" ht="15.75">
      <c r="N52" s="333" t="s">
        <v>60</v>
      </c>
      <c r="O52" s="333"/>
      <c r="P52" s="333"/>
      <c r="Q52" s="333"/>
      <c r="R52" s="330" t="s">
        <v>49</v>
      </c>
      <c r="S52" s="330"/>
      <c r="T52" s="330"/>
      <c r="U52" s="330"/>
      <c r="V52" s="330"/>
      <c r="W52" s="330"/>
      <c r="X52" s="33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J28" sqref="J27:J28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5" t="s">
        <v>61</v>
      </c>
      <c r="E1" s="416"/>
      <c r="F1" s="416"/>
      <c r="G1" s="416"/>
      <c r="H1" s="416"/>
      <c r="I1" s="416"/>
      <c r="J1" s="422" t="s">
        <v>62</v>
      </c>
      <c r="K1" s="423"/>
      <c r="L1" s="423"/>
      <c r="M1" s="424"/>
      <c r="N1" s="417">
        <f>IF('Soli_citud '!O1="","",'Soli_citud '!O1)</f>
        <v>45202</v>
      </c>
      <c r="O1" s="418"/>
      <c r="P1" s="468" t="s">
        <v>63</v>
      </c>
      <c r="Q1" s="469"/>
      <c r="R1" s="464" t="str">
        <f>IF('Soli_citud '!D4="","",'Soli_citud '!D4)</f>
        <v xml:space="preserve">cinturon
</v>
      </c>
      <c r="S1" s="465"/>
      <c r="Z1" t="s">
        <v>64</v>
      </c>
      <c r="AA1" s="252" t="s">
        <v>64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65</v>
      </c>
      <c r="K2" s="426"/>
      <c r="L2" s="426"/>
      <c r="M2" s="427"/>
      <c r="N2" s="419" t="str">
        <f>'Soli_citud '!F1</f>
        <v>AM0310-1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66</v>
      </c>
      <c r="K3" s="421"/>
      <c r="L3" s="421"/>
      <c r="M3" s="421"/>
      <c r="N3" s="407">
        <f>IF('Soli_citud '!O3="","",'Soli_citud '!O3)</f>
        <v>2851012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67</v>
      </c>
      <c r="K4" s="412"/>
      <c r="L4" s="412"/>
      <c r="M4" s="413" t="str">
        <f>IF('Soli_citud '!O4="","",'Soli_citud '!O4)</f>
        <v>Marroquinería Formación</v>
      </c>
      <c r="N4" s="413"/>
      <c r="O4" s="414"/>
      <c r="P4" s="470"/>
      <c r="Q4" s="471"/>
      <c r="R4" s="315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68</v>
      </c>
      <c r="C6" s="454"/>
      <c r="D6" s="455"/>
      <c r="E6" s="409" t="s">
        <v>69</v>
      </c>
      <c r="F6" s="409"/>
      <c r="G6" s="409"/>
      <c r="H6" s="409"/>
      <c r="I6" s="410"/>
      <c r="J6" s="444" t="s">
        <v>70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7"/>
      <c r="B8" s="431">
        <f ca="1">IF('Soli_citud '!D5&lt;= 0,"",'Soli_citud '!D5)</f>
        <v>4629.2243196829586</v>
      </c>
      <c r="C8" s="432"/>
      <c r="D8" s="433"/>
      <c r="E8" s="450" t="s">
        <v>71</v>
      </c>
      <c r="F8" s="451"/>
      <c r="G8" s="451"/>
      <c r="H8" s="451"/>
      <c r="I8" s="452"/>
      <c r="J8" s="446" t="str">
        <f>IF('Soli_citud '!E2="","",'Soli_citud '!E2)</f>
        <v>Alexander Marulanda Bedoya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72</v>
      </c>
      <c r="C9" s="435"/>
      <c r="D9" s="460"/>
      <c r="E9" s="459" t="s">
        <v>73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74</v>
      </c>
      <c r="K10" s="429"/>
      <c r="L10" s="430"/>
      <c r="M10" s="242">
        <f>'Soli_citud '!K5</f>
        <v>21</v>
      </c>
      <c r="N10" s="448" t="s">
        <v>75</v>
      </c>
      <c r="O10" s="449"/>
      <c r="P10" s="472"/>
      <c r="Q10" s="473"/>
      <c r="R10" s="243" t="s">
        <v>76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77</v>
      </c>
      <c r="B11" s="264" t="s">
        <v>78</v>
      </c>
      <c r="C11" s="461" t="s">
        <v>79</v>
      </c>
      <c r="D11" s="462"/>
      <c r="E11" s="462"/>
      <c r="F11" s="463"/>
      <c r="G11" s="112" t="s">
        <v>80</v>
      </c>
      <c r="H11" s="112" t="s">
        <v>81</v>
      </c>
      <c r="I11" s="237" t="s">
        <v>82</v>
      </c>
      <c r="J11" s="110" t="s">
        <v>83</v>
      </c>
      <c r="K11" s="223" t="s">
        <v>84</v>
      </c>
      <c r="L11" s="420" t="s">
        <v>24</v>
      </c>
      <c r="M11" s="428"/>
      <c r="N11" s="240" t="s">
        <v>85</v>
      </c>
      <c r="O11" s="240" t="s">
        <v>86</v>
      </c>
      <c r="P11" s="244" t="s">
        <v>87</v>
      </c>
      <c r="Q11" s="245" t="s">
        <v>88</v>
      </c>
      <c r="R11" s="236" t="s">
        <v>89</v>
      </c>
      <c r="S11" s="224" t="s">
        <v>90</v>
      </c>
    </row>
    <row r="12" spans="1:27" ht="19.5" customHeight="1">
      <c r="A12" s="78">
        <v>1</v>
      </c>
      <c r="B12" s="265" t="str">
        <f>IF(H12="","",$N$2)</f>
        <v>AM0310-1</v>
      </c>
      <c r="C12" s="404" t="str">
        <f>IFERROR(IF('Soli_citud '!D10="","",'Soli_citud '!D10),"")</f>
        <v xml:space="preserve">PEGANTE CEMENTO DE CONTACTO BASE CLOROPRENO
</v>
      </c>
      <c r="D12" s="404"/>
      <c r="E12" s="404"/>
      <c r="F12" s="404"/>
      <c r="G12" s="226" t="str">
        <f ca="1">IF('Soli_citud '!O10="","",'Soli_citud '!O10)</f>
        <v>ml</v>
      </c>
      <c r="H12" s="226" cm="1">
        <f t="array" ref="H12">_xlfn.IFS('Soli_citud '!S10="","",'Soli_citud '!S10&lt;=0,"",'Soli_citud '!S10&gt;0,'Soli_citud '!S10)</f>
        <v>2520</v>
      </c>
      <c r="I12" s="227">
        <v>45208</v>
      </c>
      <c r="J12" s="228">
        <v>2520</v>
      </c>
      <c r="K12" s="207" t="str" cm="1">
        <f t="array" ref="K12">IFERROR(_xlfn.IFS(H12="","",J12=H12,"Cumplido",J12&lt;H12,H12-J12,J12&gt;H12,"Revisar"),"")</f>
        <v>Cumplido</v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AM0310-1</v>
      </c>
      <c r="C13" s="404" t="str">
        <f>IFERROR(IF('Soli_citud '!D11="","",'Soli_citud '!D11),"")</f>
        <v>Tinta marroquinera negra</v>
      </c>
      <c r="D13" s="404"/>
      <c r="E13" s="404"/>
      <c r="F13" s="404"/>
      <c r="G13" s="226" t="str">
        <f ca="1">IF('Soli_citud '!O11="","",'Soli_citud '!O11)</f>
        <v>gal</v>
      </c>
      <c r="H13" s="226" cm="1">
        <f t="array" ref="H13">_xlfn.IFS('Soli_citud '!S11="","",'Soli_citud '!S11&lt;=0,"",'Soli_citud '!S11&gt;0,'Soli_citud '!S11)</f>
        <v>525</v>
      </c>
      <c r="I13" s="227"/>
      <c r="J13" s="229"/>
      <c r="K13" s="207" cm="1">
        <f t="array" ref="K13">IFERROR(_xlfn.IFS(H13="","",J13=H13,"Cumplido",J13&lt;H13,H13-J13,J13&gt;H13,"Revisar"),"")</f>
        <v>525</v>
      </c>
      <c r="L13" s="405"/>
      <c r="M13" s="406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AM0310-1</v>
      </c>
      <c r="C14" s="404" t="str">
        <f>IFERROR(IF('Soli_citud '!D12="","",'Soli_citud '!D12),"")</f>
        <v xml:space="preserve">PERFORADORES/SACABOCADOS
</v>
      </c>
      <c r="D14" s="404"/>
      <c r="E14" s="404"/>
      <c r="F14" s="404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1.05</v>
      </c>
      <c r="I14" s="230"/>
      <c r="J14" s="229"/>
      <c r="K14" s="207" cm="1">
        <f t="array" ref="K14">IFERROR(_xlfn.IFS(H14="","",J14=H14,"Cumplido",J14&lt;H14,H14-J14,J14&gt;H14,"Revisar"),"")</f>
        <v>1.05</v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>DEVOLUTIVO</v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AM0310-1</v>
      </c>
      <c r="C15" s="404" t="str">
        <f>IFERROR(IF('Soli_citud '!D13="","",'Soli_citud '!D13),"")</f>
        <v>Mateante acuoso</v>
      </c>
      <c r="D15" s="404"/>
      <c r="E15" s="404"/>
      <c r="F15" s="404"/>
      <c r="G15" s="226" t="str">
        <f ca="1">IF('Soli_citud '!O13="","",'Soli_citud '!O13)</f>
        <v>ml</v>
      </c>
      <c r="H15" s="226" cm="1">
        <f t="array" ref="H15">_xlfn.IFS('Soli_citud '!S13="","",'Soli_citud '!S13&lt;=0,"",'Soli_citud '!S13&gt;0,'Soli_citud '!S13)</f>
        <v>525</v>
      </c>
      <c r="I15" s="230"/>
      <c r="J15" s="229"/>
      <c r="K15" s="207" cm="1">
        <f t="array" ref="K15">IFERROR(_xlfn.IFS(H15="","",J15=H15,"Cumplido",J15&lt;H15,H15-J15,J15&gt;H15,"Revisar"),"")</f>
        <v>525</v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AM0310-1</v>
      </c>
      <c r="C16" s="404" t="str">
        <f>IFERROR(IF('Soli_citud '!D14="","",'Soli_citud '!D14),"")</f>
        <v xml:space="preserve">AGUJAS CAPOTERA CON PUNTA #5
</v>
      </c>
      <c r="D16" s="404"/>
      <c r="E16" s="404"/>
      <c r="F16" s="404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21</v>
      </c>
      <c r="I16" s="230"/>
      <c r="J16" s="229"/>
      <c r="K16" s="207" cm="1">
        <f t="array" ref="K16">IFERROR(_xlfn.IFS(H16="","",J16=H16,"Cumplido",J16&lt;H16,H16-J16,J16&gt;H16,"Revisar"),"")</f>
        <v>21</v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AM0310-1</v>
      </c>
      <c r="C17" s="404" t="s">
        <v>91</v>
      </c>
      <c r="D17" s="404"/>
      <c r="E17" s="404"/>
      <c r="F17" s="404"/>
      <c r="G17" s="226" t="s">
        <v>80</v>
      </c>
      <c r="H17" s="226">
        <v>165</v>
      </c>
      <c r="I17" s="305">
        <v>45179</v>
      </c>
      <c r="J17" s="229">
        <v>109</v>
      </c>
      <c r="K17" s="207" cm="1">
        <f t="array" ref="K17">IFERROR(_xlfn.IFS(H17="","",J17=H17,"Cumplido",J17&lt;H17,H17-J17,J17&gt;H17,"Revisar"),"")</f>
        <v>56</v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4" t="str">
        <f>IFERROR(IF('Soli_citud '!D16="","",'Soli_citud '!D16),"")</f>
        <v/>
      </c>
      <c r="D18" s="404"/>
      <c r="E18" s="404"/>
      <c r="F18" s="404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5"/>
      <c r="M18" s="406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4" t="str">
        <f>IFERROR(IF('Soli_citud '!D17="","",'Soli_citud '!D17),"")</f>
        <v/>
      </c>
      <c r="D19" s="404"/>
      <c r="E19" s="404"/>
      <c r="F19" s="404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4" t="str">
        <f>IFERROR(IF('Soli_citud '!D18="","",'Soli_citud '!D18),"")</f>
        <v/>
      </c>
      <c r="D20" s="404"/>
      <c r="E20" s="404"/>
      <c r="F20" s="404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4" t="str">
        <f>IFERROR(IF('Soli_citud '!D19="","",'Soli_citud '!D19),"")</f>
        <v/>
      </c>
      <c r="D21" s="404"/>
      <c r="E21" s="404"/>
      <c r="F21" s="404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5"/>
      <c r="M21" s="406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4" t="str">
        <f>IFERROR(IF('Soli_citud '!D20="","",'Soli_citud '!D20),"")</f>
        <v/>
      </c>
      <c r="D22" s="404"/>
      <c r="E22" s="404"/>
      <c r="F22" s="404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4" t="str">
        <f>IFERROR(IF('Soli_citud '!D21="","",'Soli_citud '!D21),"")</f>
        <v/>
      </c>
      <c r="D23" s="404"/>
      <c r="E23" s="404"/>
      <c r="F23" s="404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92</v>
      </c>
      <c r="F1" s="491"/>
      <c r="Z1" s="252" t="s">
        <v>64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93</v>
      </c>
      <c r="B6" s="304">
        <f>SUBTOTAL(3,(BD!$B$8:$B$20))</f>
        <v>13</v>
      </c>
      <c r="C6" s="489"/>
      <c r="D6" s="490"/>
      <c r="H6" s="487" t="s">
        <v>94</v>
      </c>
      <c r="I6" s="487"/>
    </row>
    <row r="7" spans="1:26" ht="47.25">
      <c r="A7" s="73" t="s">
        <v>77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26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26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26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26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26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26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26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27</v>
      </c>
      <c r="C15" s="140" t="s">
        <v>26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26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26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116</v>
      </c>
      <c r="C18" s="140" t="s">
        <v>26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26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118</v>
      </c>
      <c r="C20" s="275" t="s">
        <v>26</v>
      </c>
      <c r="D20" s="48" t="s">
        <v>106</v>
      </c>
      <c r="E20" s="43"/>
      <c r="F20" s="188" t="s">
        <v>106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77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120</v>
      </c>
      <c r="C34" s="219" t="s">
        <v>121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122</v>
      </c>
      <c r="C35" s="219" t="s">
        <v>121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123</v>
      </c>
      <c r="C36" s="219" t="s">
        <v>121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124</v>
      </c>
      <c r="C37" s="219" t="s">
        <v>121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125</v>
      </c>
      <c r="C38" s="219" t="s">
        <v>121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126</v>
      </c>
      <c r="C39" s="219" t="s">
        <v>121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127</v>
      </c>
      <c r="C40" s="219" t="s">
        <v>121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128</v>
      </c>
      <c r="C41" s="219" t="s">
        <v>121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129</v>
      </c>
      <c r="C42" s="219" t="s">
        <v>121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130</v>
      </c>
      <c r="C43" s="219" t="s">
        <v>121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131</v>
      </c>
      <c r="C44" s="219" t="s">
        <v>121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132</v>
      </c>
      <c r="C45" s="219" t="s">
        <v>121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133</v>
      </c>
      <c r="C46" s="219" t="s">
        <v>121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134</v>
      </c>
      <c r="C47" s="219" t="s">
        <v>121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135</v>
      </c>
      <c r="C48" s="219" t="s">
        <v>121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136</v>
      </c>
      <c r="C49" s="219" t="s">
        <v>121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137</v>
      </c>
      <c r="C50" s="219" t="s">
        <v>121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138</v>
      </c>
      <c r="C51" s="219" t="s">
        <v>121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139</v>
      </c>
      <c r="C52" s="219" t="s">
        <v>121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140</v>
      </c>
      <c r="C53" s="219" t="s">
        <v>121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141</v>
      </c>
      <c r="C54" s="219" t="s">
        <v>121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142</v>
      </c>
      <c r="C55" s="219" t="s">
        <v>121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143</v>
      </c>
      <c r="C56" s="219" t="s">
        <v>121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144</v>
      </c>
      <c r="C57" s="219" t="s">
        <v>121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145</v>
      </c>
      <c r="C58" s="219" t="s">
        <v>121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146</v>
      </c>
      <c r="C59" s="219" t="s">
        <v>121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147</v>
      </c>
      <c r="C60" s="219" t="s">
        <v>121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148</v>
      </c>
      <c r="C61" s="219" t="s">
        <v>121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149</v>
      </c>
      <c r="C62" s="219" t="s">
        <v>121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150</v>
      </c>
      <c r="C63" s="219" t="s">
        <v>121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151</v>
      </c>
      <c r="C64" s="219" t="s">
        <v>121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152</v>
      </c>
      <c r="C65" s="219" t="s">
        <v>121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153</v>
      </c>
      <c r="C66" s="219" t="s">
        <v>121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154</v>
      </c>
      <c r="C67" s="219" t="s">
        <v>121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155</v>
      </c>
      <c r="C68" s="219" t="s">
        <v>121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156</v>
      </c>
      <c r="C69" s="219" t="s">
        <v>121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157</v>
      </c>
      <c r="C70" s="219" t="s">
        <v>121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158</v>
      </c>
      <c r="C71" s="219" t="s">
        <v>121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159</v>
      </c>
      <c r="C72" s="219" t="s">
        <v>121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160</v>
      </c>
      <c r="C73" s="219" t="s">
        <v>121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161</v>
      </c>
      <c r="C74" s="219" t="s">
        <v>121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162</v>
      </c>
      <c r="C75" s="219" t="s">
        <v>121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163</v>
      </c>
      <c r="C76" s="219" t="s">
        <v>121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164</v>
      </c>
      <c r="C77" s="219" t="s">
        <v>121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165</v>
      </c>
      <c r="C78" s="219" t="s">
        <v>121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166</v>
      </c>
      <c r="C79" s="219" t="s">
        <v>121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167</v>
      </c>
      <c r="C80" s="219" t="s">
        <v>121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168</v>
      </c>
      <c r="C81" s="219" t="s">
        <v>121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169</v>
      </c>
      <c r="C82" s="219" t="s">
        <v>121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170</v>
      </c>
      <c r="C83" s="219" t="s">
        <v>121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171</v>
      </c>
      <c r="C84" s="219" t="s">
        <v>121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172</v>
      </c>
      <c r="C85" s="219" t="s">
        <v>121</v>
      </c>
      <c r="D85" s="48" t="s">
        <v>173</v>
      </c>
      <c r="E85" s="43">
        <v>97321</v>
      </c>
      <c r="F85" s="188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174</v>
      </c>
      <c r="C86" s="219" t="s">
        <v>121</v>
      </c>
      <c r="D86" s="48" t="s">
        <v>173</v>
      </c>
      <c r="E86" s="43">
        <v>99191</v>
      </c>
      <c r="F86" s="188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175</v>
      </c>
      <c r="C87" s="219" t="s">
        <v>121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176</v>
      </c>
      <c r="C88" s="219" t="s">
        <v>121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177</v>
      </c>
      <c r="C89" s="219" t="s">
        <v>121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178</v>
      </c>
      <c r="C90" s="219" t="s">
        <v>121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179</v>
      </c>
      <c r="C91" s="219" t="s">
        <v>121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180</v>
      </c>
      <c r="C92" s="219" t="s">
        <v>121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181</v>
      </c>
      <c r="C93" s="219" t="s">
        <v>121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182</v>
      </c>
      <c r="C94" s="219" t="s">
        <v>121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183</v>
      </c>
      <c r="C95" s="219" t="s">
        <v>121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184</v>
      </c>
      <c r="C96" s="219" t="s">
        <v>121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185</v>
      </c>
      <c r="C97" s="219" t="s">
        <v>121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186</v>
      </c>
      <c r="C98" s="219" t="s">
        <v>121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187</v>
      </c>
      <c r="C99" s="219" t="s">
        <v>121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188</v>
      </c>
      <c r="C100" s="219" t="s">
        <v>121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189</v>
      </c>
      <c r="C101" s="219" t="s">
        <v>121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190</v>
      </c>
      <c r="C102" s="219" t="s">
        <v>121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191</v>
      </c>
      <c r="C103" s="219" t="s">
        <v>121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192</v>
      </c>
      <c r="C104" s="219" t="s">
        <v>121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193</v>
      </c>
      <c r="C105" s="219" t="s">
        <v>121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194</v>
      </c>
      <c r="C106" s="219" t="s">
        <v>121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195</v>
      </c>
      <c r="C107" s="219" t="s">
        <v>121</v>
      </c>
      <c r="D107" s="48" t="s">
        <v>173</v>
      </c>
      <c r="E107" s="43">
        <v>47662</v>
      </c>
      <c r="F107" s="188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196</v>
      </c>
      <c r="C108" s="219" t="s">
        <v>121</v>
      </c>
      <c r="D108" s="48" t="s">
        <v>173</v>
      </c>
      <c r="E108" s="43">
        <v>8533</v>
      </c>
      <c r="F108" s="188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197</v>
      </c>
      <c r="C109" s="219" t="s">
        <v>121</v>
      </c>
      <c r="D109" s="48" t="s">
        <v>173</v>
      </c>
      <c r="E109" s="43">
        <v>8367</v>
      </c>
      <c r="F109" s="188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198</v>
      </c>
      <c r="C110" s="219" t="s">
        <v>121</v>
      </c>
      <c r="D110" s="48" t="s">
        <v>173</v>
      </c>
      <c r="E110" s="43">
        <v>32859</v>
      </c>
      <c r="F110" s="188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199</v>
      </c>
      <c r="C111" s="219" t="s">
        <v>121</v>
      </c>
      <c r="D111" s="48" t="s">
        <v>173</v>
      </c>
      <c r="E111" s="43">
        <v>9366</v>
      </c>
      <c r="F111" s="188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200</v>
      </c>
      <c r="C112" s="219" t="s">
        <v>121</v>
      </c>
      <c r="D112" s="48" t="s">
        <v>173</v>
      </c>
      <c r="E112" s="43">
        <v>54502</v>
      </c>
      <c r="F112" s="188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201</v>
      </c>
      <c r="C113" s="219" t="s">
        <v>121</v>
      </c>
      <c r="D113" s="48" t="s">
        <v>202</v>
      </c>
      <c r="E113" s="43">
        <v>14170</v>
      </c>
      <c r="F113" s="188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203</v>
      </c>
      <c r="C114" s="219" t="s">
        <v>121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204</v>
      </c>
      <c r="C115" s="219" t="s">
        <v>121</v>
      </c>
      <c r="D115" s="48" t="s">
        <v>205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206</v>
      </c>
      <c r="C116" s="219" t="s">
        <v>121</v>
      </c>
      <c r="D116" s="48" t="s">
        <v>207</v>
      </c>
      <c r="E116" s="43">
        <v>50178</v>
      </c>
      <c r="F116" s="188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208</v>
      </c>
      <c r="C117" s="219" t="s">
        <v>121</v>
      </c>
      <c r="D117" s="48" t="s">
        <v>173</v>
      </c>
      <c r="E117" s="43">
        <v>35105</v>
      </c>
      <c r="F117" s="188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209</v>
      </c>
      <c r="C118" s="219" t="s">
        <v>121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210</v>
      </c>
      <c r="C119" s="219" t="s">
        <v>121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211</v>
      </c>
      <c r="C120" s="219" t="s">
        <v>121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212</v>
      </c>
      <c r="C121" s="219" t="s">
        <v>121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213</v>
      </c>
      <c r="C122" s="219" t="s">
        <v>121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214</v>
      </c>
      <c r="C123" s="219" t="s">
        <v>121</v>
      </c>
      <c r="D123" s="48" t="s">
        <v>215</v>
      </c>
      <c r="E123" s="43">
        <v>38591.666666666664</v>
      </c>
      <c r="F123" s="188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216</v>
      </c>
      <c r="C124" s="219" t="s">
        <v>121</v>
      </c>
      <c r="D124" s="48" t="s">
        <v>173</v>
      </c>
      <c r="E124" s="43">
        <v>22134</v>
      </c>
      <c r="F124" s="188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217</v>
      </c>
      <c r="C125" s="219" t="s">
        <v>121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218</v>
      </c>
      <c r="C126" s="219" t="s">
        <v>121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219</v>
      </c>
      <c r="C127" s="219" t="s">
        <v>121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220</v>
      </c>
      <c r="C128" s="219" t="s">
        <v>121</v>
      </c>
      <c r="D128" s="48" t="s">
        <v>173</v>
      </c>
      <c r="E128" s="43">
        <v>149370</v>
      </c>
      <c r="F128" s="188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221</v>
      </c>
      <c r="C129" s="219" t="s">
        <v>121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222</v>
      </c>
      <c r="C130" s="219" t="s">
        <v>121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223</v>
      </c>
      <c r="C131" s="219" t="s">
        <v>121</v>
      </c>
      <c r="D131" s="48" t="s">
        <v>207</v>
      </c>
      <c r="E131" s="43">
        <v>8850</v>
      </c>
      <c r="F131" s="188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224</v>
      </c>
      <c r="C132" s="219" t="s">
        <v>121</v>
      </c>
      <c r="D132" s="48" t="s">
        <v>225</v>
      </c>
      <c r="E132" s="43">
        <v>135533.5</v>
      </c>
      <c r="F132" s="188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226</v>
      </c>
      <c r="C133" s="219" t="s">
        <v>121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227</v>
      </c>
      <c r="C134" s="219" t="s">
        <v>121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228</v>
      </c>
      <c r="C135" s="219" t="s">
        <v>121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229</v>
      </c>
      <c r="C136" s="219" t="s">
        <v>121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230</v>
      </c>
      <c r="C137" s="219" t="s">
        <v>121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231</v>
      </c>
      <c r="C138" s="219" t="s">
        <v>121</v>
      </c>
      <c r="D138" s="48" t="s">
        <v>215</v>
      </c>
      <c r="E138" s="43">
        <v>90800</v>
      </c>
      <c r="F138" s="188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232</v>
      </c>
      <c r="C139" s="219" t="s">
        <v>121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233</v>
      </c>
      <c r="C140" s="219" t="s">
        <v>121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234</v>
      </c>
      <c r="C141" s="219" t="s">
        <v>121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77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235</v>
      </c>
      <c r="C162" s="219" t="s">
        <v>236</v>
      </c>
      <c r="D162" s="48" t="s">
        <v>173</v>
      </c>
      <c r="E162" s="43">
        <v>760</v>
      </c>
      <c r="F162" s="188" t="s">
        <v>173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9" t="s">
        <v>236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9" t="s">
        <v>236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9" t="s">
        <v>236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9" t="s">
        <v>236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9" t="s">
        <v>236</v>
      </c>
      <c r="D167" s="48" t="s">
        <v>173</v>
      </c>
      <c r="E167" s="43">
        <v>639</v>
      </c>
      <c r="F167" s="48" t="s">
        <v>173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9" t="s">
        <v>236</v>
      </c>
      <c r="D168" s="48" t="s">
        <v>173</v>
      </c>
      <c r="E168" s="43">
        <v>639</v>
      </c>
      <c r="F168" s="48" t="s">
        <v>173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9" t="s">
        <v>236</v>
      </c>
      <c r="D169" s="48" t="s">
        <v>173</v>
      </c>
      <c r="E169" s="43">
        <v>639</v>
      </c>
      <c r="F169" s="48" t="s">
        <v>173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9" t="s">
        <v>236</v>
      </c>
      <c r="D170" s="48" t="s">
        <v>173</v>
      </c>
      <c r="E170" s="43">
        <v>639</v>
      </c>
      <c r="F170" s="48" t="s">
        <v>173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9" t="s">
        <v>236</v>
      </c>
      <c r="D171" s="48" t="s">
        <v>173</v>
      </c>
      <c r="E171" s="43">
        <v>639</v>
      </c>
      <c r="F171" s="48" t="s">
        <v>173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9" t="s">
        <v>236</v>
      </c>
      <c r="D172" s="48" t="s">
        <v>173</v>
      </c>
      <c r="E172" s="43">
        <v>639</v>
      </c>
      <c r="F172" s="48" t="s">
        <v>173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9" t="s">
        <v>236</v>
      </c>
      <c r="D173" s="48" t="s">
        <v>173</v>
      </c>
      <c r="E173" s="43">
        <v>639</v>
      </c>
      <c r="F173" s="48" t="s">
        <v>173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9" t="s">
        <v>236</v>
      </c>
      <c r="D174" s="48" t="s">
        <v>173</v>
      </c>
      <c r="E174" s="43">
        <v>639</v>
      </c>
      <c r="F174" s="48" t="s">
        <v>173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9" t="s">
        <v>236</v>
      </c>
      <c r="D175" s="48" t="s">
        <v>173</v>
      </c>
      <c r="E175" s="43">
        <v>639</v>
      </c>
      <c r="F175" s="48" t="s">
        <v>173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9" t="s">
        <v>236</v>
      </c>
      <c r="D176" s="48" t="s">
        <v>173</v>
      </c>
      <c r="E176" s="43">
        <v>639</v>
      </c>
      <c r="F176" s="48" t="s">
        <v>173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9" t="s">
        <v>236</v>
      </c>
      <c r="D177" s="48" t="s">
        <v>173</v>
      </c>
      <c r="E177" s="43">
        <v>639</v>
      </c>
      <c r="F177" s="48" t="s">
        <v>173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9" t="s">
        <v>236</v>
      </c>
      <c r="D178" s="48" t="s">
        <v>173</v>
      </c>
      <c r="E178" s="43">
        <v>475</v>
      </c>
      <c r="F178" s="48" t="s">
        <v>173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9" t="s">
        <v>236</v>
      </c>
      <c r="D179" s="48" t="s">
        <v>173</v>
      </c>
      <c r="E179" s="43">
        <v>475</v>
      </c>
      <c r="F179" s="48" t="s">
        <v>173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9" t="s">
        <v>236</v>
      </c>
      <c r="D180" s="48" t="s">
        <v>173</v>
      </c>
      <c r="E180" s="43">
        <v>475</v>
      </c>
      <c r="F180" s="48" t="s">
        <v>173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9" t="s">
        <v>236</v>
      </c>
      <c r="D181" s="48" t="s">
        <v>173</v>
      </c>
      <c r="E181" s="43">
        <v>475</v>
      </c>
      <c r="F181" s="48" t="s">
        <v>173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9" t="s">
        <v>236</v>
      </c>
      <c r="D182" s="48" t="s">
        <v>173</v>
      </c>
      <c r="E182" s="43">
        <v>475</v>
      </c>
      <c r="F182" s="48" t="s">
        <v>173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9" t="s">
        <v>236</v>
      </c>
      <c r="D183" s="48" t="s">
        <v>173</v>
      </c>
      <c r="E183" s="43">
        <v>475</v>
      </c>
      <c r="F183" s="48" t="s">
        <v>173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9" t="s">
        <v>236</v>
      </c>
      <c r="D184" s="48" t="s">
        <v>173</v>
      </c>
      <c r="E184" s="43">
        <v>475</v>
      </c>
      <c r="F184" s="48" t="s">
        <v>173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9" t="s">
        <v>236</v>
      </c>
      <c r="D185" s="48" t="s">
        <v>173</v>
      </c>
      <c r="E185" s="43">
        <v>475</v>
      </c>
      <c r="F185" s="48" t="s">
        <v>173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9" t="s">
        <v>236</v>
      </c>
      <c r="D186" s="48" t="s">
        <v>173</v>
      </c>
      <c r="E186" s="43">
        <v>475</v>
      </c>
      <c r="F186" s="48" t="s">
        <v>173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9" t="s">
        <v>236</v>
      </c>
      <c r="D187" s="48" t="s">
        <v>173</v>
      </c>
      <c r="E187" s="43">
        <v>475</v>
      </c>
      <c r="F187" s="48" t="s">
        <v>173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9" t="s">
        <v>236</v>
      </c>
      <c r="D188" s="48" t="s">
        <v>173</v>
      </c>
      <c r="E188" s="43">
        <v>475</v>
      </c>
      <c r="F188" s="48" t="s">
        <v>173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9" t="s">
        <v>236</v>
      </c>
      <c r="D189" s="48" t="s">
        <v>173</v>
      </c>
      <c r="E189" s="43">
        <v>475</v>
      </c>
      <c r="F189" s="48" t="s">
        <v>173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9" t="s">
        <v>236</v>
      </c>
      <c r="D190" s="48" t="s">
        <v>173</v>
      </c>
      <c r="E190" s="43">
        <v>475</v>
      </c>
      <c r="F190" s="48" t="s">
        <v>173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9" t="s">
        <v>236</v>
      </c>
      <c r="D191" s="58" t="s">
        <v>173</v>
      </c>
      <c r="E191" s="43">
        <v>475</v>
      </c>
      <c r="F191" s="58" t="s">
        <v>173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9" t="s">
        <v>236</v>
      </c>
      <c r="D192" s="58" t="s">
        <v>173</v>
      </c>
      <c r="E192" s="43">
        <v>475</v>
      </c>
      <c r="F192" s="58" t="s">
        <v>173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9" t="s">
        <v>236</v>
      </c>
      <c r="D193" s="58" t="s">
        <v>173</v>
      </c>
      <c r="E193" s="43">
        <v>475</v>
      </c>
      <c r="F193" s="58" t="s">
        <v>173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9" t="s">
        <v>236</v>
      </c>
      <c r="D194" s="58" t="s">
        <v>173</v>
      </c>
      <c r="E194" s="43">
        <v>475</v>
      </c>
      <c r="F194" s="58" t="s">
        <v>173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9" t="s">
        <v>236</v>
      </c>
      <c r="D195" s="58" t="s">
        <v>173</v>
      </c>
      <c r="E195" s="43">
        <v>475</v>
      </c>
      <c r="F195" s="58" t="s">
        <v>173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9" t="s">
        <v>236</v>
      </c>
      <c r="D196" s="58" t="s">
        <v>173</v>
      </c>
      <c r="E196" s="43">
        <v>475</v>
      </c>
      <c r="F196" s="58" t="s">
        <v>173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9" t="s">
        <v>236</v>
      </c>
      <c r="D197" s="58" t="s">
        <v>173</v>
      </c>
      <c r="E197" s="43">
        <v>475</v>
      </c>
      <c r="F197" s="58" t="s">
        <v>173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9" t="s">
        <v>236</v>
      </c>
      <c r="D198" s="48" t="s">
        <v>173</v>
      </c>
      <c r="E198" s="43">
        <v>475</v>
      </c>
      <c r="F198" s="48" t="s">
        <v>173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9" t="s">
        <v>236</v>
      </c>
      <c r="D199" s="48" t="s">
        <v>173</v>
      </c>
      <c r="E199" s="43">
        <v>475</v>
      </c>
      <c r="F199" s="48" t="s">
        <v>173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9" t="s">
        <v>236</v>
      </c>
      <c r="D200" s="48" t="s">
        <v>173</v>
      </c>
      <c r="E200" s="43">
        <v>475</v>
      </c>
      <c r="F200" s="48" t="s">
        <v>173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9" t="s">
        <v>236</v>
      </c>
      <c r="D201" s="151" t="s">
        <v>173</v>
      </c>
      <c r="E201" s="43">
        <v>475</v>
      </c>
      <c r="F201" s="48" t="s">
        <v>173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9" t="s">
        <v>236</v>
      </c>
      <c r="D202" s="48" t="s">
        <v>173</v>
      </c>
      <c r="E202" s="43">
        <v>475</v>
      </c>
      <c r="F202" s="48" t="s">
        <v>173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9" t="s">
        <v>236</v>
      </c>
      <c r="D203" s="151" t="s">
        <v>173</v>
      </c>
      <c r="E203" s="152">
        <v>639</v>
      </c>
      <c r="F203" s="48" t="s">
        <v>173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9" t="s">
        <v>236</v>
      </c>
      <c r="D204" s="151" t="s">
        <v>173</v>
      </c>
      <c r="E204" s="152">
        <v>639</v>
      </c>
      <c r="F204" s="48" t="s">
        <v>173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9" t="s">
        <v>236</v>
      </c>
      <c r="D205" s="151" t="s">
        <v>173</v>
      </c>
      <c r="E205" s="152">
        <v>639</v>
      </c>
      <c r="F205" s="48" t="s">
        <v>173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9" t="s">
        <v>236</v>
      </c>
      <c r="D206" s="151" t="s">
        <v>173</v>
      </c>
      <c r="E206" s="152">
        <v>639</v>
      </c>
      <c r="F206" s="48" t="s">
        <v>173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9" t="s">
        <v>236</v>
      </c>
      <c r="D207" s="151" t="s">
        <v>173</v>
      </c>
      <c r="E207" s="152">
        <v>639</v>
      </c>
      <c r="F207" s="48" t="s">
        <v>173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9" t="s">
        <v>236</v>
      </c>
      <c r="D208" s="151" t="s">
        <v>173</v>
      </c>
      <c r="E208" s="152">
        <v>639</v>
      </c>
      <c r="F208" s="48" t="s">
        <v>173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9" t="s">
        <v>236</v>
      </c>
      <c r="D209" s="151" t="s">
        <v>173</v>
      </c>
      <c r="E209" s="152">
        <v>639</v>
      </c>
      <c r="F209" s="48" t="s">
        <v>173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9" t="s">
        <v>236</v>
      </c>
      <c r="D210" s="48" t="s">
        <v>173</v>
      </c>
      <c r="E210" s="43">
        <v>639</v>
      </c>
      <c r="F210" s="48" t="s">
        <v>173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9" t="s">
        <v>236</v>
      </c>
      <c r="D211" s="151" t="s">
        <v>173</v>
      </c>
      <c r="E211" s="152">
        <v>639</v>
      </c>
      <c r="F211" s="48" t="s">
        <v>173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9" t="s">
        <v>236</v>
      </c>
      <c r="D212" s="151" t="s">
        <v>173</v>
      </c>
      <c r="E212" s="152">
        <v>639</v>
      </c>
      <c r="F212" s="48" t="s">
        <v>173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9" t="s">
        <v>236</v>
      </c>
      <c r="D213" s="151" t="s">
        <v>173</v>
      </c>
      <c r="E213" s="152">
        <v>639</v>
      </c>
      <c r="F213" s="48" t="s">
        <v>173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9" t="s">
        <v>236</v>
      </c>
      <c r="D214" s="151" t="s">
        <v>173</v>
      </c>
      <c r="E214" s="152">
        <v>639</v>
      </c>
      <c r="F214" s="48" t="s">
        <v>173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9" t="s">
        <v>236</v>
      </c>
      <c r="D215" s="151" t="s">
        <v>173</v>
      </c>
      <c r="E215" s="152">
        <v>639</v>
      </c>
      <c r="F215" s="48" t="s">
        <v>173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9" t="s">
        <v>236</v>
      </c>
      <c r="D216" s="48" t="s">
        <v>173</v>
      </c>
      <c r="E216" s="43">
        <v>639</v>
      </c>
      <c r="F216" s="48" t="s">
        <v>173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9" t="s">
        <v>236</v>
      </c>
      <c r="D217" s="48" t="s">
        <v>173</v>
      </c>
      <c r="E217" s="166">
        <v>639</v>
      </c>
      <c r="F217" s="86" t="s">
        <v>173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9" t="s">
        <v>236</v>
      </c>
      <c r="D218" s="48" t="s">
        <v>173</v>
      </c>
      <c r="E218" s="166">
        <v>475.34</v>
      </c>
      <c r="F218" s="86" t="s">
        <v>173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9" t="s">
        <v>236</v>
      </c>
      <c r="D219" s="48" t="s">
        <v>173</v>
      </c>
      <c r="E219" s="166">
        <v>475.34</v>
      </c>
      <c r="F219" s="86" t="s">
        <v>173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9" t="s">
        <v>236</v>
      </c>
      <c r="D220" s="48" t="s">
        <v>173</v>
      </c>
      <c r="E220" s="166">
        <v>475.34</v>
      </c>
      <c r="F220" s="86" t="s">
        <v>173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9" t="s">
        <v>236</v>
      </c>
      <c r="D221" s="48" t="s">
        <v>173</v>
      </c>
      <c r="E221" s="43">
        <v>475.34</v>
      </c>
      <c r="F221" s="300" t="s">
        <v>173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9" t="s">
        <v>236</v>
      </c>
      <c r="D222" s="48" t="s">
        <v>173</v>
      </c>
      <c r="E222" s="166">
        <v>475.34</v>
      </c>
      <c r="F222" s="86" t="s">
        <v>173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9" t="s">
        <v>236</v>
      </c>
      <c r="D223" s="48" t="s">
        <v>173</v>
      </c>
      <c r="E223" s="166">
        <v>475.34</v>
      </c>
      <c r="F223" s="86" t="s">
        <v>173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9" t="s">
        <v>236</v>
      </c>
      <c r="D224" s="48" t="s">
        <v>173</v>
      </c>
      <c r="E224" s="166">
        <v>475.34</v>
      </c>
      <c r="F224" s="86" t="s">
        <v>173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9" t="s">
        <v>236</v>
      </c>
      <c r="D225" s="48" t="s">
        <v>173</v>
      </c>
      <c r="E225" s="166">
        <v>475.34</v>
      </c>
      <c r="F225" s="86" t="s">
        <v>173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9" t="s">
        <v>236</v>
      </c>
      <c r="D226" s="48" t="s">
        <v>173</v>
      </c>
      <c r="E226" s="166">
        <v>475.34</v>
      </c>
      <c r="F226" s="86" t="s">
        <v>173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9" t="s">
        <v>236</v>
      </c>
      <c r="D227" s="48" t="s">
        <v>173</v>
      </c>
      <c r="E227" s="166">
        <v>475.34</v>
      </c>
      <c r="F227" s="86" t="s">
        <v>173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9" t="s">
        <v>236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9" t="s">
        <v>236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309</v>
      </c>
      <c r="C230" s="219" t="s">
        <v>236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9" t="s">
        <v>236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9" t="s">
        <v>236</v>
      </c>
      <c r="D232" s="49" t="s">
        <v>238</v>
      </c>
      <c r="E232" s="166">
        <v>16471.25</v>
      </c>
      <c r="F232" s="301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9" t="s">
        <v>236</v>
      </c>
      <c r="D233" s="49" t="s">
        <v>238</v>
      </c>
      <c r="E233" s="166">
        <v>32931.5</v>
      </c>
      <c r="F233" s="301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9" t="s">
        <v>236</v>
      </c>
      <c r="D234" s="49" t="s">
        <v>238</v>
      </c>
      <c r="E234" s="166">
        <v>16209.5</v>
      </c>
      <c r="F234" s="301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9" t="s">
        <v>236</v>
      </c>
      <c r="D235" s="49" t="s">
        <v>238</v>
      </c>
      <c r="E235" s="166">
        <v>32417</v>
      </c>
      <c r="F235" s="301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9" t="s">
        <v>236</v>
      </c>
      <c r="D236" s="49" t="s">
        <v>238</v>
      </c>
      <c r="E236" s="166">
        <v>50250</v>
      </c>
      <c r="F236" s="301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9" t="s">
        <v>236</v>
      </c>
      <c r="D237" s="49" t="s">
        <v>238</v>
      </c>
      <c r="E237" s="166">
        <v>25131.5</v>
      </c>
      <c r="F237" s="301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9" t="s">
        <v>236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9" t="s">
        <v>236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9" t="s">
        <v>236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9" t="s">
        <v>236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9" t="s">
        <v>236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236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236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236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236</v>
      </c>
      <c r="D246" s="48" t="s">
        <v>241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236</v>
      </c>
      <c r="D247" s="48" t="s">
        <v>240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236</v>
      </c>
      <c r="D248" s="48" t="s">
        <v>111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236</v>
      </c>
      <c r="D249" s="48" t="s">
        <v>111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6" t="s">
        <v>236</v>
      </c>
      <c r="D250" s="277" t="s">
        <v>111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6" t="s">
        <v>236</v>
      </c>
      <c r="D251" s="277" t="s">
        <v>240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6" t="s">
        <v>236</v>
      </c>
      <c r="D252" s="277" t="s">
        <v>241</v>
      </c>
      <c r="E252" s="303">
        <v>7183</v>
      </c>
      <c r="F252" s="278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6" t="s">
        <v>236</v>
      </c>
      <c r="D253" s="277" t="s">
        <v>241</v>
      </c>
      <c r="E253" s="303">
        <v>10597</v>
      </c>
      <c r="F253" s="278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6" t="s">
        <v>236</v>
      </c>
      <c r="D254" s="277" t="s">
        <v>111</v>
      </c>
      <c r="E254" s="141">
        <v>2866.6666666666665</v>
      </c>
      <c r="F254" s="278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6" t="s">
        <v>236</v>
      </c>
      <c r="D255" s="277" t="s">
        <v>111</v>
      </c>
      <c r="E255" s="141">
        <v>2866.6666666666665</v>
      </c>
      <c r="F255" s="278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6" t="s">
        <v>236</v>
      </c>
      <c r="D256" s="277" t="s">
        <v>244</v>
      </c>
      <c r="E256" s="141"/>
      <c r="F256" s="278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6" t="s">
        <v>236</v>
      </c>
      <c r="D257" s="277" t="s">
        <v>238</v>
      </c>
      <c r="E257" s="141">
        <v>8000</v>
      </c>
      <c r="F257" s="278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6" t="s">
        <v>236</v>
      </c>
      <c r="D258" s="277" t="s">
        <v>238</v>
      </c>
      <c r="E258" s="141">
        <v>10000</v>
      </c>
      <c r="F258" s="278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6" t="s">
        <v>236</v>
      </c>
      <c r="D259" s="277" t="s">
        <v>238</v>
      </c>
      <c r="E259" s="141">
        <v>10000</v>
      </c>
      <c r="F259" s="278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6" t="s">
        <v>236</v>
      </c>
      <c r="D260" s="277" t="s">
        <v>244</v>
      </c>
      <c r="E260" s="141"/>
      <c r="F260" s="278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6" t="s">
        <v>236</v>
      </c>
      <c r="D261" s="277" t="s">
        <v>205</v>
      </c>
      <c r="E261" s="141">
        <v>636792</v>
      </c>
      <c r="F261" s="278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6" t="s">
        <v>236</v>
      </c>
      <c r="D262" s="277" t="s">
        <v>307</v>
      </c>
      <c r="E262" s="141">
        <v>28.18</v>
      </c>
      <c r="F262" s="278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6" t="s">
        <v>236</v>
      </c>
      <c r="D263" s="277" t="s">
        <v>307</v>
      </c>
      <c r="E263" s="141">
        <v>2700</v>
      </c>
      <c r="F263" s="278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6" t="s">
        <v>236</v>
      </c>
      <c r="D264" s="277" t="s">
        <v>307</v>
      </c>
      <c r="E264" s="141">
        <v>18.53</v>
      </c>
      <c r="F264" s="278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6" t="s">
        <v>236</v>
      </c>
      <c r="D265" s="277" t="s">
        <v>241</v>
      </c>
      <c r="E265" s="141">
        <v>1800</v>
      </c>
      <c r="F265" s="278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6" t="s">
        <v>236</v>
      </c>
      <c r="D266" s="277" t="s">
        <v>241</v>
      </c>
      <c r="E266" s="141">
        <v>1057</v>
      </c>
      <c r="F266" s="278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347</v>
      </c>
      <c r="C267" s="276" t="s">
        <v>236</v>
      </c>
      <c r="D267" s="277" t="s">
        <v>307</v>
      </c>
      <c r="E267" s="141">
        <v>18.53</v>
      </c>
      <c r="F267" s="278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348</v>
      </c>
      <c r="C268" s="276" t="s">
        <v>236</v>
      </c>
      <c r="D268" s="277" t="s">
        <v>307</v>
      </c>
      <c r="E268" s="141">
        <v>22.8</v>
      </c>
      <c r="F268" s="278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349</v>
      </c>
      <c r="C269" s="276" t="s">
        <v>236</v>
      </c>
      <c r="D269" s="277" t="s">
        <v>307</v>
      </c>
      <c r="E269" s="141">
        <v>22.8</v>
      </c>
      <c r="F269" s="278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350</v>
      </c>
      <c r="C270" s="276" t="s">
        <v>236</v>
      </c>
      <c r="D270" s="277" t="s">
        <v>307</v>
      </c>
      <c r="E270" s="141">
        <v>14.73</v>
      </c>
      <c r="F270" s="278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351</v>
      </c>
      <c r="C271" s="276" t="s">
        <v>236</v>
      </c>
      <c r="D271" s="277" t="s">
        <v>307</v>
      </c>
      <c r="E271" s="141">
        <v>14.73</v>
      </c>
      <c r="F271" s="278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6" t="s">
        <v>236</v>
      </c>
      <c r="D272" s="277" t="s">
        <v>241</v>
      </c>
      <c r="E272" s="141">
        <v>819.99999999999989</v>
      </c>
      <c r="F272" s="278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6" t="s">
        <v>236</v>
      </c>
      <c r="D273" s="277" t="s">
        <v>241</v>
      </c>
      <c r="E273" s="141">
        <v>1170</v>
      </c>
      <c r="F273" s="278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6" t="s">
        <v>236</v>
      </c>
      <c r="D274" s="277" t="s">
        <v>241</v>
      </c>
      <c r="E274" s="141">
        <v>8000</v>
      </c>
      <c r="F274" s="278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6" t="s">
        <v>236</v>
      </c>
      <c r="D275" s="277" t="s">
        <v>241</v>
      </c>
      <c r="E275" s="141">
        <v>11000</v>
      </c>
      <c r="F275" s="278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6" t="s">
        <v>236</v>
      </c>
      <c r="D276" s="277" t="s">
        <v>241</v>
      </c>
      <c r="E276" s="141">
        <v>10858</v>
      </c>
      <c r="F276" s="278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6" t="s">
        <v>236</v>
      </c>
      <c r="D277" s="277" t="s">
        <v>241</v>
      </c>
      <c r="E277" s="141">
        <v>13999.16</v>
      </c>
      <c r="F277" s="278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6" t="s">
        <v>236</v>
      </c>
      <c r="D278" s="277" t="s">
        <v>238</v>
      </c>
      <c r="E278" s="141"/>
      <c r="F278" s="278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6" t="s">
        <v>236</v>
      </c>
      <c r="D279" s="277" t="s">
        <v>244</v>
      </c>
      <c r="E279" s="141"/>
      <c r="F279" s="278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6" t="s">
        <v>236</v>
      </c>
      <c r="D280" s="277" t="s">
        <v>244</v>
      </c>
      <c r="E280" s="141"/>
      <c r="F280" s="278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6" t="s">
        <v>236</v>
      </c>
      <c r="D281" s="277" t="s">
        <v>362</v>
      </c>
      <c r="E281" s="141"/>
      <c r="F281" s="277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6" t="s">
        <v>236</v>
      </c>
      <c r="D282" s="277" t="s">
        <v>215</v>
      </c>
      <c r="E282" s="141">
        <v>4776.666666666667</v>
      </c>
      <c r="F282" s="278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6" t="s">
        <v>236</v>
      </c>
      <c r="D283" s="277" t="s">
        <v>241</v>
      </c>
      <c r="E283" s="141">
        <v>1035.3</v>
      </c>
      <c r="F283" s="278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6" t="s">
        <v>236</v>
      </c>
      <c r="D284" s="277" t="s">
        <v>240</v>
      </c>
      <c r="E284" s="141">
        <v>700</v>
      </c>
      <c r="F284" s="278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6" t="s">
        <v>236</v>
      </c>
      <c r="D285" s="277" t="s">
        <v>240</v>
      </c>
      <c r="E285" s="141">
        <v>1100</v>
      </c>
      <c r="F285" s="278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6" t="s">
        <v>236</v>
      </c>
      <c r="D286" s="277" t="s">
        <v>307</v>
      </c>
      <c r="E286" s="141">
        <v>1000</v>
      </c>
      <c r="F286" s="278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6" t="s">
        <v>236</v>
      </c>
      <c r="D287" s="277" t="s">
        <v>241</v>
      </c>
      <c r="E287" s="141">
        <v>700</v>
      </c>
      <c r="F287" s="278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6" t="s">
        <v>236</v>
      </c>
      <c r="D288" s="48" t="s">
        <v>241</v>
      </c>
      <c r="E288" s="166">
        <v>84</v>
      </c>
      <c r="F288" s="278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6" t="s">
        <v>236</v>
      </c>
      <c r="D289" s="277" t="s">
        <v>241</v>
      </c>
      <c r="E289" s="166">
        <v>10780</v>
      </c>
      <c r="F289" s="278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77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371</v>
      </c>
      <c r="C516" s="219" t="s">
        <v>45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9" t="s">
        <v>45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9" t="s">
        <v>45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9" t="s">
        <v>45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9" t="s">
        <v>45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9" t="s">
        <v>45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9" t="s">
        <v>45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9" t="s">
        <v>45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9" t="s">
        <v>45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45</v>
      </c>
      <c r="D525" s="215" t="s">
        <v>372</v>
      </c>
      <c r="E525" s="217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45</v>
      </c>
      <c r="D526" s="48" t="s">
        <v>372</v>
      </c>
      <c r="E526" s="216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45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45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45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45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45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45</v>
      </c>
      <c r="D532" s="214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45</v>
      </c>
      <c r="D533" s="214" t="s">
        <v>372</v>
      </c>
      <c r="E533" s="218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45</v>
      </c>
      <c r="D534" s="214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9" t="s">
        <v>45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9" t="s">
        <v>45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9" t="s">
        <v>45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9" t="s">
        <v>45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77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2" t="s">
        <v>395</v>
      </c>
      <c r="C562" s="219" t="s">
        <v>48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396</v>
      </c>
      <c r="C563" s="219" t="s">
        <v>48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397</v>
      </c>
      <c r="C564" s="219" t="s">
        <v>48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398</v>
      </c>
      <c r="C565" s="219" t="s">
        <v>48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399</v>
      </c>
      <c r="C566" s="219" t="s">
        <v>48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400</v>
      </c>
      <c r="C567" s="219" t="s">
        <v>48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401</v>
      </c>
      <c r="C568" s="219" t="s">
        <v>48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402</v>
      </c>
      <c r="C569" s="219" t="s">
        <v>48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9" t="s">
        <v>48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9" t="s">
        <v>48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9" t="s">
        <v>48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9" t="s">
        <v>48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9" t="s">
        <v>48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9" t="s">
        <v>48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9" t="s">
        <v>48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9" t="s">
        <v>48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9" t="s">
        <v>48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9" t="s">
        <v>48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9" t="s">
        <v>48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9" t="s">
        <v>48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9" t="s">
        <v>48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9" t="s">
        <v>48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9" t="s">
        <v>48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9" t="s">
        <v>48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9" t="s">
        <v>48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9" t="s">
        <v>48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9" t="s">
        <v>48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9" t="s">
        <v>48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9" t="s">
        <v>48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9" t="s">
        <v>48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9" t="s">
        <v>48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9" t="s">
        <v>48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9" t="s">
        <v>48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9" t="s">
        <v>48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9" t="s">
        <v>48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9" t="s">
        <v>48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9" t="s">
        <v>48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9" t="s">
        <v>48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9" t="s">
        <v>48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9" t="s">
        <v>48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9" t="s">
        <v>48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9" t="s">
        <v>48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9" t="s">
        <v>48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9" t="s">
        <v>48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9" t="s">
        <v>48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9" t="s">
        <v>48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9" t="s">
        <v>48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9" t="s">
        <v>48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9" t="s">
        <v>48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9" t="s">
        <v>48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9" t="s">
        <v>48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9" t="s">
        <v>48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9" t="s">
        <v>48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9" t="s">
        <v>48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9" t="s">
        <v>48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9" t="s">
        <v>48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9" t="s">
        <v>48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9" t="s">
        <v>48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9" t="s">
        <v>48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9" t="s">
        <v>48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9" t="s">
        <v>48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9" t="s">
        <v>48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9" t="s">
        <v>48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9" t="s">
        <v>48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19" t="s">
        <v>48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9" t="s">
        <v>48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9" t="s">
        <v>48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9" t="s">
        <v>48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9" t="s">
        <v>48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9" t="s">
        <v>48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9" t="s">
        <v>48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466</v>
      </c>
      <c r="C633" s="219" t="s">
        <v>48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9" t="s">
        <v>48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9" t="s">
        <v>48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9" t="s">
        <v>48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9" t="s">
        <v>48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9" t="s">
        <v>48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9" t="s">
        <v>48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9" t="s">
        <v>48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9" t="s">
        <v>48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9" t="s">
        <v>48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9" t="s">
        <v>48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9" t="s">
        <v>48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9" t="s">
        <v>48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9" t="s">
        <v>48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480</v>
      </c>
      <c r="C647" s="219" t="s">
        <v>48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9" t="s">
        <v>48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482</v>
      </c>
      <c r="C649" s="219" t="s">
        <v>48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9" t="s">
        <v>48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9" t="s">
        <v>48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9" t="s">
        <v>48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9" t="s">
        <v>48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9" t="s">
        <v>48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9" t="s">
        <v>48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9" t="s">
        <v>48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9" t="s">
        <v>48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9" t="s">
        <v>48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9" t="s">
        <v>48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493</v>
      </c>
      <c r="C660" s="219" t="s">
        <v>48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494</v>
      </c>
      <c r="C661" s="219" t="s">
        <v>48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495</v>
      </c>
      <c r="C662" s="219" t="s">
        <v>48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496</v>
      </c>
      <c r="C663" s="219" t="s">
        <v>48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497</v>
      </c>
      <c r="C664" s="219" t="s">
        <v>48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498</v>
      </c>
      <c r="C665" s="219" t="s">
        <v>48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499</v>
      </c>
      <c r="C666" s="219" t="s">
        <v>48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500</v>
      </c>
      <c r="C667" s="219" t="s">
        <v>48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501</v>
      </c>
      <c r="C668" s="219" t="s">
        <v>48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502</v>
      </c>
      <c r="C669" s="219" t="s">
        <v>48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503</v>
      </c>
      <c r="C670" s="219" t="s">
        <v>48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504</v>
      </c>
      <c r="C671" s="219" t="s">
        <v>48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505</v>
      </c>
      <c r="C672" s="219" t="s">
        <v>48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506</v>
      </c>
      <c r="C673" s="219" t="s">
        <v>48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507</v>
      </c>
      <c r="C674" s="219" t="s">
        <v>48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508</v>
      </c>
      <c r="C675" s="219" t="s">
        <v>48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509</v>
      </c>
      <c r="C676" s="219" t="s">
        <v>48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510</v>
      </c>
      <c r="C677" s="219" t="s">
        <v>48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511</v>
      </c>
      <c r="C678" s="219" t="s">
        <v>48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512</v>
      </c>
      <c r="C679" s="219" t="s">
        <v>48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513</v>
      </c>
      <c r="C680" s="219" t="s">
        <v>48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514</v>
      </c>
      <c r="C681" s="219" t="s">
        <v>48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515</v>
      </c>
      <c r="C682" s="219" t="s">
        <v>48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516</v>
      </c>
      <c r="C683" s="219" t="s">
        <v>48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517</v>
      </c>
      <c r="C684" s="219" t="s">
        <v>48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518</v>
      </c>
      <c r="C685" s="219" t="s">
        <v>48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519</v>
      </c>
      <c r="C686" s="219" t="s">
        <v>48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520</v>
      </c>
      <c r="C687" s="219" t="s">
        <v>48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521</v>
      </c>
      <c r="C688" s="219" t="s">
        <v>48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522</v>
      </c>
      <c r="C689" s="219" t="s">
        <v>48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523</v>
      </c>
      <c r="C690" s="219" t="s">
        <v>48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524</v>
      </c>
      <c r="C691" s="219" t="s">
        <v>48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525</v>
      </c>
      <c r="C692" s="219" t="s">
        <v>48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526</v>
      </c>
      <c r="C693" s="219" t="s">
        <v>48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527</v>
      </c>
      <c r="C694" s="219" t="s">
        <v>48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528</v>
      </c>
      <c r="C695" s="219" t="s">
        <v>48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529</v>
      </c>
      <c r="C696" s="219" t="s">
        <v>48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530</v>
      </c>
      <c r="C697" s="219" t="s">
        <v>48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531</v>
      </c>
      <c r="C698" s="219" t="s">
        <v>48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532</v>
      </c>
      <c r="C699" s="219" t="s">
        <v>48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533</v>
      </c>
      <c r="C700" s="219" t="s">
        <v>48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534</v>
      </c>
      <c r="C701" s="219" t="s">
        <v>48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535</v>
      </c>
      <c r="C702" s="219" t="s">
        <v>48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536</v>
      </c>
      <c r="C703" s="219" t="s">
        <v>48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537</v>
      </c>
      <c r="C704" s="219" t="s">
        <v>48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538</v>
      </c>
      <c r="C705" s="219" t="s">
        <v>48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539</v>
      </c>
      <c r="C706" s="219" t="s">
        <v>48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540</v>
      </c>
      <c r="C707" s="219" t="s">
        <v>48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541</v>
      </c>
      <c r="C708" s="219" t="s">
        <v>48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542</v>
      </c>
      <c r="C709" s="219" t="s">
        <v>48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543</v>
      </c>
      <c r="C710" s="219" t="s">
        <v>48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544</v>
      </c>
      <c r="C711" s="219" t="s">
        <v>48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545</v>
      </c>
      <c r="C712" s="219" t="s">
        <v>48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546</v>
      </c>
      <c r="C713" s="219" t="s">
        <v>48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547</v>
      </c>
      <c r="C714" s="219" t="s">
        <v>48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548</v>
      </c>
      <c r="C715" s="219" t="s">
        <v>48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549</v>
      </c>
      <c r="C716" s="219" t="s">
        <v>48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550</v>
      </c>
      <c r="C717" s="219" t="s">
        <v>48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551</v>
      </c>
      <c r="C718" s="219" t="s">
        <v>48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552</v>
      </c>
      <c r="C719" s="219" t="s">
        <v>48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553</v>
      </c>
      <c r="C720" s="219" t="s">
        <v>48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554</v>
      </c>
      <c r="C721" s="219" t="s">
        <v>48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555</v>
      </c>
      <c r="C722" s="219" t="s">
        <v>48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556</v>
      </c>
      <c r="C723" s="219" t="s">
        <v>48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557</v>
      </c>
      <c r="C724" s="219" t="s">
        <v>48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558</v>
      </c>
      <c r="C725" s="219" t="s">
        <v>48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559</v>
      </c>
      <c r="C726" s="219" t="s">
        <v>48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560</v>
      </c>
      <c r="C727" s="219" t="s">
        <v>48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561</v>
      </c>
      <c r="C728" s="219" t="s">
        <v>48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562</v>
      </c>
      <c r="C729" s="219" t="s">
        <v>48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563</v>
      </c>
      <c r="C730" s="219" t="s">
        <v>48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564</v>
      </c>
      <c r="C731" s="219" t="s">
        <v>48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565</v>
      </c>
      <c r="C732" s="219" t="s">
        <v>48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566</v>
      </c>
      <c r="C733" s="219" t="s">
        <v>48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567</v>
      </c>
      <c r="C734" s="219" t="s">
        <v>48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568</v>
      </c>
      <c r="C735" s="219" t="s">
        <v>48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569</v>
      </c>
      <c r="C736" s="219" t="s">
        <v>48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570</v>
      </c>
      <c r="C737" s="219" t="s">
        <v>48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571</v>
      </c>
      <c r="C738" s="219" t="s">
        <v>48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572</v>
      </c>
      <c r="C739" s="219" t="s">
        <v>48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573</v>
      </c>
      <c r="C740" s="219" t="s">
        <v>48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574</v>
      </c>
      <c r="C741" s="219" t="s">
        <v>48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575</v>
      </c>
      <c r="C742" s="219" t="s">
        <v>48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576</v>
      </c>
      <c r="C743" s="219" t="s">
        <v>48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577</v>
      </c>
      <c r="C744" s="219" t="s">
        <v>48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578</v>
      </c>
      <c r="C745" s="219" t="s">
        <v>48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579</v>
      </c>
      <c r="C746" s="219" t="s">
        <v>48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580</v>
      </c>
      <c r="C747" s="219" t="s">
        <v>48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581</v>
      </c>
      <c r="C748" s="219" t="s">
        <v>48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582</v>
      </c>
      <c r="C749" s="219" t="s">
        <v>48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583</v>
      </c>
      <c r="C750" s="219" t="s">
        <v>48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584</v>
      </c>
      <c r="C751" s="219" t="s">
        <v>48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585</v>
      </c>
      <c r="C752" s="219" t="s">
        <v>48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586</v>
      </c>
      <c r="C753" s="219" t="s">
        <v>48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587</v>
      </c>
      <c r="C754" s="219" t="s">
        <v>48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588</v>
      </c>
      <c r="C755" s="219" t="s">
        <v>48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589</v>
      </c>
      <c r="C756" s="219" t="s">
        <v>48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590</v>
      </c>
      <c r="C757" s="219" t="s">
        <v>48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591</v>
      </c>
      <c r="C758" s="219" t="s">
        <v>48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592</v>
      </c>
      <c r="C759" s="219" t="s">
        <v>48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593</v>
      </c>
      <c r="C760" s="219" t="s">
        <v>48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594</v>
      </c>
      <c r="C761" s="219" t="s">
        <v>48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595</v>
      </c>
      <c r="C762" s="219" t="s">
        <v>48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596</v>
      </c>
      <c r="C763" s="219" t="s">
        <v>48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597</v>
      </c>
      <c r="C764" s="219" t="s">
        <v>48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598</v>
      </c>
      <c r="C765" s="219" t="s">
        <v>48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599</v>
      </c>
      <c r="C766" s="219" t="s">
        <v>48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600</v>
      </c>
      <c r="C767" s="219" t="s">
        <v>48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601</v>
      </c>
      <c r="C768" s="219" t="s">
        <v>48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602</v>
      </c>
      <c r="C769" s="219" t="s">
        <v>48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603</v>
      </c>
      <c r="C770" s="219" t="s">
        <v>48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604</v>
      </c>
      <c r="C771" s="219" t="s">
        <v>48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605</v>
      </c>
      <c r="C772" s="219" t="s">
        <v>48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606</v>
      </c>
      <c r="C773" s="219" t="s">
        <v>48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607</v>
      </c>
      <c r="C774" s="219" t="s">
        <v>48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608</v>
      </c>
      <c r="C775" s="219" t="s">
        <v>48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609</v>
      </c>
      <c r="C776" s="219" t="s">
        <v>48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610</v>
      </c>
      <c r="C777" s="219" t="s">
        <v>48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611</v>
      </c>
      <c r="C778" s="219" t="s">
        <v>48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612</v>
      </c>
      <c r="C779" s="219" t="s">
        <v>48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613</v>
      </c>
      <c r="C780" s="219" t="s">
        <v>48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614</v>
      </c>
      <c r="C781" s="219" t="s">
        <v>48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615</v>
      </c>
      <c r="C782" s="219" t="s">
        <v>48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9" t="s">
        <v>48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9" t="s">
        <v>48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9" t="s">
        <v>48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9" t="s">
        <v>48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9" t="s">
        <v>48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621</v>
      </c>
      <c r="C788" s="219" t="s">
        <v>48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622</v>
      </c>
      <c r="C789" s="219" t="s">
        <v>48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623</v>
      </c>
      <c r="C790" s="219" t="s">
        <v>48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624</v>
      </c>
      <c r="C791" s="219" t="s">
        <v>48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625</v>
      </c>
      <c r="C792" s="219" t="s">
        <v>48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626</v>
      </c>
      <c r="C793" s="219" t="s">
        <v>48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627</v>
      </c>
      <c r="C794" s="219" t="s">
        <v>48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628</v>
      </c>
      <c r="C795" s="219" t="s">
        <v>48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629</v>
      </c>
      <c r="C796" s="219" t="s">
        <v>48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630</v>
      </c>
      <c r="C797" s="219" t="s">
        <v>48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631</v>
      </c>
      <c r="C798" s="219" t="s">
        <v>48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632</v>
      </c>
      <c r="C799" s="219" t="s">
        <v>48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633</v>
      </c>
      <c r="C800" s="219" t="s">
        <v>48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634</v>
      </c>
      <c r="C801" s="219" t="s">
        <v>48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635</v>
      </c>
      <c r="C802" s="219" t="s">
        <v>48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636</v>
      </c>
      <c r="C803" s="219" t="s">
        <v>48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637</v>
      </c>
      <c r="C804" s="219" t="s">
        <v>48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638</v>
      </c>
      <c r="C805" s="219" t="s">
        <v>48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639</v>
      </c>
      <c r="C806" s="219" t="s">
        <v>48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640</v>
      </c>
      <c r="C807" s="219" t="s">
        <v>48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641</v>
      </c>
      <c r="C808" s="219" t="s">
        <v>48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642</v>
      </c>
      <c r="C809" s="219" t="s">
        <v>48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643</v>
      </c>
      <c r="C810" s="219" t="s">
        <v>48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644</v>
      </c>
      <c r="C811" s="219" t="s">
        <v>48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645</v>
      </c>
      <c r="C812" s="219" t="s">
        <v>48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646</v>
      </c>
      <c r="C813" s="219" t="s">
        <v>48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647</v>
      </c>
      <c r="C814" s="219" t="s">
        <v>48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648</v>
      </c>
      <c r="C815" s="219" t="s">
        <v>48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649</v>
      </c>
      <c r="C816" s="219" t="s">
        <v>48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650</v>
      </c>
      <c r="C817" s="219" t="s">
        <v>48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651</v>
      </c>
      <c r="C818" s="219" t="s">
        <v>48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652</v>
      </c>
      <c r="C819" s="219" t="s">
        <v>48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653</v>
      </c>
      <c r="C820" s="219" t="s">
        <v>48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654</v>
      </c>
      <c r="C821" s="219" t="s">
        <v>48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655</v>
      </c>
      <c r="C822" s="219" t="s">
        <v>48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9" t="s">
        <v>48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657</v>
      </c>
      <c r="C824" s="219" t="s">
        <v>48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658</v>
      </c>
      <c r="C825" s="219" t="s">
        <v>48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659</v>
      </c>
      <c r="C826" s="219" t="s">
        <v>48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660</v>
      </c>
      <c r="C827" s="219" t="s">
        <v>48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661</v>
      </c>
      <c r="C828" s="219" t="s">
        <v>48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662</v>
      </c>
      <c r="C829" s="219" t="s">
        <v>48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663</v>
      </c>
      <c r="C830" s="219" t="s">
        <v>48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664</v>
      </c>
      <c r="C831" s="219" t="s">
        <v>48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665</v>
      </c>
      <c r="C832" s="219" t="s">
        <v>48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666</v>
      </c>
      <c r="C833" s="219" t="s">
        <v>48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667</v>
      </c>
      <c r="C834" s="219" t="s">
        <v>48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668</v>
      </c>
      <c r="C835" s="219" t="s">
        <v>48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669</v>
      </c>
      <c r="C836" s="219" t="s">
        <v>48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670</v>
      </c>
      <c r="C837" s="219" t="s">
        <v>48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671</v>
      </c>
      <c r="C838" s="219" t="s">
        <v>48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672</v>
      </c>
      <c r="C839" s="219" t="s">
        <v>48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673</v>
      </c>
      <c r="C840" s="219" t="s">
        <v>48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674</v>
      </c>
      <c r="C841" s="219" t="s">
        <v>48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675</v>
      </c>
      <c r="C842" s="219" t="s">
        <v>48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676</v>
      </c>
      <c r="C843" s="219" t="s">
        <v>48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677</v>
      </c>
      <c r="C844" s="219" t="s">
        <v>48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678</v>
      </c>
      <c r="C845" s="219" t="s">
        <v>48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679</v>
      </c>
      <c r="C846" s="219" t="s">
        <v>48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680</v>
      </c>
      <c r="C847" s="219" t="s">
        <v>48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681</v>
      </c>
      <c r="C848" s="219" t="s">
        <v>48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9" t="s">
        <v>48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9" t="s">
        <v>48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9" t="s">
        <v>48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9" t="s">
        <v>48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686</v>
      </c>
      <c r="C853" s="219" t="s">
        <v>48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687</v>
      </c>
      <c r="C854" s="219" t="s">
        <v>48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9" t="s">
        <v>48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9" t="s">
        <v>48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9" t="s">
        <v>48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9" t="s">
        <v>48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9" t="s">
        <v>48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693</v>
      </c>
      <c r="C860" s="219" t="s">
        <v>48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694</v>
      </c>
      <c r="C861" s="219" t="s">
        <v>48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695</v>
      </c>
      <c r="C862" s="219" t="s">
        <v>48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696</v>
      </c>
      <c r="C863" s="219" t="s">
        <v>48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697</v>
      </c>
      <c r="C864" s="219" t="s">
        <v>48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698</v>
      </c>
      <c r="C865" s="219" t="s">
        <v>48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699</v>
      </c>
      <c r="C866" s="219" t="s">
        <v>48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700</v>
      </c>
      <c r="C867" s="219" t="s">
        <v>48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701</v>
      </c>
      <c r="C868" s="219" t="s">
        <v>48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702</v>
      </c>
      <c r="C869" s="219" t="s">
        <v>48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703</v>
      </c>
      <c r="C870" s="219" t="s">
        <v>48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704</v>
      </c>
      <c r="C871" s="219" t="s">
        <v>48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705</v>
      </c>
      <c r="C872" s="219" t="s">
        <v>48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706</v>
      </c>
      <c r="C873" s="219" t="s">
        <v>48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9" t="s">
        <v>48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708</v>
      </c>
      <c r="C875" s="219" t="s">
        <v>48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709</v>
      </c>
      <c r="C876" s="219" t="s">
        <v>48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9" t="s">
        <v>48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711</v>
      </c>
      <c r="C878" s="219" t="s">
        <v>48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712</v>
      </c>
      <c r="C879" s="219" t="s">
        <v>48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9" t="s">
        <v>48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9" t="s">
        <v>48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9" t="s">
        <v>48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9" t="s">
        <v>48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9" t="s">
        <v>48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9" t="s">
        <v>48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719</v>
      </c>
      <c r="C886" s="219" t="s">
        <v>48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720</v>
      </c>
      <c r="C887" s="219" t="s">
        <v>48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721</v>
      </c>
      <c r="C888" s="219" t="s">
        <v>48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722</v>
      </c>
      <c r="C889" s="219" t="s">
        <v>48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723</v>
      </c>
      <c r="C890" s="219" t="s">
        <v>48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724</v>
      </c>
      <c r="C891" s="219" t="s">
        <v>48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725</v>
      </c>
      <c r="C892" s="219" t="s">
        <v>48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726</v>
      </c>
      <c r="C893" s="219" t="s">
        <v>48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727</v>
      </c>
      <c r="C894" s="219" t="s">
        <v>48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728</v>
      </c>
      <c r="C895" s="219" t="s">
        <v>48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729</v>
      </c>
      <c r="C896" s="219" t="s">
        <v>48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730</v>
      </c>
      <c r="C897" s="219" t="s">
        <v>48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731</v>
      </c>
      <c r="C898" s="219" t="s">
        <v>48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732</v>
      </c>
      <c r="C899" s="219" t="s">
        <v>48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733</v>
      </c>
      <c r="C900" s="219" t="s">
        <v>48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734</v>
      </c>
      <c r="C901" s="219" t="s">
        <v>48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735</v>
      </c>
      <c r="C902" s="219" t="s">
        <v>48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736</v>
      </c>
      <c r="C903" s="219" t="s">
        <v>48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737</v>
      </c>
      <c r="C904" s="219" t="s">
        <v>48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738</v>
      </c>
      <c r="C905" s="219" t="s">
        <v>48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739</v>
      </c>
      <c r="C906" s="219" t="s">
        <v>48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740</v>
      </c>
      <c r="C907" s="219" t="s">
        <v>48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741</v>
      </c>
      <c r="C908" s="219" t="s">
        <v>48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742</v>
      </c>
      <c r="C909" s="219" t="s">
        <v>48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743</v>
      </c>
      <c r="C910" s="219" t="s">
        <v>48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744</v>
      </c>
      <c r="C911" s="219" t="s">
        <v>48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745</v>
      </c>
      <c r="C912" s="219" t="s">
        <v>48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746</v>
      </c>
      <c r="C913" s="219" t="s">
        <v>48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747</v>
      </c>
      <c r="C914" s="219" t="s">
        <v>48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748</v>
      </c>
      <c r="C915" s="219" t="s">
        <v>48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749</v>
      </c>
      <c r="C916" s="219" t="s">
        <v>48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750</v>
      </c>
      <c r="C917" s="219" t="s">
        <v>48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751</v>
      </c>
      <c r="C918" s="219" t="s">
        <v>48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752</v>
      </c>
      <c r="C919" s="219" t="s">
        <v>48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753</v>
      </c>
      <c r="C920" s="219" t="s">
        <v>48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754</v>
      </c>
      <c r="C921" s="219" t="s">
        <v>48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755</v>
      </c>
      <c r="C922" s="219" t="s">
        <v>48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756</v>
      </c>
      <c r="C923" s="219" t="s">
        <v>48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757</v>
      </c>
      <c r="C924" s="219" t="s">
        <v>48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758</v>
      </c>
      <c r="C925" s="219" t="s">
        <v>48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759</v>
      </c>
      <c r="C926" s="219" t="s">
        <v>48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760</v>
      </c>
      <c r="C927" s="219" t="s">
        <v>48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761</v>
      </c>
      <c r="C928" s="219" t="s">
        <v>48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762</v>
      </c>
      <c r="C929" s="219" t="s">
        <v>48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763</v>
      </c>
      <c r="C930" s="219" t="s">
        <v>48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764</v>
      </c>
      <c r="C931" s="219" t="s">
        <v>48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765</v>
      </c>
      <c r="C932" s="219" t="s">
        <v>48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766</v>
      </c>
      <c r="C933" s="219" t="s">
        <v>48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767</v>
      </c>
      <c r="C934" s="219" t="s">
        <v>48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768</v>
      </c>
      <c r="C935" s="219" t="s">
        <v>48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769</v>
      </c>
      <c r="C936" s="219" t="s">
        <v>48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770</v>
      </c>
      <c r="C937" s="219" t="s">
        <v>48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771</v>
      </c>
      <c r="C938" s="219" t="s">
        <v>48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772</v>
      </c>
      <c r="C939" s="219" t="s">
        <v>48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773</v>
      </c>
      <c r="C940" s="219" t="s">
        <v>48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774</v>
      </c>
      <c r="C941" s="219" t="s">
        <v>48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775</v>
      </c>
      <c r="C942" s="219" t="s">
        <v>48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776</v>
      </c>
      <c r="C943" s="219" t="s">
        <v>48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777</v>
      </c>
      <c r="C944" s="219" t="s">
        <v>48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778</v>
      </c>
      <c r="C945" s="219" t="s">
        <v>48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779</v>
      </c>
      <c r="C946" s="219" t="s">
        <v>48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780</v>
      </c>
      <c r="C947" s="219" t="s">
        <v>48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781</v>
      </c>
      <c r="C948" s="219" t="s">
        <v>48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782</v>
      </c>
      <c r="C949" s="219" t="s">
        <v>48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783</v>
      </c>
      <c r="C950" s="219" t="s">
        <v>48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784</v>
      </c>
      <c r="C951" s="219" t="s">
        <v>48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785</v>
      </c>
      <c r="C952" s="219" t="s">
        <v>48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786</v>
      </c>
      <c r="C953" s="219" t="s">
        <v>48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787</v>
      </c>
      <c r="C954" s="219" t="s">
        <v>48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788</v>
      </c>
      <c r="C955" s="219" t="s">
        <v>48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789</v>
      </c>
      <c r="C956" s="219" t="s">
        <v>48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790</v>
      </c>
      <c r="C957" s="219" t="s">
        <v>48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791</v>
      </c>
      <c r="C958" s="219" t="s">
        <v>48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792</v>
      </c>
      <c r="C959" s="219" t="s">
        <v>48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793</v>
      </c>
      <c r="C960" s="219" t="s">
        <v>48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794</v>
      </c>
      <c r="C961" s="219" t="s">
        <v>48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795</v>
      </c>
      <c r="C962" s="219" t="s">
        <v>48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796</v>
      </c>
      <c r="C963" s="219" t="s">
        <v>48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797</v>
      </c>
      <c r="C964" s="219" t="s">
        <v>48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798</v>
      </c>
      <c r="C965" s="219" t="s">
        <v>48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799</v>
      </c>
      <c r="C966" s="219" t="s">
        <v>48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800</v>
      </c>
      <c r="C967" s="219" t="s">
        <v>48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801</v>
      </c>
      <c r="C968" s="219" t="s">
        <v>48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802</v>
      </c>
      <c r="C969" s="219" t="s">
        <v>48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803</v>
      </c>
      <c r="C970" s="219" t="s">
        <v>48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804</v>
      </c>
      <c r="C971" s="219" t="s">
        <v>48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805</v>
      </c>
      <c r="C972" s="219" t="s">
        <v>48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806</v>
      </c>
      <c r="C973" s="219" t="s">
        <v>48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807</v>
      </c>
      <c r="C974" s="219" t="s">
        <v>48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808</v>
      </c>
      <c r="C975" s="219" t="s">
        <v>48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809</v>
      </c>
      <c r="C976" s="219" t="s">
        <v>48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810</v>
      </c>
      <c r="C977" s="219" t="s">
        <v>48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811</v>
      </c>
      <c r="C978" s="219" t="s">
        <v>48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812</v>
      </c>
      <c r="C979" s="219" t="s">
        <v>48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813</v>
      </c>
      <c r="C980" s="219" t="s">
        <v>48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814</v>
      </c>
      <c r="C981" s="219" t="s">
        <v>48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815</v>
      </c>
      <c r="C982" s="219" t="s">
        <v>48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93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7.25">
      <c r="A1010" s="118" t="s">
        <v>77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816</v>
      </c>
      <c r="C1011" s="160" t="s">
        <v>58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817</v>
      </c>
      <c r="C1012" s="160" t="s">
        <v>58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818</v>
      </c>
      <c r="C1013" s="160" t="s">
        <v>58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819</v>
      </c>
      <c r="C1014" s="160" t="s">
        <v>58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820</v>
      </c>
      <c r="C1015" s="160" t="s">
        <v>58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821</v>
      </c>
      <c r="C1016" s="160" t="s">
        <v>58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822</v>
      </c>
      <c r="C1017" s="160" t="s">
        <v>58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823</v>
      </c>
      <c r="C1018" s="160" t="s">
        <v>58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824</v>
      </c>
      <c r="C1019" s="160" t="s">
        <v>58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825</v>
      </c>
      <c r="C1020" s="160" t="s">
        <v>58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826</v>
      </c>
      <c r="C1021" s="160" t="s">
        <v>58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827</v>
      </c>
      <c r="C1022" s="160" t="s">
        <v>58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828</v>
      </c>
      <c r="C1023" s="160" t="s">
        <v>58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829</v>
      </c>
      <c r="C1024" s="160" t="s">
        <v>58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830</v>
      </c>
      <c r="C1025" s="160" t="s">
        <v>58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831</v>
      </c>
      <c r="C1026" s="160" t="s">
        <v>58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832</v>
      </c>
      <c r="C1027" s="160" t="s">
        <v>58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833</v>
      </c>
      <c r="C1028" s="160" t="s">
        <v>58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834</v>
      </c>
      <c r="C1029" s="160" t="s">
        <v>58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835</v>
      </c>
      <c r="C1030" s="160" t="s">
        <v>58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836</v>
      </c>
      <c r="C1031" s="160" t="s">
        <v>58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837</v>
      </c>
      <c r="C1032" s="160" t="s">
        <v>58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838</v>
      </c>
      <c r="C1033" s="160" t="s">
        <v>58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839</v>
      </c>
      <c r="C1034" s="160" t="s">
        <v>58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840</v>
      </c>
      <c r="C1035" s="160" t="s">
        <v>58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841</v>
      </c>
      <c r="C1036" s="160" t="s">
        <v>58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842</v>
      </c>
      <c r="C1037" s="160" t="s">
        <v>58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843</v>
      </c>
      <c r="C1038" s="160" t="s">
        <v>58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844</v>
      </c>
      <c r="C1039" s="160" t="s">
        <v>58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845</v>
      </c>
      <c r="C1040" s="160" t="s">
        <v>58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846</v>
      </c>
      <c r="C1041" s="160" t="s">
        <v>58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847</v>
      </c>
      <c r="C1042" s="160" t="s">
        <v>58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848</v>
      </c>
      <c r="C1043" s="160" t="s">
        <v>58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6"/>
      <c r="D1064" s="485"/>
      <c r="E1064"/>
      <c r="F1064" s="189"/>
      <c r="H1064"/>
      <c r="I1064"/>
    </row>
    <row r="1065" spans="1:10" ht="21.75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77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30">
      <c r="A1067" s="83">
        <v>1</v>
      </c>
      <c r="B1067" s="206" t="s">
        <v>849</v>
      </c>
      <c r="C1067" s="219" t="s">
        <v>60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850</v>
      </c>
      <c r="C1068" s="219" t="s">
        <v>60</v>
      </c>
      <c r="D1068" s="48" t="s">
        <v>173</v>
      </c>
      <c r="E1068" s="43">
        <v>14150</v>
      </c>
      <c r="F1068" s="188" t="s">
        <v>173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851</v>
      </c>
      <c r="C1069" s="219" t="s">
        <v>60</v>
      </c>
      <c r="D1069" s="48" t="s">
        <v>173</v>
      </c>
      <c r="E1069" s="43">
        <v>16000</v>
      </c>
      <c r="F1069" s="188" t="s">
        <v>173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852</v>
      </c>
      <c r="C1070" s="219" t="s">
        <v>60</v>
      </c>
      <c r="D1070" s="48" t="s">
        <v>173</v>
      </c>
      <c r="E1070" s="43">
        <v>18633.3</v>
      </c>
      <c r="F1070" s="188" t="s">
        <v>173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853</v>
      </c>
      <c r="C1071" s="219" t="s">
        <v>60</v>
      </c>
      <c r="D1071" s="48" t="s">
        <v>173</v>
      </c>
      <c r="E1071" s="43">
        <v>8550</v>
      </c>
      <c r="F1071" s="188" t="s">
        <v>173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854</v>
      </c>
      <c r="C1072" s="219" t="s">
        <v>60</v>
      </c>
      <c r="D1072" s="48" t="s">
        <v>173</v>
      </c>
      <c r="E1072" s="43">
        <v>14000</v>
      </c>
      <c r="F1072" s="188" t="s">
        <v>173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855</v>
      </c>
      <c r="C1073" s="219" t="s">
        <v>60</v>
      </c>
      <c r="D1073" s="48" t="s">
        <v>173</v>
      </c>
      <c r="E1073" s="43">
        <v>24800</v>
      </c>
      <c r="F1073" s="188" t="s">
        <v>173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7.25">
      <c r="A1106" s="81" t="s">
        <v>77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30">
      <c r="A1107" s="83">
        <v>1</v>
      </c>
      <c r="B1107" s="206" t="s">
        <v>856</v>
      </c>
      <c r="C1107" s="37" t="s">
        <v>30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857</v>
      </c>
      <c r="C1108" s="37" t="s">
        <v>30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30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859</v>
      </c>
      <c r="C1110" s="37" t="s">
        <v>30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860</v>
      </c>
      <c r="C1111" s="37" t="s">
        <v>30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861</v>
      </c>
      <c r="C1112" s="37" t="s">
        <v>30</v>
      </c>
      <c r="D1112" s="48" t="s">
        <v>173</v>
      </c>
      <c r="E1112" s="43">
        <v>61500</v>
      </c>
      <c r="F1112" s="188" t="s">
        <v>173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862</v>
      </c>
      <c r="C1113" s="37" t="s">
        <v>30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863</v>
      </c>
      <c r="C1114" s="37" t="s">
        <v>30</v>
      </c>
      <c r="D1114" s="48" t="s">
        <v>173</v>
      </c>
      <c r="E1114" s="43"/>
      <c r="F1114" s="48" t="s">
        <v>173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864</v>
      </c>
      <c r="C1115" s="37" t="s">
        <v>30</v>
      </c>
      <c r="D1115" s="48" t="s">
        <v>173</v>
      </c>
      <c r="E1115" s="43"/>
      <c r="F1115" s="48" t="s">
        <v>173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865</v>
      </c>
      <c r="C1116" s="37" t="s">
        <v>30</v>
      </c>
      <c r="D1116" s="48" t="s">
        <v>173</v>
      </c>
      <c r="E1116" s="43"/>
      <c r="F1116" s="48" t="s">
        <v>173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866</v>
      </c>
      <c r="C1117" s="37" t="s">
        <v>30</v>
      </c>
      <c r="D1117" s="48" t="s">
        <v>173</v>
      </c>
      <c r="E1117" s="43"/>
      <c r="F1117" s="48" t="s">
        <v>173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867</v>
      </c>
      <c r="C1118" s="37" t="s">
        <v>30</v>
      </c>
      <c r="D1118" s="48" t="s">
        <v>173</v>
      </c>
      <c r="E1118" s="43"/>
      <c r="F1118" s="48" t="s">
        <v>173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868</v>
      </c>
      <c r="C1119" s="37" t="s">
        <v>30</v>
      </c>
      <c r="D1119" s="48" t="s">
        <v>173</v>
      </c>
      <c r="E1119" s="43"/>
      <c r="F1119" s="48" t="s">
        <v>173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869</v>
      </c>
      <c r="C1120" s="37" t="s">
        <v>30</v>
      </c>
      <c r="D1120" s="48" t="s">
        <v>173</v>
      </c>
      <c r="E1120" s="43"/>
      <c r="F1120" s="48" t="s">
        <v>173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870</v>
      </c>
      <c r="C1121" s="37" t="s">
        <v>30</v>
      </c>
      <c r="D1121" s="48" t="s">
        <v>173</v>
      </c>
      <c r="E1121" s="43"/>
      <c r="F1121" s="48" t="s">
        <v>173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871</v>
      </c>
      <c r="C1122" s="37" t="s">
        <v>30</v>
      </c>
      <c r="D1122" s="48" t="s">
        <v>173</v>
      </c>
      <c r="E1122" s="43"/>
      <c r="F1122" s="48" t="s">
        <v>173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872</v>
      </c>
      <c r="C1123" s="37" t="s">
        <v>30</v>
      </c>
      <c r="D1123" s="48" t="s">
        <v>173</v>
      </c>
      <c r="E1123" s="43"/>
      <c r="F1123" s="48" t="s">
        <v>173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873</v>
      </c>
      <c r="C1124" s="37" t="s">
        <v>30</v>
      </c>
      <c r="D1124" s="48" t="s">
        <v>173</v>
      </c>
      <c r="E1124" s="43"/>
      <c r="F1124" s="48" t="s">
        <v>173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874</v>
      </c>
      <c r="C1125" s="37" t="s">
        <v>30</v>
      </c>
      <c r="D1125" s="48" t="s">
        <v>173</v>
      </c>
      <c r="E1125" s="43"/>
      <c r="F1125" s="48" t="s">
        <v>173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875</v>
      </c>
      <c r="C1126" s="37" t="s">
        <v>30</v>
      </c>
      <c r="D1126" s="48" t="s">
        <v>173</v>
      </c>
      <c r="E1126" s="43"/>
      <c r="F1126" s="48" t="s">
        <v>173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876</v>
      </c>
      <c r="C1127" s="37" t="s">
        <v>30</v>
      </c>
      <c r="D1127" s="48" t="s">
        <v>173</v>
      </c>
      <c r="E1127" s="43"/>
      <c r="F1127" s="48" t="s">
        <v>173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877</v>
      </c>
      <c r="C1128" s="37" t="s">
        <v>30</v>
      </c>
      <c r="D1128" s="48" t="s">
        <v>173</v>
      </c>
      <c r="E1128" s="43"/>
      <c r="F1128" s="48" t="s">
        <v>173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878</v>
      </c>
      <c r="C1129" s="37" t="s">
        <v>30</v>
      </c>
      <c r="D1129" s="48" t="s">
        <v>173</v>
      </c>
      <c r="E1129" s="43"/>
      <c r="F1129" s="48" t="s">
        <v>173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879</v>
      </c>
      <c r="C1130" s="37" t="s">
        <v>30</v>
      </c>
      <c r="D1130" s="48" t="s">
        <v>173</v>
      </c>
      <c r="E1130" s="43"/>
      <c r="F1130" s="48" t="s">
        <v>173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880</v>
      </c>
      <c r="C1131" s="37" t="s">
        <v>30</v>
      </c>
      <c r="D1131" s="204" t="s">
        <v>173</v>
      </c>
      <c r="E1131" s="43"/>
      <c r="F1131" s="48" t="s">
        <v>173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881</v>
      </c>
      <c r="C1132" s="275" t="s">
        <v>30</v>
      </c>
      <c r="D1132" s="48" t="s">
        <v>173</v>
      </c>
      <c r="E1132" s="43"/>
      <c r="F1132" s="48" t="s">
        <v>173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882</v>
      </c>
      <c r="C1133" s="276" t="s">
        <v>30</v>
      </c>
      <c r="D1133" s="277" t="s">
        <v>173</v>
      </c>
      <c r="E1133" s="141"/>
      <c r="F1133" s="48" t="s">
        <v>173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883</v>
      </c>
      <c r="C1134" s="276" t="s">
        <v>30</v>
      </c>
      <c r="D1134" s="277" t="s">
        <v>173</v>
      </c>
      <c r="E1134" s="141"/>
      <c r="F1134" s="48" t="s">
        <v>173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884</v>
      </c>
      <c r="C1135" s="276" t="s">
        <v>30</v>
      </c>
      <c r="D1135" s="277" t="s">
        <v>173</v>
      </c>
      <c r="E1135" s="141"/>
      <c r="F1135" s="48" t="s">
        <v>173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885</v>
      </c>
      <c r="C1136" s="276" t="s">
        <v>30</v>
      </c>
      <c r="D1136" s="277" t="s">
        <v>173</v>
      </c>
      <c r="E1136" s="141"/>
      <c r="F1136" s="48" t="s">
        <v>173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886</v>
      </c>
      <c r="C1137" s="276" t="s">
        <v>30</v>
      </c>
      <c r="D1137" s="277" t="s">
        <v>173</v>
      </c>
      <c r="E1137" s="141"/>
      <c r="F1137" s="48" t="s">
        <v>173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887</v>
      </c>
      <c r="C1138" s="276" t="s">
        <v>30</v>
      </c>
      <c r="D1138" s="277" t="s">
        <v>173</v>
      </c>
      <c r="E1138" s="141"/>
      <c r="F1138" s="48" t="s">
        <v>173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888</v>
      </c>
      <c r="C1139" s="276" t="s">
        <v>30</v>
      </c>
      <c r="D1139" s="277" t="s">
        <v>173</v>
      </c>
      <c r="E1139" s="141"/>
      <c r="F1139" s="48" t="s">
        <v>173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889</v>
      </c>
      <c r="C1140" s="276" t="s">
        <v>30</v>
      </c>
      <c r="D1140" s="277" t="s">
        <v>173</v>
      </c>
      <c r="E1140" s="141"/>
      <c r="F1140" s="48" t="s">
        <v>173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890</v>
      </c>
      <c r="C1141" s="276" t="s">
        <v>30</v>
      </c>
      <c r="D1141" s="277" t="s">
        <v>173</v>
      </c>
      <c r="E1141" s="141"/>
      <c r="F1141" s="48" t="s">
        <v>173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891</v>
      </c>
      <c r="C1142" s="276" t="s">
        <v>30</v>
      </c>
      <c r="D1142" s="277" t="s">
        <v>173</v>
      </c>
      <c r="E1142" s="141"/>
      <c r="F1142" s="48" t="s">
        <v>173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892</v>
      </c>
      <c r="C1143" s="276" t="s">
        <v>30</v>
      </c>
      <c r="D1143" s="277" t="s">
        <v>173</v>
      </c>
      <c r="E1143" s="141"/>
      <c r="F1143" s="48" t="s">
        <v>173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893</v>
      </c>
      <c r="C1144" s="276" t="s">
        <v>30</v>
      </c>
      <c r="D1144" s="277" t="s">
        <v>173</v>
      </c>
      <c r="E1144" s="141"/>
      <c r="F1144" s="48" t="s">
        <v>173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894</v>
      </c>
      <c r="C1145" s="276" t="s">
        <v>30</v>
      </c>
      <c r="D1145" s="277" t="s">
        <v>173</v>
      </c>
      <c r="E1145" s="141"/>
      <c r="F1145" s="48" t="s">
        <v>173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895</v>
      </c>
      <c r="C1146" s="276" t="s">
        <v>30</v>
      </c>
      <c r="D1146" s="277" t="s">
        <v>173</v>
      </c>
      <c r="E1146" s="141"/>
      <c r="F1146" s="48" t="s">
        <v>173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896</v>
      </c>
      <c r="C1147" s="276" t="s">
        <v>30</v>
      </c>
      <c r="D1147" s="277" t="s">
        <v>173</v>
      </c>
      <c r="E1147" s="141"/>
      <c r="F1147" s="48" t="s">
        <v>173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897</v>
      </c>
      <c r="C1148" s="276" t="s">
        <v>30</v>
      </c>
      <c r="D1148" s="277" t="s">
        <v>173</v>
      </c>
      <c r="E1148" s="141"/>
      <c r="F1148" s="48" t="s">
        <v>173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898</v>
      </c>
      <c r="C1149" s="276" t="s">
        <v>30</v>
      </c>
      <c r="D1149" s="277" t="s">
        <v>173</v>
      </c>
      <c r="E1149" s="141"/>
      <c r="F1149" s="48" t="s">
        <v>173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899</v>
      </c>
      <c r="C1150" s="276" t="s">
        <v>30</v>
      </c>
      <c r="D1150" s="277" t="s">
        <v>173</v>
      </c>
      <c r="E1150" s="141"/>
      <c r="F1150" s="48" t="s">
        <v>173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900</v>
      </c>
      <c r="C1151" s="276" t="s">
        <v>30</v>
      </c>
      <c r="D1151" s="277" t="s">
        <v>173</v>
      </c>
      <c r="E1151" s="141"/>
      <c r="F1151" s="48" t="s">
        <v>173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901</v>
      </c>
      <c r="C1152" s="276" t="s">
        <v>30</v>
      </c>
      <c r="D1152" s="277" t="s">
        <v>173</v>
      </c>
      <c r="E1152" s="141"/>
      <c r="F1152" s="48" t="s">
        <v>173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902</v>
      </c>
      <c r="C1153" s="276" t="s">
        <v>30</v>
      </c>
      <c r="D1153" s="277" t="s">
        <v>173</v>
      </c>
      <c r="E1153" s="141"/>
      <c r="F1153" s="48" t="s">
        <v>173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903</v>
      </c>
      <c r="C1154" s="276" t="s">
        <v>30</v>
      </c>
      <c r="D1154" s="277" t="s">
        <v>173</v>
      </c>
      <c r="E1154" s="141"/>
      <c r="F1154" s="48" t="s">
        <v>173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904</v>
      </c>
      <c r="C1155" s="276" t="s">
        <v>30</v>
      </c>
      <c r="D1155" s="277" t="s">
        <v>173</v>
      </c>
      <c r="E1155" s="141"/>
      <c r="F1155" s="48" t="s">
        <v>173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905</v>
      </c>
      <c r="C1156" s="276" t="s">
        <v>30</v>
      </c>
      <c r="D1156" s="277" t="s">
        <v>173</v>
      </c>
      <c r="E1156" s="141"/>
      <c r="F1156" s="48" t="s">
        <v>173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906</v>
      </c>
      <c r="C1157" s="276" t="s">
        <v>30</v>
      </c>
      <c r="D1157" s="277" t="s">
        <v>173</v>
      </c>
      <c r="E1157" s="141"/>
      <c r="F1157" s="48" t="s">
        <v>173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907</v>
      </c>
      <c r="C1158" s="276" t="s">
        <v>30</v>
      </c>
      <c r="D1158" s="277" t="s">
        <v>173</v>
      </c>
      <c r="E1158" s="141"/>
      <c r="F1158" s="48" t="s">
        <v>173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908</v>
      </c>
      <c r="C1159" s="276" t="s">
        <v>30</v>
      </c>
      <c r="D1159" s="277" t="s">
        <v>173</v>
      </c>
      <c r="E1159" s="141"/>
      <c r="F1159" s="48" t="s">
        <v>173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909</v>
      </c>
      <c r="C1160" s="276" t="s">
        <v>30</v>
      </c>
      <c r="D1160" s="277" t="s">
        <v>173</v>
      </c>
      <c r="E1160" s="141"/>
      <c r="F1160" s="48" t="s">
        <v>173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910</v>
      </c>
      <c r="C1161" s="276" t="s">
        <v>30</v>
      </c>
      <c r="D1161" s="277" t="s">
        <v>173</v>
      </c>
      <c r="E1161" s="141"/>
      <c r="F1161" s="48" t="s">
        <v>173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911</v>
      </c>
      <c r="C1162" s="276" t="s">
        <v>30</v>
      </c>
      <c r="D1162" s="277" t="s">
        <v>173</v>
      </c>
      <c r="E1162" s="141"/>
      <c r="F1162" s="48" t="s">
        <v>173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912</v>
      </c>
      <c r="C1163" s="276" t="s">
        <v>30</v>
      </c>
      <c r="D1163" s="277" t="s">
        <v>173</v>
      </c>
      <c r="E1163" s="141"/>
      <c r="F1163" s="48" t="s">
        <v>173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913</v>
      </c>
      <c r="C1164" s="276" t="s">
        <v>30</v>
      </c>
      <c r="D1164" s="277" t="s">
        <v>173</v>
      </c>
      <c r="E1164" s="141"/>
      <c r="F1164" s="48" t="s">
        <v>173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914</v>
      </c>
      <c r="C1165" s="276" t="s">
        <v>30</v>
      </c>
      <c r="D1165" s="277" t="s">
        <v>173</v>
      </c>
      <c r="E1165" s="141"/>
      <c r="F1165" s="48" t="s">
        <v>173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915</v>
      </c>
      <c r="C1166" s="276" t="s">
        <v>30</v>
      </c>
      <c r="D1166" s="277" t="s">
        <v>173</v>
      </c>
      <c r="E1166" s="141"/>
      <c r="F1166" s="48" t="s">
        <v>173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916</v>
      </c>
      <c r="C1167" s="276" t="s">
        <v>30</v>
      </c>
      <c r="D1167" s="277" t="s">
        <v>173</v>
      </c>
      <c r="E1167" s="141"/>
      <c r="F1167" s="48" t="s">
        <v>173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917</v>
      </c>
      <c r="C1168" s="276" t="s">
        <v>30</v>
      </c>
      <c r="D1168" s="277" t="s">
        <v>173</v>
      </c>
      <c r="E1168" s="141"/>
      <c r="F1168" s="48" t="s">
        <v>173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918</v>
      </c>
      <c r="C1169" s="276" t="s">
        <v>30</v>
      </c>
      <c r="D1169" s="277" t="s">
        <v>173</v>
      </c>
      <c r="E1169" s="141"/>
      <c r="F1169" s="48" t="s">
        <v>173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919</v>
      </c>
      <c r="C1170" s="276" t="s">
        <v>30</v>
      </c>
      <c r="D1170" s="277" t="s">
        <v>173</v>
      </c>
      <c r="E1170" s="141"/>
      <c r="F1170" s="48" t="s">
        <v>173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920</v>
      </c>
      <c r="C1171" s="276" t="s">
        <v>30</v>
      </c>
      <c r="D1171" s="277" t="s">
        <v>173</v>
      </c>
      <c r="E1171" s="141"/>
      <c r="F1171" s="48" t="s">
        <v>173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921</v>
      </c>
      <c r="C1172" s="276" t="s">
        <v>30</v>
      </c>
      <c r="D1172" s="277" t="s">
        <v>173</v>
      </c>
      <c r="E1172" s="141"/>
      <c r="F1172" s="48" t="s">
        <v>173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922</v>
      </c>
      <c r="C1173" s="276" t="s">
        <v>30</v>
      </c>
      <c r="D1173" s="277" t="s">
        <v>173</v>
      </c>
      <c r="E1173" s="141"/>
      <c r="F1173" s="48" t="s">
        <v>173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923</v>
      </c>
      <c r="C1174" s="276" t="s">
        <v>30</v>
      </c>
      <c r="D1174" s="277" t="s">
        <v>173</v>
      </c>
      <c r="E1174" s="141"/>
      <c r="F1174" s="48" t="s">
        <v>173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924</v>
      </c>
      <c r="C1175" s="276" t="s">
        <v>30</v>
      </c>
      <c r="D1175" s="277" t="s">
        <v>173</v>
      </c>
      <c r="E1175" s="141"/>
      <c r="F1175" s="48" t="s">
        <v>173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925</v>
      </c>
      <c r="C1176" s="276" t="s">
        <v>30</v>
      </c>
      <c r="D1176" s="277" t="s">
        <v>173</v>
      </c>
      <c r="E1176" s="141"/>
      <c r="F1176" s="48" t="s">
        <v>173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926</v>
      </c>
      <c r="C1177" s="276" t="s">
        <v>30</v>
      </c>
      <c r="D1177" s="277" t="s">
        <v>173</v>
      </c>
      <c r="E1177" s="141"/>
      <c r="F1177" s="48" t="s">
        <v>173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927</v>
      </c>
      <c r="C1178" s="276" t="s">
        <v>30</v>
      </c>
      <c r="D1178" s="277" t="s">
        <v>173</v>
      </c>
      <c r="E1178" s="141"/>
      <c r="F1178" s="48" t="s">
        <v>173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928</v>
      </c>
      <c r="C1179" s="276" t="s">
        <v>30</v>
      </c>
      <c r="D1179" s="277" t="s">
        <v>173</v>
      </c>
      <c r="E1179" s="141"/>
      <c r="F1179" s="48" t="s">
        <v>173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929</v>
      </c>
      <c r="C1180" s="276" t="s">
        <v>30</v>
      </c>
      <c r="D1180" s="277" t="s">
        <v>173</v>
      </c>
      <c r="E1180" s="141"/>
      <c r="F1180" s="48" t="s">
        <v>173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930</v>
      </c>
      <c r="C1181" s="276" t="s">
        <v>30</v>
      </c>
      <c r="D1181" s="277" t="s">
        <v>173</v>
      </c>
      <c r="E1181" s="141"/>
      <c r="F1181" s="48" t="s">
        <v>173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931</v>
      </c>
      <c r="C1182" s="276" t="s">
        <v>30</v>
      </c>
      <c r="D1182" s="277" t="s">
        <v>173</v>
      </c>
      <c r="E1182" s="141"/>
      <c r="F1182" s="48" t="s">
        <v>173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932</v>
      </c>
      <c r="C1183" s="276" t="s">
        <v>30</v>
      </c>
      <c r="D1183" s="277" t="s">
        <v>173</v>
      </c>
      <c r="E1183" s="141"/>
      <c r="F1183" s="48" t="s">
        <v>173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933</v>
      </c>
      <c r="C1184" s="276" t="s">
        <v>30</v>
      </c>
      <c r="D1184" s="277" t="s">
        <v>173</v>
      </c>
      <c r="E1184" s="141"/>
      <c r="F1184" s="48" t="s">
        <v>173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934</v>
      </c>
      <c r="C1185" s="276" t="s">
        <v>30</v>
      </c>
      <c r="D1185" s="277" t="s">
        <v>173</v>
      </c>
      <c r="E1185" s="141"/>
      <c r="F1185" s="48" t="s">
        <v>173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935</v>
      </c>
      <c r="C1186" s="276" t="s">
        <v>30</v>
      </c>
      <c r="D1186" s="277" t="s">
        <v>173</v>
      </c>
      <c r="E1186" s="141"/>
      <c r="F1186" s="48" t="s">
        <v>173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936</v>
      </c>
      <c r="C1187" s="276" t="s">
        <v>30</v>
      </c>
      <c r="D1187" s="277" t="s">
        <v>173</v>
      </c>
      <c r="E1187" s="141"/>
      <c r="F1187" s="48" t="s">
        <v>173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937</v>
      </c>
      <c r="C1188" s="276" t="s">
        <v>30</v>
      </c>
      <c r="D1188" s="277" t="s">
        <v>173</v>
      </c>
      <c r="E1188" s="141"/>
      <c r="F1188" s="48" t="s">
        <v>173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938</v>
      </c>
      <c r="C1189" s="276" t="s">
        <v>30</v>
      </c>
      <c r="D1189" s="277" t="s">
        <v>173</v>
      </c>
      <c r="E1189" s="141"/>
      <c r="F1189" s="48" t="s">
        <v>173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939</v>
      </c>
      <c r="C1190" s="276" t="s">
        <v>30</v>
      </c>
      <c r="D1190" s="277" t="s">
        <v>173</v>
      </c>
      <c r="E1190" s="141"/>
      <c r="F1190" s="48" t="s">
        <v>173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940</v>
      </c>
      <c r="C1191" s="276" t="s">
        <v>30</v>
      </c>
      <c r="D1191" s="277" t="s">
        <v>173</v>
      </c>
      <c r="E1191" s="141"/>
      <c r="F1191" s="48" t="s">
        <v>173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941</v>
      </c>
      <c r="C1192" s="276" t="s">
        <v>30</v>
      </c>
      <c r="D1192" s="277" t="s">
        <v>173</v>
      </c>
      <c r="E1192" s="141"/>
      <c r="F1192" s="48" t="s">
        <v>173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942</v>
      </c>
      <c r="C1193" s="276" t="s">
        <v>30</v>
      </c>
      <c r="D1193" s="277" t="s">
        <v>173</v>
      </c>
      <c r="E1193" s="141"/>
      <c r="F1193" s="48" t="s">
        <v>173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943</v>
      </c>
      <c r="C1194" s="276" t="s">
        <v>30</v>
      </c>
      <c r="D1194" s="277" t="s">
        <v>173</v>
      </c>
      <c r="E1194" s="141"/>
      <c r="F1194" s="48" t="s">
        <v>173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944</v>
      </c>
      <c r="C1195" s="276" t="s">
        <v>30</v>
      </c>
      <c r="D1195" s="277" t="s">
        <v>173</v>
      </c>
      <c r="E1195" s="141"/>
      <c r="F1195" s="48" t="s">
        <v>173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945</v>
      </c>
      <c r="C1196" s="276" t="s">
        <v>30</v>
      </c>
      <c r="D1196" s="277" t="s">
        <v>173</v>
      </c>
      <c r="E1196" s="141"/>
      <c r="F1196" s="48" t="s">
        <v>173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946</v>
      </c>
      <c r="C1197" s="276" t="s">
        <v>30</v>
      </c>
      <c r="D1197" s="277" t="s">
        <v>173</v>
      </c>
      <c r="E1197" s="141"/>
      <c r="F1197" s="48" t="s">
        <v>173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947</v>
      </c>
      <c r="C1198" s="276" t="s">
        <v>30</v>
      </c>
      <c r="D1198" s="277" t="s">
        <v>173</v>
      </c>
      <c r="E1198" s="141"/>
      <c r="F1198" s="48" t="s">
        <v>173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948</v>
      </c>
      <c r="C1199" s="276" t="s">
        <v>30</v>
      </c>
      <c r="D1199" s="277" t="s">
        <v>173</v>
      </c>
      <c r="E1199" s="141"/>
      <c r="F1199" s="48" t="s">
        <v>173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949</v>
      </c>
      <c r="C1200" s="276" t="s">
        <v>30</v>
      </c>
      <c r="D1200" s="277" t="s">
        <v>173</v>
      </c>
      <c r="E1200" s="141"/>
      <c r="F1200" s="48" t="s">
        <v>173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950</v>
      </c>
      <c r="C1201" s="276" t="s">
        <v>30</v>
      </c>
      <c r="D1201" s="277" t="s">
        <v>173</v>
      </c>
      <c r="E1201" s="141"/>
      <c r="F1201" s="48" t="s">
        <v>173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951</v>
      </c>
      <c r="C1202" s="276" t="s">
        <v>30</v>
      </c>
      <c r="D1202" s="277" t="s">
        <v>173</v>
      </c>
      <c r="E1202" s="141"/>
      <c r="F1202" s="48" t="s">
        <v>173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952</v>
      </c>
      <c r="C1203" s="276" t="s">
        <v>30</v>
      </c>
      <c r="D1203" s="277" t="s">
        <v>173</v>
      </c>
      <c r="E1203" s="141"/>
      <c r="F1203" s="48" t="s">
        <v>173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953</v>
      </c>
      <c r="C1204" s="276" t="s">
        <v>30</v>
      </c>
      <c r="D1204" s="277" t="s">
        <v>173</v>
      </c>
      <c r="E1204" s="141"/>
      <c r="F1204" s="48" t="s">
        <v>173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954</v>
      </c>
      <c r="C1205" s="276" t="s">
        <v>30</v>
      </c>
      <c r="D1205" s="277" t="s">
        <v>173</v>
      </c>
      <c r="E1205" s="141"/>
      <c r="F1205" s="48" t="s">
        <v>173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955</v>
      </c>
      <c r="C1206" s="276" t="s">
        <v>30</v>
      </c>
      <c r="D1206" s="277" t="s">
        <v>173</v>
      </c>
      <c r="E1206" s="141"/>
      <c r="F1206" s="48" t="s">
        <v>173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956</v>
      </c>
      <c r="C1207" s="276" t="s">
        <v>30</v>
      </c>
      <c r="D1207" s="277" t="s">
        <v>173</v>
      </c>
      <c r="E1207" s="141"/>
      <c r="F1207" s="48" t="s">
        <v>173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957</v>
      </c>
      <c r="C1208" s="276" t="s">
        <v>30</v>
      </c>
      <c r="D1208" s="277" t="s">
        <v>173</v>
      </c>
      <c r="E1208" s="141"/>
      <c r="F1208" s="48" t="s">
        <v>173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958</v>
      </c>
      <c r="C1209" s="276" t="s">
        <v>30</v>
      </c>
      <c r="D1209" s="277" t="s">
        <v>173</v>
      </c>
      <c r="E1209" s="141"/>
      <c r="F1209" s="48" t="s">
        <v>173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959</v>
      </c>
      <c r="C1210" s="276" t="s">
        <v>30</v>
      </c>
      <c r="D1210" s="277" t="s">
        <v>173</v>
      </c>
      <c r="E1210" s="141"/>
      <c r="F1210" s="48" t="s">
        <v>173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960</v>
      </c>
      <c r="C1211" s="276" t="s">
        <v>30</v>
      </c>
      <c r="D1211" s="277" t="s">
        <v>173</v>
      </c>
      <c r="E1211" s="141"/>
      <c r="F1211" s="48" t="s">
        <v>173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961</v>
      </c>
      <c r="C1212" s="276" t="s">
        <v>30</v>
      </c>
      <c r="D1212" s="277" t="s">
        <v>173</v>
      </c>
      <c r="E1212" s="141"/>
      <c r="F1212" s="48" t="s">
        <v>173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962</v>
      </c>
      <c r="C1213" s="276" t="s">
        <v>30</v>
      </c>
      <c r="D1213" s="277" t="s">
        <v>173</v>
      </c>
      <c r="E1213" s="141"/>
      <c r="F1213" s="48" t="s">
        <v>173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963</v>
      </c>
      <c r="C1214" s="276" t="s">
        <v>30</v>
      </c>
      <c r="D1214" s="277" t="s">
        <v>173</v>
      </c>
      <c r="E1214" s="141"/>
      <c r="F1214" s="48" t="s">
        <v>173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964</v>
      </c>
      <c r="C1215" s="276" t="s">
        <v>30</v>
      </c>
      <c r="D1215" s="277" t="s">
        <v>173</v>
      </c>
      <c r="E1215" s="141"/>
      <c r="F1215" s="48" t="s">
        <v>173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965</v>
      </c>
      <c r="C1216" s="276" t="s">
        <v>30</v>
      </c>
      <c r="D1216" s="277" t="s">
        <v>173</v>
      </c>
      <c r="E1216" s="141"/>
      <c r="F1216" s="48" t="s">
        <v>173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966</v>
      </c>
      <c r="C1217" s="276" t="s">
        <v>30</v>
      </c>
      <c r="D1217" s="277" t="s">
        <v>173</v>
      </c>
      <c r="E1217" s="141"/>
      <c r="F1217" s="48" t="s">
        <v>173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967</v>
      </c>
      <c r="C1218" s="276" t="s">
        <v>30</v>
      </c>
      <c r="D1218" s="277" t="s">
        <v>173</v>
      </c>
      <c r="E1218" s="141"/>
      <c r="F1218" s="48" t="s">
        <v>173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968</v>
      </c>
      <c r="C1219" s="276" t="s">
        <v>30</v>
      </c>
      <c r="D1219" s="277" t="s">
        <v>173</v>
      </c>
      <c r="E1219" s="141"/>
      <c r="F1219" s="48" t="s">
        <v>173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969</v>
      </c>
      <c r="C1220" s="276" t="s">
        <v>30</v>
      </c>
      <c r="D1220" s="277" t="s">
        <v>173</v>
      </c>
      <c r="E1220" s="141"/>
      <c r="F1220" s="48" t="s">
        <v>173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970</v>
      </c>
      <c r="C1221" s="276" t="s">
        <v>30</v>
      </c>
      <c r="D1221" s="277" t="s">
        <v>173</v>
      </c>
      <c r="E1221" s="141"/>
      <c r="F1221" s="48" t="s">
        <v>173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971</v>
      </c>
      <c r="C1222" s="276" t="s">
        <v>30</v>
      </c>
      <c r="D1222" s="277" t="s">
        <v>173</v>
      </c>
      <c r="E1222" s="141"/>
      <c r="F1222" s="48" t="s">
        <v>173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972</v>
      </c>
      <c r="C1223" s="276" t="s">
        <v>30</v>
      </c>
      <c r="D1223" s="277" t="s">
        <v>173</v>
      </c>
      <c r="E1223" s="141"/>
      <c r="F1223" s="48" t="s">
        <v>173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973</v>
      </c>
      <c r="C1224" s="276" t="s">
        <v>30</v>
      </c>
      <c r="D1224" s="277" t="s">
        <v>173</v>
      </c>
      <c r="E1224" s="141"/>
      <c r="F1224" s="48" t="s">
        <v>173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974</v>
      </c>
      <c r="C1225" s="276" t="s">
        <v>30</v>
      </c>
      <c r="D1225" s="277" t="s">
        <v>173</v>
      </c>
      <c r="E1225" s="141"/>
      <c r="F1225" s="48" t="s">
        <v>173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975</v>
      </c>
      <c r="C1226" s="276" t="s">
        <v>30</v>
      </c>
      <c r="D1226" s="277" t="s">
        <v>173</v>
      </c>
      <c r="E1226" s="141"/>
      <c r="F1226" s="48" t="s">
        <v>173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976</v>
      </c>
      <c r="C1227" s="276" t="s">
        <v>30</v>
      </c>
      <c r="D1227" s="277" t="s">
        <v>173</v>
      </c>
      <c r="E1227" s="141"/>
      <c r="F1227" s="48" t="s">
        <v>173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977</v>
      </c>
      <c r="C1228" s="276" t="s">
        <v>30</v>
      </c>
      <c r="D1228" s="277" t="s">
        <v>173</v>
      </c>
      <c r="E1228" s="141"/>
      <c r="F1228" s="48" t="s">
        <v>173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978</v>
      </c>
      <c r="C1229" s="276" t="s">
        <v>30</v>
      </c>
      <c r="D1229" s="277" t="s">
        <v>173</v>
      </c>
      <c r="E1229" s="141"/>
      <c r="F1229" s="48" t="s">
        <v>173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979</v>
      </c>
      <c r="C1230" s="276" t="s">
        <v>30</v>
      </c>
      <c r="D1230" s="277" t="s">
        <v>173</v>
      </c>
      <c r="E1230" s="141"/>
      <c r="F1230" s="48" t="s">
        <v>173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980</v>
      </c>
      <c r="C1231" s="276" t="s">
        <v>30</v>
      </c>
      <c r="D1231" s="277" t="s">
        <v>173</v>
      </c>
      <c r="E1231" s="141"/>
      <c r="F1231" s="48" t="s">
        <v>173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981</v>
      </c>
      <c r="C1232" s="276" t="s">
        <v>30</v>
      </c>
      <c r="D1232" s="277" t="s">
        <v>173</v>
      </c>
      <c r="E1232" s="141"/>
      <c r="F1232" s="48" t="s">
        <v>173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982</v>
      </c>
      <c r="C1233" s="276" t="s">
        <v>30</v>
      </c>
      <c r="D1233" s="277" t="s">
        <v>173</v>
      </c>
      <c r="E1233" s="141"/>
      <c r="F1233" s="48" t="s">
        <v>173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983</v>
      </c>
      <c r="C1234" s="276" t="s">
        <v>30</v>
      </c>
      <c r="D1234" s="277" t="s">
        <v>173</v>
      </c>
      <c r="E1234" s="141"/>
      <c r="F1234" s="48" t="s">
        <v>173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984</v>
      </c>
      <c r="C1235" s="276" t="s">
        <v>30</v>
      </c>
      <c r="D1235" s="277" t="s">
        <v>173</v>
      </c>
      <c r="E1235" s="141"/>
      <c r="F1235" s="48" t="s">
        <v>173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985</v>
      </c>
      <c r="C1236" s="276" t="s">
        <v>30</v>
      </c>
      <c r="D1236" s="277" t="s">
        <v>173</v>
      </c>
      <c r="E1236" s="141"/>
      <c r="F1236" s="48" t="s">
        <v>173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986</v>
      </c>
      <c r="C1237" s="276" t="s">
        <v>30</v>
      </c>
      <c r="D1237" s="277" t="s">
        <v>173</v>
      </c>
      <c r="E1237" s="141"/>
      <c r="F1237" s="48" t="s">
        <v>173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987</v>
      </c>
      <c r="C1238" s="276" t="s">
        <v>30</v>
      </c>
      <c r="D1238" s="277" t="s">
        <v>173</v>
      </c>
      <c r="E1238" s="141"/>
      <c r="F1238" s="48" t="s">
        <v>173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988</v>
      </c>
      <c r="C1239" s="276" t="s">
        <v>30</v>
      </c>
      <c r="D1239" s="277" t="s">
        <v>173</v>
      </c>
      <c r="E1239" s="141"/>
      <c r="F1239" s="48" t="s">
        <v>173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989</v>
      </c>
      <c r="C1240" s="276" t="s">
        <v>30</v>
      </c>
      <c r="D1240" s="277" t="s">
        <v>173</v>
      </c>
      <c r="E1240" s="141"/>
      <c r="F1240" s="48" t="s">
        <v>173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990</v>
      </c>
      <c r="C1241" s="276" t="s">
        <v>30</v>
      </c>
      <c r="D1241" s="277" t="s">
        <v>173</v>
      </c>
      <c r="E1241" s="141"/>
      <c r="F1241" s="48" t="s">
        <v>173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991</v>
      </c>
      <c r="C1242" s="276" t="s">
        <v>30</v>
      </c>
      <c r="D1242" s="277" t="s">
        <v>173</v>
      </c>
      <c r="E1242" s="141"/>
      <c r="F1242" s="48" t="s">
        <v>173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992</v>
      </c>
      <c r="C1243" s="276" t="s">
        <v>30</v>
      </c>
      <c r="D1243" s="277" t="s">
        <v>173</v>
      </c>
      <c r="E1243" s="141"/>
      <c r="F1243" s="48" t="s">
        <v>173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993</v>
      </c>
      <c r="C1244" s="276" t="s">
        <v>30</v>
      </c>
      <c r="D1244" s="277" t="s">
        <v>173</v>
      </c>
      <c r="E1244" s="141"/>
      <c r="F1244" s="48" t="s">
        <v>173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994</v>
      </c>
      <c r="C1245" s="276" t="s">
        <v>30</v>
      </c>
      <c r="D1245" s="277" t="s">
        <v>173</v>
      </c>
      <c r="E1245" s="141"/>
      <c r="F1245" s="48" t="s">
        <v>173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995</v>
      </c>
      <c r="C1246" s="276" t="s">
        <v>30</v>
      </c>
      <c r="D1246" s="277" t="s">
        <v>173</v>
      </c>
      <c r="E1246" s="141"/>
      <c r="F1246" s="48" t="s">
        <v>173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996</v>
      </c>
      <c r="C1247" s="276" t="s">
        <v>30</v>
      </c>
      <c r="D1247" s="277" t="s">
        <v>173</v>
      </c>
      <c r="E1247" s="141"/>
      <c r="F1247" s="48" t="s">
        <v>173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997</v>
      </c>
      <c r="C1248" s="276" t="s">
        <v>30</v>
      </c>
      <c r="D1248" s="277" t="s">
        <v>173</v>
      </c>
      <c r="E1248" s="141"/>
      <c r="F1248" s="48" t="s">
        <v>173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998</v>
      </c>
      <c r="C1249" s="276" t="s">
        <v>30</v>
      </c>
      <c r="D1249" s="277" t="s">
        <v>173</v>
      </c>
      <c r="E1249" s="141"/>
      <c r="F1249" s="48" t="s">
        <v>173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999</v>
      </c>
      <c r="C1250" s="276" t="s">
        <v>30</v>
      </c>
      <c r="D1250" s="277" t="s">
        <v>173</v>
      </c>
      <c r="E1250" s="141"/>
      <c r="F1250" s="48" t="s">
        <v>173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1000</v>
      </c>
      <c r="C1251" s="276" t="s">
        <v>30</v>
      </c>
      <c r="D1251" s="277" t="s">
        <v>173</v>
      </c>
      <c r="E1251" s="141"/>
      <c r="F1251" s="48" t="s">
        <v>173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1001</v>
      </c>
      <c r="C1252" s="276" t="s">
        <v>30</v>
      </c>
      <c r="D1252" s="277" t="s">
        <v>173</v>
      </c>
      <c r="E1252" s="141"/>
      <c r="F1252" s="48" t="s">
        <v>173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1002</v>
      </c>
      <c r="C1253" s="276" t="s">
        <v>30</v>
      </c>
      <c r="D1253" s="277" t="s">
        <v>173</v>
      </c>
      <c r="E1253" s="141"/>
      <c r="F1253" s="48" t="s">
        <v>173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1003</v>
      </c>
      <c r="C1254" s="276" t="s">
        <v>30</v>
      </c>
      <c r="D1254" s="277" t="s">
        <v>173</v>
      </c>
      <c r="E1254" s="141"/>
      <c r="F1254" s="48" t="s">
        <v>173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1004</v>
      </c>
      <c r="C1255" s="276" t="s">
        <v>30</v>
      </c>
      <c r="D1255" s="277" t="s">
        <v>173</v>
      </c>
      <c r="E1255" s="141"/>
      <c r="F1255" s="48" t="s">
        <v>173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1005</v>
      </c>
      <c r="C1256" s="276" t="s">
        <v>30</v>
      </c>
      <c r="D1256" s="277" t="s">
        <v>173</v>
      </c>
      <c r="E1256" s="141"/>
      <c r="F1256" s="48" t="s">
        <v>173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1006</v>
      </c>
      <c r="C1257" s="276" t="s">
        <v>30</v>
      </c>
      <c r="D1257" s="277" t="s">
        <v>173</v>
      </c>
      <c r="E1257" s="141"/>
      <c r="F1257" s="48" t="s">
        <v>173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1007</v>
      </c>
      <c r="C1258" s="276" t="s">
        <v>30</v>
      </c>
      <c r="D1258" s="277" t="s">
        <v>173</v>
      </c>
      <c r="E1258" s="141"/>
      <c r="F1258" s="48" t="s">
        <v>173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1008</v>
      </c>
      <c r="C1259" s="276" t="s">
        <v>30</v>
      </c>
      <c r="D1259" s="277" t="s">
        <v>173</v>
      </c>
      <c r="E1259" s="141"/>
      <c r="F1259" s="48" t="s">
        <v>173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1009</v>
      </c>
      <c r="C1260" s="276" t="s">
        <v>30</v>
      </c>
      <c r="D1260" s="277" t="s">
        <v>173</v>
      </c>
      <c r="E1260" s="141"/>
      <c r="F1260" s="48" t="s">
        <v>173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1010</v>
      </c>
      <c r="C1261" s="276" t="s">
        <v>30</v>
      </c>
      <c r="D1261" s="277" t="s">
        <v>173</v>
      </c>
      <c r="E1261" s="141"/>
      <c r="F1261" s="48" t="s">
        <v>173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1011</v>
      </c>
      <c r="C1262" s="276" t="s">
        <v>30</v>
      </c>
      <c r="D1262" s="277" t="s">
        <v>173</v>
      </c>
      <c r="E1262" s="141"/>
      <c r="F1262" s="48" t="s">
        <v>173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1012</v>
      </c>
      <c r="C1263" s="276" t="s">
        <v>30</v>
      </c>
      <c r="D1263" s="277" t="s">
        <v>173</v>
      </c>
      <c r="E1263" s="141"/>
      <c r="F1263" s="48" t="s">
        <v>173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1013</v>
      </c>
      <c r="C1264" s="276" t="s">
        <v>30</v>
      </c>
      <c r="D1264" s="277" t="s">
        <v>173</v>
      </c>
      <c r="E1264" s="141"/>
      <c r="F1264" s="48" t="s">
        <v>173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1014</v>
      </c>
      <c r="C1265" s="276" t="s">
        <v>30</v>
      </c>
      <c r="D1265" s="277" t="s">
        <v>173</v>
      </c>
      <c r="E1265" s="141"/>
      <c r="F1265" s="48" t="s">
        <v>173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1015</v>
      </c>
      <c r="C1266" s="276" t="s">
        <v>30</v>
      </c>
      <c r="D1266" s="277" t="s">
        <v>173</v>
      </c>
      <c r="E1266" s="141"/>
      <c r="F1266" s="48" t="s">
        <v>173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1016</v>
      </c>
      <c r="C1267" s="276" t="s">
        <v>30</v>
      </c>
      <c r="D1267" s="277" t="s">
        <v>173</v>
      </c>
      <c r="E1267" s="141"/>
      <c r="F1267" s="48" t="s">
        <v>173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1017</v>
      </c>
      <c r="C1268" s="276" t="s">
        <v>30</v>
      </c>
      <c r="D1268" s="277" t="s">
        <v>173</v>
      </c>
      <c r="E1268" s="141"/>
      <c r="F1268" s="48" t="s">
        <v>173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1018</v>
      </c>
      <c r="C1269" s="276" t="s">
        <v>30</v>
      </c>
      <c r="D1269" s="277" t="s">
        <v>173</v>
      </c>
      <c r="E1269" s="141"/>
      <c r="F1269" s="48" t="s">
        <v>173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1019</v>
      </c>
      <c r="C1270" s="276" t="s">
        <v>30</v>
      </c>
      <c r="D1270" s="277" t="s">
        <v>173</v>
      </c>
      <c r="E1270" s="141"/>
      <c r="F1270" s="48" t="s">
        <v>173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1020</v>
      </c>
      <c r="C1271" s="276" t="s">
        <v>30</v>
      </c>
      <c r="D1271" s="277" t="s">
        <v>173</v>
      </c>
      <c r="E1271" s="141"/>
      <c r="F1271" s="48" t="s">
        <v>173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1021</v>
      </c>
      <c r="C1272" s="276" t="s">
        <v>30</v>
      </c>
      <c r="D1272" s="277" t="s">
        <v>173</v>
      </c>
      <c r="E1272" s="141"/>
      <c r="F1272" s="48" t="s">
        <v>173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1022</v>
      </c>
      <c r="C1273" s="276" t="s">
        <v>30</v>
      </c>
      <c r="D1273" s="277" t="s">
        <v>111</v>
      </c>
      <c r="E1273" s="141">
        <v>44533.333333333336</v>
      </c>
      <c r="F1273" s="278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1023</v>
      </c>
      <c r="C1274" s="276" t="s">
        <v>30</v>
      </c>
      <c r="D1274" s="277" t="s">
        <v>111</v>
      </c>
      <c r="E1274" s="141">
        <v>30900</v>
      </c>
      <c r="F1274" s="278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31</v>
      </c>
      <c r="C1275" s="276" t="s">
        <v>30</v>
      </c>
      <c r="D1275" s="277" t="s">
        <v>1024</v>
      </c>
      <c r="E1275" s="141">
        <v>44500</v>
      </c>
      <c r="F1275" s="278" t="s">
        <v>111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1025</v>
      </c>
      <c r="C1276" s="276" t="s">
        <v>30</v>
      </c>
      <c r="D1276" s="277" t="s">
        <v>111</v>
      </c>
      <c r="E1276" s="141">
        <v>22370</v>
      </c>
      <c r="F1276" s="278" t="s">
        <v>111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1026</v>
      </c>
      <c r="C1277" s="276" t="s">
        <v>30</v>
      </c>
      <c r="D1277" s="277" t="s">
        <v>111</v>
      </c>
      <c r="E1277" s="141">
        <v>184100</v>
      </c>
      <c r="F1277" s="278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1027</v>
      </c>
      <c r="C1278" s="276" t="s">
        <v>30</v>
      </c>
      <c r="D1278" s="277" t="s">
        <v>111</v>
      </c>
      <c r="E1278" s="141">
        <v>6333.3374999999996</v>
      </c>
      <c r="F1278" s="278" t="s">
        <v>111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1028</v>
      </c>
      <c r="C1279" s="276" t="s">
        <v>30</v>
      </c>
      <c r="D1279" s="277" t="s">
        <v>111</v>
      </c>
      <c r="E1279" s="141">
        <v>17266.599999999999</v>
      </c>
      <c r="F1279" s="278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1029</v>
      </c>
      <c r="C1280" s="276" t="s">
        <v>30</v>
      </c>
      <c r="D1280" s="277" t="s">
        <v>111</v>
      </c>
      <c r="E1280" s="141">
        <v>6796.7</v>
      </c>
      <c r="F1280" s="278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1030</v>
      </c>
      <c r="C1281" s="276" t="s">
        <v>30</v>
      </c>
      <c r="D1281" s="277" t="s">
        <v>111</v>
      </c>
      <c r="E1281" s="141">
        <v>182666.66666666666</v>
      </c>
      <c r="F1281" s="278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1031</v>
      </c>
      <c r="C1282" s="276" t="s">
        <v>30</v>
      </c>
      <c r="D1282" s="277" t="s">
        <v>1024</v>
      </c>
      <c r="E1282" s="141">
        <v>2500</v>
      </c>
      <c r="F1282" s="278" t="s">
        <v>111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1032</v>
      </c>
      <c r="C1283" s="276" t="s">
        <v>30</v>
      </c>
      <c r="D1283" s="277" t="s">
        <v>111</v>
      </c>
      <c r="E1283" s="141">
        <v>46996.6</v>
      </c>
      <c r="F1283" s="278" t="s">
        <v>111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1032</v>
      </c>
      <c r="C1284" s="276" t="s">
        <v>30</v>
      </c>
      <c r="D1284" s="277" t="s">
        <v>111</v>
      </c>
      <c r="E1284" s="141">
        <v>48330</v>
      </c>
      <c r="F1284" s="278" t="s">
        <v>111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1033</v>
      </c>
      <c r="C1285" s="276" t="s">
        <v>30</v>
      </c>
      <c r="D1285" s="277" t="s">
        <v>1034</v>
      </c>
      <c r="E1285" s="141">
        <v>10166.700000000001</v>
      </c>
      <c r="F1285" s="278" t="s">
        <v>1034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1035</v>
      </c>
      <c r="C1286" s="276" t="s">
        <v>30</v>
      </c>
      <c r="D1286" s="277" t="s">
        <v>111</v>
      </c>
      <c r="E1286" s="141">
        <v>104388.75</v>
      </c>
      <c r="F1286" s="278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1036</v>
      </c>
      <c r="C1287" s="276" t="s">
        <v>30</v>
      </c>
      <c r="D1287" s="277" t="s">
        <v>111</v>
      </c>
      <c r="E1287" s="141">
        <v>79760</v>
      </c>
      <c r="F1287" s="278" t="s">
        <v>111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1037</v>
      </c>
      <c r="C1288" s="276" t="s">
        <v>30</v>
      </c>
      <c r="D1288" s="277" t="s">
        <v>205</v>
      </c>
      <c r="E1288" s="141">
        <v>62000</v>
      </c>
      <c r="F1288" s="278" t="s">
        <v>205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1038</v>
      </c>
      <c r="C1289" s="276" t="s">
        <v>30</v>
      </c>
      <c r="D1289" s="277" t="s">
        <v>111</v>
      </c>
      <c r="E1289" s="141">
        <v>152500</v>
      </c>
      <c r="F1289" s="278" t="s">
        <v>111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1039</v>
      </c>
      <c r="C1290" s="276" t="s">
        <v>30</v>
      </c>
      <c r="D1290" s="277" t="s">
        <v>111</v>
      </c>
      <c r="E1290" s="141">
        <v>432050</v>
      </c>
      <c r="F1290" s="278" t="s">
        <v>111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93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7.25">
      <c r="A1327" s="73" t="s">
        <v>77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1040</v>
      </c>
      <c r="C1328" s="37" t="s">
        <v>33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1041</v>
      </c>
      <c r="C1329" s="37" t="s">
        <v>33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1042</v>
      </c>
      <c r="C1330" s="37" t="s">
        <v>33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1043</v>
      </c>
      <c r="C1331" s="37" t="s">
        <v>33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1044</v>
      </c>
      <c r="C1332" s="37" t="s">
        <v>33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1045</v>
      </c>
      <c r="C1333" s="37" t="s">
        <v>33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1046</v>
      </c>
      <c r="C1334" s="37" t="s">
        <v>33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1047</v>
      </c>
      <c r="C1335" s="37" t="s">
        <v>33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1048</v>
      </c>
      <c r="C1336" s="37" t="s">
        <v>33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1049</v>
      </c>
      <c r="C1337" s="37" t="s">
        <v>33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1050</v>
      </c>
      <c r="C1338" s="37" t="s">
        <v>33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1051</v>
      </c>
      <c r="C1339" s="37" t="s">
        <v>33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1052</v>
      </c>
      <c r="C1340" s="37" t="s">
        <v>33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1053</v>
      </c>
      <c r="C1341" s="37" t="s">
        <v>33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1054</v>
      </c>
      <c r="C1342" s="37" t="s">
        <v>33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1055</v>
      </c>
      <c r="C1343" s="37" t="s">
        <v>33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1056</v>
      </c>
      <c r="C1344" s="37" t="s">
        <v>33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1057</v>
      </c>
      <c r="C1345" s="37" t="s">
        <v>33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1058</v>
      </c>
      <c r="C1346" s="37" t="s">
        <v>33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1059</v>
      </c>
      <c r="C1347" s="37" t="s">
        <v>33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34</v>
      </c>
      <c r="C1348" s="37" t="s">
        <v>33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33</v>
      </c>
      <c r="D1349" s="48" t="s">
        <v>1061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33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33</v>
      </c>
      <c r="D1351" s="48" t="s">
        <v>1065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33</v>
      </c>
      <c r="D1352" s="48" t="s">
        <v>1063</v>
      </c>
      <c r="E1352" s="43">
        <v>16133.3</v>
      </c>
      <c r="F1352" s="188" t="s">
        <v>207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33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1069</v>
      </c>
      <c r="C1354" s="37" t="s">
        <v>33</v>
      </c>
      <c r="D1354" s="48" t="s">
        <v>1070</v>
      </c>
      <c r="E1354" s="43">
        <v>1583.1533333333334</v>
      </c>
      <c r="F1354" s="188" t="s">
        <v>1070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1071</v>
      </c>
      <c r="C1355" s="37" t="s">
        <v>33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33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1073</v>
      </c>
      <c r="C1357" s="37" t="s">
        <v>33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1074</v>
      </c>
      <c r="C1358" s="37" t="s">
        <v>33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1075</v>
      </c>
      <c r="C1359" s="37" t="s">
        <v>33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33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1077</v>
      </c>
      <c r="C1361" s="37" t="s">
        <v>33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1078</v>
      </c>
      <c r="C1362" s="37" t="s">
        <v>33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1079</v>
      </c>
      <c r="C1363" s="37" t="s">
        <v>33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1080</v>
      </c>
      <c r="C1364" s="37" t="s">
        <v>33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33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33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33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1084</v>
      </c>
      <c r="C1368" s="37" t="s">
        <v>33</v>
      </c>
      <c r="D1368" s="48" t="s">
        <v>1085</v>
      </c>
      <c r="E1368" s="43">
        <v>23233.4</v>
      </c>
      <c r="F1368" s="188" t="s">
        <v>1034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1086</v>
      </c>
      <c r="C1369" s="37" t="s">
        <v>33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1087</v>
      </c>
      <c r="C1370" s="37" t="s">
        <v>33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33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1089</v>
      </c>
      <c r="C1372" s="37" t="s">
        <v>33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1090</v>
      </c>
      <c r="C1373" s="161" t="s">
        <v>33</v>
      </c>
      <c r="D1373" s="297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33</v>
      </c>
      <c r="D1374" s="290" t="s">
        <v>111</v>
      </c>
      <c r="E1374" s="62"/>
      <c r="F1374" s="191" t="s">
        <v>111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33</v>
      </c>
      <c r="D1375" s="290" t="s">
        <v>111</v>
      </c>
      <c r="E1375" s="62"/>
      <c r="F1375" s="191" t="s">
        <v>111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33</v>
      </c>
      <c r="D1376" s="290" t="s">
        <v>111</v>
      </c>
      <c r="E1376" s="62"/>
      <c r="F1376" s="191" t="s">
        <v>111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33</v>
      </c>
      <c r="D1377" s="290" t="s">
        <v>111</v>
      </c>
      <c r="E1377" s="62"/>
      <c r="F1377" s="191" t="s">
        <v>111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33</v>
      </c>
      <c r="D1378" s="290" t="s">
        <v>111</v>
      </c>
      <c r="E1378" s="62"/>
      <c r="F1378" s="191" t="s">
        <v>111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33</v>
      </c>
      <c r="D1379" s="291" t="s">
        <v>111</v>
      </c>
      <c r="E1379" s="43"/>
      <c r="F1379" s="188" t="s">
        <v>111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33</v>
      </c>
      <c r="D1380" s="292" t="s">
        <v>111</v>
      </c>
      <c r="E1380" s="166"/>
      <c r="F1380" s="192" t="s">
        <v>111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33</v>
      </c>
      <c r="D1381" s="292" t="s">
        <v>111</v>
      </c>
      <c r="E1381" s="166"/>
      <c r="F1381" s="192" t="s">
        <v>111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33</v>
      </c>
      <c r="D1382" s="293" t="s">
        <v>111</v>
      </c>
      <c r="E1382" s="222"/>
      <c r="F1382" s="193" t="s">
        <v>111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33</v>
      </c>
      <c r="D1383" s="10" t="s">
        <v>111</v>
      </c>
      <c r="E1383" s="222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33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33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33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33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33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33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33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33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33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33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33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33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33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1114</v>
      </c>
      <c r="C1397" s="219" t="s">
        <v>33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33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33</v>
      </c>
      <c r="D1399" s="248" t="s">
        <v>111</v>
      </c>
      <c r="E1399" s="166">
        <v>19073</v>
      </c>
      <c r="F1399" s="193" t="s">
        <v>111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1118</v>
      </c>
      <c r="C1400" s="219" t="s">
        <v>33</v>
      </c>
      <c r="D1400" s="248" t="s">
        <v>111</v>
      </c>
      <c r="E1400" s="166">
        <v>866.66499999999996</v>
      </c>
      <c r="F1400" s="193" t="s">
        <v>111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33</v>
      </c>
      <c r="D1401" s="248" t="s">
        <v>1070</v>
      </c>
      <c r="E1401" s="166">
        <v>513.33285714285716</v>
      </c>
      <c r="F1401" s="193" t="s">
        <v>1070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33</v>
      </c>
      <c r="D1402" s="248" t="s">
        <v>111</v>
      </c>
      <c r="E1402" s="166">
        <v>19000</v>
      </c>
      <c r="F1402" s="193" t="s">
        <v>111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33</v>
      </c>
      <c r="D1403" s="248" t="s">
        <v>111</v>
      </c>
      <c r="E1403" s="166">
        <v>3800</v>
      </c>
      <c r="F1403" s="193" t="s">
        <v>111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1122</v>
      </c>
      <c r="C1404" s="219" t="s">
        <v>33</v>
      </c>
      <c r="D1404" s="248" t="s">
        <v>173</v>
      </c>
      <c r="E1404" s="166">
        <v>3200</v>
      </c>
      <c r="F1404" s="193" t="s">
        <v>173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33</v>
      </c>
      <c r="D1405" s="248" t="s">
        <v>215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33</v>
      </c>
      <c r="D1406" s="10" t="s">
        <v>362</v>
      </c>
      <c r="E1406" s="222"/>
      <c r="F1406" s="293" t="s">
        <v>362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33</v>
      </c>
      <c r="D1407" s="10" t="s">
        <v>362</v>
      </c>
      <c r="E1407" s="166"/>
      <c r="F1407" s="10" t="s">
        <v>362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33</v>
      </c>
      <c r="D1408" s="10" t="s">
        <v>362</v>
      </c>
      <c r="E1408" s="166"/>
      <c r="F1408" s="10" t="s">
        <v>362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33</v>
      </c>
      <c r="D1409" s="10" t="s">
        <v>362</v>
      </c>
      <c r="E1409" s="166"/>
      <c r="F1409" s="10" t="s">
        <v>362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33</v>
      </c>
      <c r="D1410" s="248" t="s">
        <v>111</v>
      </c>
      <c r="E1410" s="166">
        <v>6013.33</v>
      </c>
      <c r="F1410" s="273" t="s">
        <v>111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33</v>
      </c>
      <c r="D1411" s="248" t="s">
        <v>111</v>
      </c>
      <c r="E1411" s="166">
        <v>1101.5</v>
      </c>
      <c r="F1411" s="273" t="s">
        <v>111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33</v>
      </c>
      <c r="D1412" s="248" t="s">
        <v>111</v>
      </c>
      <c r="E1412" s="166">
        <v>11100</v>
      </c>
      <c r="F1412" s="273" t="s">
        <v>111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33</v>
      </c>
      <c r="D1413" s="10" t="s">
        <v>362</v>
      </c>
      <c r="E1413" s="166"/>
      <c r="F1413" s="10" t="s">
        <v>362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33</v>
      </c>
      <c r="D1414" s="10" t="s">
        <v>362</v>
      </c>
      <c r="E1414" s="166"/>
      <c r="F1414" s="10" t="s">
        <v>362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33</v>
      </c>
      <c r="D1415" s="10" t="s">
        <v>362</v>
      </c>
      <c r="E1415" s="222"/>
      <c r="F1415" s="10" t="s">
        <v>362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93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7.25">
      <c r="A1427" s="134" t="s">
        <v>77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1134</v>
      </c>
      <c r="C1428" s="219" t="s">
        <v>56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56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56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56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56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56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56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56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56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56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56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56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56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56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56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56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56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1152</v>
      </c>
      <c r="C1445" s="219" t="s">
        <v>56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1153</v>
      </c>
      <c r="C1446" s="219" t="s">
        <v>56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56</v>
      </c>
      <c r="D1447" s="48" t="s">
        <v>1070</v>
      </c>
      <c r="E1447" s="43">
        <v>3215</v>
      </c>
      <c r="F1447" s="188" t="s">
        <v>1070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56</v>
      </c>
      <c r="D1448" s="48" t="s">
        <v>1070</v>
      </c>
      <c r="E1448" s="43">
        <v>8300</v>
      </c>
      <c r="F1448" s="188" t="s">
        <v>1070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56</v>
      </c>
      <c r="D1449" s="48" t="s">
        <v>1070</v>
      </c>
      <c r="E1449" s="43">
        <v>3276</v>
      </c>
      <c r="F1449" s="188" t="s">
        <v>1070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56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56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56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56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56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56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56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56</v>
      </c>
      <c r="D1457" s="48" t="s">
        <v>1070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56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56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56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56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56</v>
      </c>
      <c r="D1462" s="48" t="s">
        <v>215</v>
      </c>
      <c r="E1462" s="43">
        <v>98275.666666666672</v>
      </c>
      <c r="F1462" s="188" t="s">
        <v>215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56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56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56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56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56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56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56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56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56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56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56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56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56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56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56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56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56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56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9" t="s">
        <v>56</v>
      </c>
      <c r="D1481" s="48" t="s">
        <v>207</v>
      </c>
      <c r="E1481" s="43">
        <v>3130</v>
      </c>
      <c r="F1481" s="188" t="s">
        <v>207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9" t="s">
        <v>56</v>
      </c>
      <c r="D1482" s="48" t="s">
        <v>207</v>
      </c>
      <c r="E1482" s="43">
        <v>5010</v>
      </c>
      <c r="F1482" s="188" t="s">
        <v>207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56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56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56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56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56</v>
      </c>
      <c r="D1487" s="48" t="s">
        <v>207</v>
      </c>
      <c r="E1487" s="43">
        <v>21800</v>
      </c>
      <c r="F1487" s="188" t="s">
        <v>207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56</v>
      </c>
      <c r="D1488" s="48" t="s">
        <v>1070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56</v>
      </c>
      <c r="D1489" s="48" t="s">
        <v>1070</v>
      </c>
      <c r="E1489" s="43">
        <v>9275</v>
      </c>
      <c r="F1489" s="188" t="s">
        <v>1070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56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56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56</v>
      </c>
      <c r="D1492" s="48" t="s">
        <v>1070</v>
      </c>
      <c r="E1492" s="43">
        <v>189.5</v>
      </c>
      <c r="F1492" s="188" t="s">
        <v>1070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56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56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56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56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56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56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56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56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56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56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1212</v>
      </c>
      <c r="C1503" s="219" t="s">
        <v>56</v>
      </c>
      <c r="D1503" s="48" t="s">
        <v>215</v>
      </c>
      <c r="E1503" s="43">
        <v>45500</v>
      </c>
      <c r="F1503" s="188" t="s">
        <v>215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1213</v>
      </c>
      <c r="C1504" s="219" t="s">
        <v>56</v>
      </c>
      <c r="D1504" s="48" t="s">
        <v>215</v>
      </c>
      <c r="E1504" s="43">
        <v>44156.666666666664</v>
      </c>
      <c r="F1504" s="188" t="s">
        <v>215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56</v>
      </c>
      <c r="D1505" s="48" t="s">
        <v>215</v>
      </c>
      <c r="E1505" s="43">
        <v>43333.333333333336</v>
      </c>
      <c r="F1505" s="188" t="s">
        <v>215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56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56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56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1218</v>
      </c>
      <c r="C1509" s="219" t="s">
        <v>56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33</v>
      </c>
      <c r="D1510" s="48" t="s">
        <v>1070</v>
      </c>
      <c r="E1510" s="43">
        <v>1583.1533333333334</v>
      </c>
      <c r="F1510" s="188" t="s">
        <v>1070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93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7.25">
      <c r="A1521" s="92" t="s">
        <v>77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1220</v>
      </c>
      <c r="C1522" s="100" t="s">
        <v>28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28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28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28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28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28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28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28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28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28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28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28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28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28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28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28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28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28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1240</v>
      </c>
      <c r="C1540" s="100" t="s">
        <v>28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1241</v>
      </c>
      <c r="C1541" s="100" t="s">
        <v>28</v>
      </c>
      <c r="D1541" s="93" t="s">
        <v>1034</v>
      </c>
      <c r="E1541" s="94"/>
      <c r="F1541" s="198" t="s">
        <v>1034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1242</v>
      </c>
      <c r="C1542" s="100" t="s">
        <v>28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1243</v>
      </c>
      <c r="C1543" s="100" t="s">
        <v>28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1244</v>
      </c>
      <c r="C1544" s="100" t="s">
        <v>28</v>
      </c>
      <c r="D1544" s="93" t="s">
        <v>1034</v>
      </c>
      <c r="E1544" s="94"/>
      <c r="F1544" s="198" t="s">
        <v>1034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1245</v>
      </c>
      <c r="C1545" s="100" t="s">
        <v>28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1246</v>
      </c>
      <c r="C1546" s="100" t="s">
        <v>28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1247</v>
      </c>
      <c r="C1547" s="100" t="s">
        <v>28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1248</v>
      </c>
      <c r="C1548" s="100" t="s">
        <v>28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1249</v>
      </c>
      <c r="C1549" s="100" t="s">
        <v>28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1250</v>
      </c>
      <c r="C1550" s="100" t="s">
        <v>28</v>
      </c>
      <c r="D1550" s="93" t="s">
        <v>1034</v>
      </c>
      <c r="E1550" s="94"/>
      <c r="F1550" s="198" t="s">
        <v>1034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1251</v>
      </c>
      <c r="C1551" s="100" t="s">
        <v>28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1252</v>
      </c>
      <c r="C1552" s="100" t="s">
        <v>28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1253</v>
      </c>
      <c r="C1553" s="100" t="s">
        <v>28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1254</v>
      </c>
      <c r="C1554" s="100" t="s">
        <v>28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1255</v>
      </c>
      <c r="C1555" s="100" t="s">
        <v>28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1256</v>
      </c>
      <c r="C1556" s="100" t="s">
        <v>28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1257</v>
      </c>
      <c r="C1557" s="100" t="s">
        <v>28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1258</v>
      </c>
      <c r="C1558" s="100" t="s">
        <v>28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1259</v>
      </c>
      <c r="C1559" s="100" t="s">
        <v>28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32</v>
      </c>
      <c r="C1560" s="100" t="s">
        <v>28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28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28</v>
      </c>
      <c r="D1562" s="96" t="s">
        <v>1034</v>
      </c>
      <c r="E1562" s="94"/>
      <c r="F1562" s="197" t="s">
        <v>1034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28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28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28</v>
      </c>
      <c r="D1565" s="96" t="s">
        <v>1034</v>
      </c>
      <c r="E1565" s="94"/>
      <c r="F1565" s="197" t="s">
        <v>1034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28</v>
      </c>
      <c r="D1566" s="93" t="s">
        <v>1034</v>
      </c>
      <c r="E1566" s="94"/>
      <c r="F1566" s="198" t="s">
        <v>1034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28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28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28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28</v>
      </c>
      <c r="D1570" s="93" t="s">
        <v>1034</v>
      </c>
      <c r="E1570" s="94"/>
      <c r="F1570" s="198" t="s">
        <v>1034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28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28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28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28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28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28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28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28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28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28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28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28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28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28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28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28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28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28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28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28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28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28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28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28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28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28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28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29</v>
      </c>
      <c r="C1598" s="100" t="s">
        <v>28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28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28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28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28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28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28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28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28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28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6</v>
      </c>
      <c r="I2" s="17">
        <v>71765586</v>
      </c>
      <c r="K2" t="s">
        <v>1316</v>
      </c>
      <c r="M2" s="79" t="s">
        <v>26</v>
      </c>
    </row>
    <row r="3" spans="1:13" outlineLevel="1">
      <c r="A3" s="3" t="s">
        <v>1317</v>
      </c>
      <c r="B3" s="5" t="s">
        <v>215</v>
      </c>
      <c r="D3" s="266" t="s">
        <v>1318</v>
      </c>
      <c r="F3" s="2" t="s">
        <v>9</v>
      </c>
      <c r="H3" s="18" t="s">
        <v>1319</v>
      </c>
      <c r="I3" s="19">
        <v>43687423</v>
      </c>
      <c r="K3" t="s">
        <v>1320</v>
      </c>
      <c r="M3" s="79" t="s">
        <v>45</v>
      </c>
    </row>
    <row r="4" spans="1:13" ht="30" outlineLevel="1">
      <c r="A4" s="2" t="s">
        <v>1321</v>
      </c>
      <c r="B4" s="5" t="s">
        <v>307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48</v>
      </c>
    </row>
    <row r="5" spans="1:13" ht="30" outlineLevel="1">
      <c r="A5" s="3" t="s">
        <v>1326</v>
      </c>
      <c r="B5" s="5" t="s">
        <v>1327</v>
      </c>
      <c r="D5" s="269" t="s">
        <v>14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30</v>
      </c>
    </row>
    <row r="6" spans="1:13" outlineLevel="1">
      <c r="A6" s="2" t="s">
        <v>326</v>
      </c>
      <c r="B6" s="5" t="s">
        <v>326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33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236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58</v>
      </c>
    </row>
    <row r="9" spans="1:13" outlineLevel="1">
      <c r="A9" s="2" t="s">
        <v>1345</v>
      </c>
      <c r="B9" s="5" t="s">
        <v>1203</v>
      </c>
      <c r="F9" s="2" t="s">
        <v>1346</v>
      </c>
      <c r="H9" t="s">
        <v>1347</v>
      </c>
      <c r="I9">
        <v>70323724</v>
      </c>
      <c r="K9" t="s">
        <v>1348</v>
      </c>
      <c r="M9" s="79" t="s">
        <v>60</v>
      </c>
    </row>
    <row r="10" spans="1:13" outlineLevel="1">
      <c r="A10" s="2" t="s">
        <v>1349</v>
      </c>
      <c r="B10" s="5" t="s">
        <v>105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121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56</v>
      </c>
    </row>
    <row r="12" spans="1:13" ht="30" outlineLevel="1">
      <c r="A12" s="3" t="s">
        <v>1358</v>
      </c>
      <c r="B12" s="5" t="s">
        <v>1034</v>
      </c>
      <c r="F12" s="302" t="s">
        <v>1359</v>
      </c>
      <c r="H12" s="27" t="s">
        <v>1360</v>
      </c>
      <c r="I12" s="28">
        <v>32184975</v>
      </c>
      <c r="M12" s="233" t="s">
        <v>28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1230</v>
      </c>
      <c r="H14" s="24" t="s">
        <v>1364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238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362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1223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241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106</v>
      </c>
      <c r="H21" s="21" t="s">
        <v>1379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207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173</v>
      </c>
      <c r="H24" s="21" t="s">
        <v>1384</v>
      </c>
      <c r="I24" s="22">
        <v>1128404319</v>
      </c>
    </row>
    <row r="25" spans="1:9" outlineLevel="1">
      <c r="A25" s="4" t="s">
        <v>1070</v>
      </c>
      <c r="B25" s="5" t="s">
        <v>1070</v>
      </c>
      <c r="H25" s="24" t="s">
        <v>1385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1386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111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2024-06-18T12:37:44Z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