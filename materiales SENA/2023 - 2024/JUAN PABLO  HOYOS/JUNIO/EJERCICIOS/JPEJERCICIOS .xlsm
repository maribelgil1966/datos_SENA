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8" documentId="8_{7C6A50E1-D87B-4809-81A7-84CD1098ED62}" xr6:coauthVersionLast="47" xr6:coauthVersionMax="47" xr10:uidLastSave="{1E2B7E51-21B5-48EE-B949-2F4BEA6815BE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<sst xmlns="http://schemas.openxmlformats.org/spreadsheetml/2006/main" count="5051" uniqueCount="1394">
  <si>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</si>
  <si>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</si>
  <si>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</si>
  <si>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</si>
  <si>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</si>
  <si>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</si>
  <si>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Hoyos Maya</t>
  </si>
  <si>
    <t>CÉDULA</t>
  </si>
  <si>
    <t>PROGRAMA</t>
  </si>
  <si>
    <t>PRODCCION  CALZADO Y MARROQUINERIA</t>
  </si>
  <si>
    <t>FICHA(#)</t>
  </si>
  <si>
    <t>NOMBRE DEL PRODUCTO</t>
  </si>
  <si>
    <t>Prototipos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</si>
  <si>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</si>
  <si>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</si>
  <si>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</si>
  <si>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</si>
  <si>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</si>
  <si>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</si>
  <si>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</si>
  <si>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</si>
  <si>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</si>
  <si>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</si>
  <si>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</si>
  <si>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</si>
  <si>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</si>
  <si>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</si>
  <si>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</si>
  <si>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Restar_Pedido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</si>
  <si>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</si>
  <si>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</si>
  <si>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</si>
  <si>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</si>
  <si>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</si>
  <si>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</si>
  <si>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</si>
  <si>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</si>
  <si>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</si>
  <si>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</si>
  <si>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</si>
  <si>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</si>
  <si>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</si>
  <si>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</si>
  <si>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</si>
  <si>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</si>
  <si>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</si>
  <si>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</si>
  <si>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</si>
  <si>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</si>
  <si>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</si>
  <si>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</si>
  <si>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</si>
  <si>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</si>
  <si>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</si>
  <si>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</si>
  <si>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</si>
  <si>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</si>
  <si>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</si>
  <si>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</si>
  <si>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</si>
  <si>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</si>
  <si>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</si>
  <si>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</si>
  <si>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</si>
  <si>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</si>
  <si>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Aprobar Pedido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</si>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</sst>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172278</xdr:colOff>
      <xdr:row>0</xdr:row>
      <xdr:rowOff>0</xdr:rowOff>
    </xdr:from>
    <xdr:to>
      <xdr:col>24</xdr:col>
      <xdr:colOff>79512</xdr:colOff>
      <xdr:row>6</xdr:row>
      <xdr:rowOff>245165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BAEA0BB-79FC-2DD7-EFC3-4CCDE3548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4921" y="0"/>
          <a:ext cx="2093843" cy="20010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1" sqref="U11:V1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JH0706-1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45084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1152194903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1375.6</v>
      </c>
      <c r="E5" s="395"/>
      <c r="F5" s="396"/>
      <c r="G5" s="380" t="s">
        <v>16</v>
      </c>
      <c r="H5" s="397"/>
      <c r="I5" s="397"/>
      <c r="J5" s="381"/>
      <c r="K5" s="355">
        <v>11</v>
      </c>
      <c r="L5" s="355"/>
      <c r="M5" s="356" t="s">
        <v>17</v>
      </c>
      <c r="N5" s="356"/>
      <c r="O5" s="345">
        <f ca="1">IFERROR(IF(K5=0,"",D5*K5),"")</f>
        <v>15131.599999999999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9.0909090909090912E-2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7000</v>
      </c>
      <c r="R10" s="316"/>
      <c r="S10" s="317">
        <f>IFERROR(IF(Q10="Unidad","1",(Q10*$K$5)),"")</f>
        <v>77000</v>
      </c>
      <c r="T10" s="318"/>
      <c r="U10" s="305" t="s">
        <v>28</v>
      </c>
      <c r="V10" s="401"/>
      <c r="W10" s="306">
        <f ca="1">IFERROR(IF(D10="","",INDEX(Tabla_Completa,MATCH('Soli_citud '!D10,Materiales,0),7)*S10),"")</f>
        <v>52960.6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2000</v>
      </c>
      <c r="R11" s="316"/>
      <c r="S11" s="317">
        <f t="shared" ref="S11:S31" si="1">IFERROR(IF(Q11="Unidad","1",(Q11*$K$5)),"")</f>
        <v>22000</v>
      </c>
      <c r="T11" s="318"/>
      <c r="U11" s="305"/>
      <c r="V11" s="305"/>
      <c r="W11" s="306">
        <f ca="1">IFERROR(IF(D11="","",INDEX(Tabla_Completa,MATCH('Soli_citud '!D11,Materiales,0),7)*S11),"")</f>
        <v>15131.599999999999</v>
      </c>
      <c r="X11" s="306"/>
      <c r="Y11" s="306"/>
    </row>
    <row r="12" spans="1:28" ht="15.75" customHeight="1">
      <c r="A12" s="307"/>
      <c r="B12" s="308"/>
      <c r="C12" s="309"/>
      <c r="D12" s="402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29</v>
      </c>
      <c r="B39" s="319"/>
      <c r="C39" s="319"/>
      <c r="D39" s="320" t="s">
        <v>30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32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33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34</v>
      </c>
      <c r="O44" s="332"/>
      <c r="P44" s="332"/>
      <c r="Q44" s="332"/>
      <c r="R44" s="327" t="s">
        <v>35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36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37</v>
      </c>
      <c r="O45" s="332"/>
      <c r="P45" s="332"/>
      <c r="Q45" s="332"/>
      <c r="R45" s="328" t="s">
        <v>38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39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40</v>
      </c>
      <c r="O46" s="332"/>
      <c r="P46" s="332"/>
      <c r="Q46" s="332"/>
      <c r="R46" s="329" t="s">
        <v>41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42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43</v>
      </c>
      <c r="O47" s="332"/>
      <c r="P47" s="332"/>
      <c r="Q47" s="332"/>
      <c r="R47" s="329" t="s">
        <v>44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45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46</v>
      </c>
      <c r="O48" s="332"/>
      <c r="P48" s="332"/>
      <c r="Q48" s="332"/>
      <c r="R48" s="329" t="s">
        <v>47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48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49</v>
      </c>
      <c r="O49" s="333"/>
      <c r="P49" s="333"/>
      <c r="Q49" s="333"/>
      <c r="R49" s="328" t="s">
        <v>50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51</v>
      </c>
      <c r="O50" s="332"/>
      <c r="P50" s="332"/>
      <c r="Q50" s="332"/>
      <c r="R50" s="329" t="s">
        <v>52</v>
      </c>
      <c r="S50" s="329"/>
      <c r="T50" s="329"/>
      <c r="U50" s="329"/>
      <c r="V50" s="329"/>
      <c r="W50" s="329"/>
      <c r="X50" s="329"/>
    </row>
    <row r="51" spans="1:24" ht="15.75">
      <c r="N51" s="332" t="s">
        <v>26</v>
      </c>
      <c r="O51" s="332"/>
      <c r="P51" s="332"/>
      <c r="Q51" s="332"/>
      <c r="R51" s="329" t="s">
        <v>53</v>
      </c>
      <c r="S51" s="329"/>
      <c r="T51" s="329"/>
      <c r="U51" s="329"/>
      <c r="V51" s="329"/>
      <c r="W51" s="329"/>
      <c r="X51" s="329"/>
    </row>
    <row r="52" spans="1:24" ht="15.75">
      <c r="N52" s="332" t="s">
        <v>54</v>
      </c>
      <c r="O52" s="332"/>
      <c r="P52" s="332"/>
      <c r="Q52" s="332"/>
      <c r="R52" s="329" t="s">
        <v>44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U10" sqref="U10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55</v>
      </c>
      <c r="E1" s="415"/>
      <c r="F1" s="415"/>
      <c r="G1" s="415"/>
      <c r="H1" s="415"/>
      <c r="I1" s="415"/>
      <c r="J1" s="421" t="s">
        <v>56</v>
      </c>
      <c r="K1" s="422"/>
      <c r="L1" s="422"/>
      <c r="M1" s="423"/>
      <c r="N1" s="416">
        <f>IF('Soli_citud '!O1="","",'Soli_citud '!O1)</f>
        <v>45084</v>
      </c>
      <c r="O1" s="417"/>
      <c r="P1" s="467" t="s">
        <v>57</v>
      </c>
      <c r="Q1" s="468"/>
      <c r="R1" s="463" t="str">
        <f>IF('Soli_citud '!D4="","",'Soli_citud '!D4)</f>
        <v>Prototipos</v>
      </c>
      <c r="S1" s="464"/>
      <c r="Z1" t="s">
        <v>58</v>
      </c>
      <c r="AA1" s="252" t="s">
        <v>58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59</v>
      </c>
      <c r="K2" s="425"/>
      <c r="L2" s="425"/>
      <c r="M2" s="426"/>
      <c r="N2" s="418" t="str">
        <f>'Soli_citud '!F1</f>
        <v>JH0706-1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60</v>
      </c>
      <c r="K3" s="420"/>
      <c r="L3" s="420"/>
      <c r="M3" s="420"/>
      <c r="N3" s="406">
        <f>IF('Soli_citud '!O3="","",'Soli_citud '!O3)</f>
        <v>2472805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61</v>
      </c>
      <c r="K4" s="411"/>
      <c r="L4" s="411"/>
      <c r="M4" s="412" t="str">
        <f>IF('Soli_citud '!O4="","",'Soli_citud '!O4)</f>
        <v>Calzado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62</v>
      </c>
      <c r="C6" s="453"/>
      <c r="D6" s="454"/>
      <c r="E6" s="408" t="s">
        <v>63</v>
      </c>
      <c r="F6" s="408"/>
      <c r="G6" s="408"/>
      <c r="H6" s="408"/>
      <c r="I6" s="409"/>
      <c r="J6" s="443" t="s">
        <v>64</v>
      </c>
      <c r="K6" s="444"/>
      <c r="L6" s="444"/>
      <c r="M6" s="444"/>
      <c r="N6" s="410" t="s">
        <v>65</v>
      </c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1375.6</v>
      </c>
      <c r="C8" s="431"/>
      <c r="D8" s="432"/>
      <c r="E8" s="449" t="s">
        <v>66</v>
      </c>
      <c r="F8" s="450"/>
      <c r="G8" s="450"/>
      <c r="H8" s="450"/>
      <c r="I8" s="451"/>
      <c r="J8" s="445" t="str">
        <f>IF('Soli_citud '!E2="","",'Soli_citud '!E2)</f>
        <v>Juan Hoyos Maya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67</v>
      </c>
      <c r="C9" s="434"/>
      <c r="D9" s="459"/>
      <c r="E9" s="458" t="s">
        <v>68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69</v>
      </c>
      <c r="K10" s="428"/>
      <c r="L10" s="429"/>
      <c r="M10" s="242">
        <f>'Soli_citud '!K5</f>
        <v>11</v>
      </c>
      <c r="N10" s="447" t="s">
        <v>70</v>
      </c>
      <c r="O10" s="448"/>
      <c r="P10" s="471"/>
      <c r="Q10" s="472"/>
      <c r="R10" s="243" t="s">
        <v>71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72</v>
      </c>
      <c r="B11" s="264" t="s">
        <v>73</v>
      </c>
      <c r="C11" s="460" t="s">
        <v>74</v>
      </c>
      <c r="D11" s="461"/>
      <c r="E11" s="461"/>
      <c r="F11" s="462"/>
      <c r="G11" s="112" t="s">
        <v>75</v>
      </c>
      <c r="H11" s="112" t="s">
        <v>76</v>
      </c>
      <c r="I11" s="237" t="s">
        <v>77</v>
      </c>
      <c r="J11" s="110" t="s">
        <v>78</v>
      </c>
      <c r="K11" s="223" t="s">
        <v>79</v>
      </c>
      <c r="L11" s="419" t="s">
        <v>24</v>
      </c>
      <c r="M11" s="427"/>
      <c r="N11" s="240" t="s">
        <v>80</v>
      </c>
      <c r="O11" s="240" t="s">
        <v>81</v>
      </c>
      <c r="P11" s="244" t="s">
        <v>82</v>
      </c>
      <c r="Q11" s="245" t="s">
        <v>83</v>
      </c>
      <c r="R11" s="236" t="s">
        <v>84</v>
      </c>
      <c r="S11" s="224" t="s">
        <v>85</v>
      </c>
    </row>
    <row r="12" spans="1:27" ht="19.5" customHeight="1">
      <c r="A12" s="78">
        <v>1</v>
      </c>
      <c r="B12" s="265" t="str">
        <f>IF(H12="","",$N$2)</f>
        <v>JH0706-1</v>
      </c>
      <c r="C12" s="403" t="str">
        <f>IFERROR(IF('Soli_citud '!D10="","",'Soli_citud '!D10),"")</f>
        <v>INTERLON</v>
      </c>
      <c r="D12" s="403"/>
      <c r="E12" s="403"/>
      <c r="F12" s="403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77000</v>
      </c>
      <c r="I12" s="227">
        <v>45084</v>
      </c>
      <c r="J12" s="228">
        <v>77000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>
        <v>140</v>
      </c>
      <c r="O12" s="208">
        <f t="shared" ref="O12:O30" si="0">IFERROR(H12/N12,"")</f>
        <v>550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JH0706-1</v>
      </c>
      <c r="C13" s="403" t="str">
        <f>IFERROR(IF('Soli_citud '!D11="","",'Soli_citud '!D11),"")</f>
        <v>INTERLON</v>
      </c>
      <c r="D13" s="403"/>
      <c r="E13" s="403"/>
      <c r="F13" s="403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22000</v>
      </c>
      <c r="I13" s="227">
        <v>45107</v>
      </c>
      <c r="J13" s="229">
        <v>14000</v>
      </c>
      <c r="K13" s="207" cm="1">
        <f t="array" ref="K13">IFERROR(_xlfn.IFS(H13="","",J13=H13,"Cumplido",J13&lt;H13,H13-J13,J13&gt;H13,"Revisar"),"")</f>
        <v>8000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03" t="str">
        <f>IFERROR(IF('Soli_citud '!D12="","",'Soli_citud '!D12),"")</f>
        <v/>
      </c>
      <c r="D14" s="403"/>
      <c r="E14" s="403"/>
      <c r="F14" s="403"/>
      <c r="G14" s="226" t="str">
        <f ca="1">IF('Soli_citud '!O12="","",'Soli_citud '!O12)</f>
        <v/>
      </c>
      <c r="H14" s="226" t="str" cm="1">
        <f t="array" ref="H14">_xlfn.IFS('Soli_citud '!S12="","",'Soli_citud '!S12&lt;=0,"",'Soli_citud '!S12&gt;0,'Soli_citud '!S12)</f>
        <v/>
      </c>
      <c r="I14" s="230"/>
      <c r="J14" s="229"/>
      <c r="K14" s="207" t="str" cm="1">
        <f t="array" ref="K14">IFERROR(_xlfn.IFS(H14="","",J14=H14,"Cumplido",J14&lt;H14,H14-J14,J14&gt;H14,"Revisar"),"")</f>
        <v/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86</v>
      </c>
      <c r="F1" s="490"/>
      <c r="Z1" s="252" t="s">
        <v>58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87</v>
      </c>
      <c r="B6" s="304">
        <f>SUBTOTAL(3,(BD!$B$8:$B$20))</f>
        <v>13</v>
      </c>
      <c r="C6" s="488"/>
      <c r="D6" s="489"/>
      <c r="H6" s="486" t="s">
        <v>88</v>
      </c>
      <c r="I6" s="486"/>
    </row>
    <row r="7" spans="1:26" ht="47.25">
      <c r="A7" s="73" t="s">
        <v>72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34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34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102</v>
      </c>
      <c r="C10" s="140" t="s">
        <v>34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34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34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34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34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34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34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34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34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34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5" t="s">
        <v>34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72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115</v>
      </c>
      <c r="C34" s="219" t="s">
        <v>116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9" t="s">
        <v>116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9" t="s">
        <v>116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9" t="s">
        <v>116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9" t="s">
        <v>116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9" t="s">
        <v>116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9" t="s">
        <v>116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9" t="s">
        <v>116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9" t="s">
        <v>116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9" t="s">
        <v>116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9" t="s">
        <v>116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9" t="s">
        <v>116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9" t="s">
        <v>116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9" t="s">
        <v>116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9" t="s">
        <v>116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9" t="s">
        <v>116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9" t="s">
        <v>116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9" t="s">
        <v>116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9" t="s">
        <v>116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9" t="s">
        <v>116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9" t="s">
        <v>116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9" t="s">
        <v>116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9" t="s">
        <v>116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9" t="s">
        <v>116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9" t="s">
        <v>116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9" t="s">
        <v>116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9" t="s">
        <v>116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9" t="s">
        <v>116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9" t="s">
        <v>116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9" t="s">
        <v>116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9" t="s">
        <v>116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9" t="s">
        <v>116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9" t="s">
        <v>116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9" t="s">
        <v>116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9" t="s">
        <v>116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9" t="s">
        <v>116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9" t="s">
        <v>116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9" t="s">
        <v>116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9" t="s">
        <v>116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9" t="s">
        <v>116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9" t="s">
        <v>116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9" t="s">
        <v>116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9" t="s">
        <v>116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9" t="s">
        <v>116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9" t="s">
        <v>116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9" t="s">
        <v>116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9" t="s">
        <v>116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9" t="s">
        <v>116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9" t="s">
        <v>116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9" t="s">
        <v>116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9" t="s">
        <v>116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9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9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9" t="s">
        <v>116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9" t="s">
        <v>116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9" t="s">
        <v>116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9" t="s">
        <v>116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9" t="s">
        <v>116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9" t="s">
        <v>116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9" t="s">
        <v>116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9" t="s">
        <v>116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9" t="s">
        <v>116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9" t="s">
        <v>116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9" t="s">
        <v>116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9" t="s">
        <v>116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9" t="s">
        <v>116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9" t="s">
        <v>116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9" t="s">
        <v>116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9" t="s">
        <v>116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9" t="s">
        <v>116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9" t="s">
        <v>116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9" t="s">
        <v>116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9" t="s">
        <v>116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9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9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9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9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9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9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9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9" t="s">
        <v>116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9" t="s">
        <v>116</v>
      </c>
      <c r="D115" s="48" t="s">
        <v>200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9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9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9" t="s">
        <v>116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9" t="s">
        <v>116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9" t="s">
        <v>116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9" t="s">
        <v>116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9" t="s">
        <v>116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9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9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9" t="s">
        <v>116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9" t="s">
        <v>116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9" t="s">
        <v>116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9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9" t="s">
        <v>116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9" t="s">
        <v>116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9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9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9" t="s">
        <v>116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9" t="s">
        <v>116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9" t="s">
        <v>116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9" t="s">
        <v>116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9" t="s">
        <v>116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9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9" t="s">
        <v>116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9" t="s">
        <v>116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9" t="s">
        <v>116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72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230</v>
      </c>
      <c r="C162" s="219" t="s">
        <v>231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9" t="s">
        <v>231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9" t="s">
        <v>231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9" t="s">
        <v>231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9" t="s">
        <v>231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9" t="s">
        <v>231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9" t="s">
        <v>231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9" t="s">
        <v>231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9" t="s">
        <v>231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9" t="s">
        <v>231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9" t="s">
        <v>231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9" t="s">
        <v>231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9" t="s">
        <v>231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9" t="s">
        <v>231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9" t="s">
        <v>231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9" t="s">
        <v>231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9" t="s">
        <v>231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9" t="s">
        <v>231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9" t="s">
        <v>231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9" t="s">
        <v>231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9" t="s">
        <v>231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9" t="s">
        <v>231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9" t="s">
        <v>231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9" t="s">
        <v>231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9" t="s">
        <v>231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9" t="s">
        <v>231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9" t="s">
        <v>231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9" t="s">
        <v>231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9" t="s">
        <v>231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9" t="s">
        <v>231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9" t="s">
        <v>231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9" t="s">
        <v>231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9" t="s">
        <v>231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9" t="s">
        <v>231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9" t="s">
        <v>231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9" t="s">
        <v>231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9" t="s">
        <v>231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9" t="s">
        <v>231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9" t="s">
        <v>231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9" t="s">
        <v>231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9" t="s">
        <v>231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9" t="s">
        <v>231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9" t="s">
        <v>231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9" t="s">
        <v>231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9" t="s">
        <v>231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9" t="s">
        <v>231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9" t="s">
        <v>231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9" t="s">
        <v>231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9" t="s">
        <v>231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9" t="s">
        <v>231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9" t="s">
        <v>231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9" t="s">
        <v>231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9" t="s">
        <v>231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9" t="s">
        <v>231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9" t="s">
        <v>231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9" t="s">
        <v>231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9" t="s">
        <v>231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9" t="s">
        <v>231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9" t="s">
        <v>231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9" t="s">
        <v>231</v>
      </c>
      <c r="D221" s="48" t="s">
        <v>168</v>
      </c>
      <c r="E221" s="43">
        <v>475.34</v>
      </c>
      <c r="F221" s="300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9" t="s">
        <v>231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9" t="s">
        <v>231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9" t="s">
        <v>231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9" t="s">
        <v>231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9" t="s">
        <v>231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9" t="s">
        <v>231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9" t="s">
        <v>231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9" t="s">
        <v>231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304</v>
      </c>
      <c r="C230" s="219" t="s">
        <v>231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9" t="s">
        <v>231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9" t="s">
        <v>231</v>
      </c>
      <c r="D232" s="49" t="s">
        <v>233</v>
      </c>
      <c r="E232" s="166">
        <v>16471.25</v>
      </c>
      <c r="F232" s="301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9" t="s">
        <v>231</v>
      </c>
      <c r="D233" s="49" t="s">
        <v>233</v>
      </c>
      <c r="E233" s="166">
        <v>32931.5</v>
      </c>
      <c r="F233" s="301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9" t="s">
        <v>231</v>
      </c>
      <c r="D234" s="49" t="s">
        <v>233</v>
      </c>
      <c r="E234" s="166">
        <v>16209.5</v>
      </c>
      <c r="F234" s="301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9" t="s">
        <v>231</v>
      </c>
      <c r="D235" s="49" t="s">
        <v>233</v>
      </c>
      <c r="E235" s="166">
        <v>32417</v>
      </c>
      <c r="F235" s="301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9" t="s">
        <v>231</v>
      </c>
      <c r="D236" s="49" t="s">
        <v>233</v>
      </c>
      <c r="E236" s="166">
        <v>50250</v>
      </c>
      <c r="F236" s="301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9" t="s">
        <v>231</v>
      </c>
      <c r="D237" s="49" t="s">
        <v>233</v>
      </c>
      <c r="E237" s="166">
        <v>25131.5</v>
      </c>
      <c r="F237" s="301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9" t="s">
        <v>231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9" t="s">
        <v>231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9" t="s">
        <v>231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9" t="s">
        <v>231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9" t="s">
        <v>231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9" t="s">
        <v>231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9" t="s">
        <v>231</v>
      </c>
      <c r="D244" s="48" t="s">
        <v>236</v>
      </c>
      <c r="E244" s="43">
        <v>26000</v>
      </c>
      <c r="F244" s="193" t="s">
        <v>239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9" t="s">
        <v>231</v>
      </c>
      <c r="D245" s="48" t="s">
        <v>236</v>
      </c>
      <c r="E245" s="43">
        <v>13000</v>
      </c>
      <c r="F245" s="193" t="s">
        <v>239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231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231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231</v>
      </c>
      <c r="D248" s="48" t="s">
        <v>105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231</v>
      </c>
      <c r="D249" s="48" t="s">
        <v>105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231</v>
      </c>
      <c r="D250" s="277" t="s">
        <v>105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231</v>
      </c>
      <c r="D251" s="277" t="s">
        <v>235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231</v>
      </c>
      <c r="D252" s="277" t="s">
        <v>236</v>
      </c>
      <c r="E252" s="303">
        <v>7183</v>
      </c>
      <c r="F252" s="278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231</v>
      </c>
      <c r="D253" s="277" t="s">
        <v>236</v>
      </c>
      <c r="E253" s="303">
        <v>10597</v>
      </c>
      <c r="F253" s="278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231</v>
      </c>
      <c r="D254" s="277" t="s">
        <v>105</v>
      </c>
      <c r="E254" s="141">
        <v>2866.6666666666665</v>
      </c>
      <c r="F254" s="278" t="s">
        <v>105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231</v>
      </c>
      <c r="D255" s="277" t="s">
        <v>105</v>
      </c>
      <c r="E255" s="141">
        <v>2866.6666666666665</v>
      </c>
      <c r="F255" s="278" t="s">
        <v>105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231</v>
      </c>
      <c r="D256" s="277" t="s">
        <v>239</v>
      </c>
      <c r="E256" s="141"/>
      <c r="F256" s="278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231</v>
      </c>
      <c r="D257" s="277" t="s">
        <v>233</v>
      </c>
      <c r="E257" s="141">
        <v>8000</v>
      </c>
      <c r="F257" s="278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231</v>
      </c>
      <c r="D258" s="277" t="s">
        <v>233</v>
      </c>
      <c r="E258" s="141">
        <v>10000</v>
      </c>
      <c r="F258" s="278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231</v>
      </c>
      <c r="D259" s="277" t="s">
        <v>233</v>
      </c>
      <c r="E259" s="141">
        <v>10000</v>
      </c>
      <c r="F259" s="278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231</v>
      </c>
      <c r="D260" s="277" t="s">
        <v>239</v>
      </c>
      <c r="E260" s="141"/>
      <c r="F260" s="278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231</v>
      </c>
      <c r="D261" s="277" t="s">
        <v>200</v>
      </c>
      <c r="E261" s="141">
        <v>636792</v>
      </c>
      <c r="F261" s="278" t="s">
        <v>105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231</v>
      </c>
      <c r="D262" s="277" t="s">
        <v>302</v>
      </c>
      <c r="E262" s="141">
        <v>28.18</v>
      </c>
      <c r="F262" s="278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231</v>
      </c>
      <c r="D263" s="277" t="s">
        <v>302</v>
      </c>
      <c r="E263" s="141">
        <v>2700</v>
      </c>
      <c r="F263" s="278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231</v>
      </c>
      <c r="D264" s="277" t="s">
        <v>302</v>
      </c>
      <c r="E264" s="141">
        <v>18.53</v>
      </c>
      <c r="F264" s="278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231</v>
      </c>
      <c r="D265" s="277" t="s">
        <v>236</v>
      </c>
      <c r="E265" s="141">
        <v>1800</v>
      </c>
      <c r="F265" s="278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231</v>
      </c>
      <c r="D266" s="277" t="s">
        <v>236</v>
      </c>
      <c r="E266" s="141">
        <v>1057</v>
      </c>
      <c r="F266" s="278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231</v>
      </c>
      <c r="D267" s="277" t="s">
        <v>302</v>
      </c>
      <c r="E267" s="141">
        <v>18.53</v>
      </c>
      <c r="F267" s="278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231</v>
      </c>
      <c r="D268" s="277" t="s">
        <v>302</v>
      </c>
      <c r="E268" s="141">
        <v>22.8</v>
      </c>
      <c r="F268" s="278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231</v>
      </c>
      <c r="D269" s="277" t="s">
        <v>302</v>
      </c>
      <c r="E269" s="141">
        <v>22.8</v>
      </c>
      <c r="F269" s="278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231</v>
      </c>
      <c r="D270" s="277" t="s">
        <v>302</v>
      </c>
      <c r="E270" s="141">
        <v>14.73</v>
      </c>
      <c r="F270" s="278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231</v>
      </c>
      <c r="D271" s="277" t="s">
        <v>302</v>
      </c>
      <c r="E271" s="141">
        <v>14.73</v>
      </c>
      <c r="F271" s="278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231</v>
      </c>
      <c r="D272" s="277" t="s">
        <v>236</v>
      </c>
      <c r="E272" s="141">
        <v>819.99999999999989</v>
      </c>
      <c r="F272" s="278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231</v>
      </c>
      <c r="D273" s="277" t="s">
        <v>236</v>
      </c>
      <c r="E273" s="141">
        <v>1170</v>
      </c>
      <c r="F273" s="278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231</v>
      </c>
      <c r="D274" s="277" t="s">
        <v>236</v>
      </c>
      <c r="E274" s="141">
        <v>8000</v>
      </c>
      <c r="F274" s="278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231</v>
      </c>
      <c r="D275" s="277" t="s">
        <v>236</v>
      </c>
      <c r="E275" s="141">
        <v>11000</v>
      </c>
      <c r="F275" s="278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231</v>
      </c>
      <c r="D276" s="277" t="s">
        <v>236</v>
      </c>
      <c r="E276" s="141">
        <v>10858</v>
      </c>
      <c r="F276" s="278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231</v>
      </c>
      <c r="D277" s="277" t="s">
        <v>236</v>
      </c>
      <c r="E277" s="141">
        <v>13999.16</v>
      </c>
      <c r="F277" s="278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231</v>
      </c>
      <c r="D278" s="277" t="s">
        <v>233</v>
      </c>
      <c r="E278" s="141"/>
      <c r="F278" s="278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231</v>
      </c>
      <c r="D279" s="277" t="s">
        <v>239</v>
      </c>
      <c r="E279" s="141"/>
      <c r="F279" s="278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231</v>
      </c>
      <c r="D280" s="277" t="s">
        <v>239</v>
      </c>
      <c r="E280" s="141"/>
      <c r="F280" s="278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231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231</v>
      </c>
      <c r="D282" s="277" t="s">
        <v>210</v>
      </c>
      <c r="E282" s="141">
        <v>4776.666666666667</v>
      </c>
      <c r="F282" s="278" t="s">
        <v>105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231</v>
      </c>
      <c r="D283" s="277" t="s">
        <v>236</v>
      </c>
      <c r="E283" s="141">
        <v>1035.3</v>
      </c>
      <c r="F283" s="278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231</v>
      </c>
      <c r="D284" s="277" t="s">
        <v>235</v>
      </c>
      <c r="E284" s="141">
        <v>700</v>
      </c>
      <c r="F284" s="278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231</v>
      </c>
      <c r="D285" s="277" t="s">
        <v>235</v>
      </c>
      <c r="E285" s="141">
        <v>1100</v>
      </c>
      <c r="F285" s="278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231</v>
      </c>
      <c r="D286" s="277" t="s">
        <v>302</v>
      </c>
      <c r="E286" s="141">
        <v>1000</v>
      </c>
      <c r="F286" s="278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231</v>
      </c>
      <c r="D287" s="277" t="s">
        <v>236</v>
      </c>
      <c r="E287" s="141">
        <v>700</v>
      </c>
      <c r="F287" s="278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231</v>
      </c>
      <c r="D288" s="48" t="s">
        <v>236</v>
      </c>
      <c r="E288" s="166">
        <v>84</v>
      </c>
      <c r="F288" s="278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231</v>
      </c>
      <c r="D289" s="277" t="s">
        <v>236</v>
      </c>
      <c r="E289" s="166">
        <v>10780</v>
      </c>
      <c r="F289" s="278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72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366</v>
      </c>
      <c r="C516" s="219" t="s">
        <v>40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40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40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40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40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40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40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40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40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40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40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40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40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40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40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40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40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40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40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9" t="s">
        <v>40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9" t="s">
        <v>40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9" t="s">
        <v>40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9" t="s">
        <v>40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87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72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2" t="s">
        <v>390</v>
      </c>
      <c r="C562" s="219" t="s">
        <v>43</v>
      </c>
      <c r="D562" s="48" t="s">
        <v>105</v>
      </c>
      <c r="E562" s="43">
        <v>304.64</v>
      </c>
      <c r="F562" s="188" t="s">
        <v>105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391</v>
      </c>
      <c r="C563" s="219" t="s">
        <v>43</v>
      </c>
      <c r="D563" s="48" t="s">
        <v>105</v>
      </c>
      <c r="E563" s="55">
        <v>3356</v>
      </c>
      <c r="F563" s="194" t="s">
        <v>105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392</v>
      </c>
      <c r="C564" s="219" t="s">
        <v>43</v>
      </c>
      <c r="D564" s="48" t="s">
        <v>105</v>
      </c>
      <c r="E564" s="55">
        <v>304.64</v>
      </c>
      <c r="F564" s="194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393</v>
      </c>
      <c r="C565" s="219" t="s">
        <v>43</v>
      </c>
      <c r="D565" s="48" t="s">
        <v>105</v>
      </c>
      <c r="E565" s="43">
        <v>304.64</v>
      </c>
      <c r="F565" s="188" t="s">
        <v>105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394</v>
      </c>
      <c r="C566" s="219" t="s">
        <v>43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395</v>
      </c>
      <c r="C567" s="219" t="s">
        <v>43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396</v>
      </c>
      <c r="C568" s="219" t="s">
        <v>43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397</v>
      </c>
      <c r="C569" s="219" t="s">
        <v>43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9" t="s">
        <v>43</v>
      </c>
      <c r="D570" s="48" t="s">
        <v>105</v>
      </c>
      <c r="E570" s="43">
        <v>304.64</v>
      </c>
      <c r="F570" s="188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9" t="s">
        <v>43</v>
      </c>
      <c r="D571" s="48" t="s">
        <v>105</v>
      </c>
      <c r="E571" s="55">
        <v>304.64</v>
      </c>
      <c r="F571" s="194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9" t="s">
        <v>43</v>
      </c>
      <c r="D572" s="48" t="s">
        <v>105</v>
      </c>
      <c r="E572" s="43">
        <v>2400</v>
      </c>
      <c r="F572" s="188" t="s">
        <v>105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9" t="s">
        <v>43</v>
      </c>
      <c r="D573" s="48" t="s">
        <v>105</v>
      </c>
      <c r="E573" s="43">
        <v>2400</v>
      </c>
      <c r="F573" s="188" t="s">
        <v>105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9" t="s">
        <v>43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9" t="s">
        <v>43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9" t="s">
        <v>43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9" t="s">
        <v>43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9" t="s">
        <v>43</v>
      </c>
      <c r="D578" s="48" t="s">
        <v>105</v>
      </c>
      <c r="E578" s="43">
        <v>304.64</v>
      </c>
      <c r="F578" s="194" t="s">
        <v>105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9" t="s">
        <v>43</v>
      </c>
      <c r="D579" s="48" t="s">
        <v>105</v>
      </c>
      <c r="E579" s="43">
        <v>304.64</v>
      </c>
      <c r="F579" s="188" t="s">
        <v>105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9" t="s">
        <v>43</v>
      </c>
      <c r="D580" s="48" t="s">
        <v>105</v>
      </c>
      <c r="E580" s="43">
        <v>304.64</v>
      </c>
      <c r="F580" s="188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9" t="s">
        <v>43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9" t="s">
        <v>43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9" t="s">
        <v>43</v>
      </c>
      <c r="D583" s="48" t="s">
        <v>105</v>
      </c>
      <c r="E583" s="55">
        <v>304.64</v>
      </c>
      <c r="F583" s="194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9" t="s">
        <v>43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9" t="s">
        <v>43</v>
      </c>
      <c r="D585" s="48" t="s">
        <v>105</v>
      </c>
      <c r="E585" s="43">
        <v>304.64</v>
      </c>
      <c r="F585" s="188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9" t="s">
        <v>43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9" t="s">
        <v>43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9" t="s">
        <v>43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9" t="s">
        <v>43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9" t="s">
        <v>43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9" t="s">
        <v>43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9" t="s">
        <v>43</v>
      </c>
      <c r="D592" s="48" t="s">
        <v>105</v>
      </c>
      <c r="E592" s="55">
        <v>304.64</v>
      </c>
      <c r="F592" s="194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9" t="s">
        <v>43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9" t="s">
        <v>43</v>
      </c>
      <c r="D594" s="48" t="s">
        <v>105</v>
      </c>
      <c r="E594" s="43">
        <v>3356</v>
      </c>
      <c r="F594" s="188" t="s">
        <v>105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9" t="s">
        <v>43</v>
      </c>
      <c r="D595" s="48" t="s">
        <v>105</v>
      </c>
      <c r="E595" s="43">
        <v>3356</v>
      </c>
      <c r="F595" s="188" t="s">
        <v>105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9" t="s">
        <v>43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9" t="s">
        <v>43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9" t="s">
        <v>43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9" t="s">
        <v>43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9" t="s">
        <v>43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9" t="s">
        <v>43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9" t="s">
        <v>43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9" t="s">
        <v>43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9" t="s">
        <v>43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9" t="s">
        <v>43</v>
      </c>
      <c r="D605" s="48" t="s">
        <v>105</v>
      </c>
      <c r="E605" s="43">
        <v>1537.48</v>
      </c>
      <c r="F605" s="188" t="s">
        <v>105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9" t="s">
        <v>43</v>
      </c>
      <c r="D606" s="48" t="s">
        <v>105</v>
      </c>
      <c r="E606" s="55">
        <v>1537.48</v>
      </c>
      <c r="F606" s="188" t="s">
        <v>105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9" t="s">
        <v>43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9" t="s">
        <v>43</v>
      </c>
      <c r="D608" s="48" t="s">
        <v>105</v>
      </c>
      <c r="E608" s="43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9" t="s">
        <v>43</v>
      </c>
      <c r="D609" s="48" t="s">
        <v>105</v>
      </c>
      <c r="E609" s="55">
        <v>1537.48</v>
      </c>
      <c r="F609" s="194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9" t="s">
        <v>43</v>
      </c>
      <c r="D610" s="48" t="s">
        <v>105</v>
      </c>
      <c r="E610" s="55">
        <v>2727.48</v>
      </c>
      <c r="F610" s="188" t="s">
        <v>105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9" t="s">
        <v>43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9" t="s">
        <v>43</v>
      </c>
      <c r="D612" s="48" t="s">
        <v>105</v>
      </c>
      <c r="E612" s="55">
        <v>11057</v>
      </c>
      <c r="F612" s="194" t="s">
        <v>105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9" t="s">
        <v>43</v>
      </c>
      <c r="D613" s="48" t="s">
        <v>105</v>
      </c>
      <c r="E613" s="55">
        <v>11057</v>
      </c>
      <c r="F613" s="194" t="s">
        <v>105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9" t="s">
        <v>43</v>
      </c>
      <c r="D614" s="48" t="s">
        <v>105</v>
      </c>
      <c r="E614" s="55">
        <v>375</v>
      </c>
      <c r="F614" s="194" t="s">
        <v>105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9" t="s">
        <v>43</v>
      </c>
      <c r="D615" s="48" t="s">
        <v>105</v>
      </c>
      <c r="E615" s="55">
        <v>1006.6666666666666</v>
      </c>
      <c r="F615" s="194" t="s">
        <v>105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9" t="s">
        <v>43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9" t="s">
        <v>43</v>
      </c>
      <c r="D617" s="48" t="s">
        <v>105</v>
      </c>
      <c r="E617" s="55">
        <v>375</v>
      </c>
      <c r="F617" s="194" t="s">
        <v>105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9" t="s">
        <v>43</v>
      </c>
      <c r="D618" s="48" t="s">
        <v>105</v>
      </c>
      <c r="E618" s="55">
        <v>177.31</v>
      </c>
      <c r="F618" s="194" t="s">
        <v>105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9" t="s">
        <v>43</v>
      </c>
      <c r="D619" s="48" t="s">
        <v>105</v>
      </c>
      <c r="E619" s="55">
        <v>177.31</v>
      </c>
      <c r="F619" s="194" t="s">
        <v>105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9" t="s">
        <v>43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19" t="s">
        <v>43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43</v>
      </c>
      <c r="D622" s="48" t="s">
        <v>105</v>
      </c>
      <c r="E622" s="43">
        <v>1280.44</v>
      </c>
      <c r="F622" s="194" t="s">
        <v>105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43</v>
      </c>
      <c r="D623" s="48" t="s">
        <v>105</v>
      </c>
      <c r="E623" s="55">
        <v>1280.44</v>
      </c>
      <c r="F623" s="194" t="s">
        <v>105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43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43</v>
      </c>
      <c r="D625" s="48" t="s">
        <v>105</v>
      </c>
      <c r="E625" s="43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43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43</v>
      </c>
      <c r="D627" s="48" t="s">
        <v>105</v>
      </c>
      <c r="E627" s="55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43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43</v>
      </c>
      <c r="D629" s="48" t="s">
        <v>105</v>
      </c>
      <c r="E629" s="55">
        <v>14750</v>
      </c>
      <c r="F629" s="194" t="s">
        <v>105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43</v>
      </c>
      <c r="D630" s="48" t="s">
        <v>105</v>
      </c>
      <c r="E630" s="55">
        <v>14750</v>
      </c>
      <c r="F630" s="194" t="s">
        <v>105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43</v>
      </c>
      <c r="D631" s="48" t="s">
        <v>105</v>
      </c>
      <c r="E631" s="55">
        <v>4799.2700000000004</v>
      </c>
      <c r="F631" s="194" t="s">
        <v>105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43</v>
      </c>
      <c r="D632" s="48" t="s">
        <v>105</v>
      </c>
      <c r="E632" s="55">
        <v>4799.2700000000004</v>
      </c>
      <c r="F632" s="194" t="s">
        <v>105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43</v>
      </c>
      <c r="D633" s="48" t="s">
        <v>105</v>
      </c>
      <c r="E633" s="55">
        <v>1000</v>
      </c>
      <c r="F633" s="194" t="s">
        <v>105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43</v>
      </c>
      <c r="D634" s="48" t="s">
        <v>105</v>
      </c>
      <c r="E634" s="55">
        <v>1000</v>
      </c>
      <c r="F634" s="194" t="s">
        <v>105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43</v>
      </c>
      <c r="D635" s="48" t="s">
        <v>105</v>
      </c>
      <c r="E635" s="55">
        <v>6957.9299999999994</v>
      </c>
      <c r="F635" s="194" t="s">
        <v>105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43</v>
      </c>
      <c r="D636" s="48" t="s">
        <v>105</v>
      </c>
      <c r="E636" s="55">
        <v>6957.9299999999994</v>
      </c>
      <c r="F636" s="194" t="s">
        <v>105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43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43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43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43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43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43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43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43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43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43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43</v>
      </c>
      <c r="D647" s="48" t="s">
        <v>105</v>
      </c>
      <c r="E647" s="43">
        <v>3700</v>
      </c>
      <c r="F647" s="188" t="s">
        <v>105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43</v>
      </c>
      <c r="D648" s="48" t="s">
        <v>105</v>
      </c>
      <c r="E648" s="43">
        <v>3700</v>
      </c>
      <c r="F648" s="188" t="s">
        <v>105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43</v>
      </c>
      <c r="D649" s="48" t="s">
        <v>105</v>
      </c>
      <c r="E649" s="55">
        <v>1200</v>
      </c>
      <c r="F649" s="194" t="s">
        <v>105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43</v>
      </c>
      <c r="D650" s="48" t="s">
        <v>105</v>
      </c>
      <c r="E650" s="55">
        <v>1200</v>
      </c>
      <c r="F650" s="194" t="s">
        <v>105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43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43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43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43</v>
      </c>
      <c r="D654" s="48" t="s">
        <v>105</v>
      </c>
      <c r="E654" s="55">
        <v>873.94</v>
      </c>
      <c r="F654" s="194" t="s">
        <v>105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43</v>
      </c>
      <c r="D655" s="48" t="s">
        <v>105</v>
      </c>
      <c r="E655" s="55">
        <v>873.94</v>
      </c>
      <c r="F655" s="194" t="s">
        <v>105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43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43</v>
      </c>
      <c r="D657" s="48" t="s">
        <v>105</v>
      </c>
      <c r="E657" s="55">
        <v>1173.3399999999999</v>
      </c>
      <c r="F657" s="194" t="s">
        <v>105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43</v>
      </c>
      <c r="D658" s="48" t="s">
        <v>105</v>
      </c>
      <c r="E658" s="55">
        <v>998.41</v>
      </c>
      <c r="F658" s="194" t="s">
        <v>105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43</v>
      </c>
      <c r="D659" s="48" t="s">
        <v>105</v>
      </c>
      <c r="E659" s="55">
        <v>998.41</v>
      </c>
      <c r="F659" s="194" t="s">
        <v>105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43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43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43</v>
      </c>
      <c r="D662" s="48" t="s">
        <v>105</v>
      </c>
      <c r="E662" s="55">
        <v>1173.3399999999999</v>
      </c>
      <c r="F662" s="194" t="s">
        <v>105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43</v>
      </c>
      <c r="D663" s="48" t="s">
        <v>105</v>
      </c>
      <c r="E663" s="55">
        <v>998.41</v>
      </c>
      <c r="F663" s="194" t="s">
        <v>105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43</v>
      </c>
      <c r="D664" s="48" t="s">
        <v>105</v>
      </c>
      <c r="E664" s="55">
        <v>998.41</v>
      </c>
      <c r="F664" s="194" t="s">
        <v>105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43</v>
      </c>
      <c r="D665" s="48" t="s">
        <v>105</v>
      </c>
      <c r="E665" s="55">
        <v>1173.3399999999999</v>
      </c>
      <c r="F665" s="194" t="s">
        <v>105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43</v>
      </c>
      <c r="D666" s="48" t="s">
        <v>105</v>
      </c>
      <c r="E666" s="55">
        <v>998.41</v>
      </c>
      <c r="F666" s="194" t="s">
        <v>105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43</v>
      </c>
      <c r="D667" s="48" t="s">
        <v>105</v>
      </c>
      <c r="E667" s="55">
        <v>998.41</v>
      </c>
      <c r="F667" s="194" t="s">
        <v>105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43</v>
      </c>
      <c r="D668" s="48" t="s">
        <v>105</v>
      </c>
      <c r="E668" s="55">
        <v>1018.64</v>
      </c>
      <c r="F668" s="194" t="s">
        <v>105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43</v>
      </c>
      <c r="D669" s="48" t="s">
        <v>105</v>
      </c>
      <c r="E669" s="55">
        <v>1173.3399999999999</v>
      </c>
      <c r="F669" s="194" t="s">
        <v>105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43</v>
      </c>
      <c r="D670" s="48" t="s">
        <v>105</v>
      </c>
      <c r="E670" s="55">
        <v>1173.3399999999999</v>
      </c>
      <c r="F670" s="194" t="s">
        <v>105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43</v>
      </c>
      <c r="D671" s="48" t="s">
        <v>105</v>
      </c>
      <c r="E671" s="55">
        <v>1018.64</v>
      </c>
      <c r="F671" s="194" t="s">
        <v>105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43</v>
      </c>
      <c r="D672" s="48" t="s">
        <v>105</v>
      </c>
      <c r="E672" s="55">
        <v>1018.64</v>
      </c>
      <c r="F672" s="194" t="s">
        <v>105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43</v>
      </c>
      <c r="D673" s="48" t="s">
        <v>105</v>
      </c>
      <c r="E673" s="55">
        <v>2746.52</v>
      </c>
      <c r="F673" s="194" t="s">
        <v>105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43</v>
      </c>
      <c r="D674" s="48" t="s">
        <v>105</v>
      </c>
      <c r="E674" s="55">
        <v>1173.3399999999999</v>
      </c>
      <c r="F674" s="194" t="s">
        <v>105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43</v>
      </c>
      <c r="D675" s="48" t="s">
        <v>105</v>
      </c>
      <c r="E675" s="55">
        <v>1173.3399999999999</v>
      </c>
      <c r="F675" s="194" t="s">
        <v>105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43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43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43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43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43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43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43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43</v>
      </c>
      <c r="D683" s="48" t="s">
        <v>105</v>
      </c>
      <c r="E683" s="55">
        <v>2563</v>
      </c>
      <c r="F683" s="188" t="s">
        <v>105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43</v>
      </c>
      <c r="D684" s="48" t="s">
        <v>105</v>
      </c>
      <c r="E684" s="43">
        <v>2364.5299999999997</v>
      </c>
      <c r="F684" s="188" t="s">
        <v>105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43</v>
      </c>
      <c r="D685" s="48" t="s">
        <v>105</v>
      </c>
      <c r="E685" s="43">
        <v>2364.5299999999997</v>
      </c>
      <c r="F685" s="188" t="s">
        <v>105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43</v>
      </c>
      <c r="D686" s="48" t="s">
        <v>105</v>
      </c>
      <c r="E686" s="43">
        <v>2563</v>
      </c>
      <c r="F686" s="188" t="s">
        <v>105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43</v>
      </c>
      <c r="D687" s="48" t="s">
        <v>105</v>
      </c>
      <c r="E687" s="55">
        <v>2563</v>
      </c>
      <c r="F687" s="194" t="s">
        <v>105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43</v>
      </c>
      <c r="D688" s="48" t="s">
        <v>105</v>
      </c>
      <c r="E688" s="55">
        <v>2563</v>
      </c>
      <c r="F688" s="194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43</v>
      </c>
      <c r="D689" s="48" t="s">
        <v>105</v>
      </c>
      <c r="E689" s="43">
        <v>2440.69</v>
      </c>
      <c r="F689" s="188" t="s">
        <v>105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43</v>
      </c>
      <c r="D690" s="48" t="s">
        <v>105</v>
      </c>
      <c r="E690" s="43">
        <v>2440.69</v>
      </c>
      <c r="F690" s="188" t="s">
        <v>105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43</v>
      </c>
      <c r="D691" s="48" t="s">
        <v>105</v>
      </c>
      <c r="E691" s="55">
        <v>873.94</v>
      </c>
      <c r="F691" s="194" t="s">
        <v>105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43</v>
      </c>
      <c r="D692" s="48" t="s">
        <v>105</v>
      </c>
      <c r="E692" s="55">
        <v>873.94</v>
      </c>
      <c r="F692" s="194" t="s">
        <v>105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43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43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43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43</v>
      </c>
      <c r="D696" s="48" t="s">
        <v>105</v>
      </c>
      <c r="E696" s="55">
        <v>1547</v>
      </c>
      <c r="F696" s="194" t="s">
        <v>105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43</v>
      </c>
      <c r="D697" s="48" t="s">
        <v>105</v>
      </c>
      <c r="E697" s="55">
        <v>1547</v>
      </c>
      <c r="F697" s="194" t="s">
        <v>105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43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43</v>
      </c>
      <c r="D699" s="48" t="s">
        <v>105</v>
      </c>
      <c r="E699" s="55">
        <v>1850</v>
      </c>
      <c r="F699" s="194" t="s">
        <v>105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43</v>
      </c>
      <c r="D700" s="48" t="s">
        <v>105</v>
      </c>
      <c r="E700" s="55">
        <v>1850</v>
      </c>
      <c r="F700" s="194" t="s">
        <v>105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43</v>
      </c>
      <c r="D701" s="48" t="s">
        <v>105</v>
      </c>
      <c r="E701" s="55">
        <v>4799.2700000000004</v>
      </c>
      <c r="F701" s="194" t="s">
        <v>105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43</v>
      </c>
      <c r="D702" s="48" t="s">
        <v>105</v>
      </c>
      <c r="E702" s="55">
        <v>4799.2700000000004</v>
      </c>
      <c r="F702" s="194" t="s">
        <v>105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43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43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43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43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43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43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43</v>
      </c>
      <c r="D709" s="48" t="s">
        <v>105</v>
      </c>
      <c r="E709" s="55">
        <v>1000</v>
      </c>
      <c r="F709" s="194" t="s">
        <v>105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43</v>
      </c>
      <c r="D710" s="48" t="s">
        <v>105</v>
      </c>
      <c r="E710" s="55">
        <v>8973.7900000000009</v>
      </c>
      <c r="F710" s="194" t="s">
        <v>105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43</v>
      </c>
      <c r="D711" s="48" t="s">
        <v>105</v>
      </c>
      <c r="E711" s="55">
        <v>8973.7900000000009</v>
      </c>
      <c r="F711" s="194" t="s">
        <v>105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43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43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43</v>
      </c>
      <c r="D714" s="48" t="s">
        <v>105</v>
      </c>
      <c r="E714" s="55">
        <v>3844.89</v>
      </c>
      <c r="F714" s="194" t="s">
        <v>105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43</v>
      </c>
      <c r="D715" s="48" t="s">
        <v>105</v>
      </c>
      <c r="E715" s="55">
        <v>3844.89</v>
      </c>
      <c r="F715" s="194" t="s">
        <v>105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43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43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43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43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43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43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43</v>
      </c>
      <c r="D722" s="48" t="s">
        <v>105</v>
      </c>
      <c r="E722" s="55">
        <v>1661.24</v>
      </c>
      <c r="F722" s="194" t="s">
        <v>105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43</v>
      </c>
      <c r="D723" s="48" t="s">
        <v>105</v>
      </c>
      <c r="E723" s="55">
        <v>1661.24</v>
      </c>
      <c r="F723" s="194" t="s">
        <v>105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43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43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43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43</v>
      </c>
      <c r="D727" s="48" t="s">
        <v>105</v>
      </c>
      <c r="E727" s="55">
        <v>690.75</v>
      </c>
      <c r="F727" s="194" t="s">
        <v>105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43</v>
      </c>
      <c r="D728" s="48" t="s">
        <v>105</v>
      </c>
      <c r="E728" s="55">
        <v>690.75</v>
      </c>
      <c r="F728" s="194" t="s">
        <v>105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43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43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43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43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43</v>
      </c>
      <c r="D733" s="48" t="s">
        <v>105</v>
      </c>
      <c r="E733" s="43">
        <v>690.75</v>
      </c>
      <c r="F733" s="188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43</v>
      </c>
      <c r="D734" s="48" t="s">
        <v>105</v>
      </c>
      <c r="E734" s="43">
        <v>690.75</v>
      </c>
      <c r="F734" s="188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43</v>
      </c>
      <c r="D735" s="48" t="s">
        <v>105</v>
      </c>
      <c r="E735" s="55">
        <v>690.75</v>
      </c>
      <c r="F735" s="194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43</v>
      </c>
      <c r="D736" s="48" t="s">
        <v>105</v>
      </c>
      <c r="E736" s="55">
        <v>690.75</v>
      </c>
      <c r="F736" s="194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43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43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43</v>
      </c>
      <c r="D739" s="48" t="s">
        <v>105</v>
      </c>
      <c r="E739" s="43">
        <v>690.75</v>
      </c>
      <c r="F739" s="188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43</v>
      </c>
      <c r="D740" s="48" t="s">
        <v>105</v>
      </c>
      <c r="E740" s="43">
        <v>690.75</v>
      </c>
      <c r="F740" s="188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43</v>
      </c>
      <c r="D741" s="48" t="s">
        <v>105</v>
      </c>
      <c r="E741" s="55">
        <v>690.75</v>
      </c>
      <c r="F741" s="194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43</v>
      </c>
      <c r="D742" s="48" t="s">
        <v>105</v>
      </c>
      <c r="E742" s="55">
        <v>690.75</v>
      </c>
      <c r="F742" s="194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43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43</v>
      </c>
      <c r="D744" s="48" t="s">
        <v>105</v>
      </c>
      <c r="E744" s="43">
        <v>690.75</v>
      </c>
      <c r="F744" s="188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43</v>
      </c>
      <c r="D745" s="48" t="s">
        <v>105</v>
      </c>
      <c r="E745" s="55">
        <v>690.75</v>
      </c>
      <c r="F745" s="194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43</v>
      </c>
      <c r="D746" s="48" t="s">
        <v>105</v>
      </c>
      <c r="E746" s="55">
        <v>690.75</v>
      </c>
      <c r="F746" s="194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43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43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43</v>
      </c>
      <c r="D749" s="48" t="s">
        <v>105</v>
      </c>
      <c r="E749" s="43">
        <v>690.75</v>
      </c>
      <c r="F749" s="188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43</v>
      </c>
      <c r="D750" s="48" t="s">
        <v>105</v>
      </c>
      <c r="E750" s="55">
        <v>690.75</v>
      </c>
      <c r="F750" s="194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43</v>
      </c>
      <c r="D751" s="48" t="s">
        <v>105</v>
      </c>
      <c r="E751" s="55">
        <v>690.75</v>
      </c>
      <c r="F751" s="194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43</v>
      </c>
      <c r="D752" s="48" t="s">
        <v>105</v>
      </c>
      <c r="E752" s="55">
        <v>3850</v>
      </c>
      <c r="F752" s="194" t="s">
        <v>105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43</v>
      </c>
      <c r="D753" s="48" t="s">
        <v>105</v>
      </c>
      <c r="E753" s="55">
        <v>3850</v>
      </c>
      <c r="F753" s="194" t="s">
        <v>105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43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43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43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43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43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43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43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43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43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43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43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19" t="s">
        <v>43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43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43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43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43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43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43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43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43</v>
      </c>
      <c r="D773" s="48" t="s">
        <v>105</v>
      </c>
      <c r="E773" s="55">
        <v>8973.7900000000009</v>
      </c>
      <c r="F773" s="194" t="s">
        <v>105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43</v>
      </c>
      <c r="D774" s="48" t="s">
        <v>105</v>
      </c>
      <c r="E774" s="55">
        <v>8973.7900000000009</v>
      </c>
      <c r="F774" s="194" t="s">
        <v>105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43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43</v>
      </c>
      <c r="D776" s="48" t="s">
        <v>105</v>
      </c>
      <c r="E776" s="55">
        <v>1661.24</v>
      </c>
      <c r="F776" s="194" t="s">
        <v>105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43</v>
      </c>
      <c r="D777" s="48" t="s">
        <v>105</v>
      </c>
      <c r="E777" s="55">
        <v>1661.24</v>
      </c>
      <c r="F777" s="194" t="s">
        <v>105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43</v>
      </c>
      <c r="D778" s="48" t="s">
        <v>105</v>
      </c>
      <c r="E778" s="55">
        <v>690.75</v>
      </c>
      <c r="F778" s="194" t="s">
        <v>105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43</v>
      </c>
      <c r="D779" s="48" t="s">
        <v>105</v>
      </c>
      <c r="E779" s="56">
        <v>1505.04</v>
      </c>
      <c r="F779" s="188" t="s">
        <v>105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43</v>
      </c>
      <c r="D780" s="48" t="s">
        <v>105</v>
      </c>
      <c r="E780" s="56">
        <v>3628.57</v>
      </c>
      <c r="F780" s="188" t="s">
        <v>105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43</v>
      </c>
      <c r="D781" s="48" t="s">
        <v>105</v>
      </c>
      <c r="E781" s="56">
        <v>1505.04</v>
      </c>
      <c r="F781" s="188" t="s">
        <v>105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43</v>
      </c>
      <c r="D782" s="48" t="s">
        <v>105</v>
      </c>
      <c r="E782" s="55">
        <v>2898.84</v>
      </c>
      <c r="F782" s="194" t="s">
        <v>105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43</v>
      </c>
      <c r="D783" s="48" t="s">
        <v>105</v>
      </c>
      <c r="E783" s="55">
        <v>2898.84</v>
      </c>
      <c r="F783" s="194" t="s">
        <v>105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43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43</v>
      </c>
      <c r="D785" s="48" t="s">
        <v>105</v>
      </c>
      <c r="E785" s="55">
        <v>833</v>
      </c>
      <c r="F785" s="194" t="s">
        <v>105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43</v>
      </c>
      <c r="D786" s="48" t="s">
        <v>105</v>
      </c>
      <c r="E786" s="55">
        <v>833</v>
      </c>
      <c r="F786" s="194" t="s">
        <v>105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43</v>
      </c>
      <c r="D787" s="48" t="s">
        <v>105</v>
      </c>
      <c r="E787" s="55">
        <v>1266.6666666666667</v>
      </c>
      <c r="F787" s="194" t="s">
        <v>105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19" t="s">
        <v>43</v>
      </c>
      <c r="D788" s="48" t="s">
        <v>105</v>
      </c>
      <c r="E788" s="55">
        <v>1266.6666666666667</v>
      </c>
      <c r="F788" s="194" t="s">
        <v>105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19" t="s">
        <v>43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19" t="s">
        <v>43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19" t="s">
        <v>43</v>
      </c>
      <c r="D791" s="48" t="s">
        <v>105</v>
      </c>
      <c r="E791" s="43">
        <v>1266.6666666666667</v>
      </c>
      <c r="F791" s="188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19" t="s">
        <v>43</v>
      </c>
      <c r="D792" s="48" t="s">
        <v>105</v>
      </c>
      <c r="E792" s="55">
        <v>1266.6666666666667</v>
      </c>
      <c r="F792" s="194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19" t="s">
        <v>43</v>
      </c>
      <c r="D793" s="48" t="s">
        <v>105</v>
      </c>
      <c r="E793" s="55">
        <v>1266.6666666666667</v>
      </c>
      <c r="F793" s="194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622</v>
      </c>
      <c r="C794" s="219" t="s">
        <v>43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623</v>
      </c>
      <c r="C795" s="219" t="s">
        <v>43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624</v>
      </c>
      <c r="C796" s="219" t="s">
        <v>43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625</v>
      </c>
      <c r="C797" s="219" t="s">
        <v>43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626</v>
      </c>
      <c r="C798" s="219" t="s">
        <v>43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627</v>
      </c>
      <c r="C799" s="219" t="s">
        <v>43</v>
      </c>
      <c r="D799" s="48" t="s">
        <v>105</v>
      </c>
      <c r="E799" s="55">
        <v>455.66624999999999</v>
      </c>
      <c r="F799" s="194" t="s">
        <v>105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628</v>
      </c>
      <c r="C800" s="219" t="s">
        <v>43</v>
      </c>
      <c r="D800" s="48" t="s">
        <v>105</v>
      </c>
      <c r="E800" s="55">
        <v>455.66624999999999</v>
      </c>
      <c r="F800" s="194" t="s">
        <v>105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629</v>
      </c>
      <c r="C801" s="219" t="s">
        <v>43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630</v>
      </c>
      <c r="C802" s="219" t="s">
        <v>43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631</v>
      </c>
      <c r="C803" s="219" t="s">
        <v>43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632</v>
      </c>
      <c r="C804" s="219" t="s">
        <v>43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633</v>
      </c>
      <c r="C805" s="219" t="s">
        <v>43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634</v>
      </c>
      <c r="C806" s="219" t="s">
        <v>43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635</v>
      </c>
      <c r="C807" s="219" t="s">
        <v>43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19" t="s">
        <v>43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19" t="s">
        <v>43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19" t="s">
        <v>43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19" t="s">
        <v>43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19" t="s">
        <v>43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43</v>
      </c>
      <c r="D813" s="48" t="s">
        <v>105</v>
      </c>
      <c r="E813" s="43">
        <v>3356</v>
      </c>
      <c r="F813" s="188" t="s">
        <v>105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642</v>
      </c>
      <c r="C814" s="219" t="s">
        <v>43</v>
      </c>
      <c r="D814" s="48" t="s">
        <v>105</v>
      </c>
      <c r="E814" s="55">
        <v>1900</v>
      </c>
      <c r="F814" s="194" t="s">
        <v>105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19" t="s">
        <v>43</v>
      </c>
      <c r="D815" s="48" t="s">
        <v>105</v>
      </c>
      <c r="E815" s="55">
        <v>1900</v>
      </c>
      <c r="F815" s="194" t="s">
        <v>105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19" t="s">
        <v>43</v>
      </c>
      <c r="D816" s="48" t="s">
        <v>105</v>
      </c>
      <c r="E816" s="55">
        <v>23075</v>
      </c>
      <c r="F816" s="194" t="s">
        <v>105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645</v>
      </c>
      <c r="C817" s="219" t="s">
        <v>43</v>
      </c>
      <c r="D817" s="48" t="s">
        <v>105</v>
      </c>
      <c r="E817" s="55">
        <v>23075.289999999997</v>
      </c>
      <c r="F817" s="188" t="s">
        <v>105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646</v>
      </c>
      <c r="C818" s="219" t="s">
        <v>43</v>
      </c>
      <c r="D818" s="48" t="s">
        <v>105</v>
      </c>
      <c r="E818" s="55">
        <v>1018.64</v>
      </c>
      <c r="F818" s="194" t="s">
        <v>105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647</v>
      </c>
      <c r="C819" s="219" t="s">
        <v>43</v>
      </c>
      <c r="D819" s="48" t="s">
        <v>105</v>
      </c>
      <c r="E819" s="55">
        <v>1018.64</v>
      </c>
      <c r="F819" s="194" t="s">
        <v>105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43</v>
      </c>
      <c r="D820" s="48" t="s">
        <v>105</v>
      </c>
      <c r="E820" s="43">
        <v>3356</v>
      </c>
      <c r="F820" s="188" t="s">
        <v>105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649</v>
      </c>
      <c r="C821" s="219" t="s">
        <v>43</v>
      </c>
      <c r="D821" s="48" t="s">
        <v>105</v>
      </c>
      <c r="E821" s="43">
        <v>3356</v>
      </c>
      <c r="F821" s="188" t="s">
        <v>105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43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43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652</v>
      </c>
      <c r="C824" s="219" t="s">
        <v>43</v>
      </c>
      <c r="D824" s="48" t="s">
        <v>105</v>
      </c>
      <c r="E824" s="55">
        <v>3356</v>
      </c>
      <c r="F824" s="194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43</v>
      </c>
      <c r="D825" s="48" t="s">
        <v>105</v>
      </c>
      <c r="E825" s="43">
        <v>3356</v>
      </c>
      <c r="F825" s="188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654</v>
      </c>
      <c r="C826" s="219" t="s">
        <v>43</v>
      </c>
      <c r="D826" s="48" t="s">
        <v>105</v>
      </c>
      <c r="E826" s="43">
        <v>3356</v>
      </c>
      <c r="F826" s="188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19" t="s">
        <v>43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656</v>
      </c>
      <c r="C828" s="219" t="s">
        <v>43</v>
      </c>
      <c r="D828" s="48" t="s">
        <v>105</v>
      </c>
      <c r="E828" s="55">
        <v>198</v>
      </c>
      <c r="F828" s="194" t="s">
        <v>105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19" t="s">
        <v>43</v>
      </c>
      <c r="D829" s="48" t="s">
        <v>105</v>
      </c>
      <c r="E829" s="55">
        <v>3356</v>
      </c>
      <c r="F829" s="194" t="s">
        <v>105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19" t="s">
        <v>43</v>
      </c>
      <c r="D830" s="48" t="s">
        <v>105</v>
      </c>
      <c r="E830" s="55">
        <v>198</v>
      </c>
      <c r="F830" s="194" t="s">
        <v>105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19" t="s">
        <v>43</v>
      </c>
      <c r="D831" s="48" t="s">
        <v>105</v>
      </c>
      <c r="E831" s="55">
        <v>3356</v>
      </c>
      <c r="F831" s="194" t="s">
        <v>105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19" t="s">
        <v>43</v>
      </c>
      <c r="D832" s="48" t="s">
        <v>105</v>
      </c>
      <c r="E832" s="55">
        <v>3356</v>
      </c>
      <c r="F832" s="194" t="s">
        <v>105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661</v>
      </c>
      <c r="C833" s="219" t="s">
        <v>43</v>
      </c>
      <c r="D833" s="48" t="s">
        <v>105</v>
      </c>
      <c r="E833" s="43">
        <v>198</v>
      </c>
      <c r="F833" s="188" t="s">
        <v>105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19" t="s">
        <v>43</v>
      </c>
      <c r="D834" s="48" t="s">
        <v>105</v>
      </c>
      <c r="E834" s="55">
        <v>198</v>
      </c>
      <c r="F834" s="194" t="s">
        <v>105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663</v>
      </c>
      <c r="C835" s="219" t="s">
        <v>43</v>
      </c>
      <c r="D835" s="48" t="s">
        <v>105</v>
      </c>
      <c r="E835" s="55">
        <v>198</v>
      </c>
      <c r="F835" s="194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19" t="s">
        <v>43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665</v>
      </c>
      <c r="C837" s="219" t="s">
        <v>43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666</v>
      </c>
      <c r="C838" s="219" t="s">
        <v>43</v>
      </c>
      <c r="D838" s="48" t="s">
        <v>105</v>
      </c>
      <c r="E838" s="55">
        <v>3356</v>
      </c>
      <c r="F838" s="194" t="s">
        <v>105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667</v>
      </c>
      <c r="C839" s="219" t="s">
        <v>43</v>
      </c>
      <c r="D839" s="48" t="s">
        <v>105</v>
      </c>
      <c r="E839" s="55">
        <v>1100</v>
      </c>
      <c r="F839" s="194" t="s">
        <v>105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19" t="s">
        <v>43</v>
      </c>
      <c r="D840" s="48" t="s">
        <v>105</v>
      </c>
      <c r="E840" s="55">
        <v>1350</v>
      </c>
      <c r="F840" s="194" t="s">
        <v>105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19" t="s">
        <v>43</v>
      </c>
      <c r="D841" s="48" t="s">
        <v>105</v>
      </c>
      <c r="E841" s="55">
        <v>925</v>
      </c>
      <c r="F841" s="194" t="s">
        <v>105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43</v>
      </c>
      <c r="D842" s="48" t="s">
        <v>105</v>
      </c>
      <c r="E842" s="43">
        <v>3373</v>
      </c>
      <c r="F842" s="188" t="s">
        <v>105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43</v>
      </c>
      <c r="D843" s="48" t="s">
        <v>105</v>
      </c>
      <c r="E843" s="56">
        <v>1275.68</v>
      </c>
      <c r="F843" s="188" t="s">
        <v>105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672</v>
      </c>
      <c r="C844" s="219" t="s">
        <v>43</v>
      </c>
      <c r="D844" s="48" t="s">
        <v>105</v>
      </c>
      <c r="E844" s="55">
        <v>3373</v>
      </c>
      <c r="F844" s="194" t="s">
        <v>105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43</v>
      </c>
      <c r="D845" s="48" t="s">
        <v>105</v>
      </c>
      <c r="E845" s="56">
        <v>1275.68</v>
      </c>
      <c r="F845" s="188" t="s">
        <v>105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43</v>
      </c>
      <c r="D846" s="48" t="s">
        <v>105</v>
      </c>
      <c r="E846" s="43">
        <v>1275.68</v>
      </c>
      <c r="F846" s="188" t="s">
        <v>105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675</v>
      </c>
      <c r="C847" s="219" t="s">
        <v>43</v>
      </c>
      <c r="D847" s="48" t="s">
        <v>105</v>
      </c>
      <c r="E847" s="55">
        <v>2746.52</v>
      </c>
      <c r="F847" s="194" t="s">
        <v>105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43</v>
      </c>
      <c r="D848" s="48" t="s">
        <v>105</v>
      </c>
      <c r="E848" s="43">
        <v>1275.68</v>
      </c>
      <c r="F848" s="188" t="s">
        <v>105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43</v>
      </c>
      <c r="D849" s="48" t="s">
        <v>105</v>
      </c>
      <c r="E849" s="43">
        <v>1225.7</v>
      </c>
      <c r="F849" s="188" t="s">
        <v>105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43</v>
      </c>
      <c r="D850" s="48" t="s">
        <v>105</v>
      </c>
      <c r="E850" s="43">
        <v>3881.78</v>
      </c>
      <c r="F850" s="188" t="s">
        <v>105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43</v>
      </c>
      <c r="D851" s="48" t="s">
        <v>105</v>
      </c>
      <c r="E851" s="43">
        <v>1275.68</v>
      </c>
      <c r="F851" s="188" t="s">
        <v>105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43</v>
      </c>
      <c r="D852" s="48" t="s">
        <v>105</v>
      </c>
      <c r="E852" s="43">
        <v>3881.78</v>
      </c>
      <c r="F852" s="188" t="s">
        <v>105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9" t="s">
        <v>43</v>
      </c>
      <c r="D853" s="48" t="s">
        <v>105</v>
      </c>
      <c r="E853" s="55">
        <v>1225.7</v>
      </c>
      <c r="F853" s="194" t="s">
        <v>105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43</v>
      </c>
      <c r="D854" s="48" t="s">
        <v>105</v>
      </c>
      <c r="E854" s="43">
        <v>1225.7</v>
      </c>
      <c r="F854" s="188" t="s">
        <v>105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43</v>
      </c>
      <c r="D855" s="48" t="s">
        <v>105</v>
      </c>
      <c r="E855" s="43">
        <v>2400</v>
      </c>
      <c r="F855" s="188" t="s">
        <v>105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43</v>
      </c>
      <c r="D856" s="48" t="s">
        <v>105</v>
      </c>
      <c r="E856" s="43">
        <v>1275.68</v>
      </c>
      <c r="F856" s="188" t="s">
        <v>105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43</v>
      </c>
      <c r="D857" s="48" t="s">
        <v>105</v>
      </c>
      <c r="E857" s="43">
        <v>1225.7</v>
      </c>
      <c r="F857" s="188" t="s">
        <v>105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43</v>
      </c>
      <c r="D858" s="48" t="s">
        <v>105</v>
      </c>
      <c r="E858" s="43">
        <v>1275.68</v>
      </c>
      <c r="F858" s="188" t="s">
        <v>105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43</v>
      </c>
      <c r="D859" s="48" t="s">
        <v>105</v>
      </c>
      <c r="E859" s="43">
        <v>2400</v>
      </c>
      <c r="F859" s="188" t="s">
        <v>105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688</v>
      </c>
      <c r="C860" s="219" t="s">
        <v>43</v>
      </c>
      <c r="D860" s="48" t="s">
        <v>105</v>
      </c>
      <c r="E860" s="55">
        <v>873.94</v>
      </c>
      <c r="F860" s="194" t="s">
        <v>105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689</v>
      </c>
      <c r="C861" s="219" t="s">
        <v>43</v>
      </c>
      <c r="D861" s="48" t="s">
        <v>105</v>
      </c>
      <c r="E861" s="55">
        <v>873.94</v>
      </c>
      <c r="F861" s="194" t="s">
        <v>105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19" t="s">
        <v>43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19" t="s">
        <v>43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43</v>
      </c>
      <c r="D864" s="48" t="s">
        <v>105</v>
      </c>
      <c r="E864" s="43">
        <v>131.97</v>
      </c>
      <c r="F864" s="188" t="s">
        <v>105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693</v>
      </c>
      <c r="C865" s="219" t="s">
        <v>43</v>
      </c>
      <c r="D865" s="48" t="s">
        <v>105</v>
      </c>
      <c r="E865" s="55">
        <v>5450</v>
      </c>
      <c r="F865" s="194" t="s">
        <v>105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19" t="s">
        <v>43</v>
      </c>
      <c r="D866" s="48" t="s">
        <v>105</v>
      </c>
      <c r="E866" s="55">
        <v>5450</v>
      </c>
      <c r="F866" s="194" t="s">
        <v>105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695</v>
      </c>
      <c r="C867" s="219" t="s">
        <v>43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19" t="s">
        <v>43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19" t="s">
        <v>43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19" t="s">
        <v>43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19" t="s">
        <v>43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19" t="s">
        <v>43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43</v>
      </c>
      <c r="D873" s="48" t="s">
        <v>105</v>
      </c>
      <c r="E873" s="43">
        <v>131.97</v>
      </c>
      <c r="F873" s="188" t="s">
        <v>105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43</v>
      </c>
      <c r="D874" s="48" t="s">
        <v>105</v>
      </c>
      <c r="E874" s="43">
        <v>131.97</v>
      </c>
      <c r="F874" s="188" t="s">
        <v>105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43</v>
      </c>
      <c r="D875" s="48" t="s">
        <v>105</v>
      </c>
      <c r="E875" s="43">
        <v>249.9</v>
      </c>
      <c r="F875" s="188" t="s">
        <v>105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43</v>
      </c>
      <c r="D876" s="48" t="s">
        <v>105</v>
      </c>
      <c r="E876" s="43">
        <v>131.97</v>
      </c>
      <c r="F876" s="188" t="s">
        <v>105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43</v>
      </c>
      <c r="D877" s="48" t="s">
        <v>105</v>
      </c>
      <c r="E877" s="43">
        <v>131.97</v>
      </c>
      <c r="F877" s="188" t="s">
        <v>105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9" t="s">
        <v>43</v>
      </c>
      <c r="D878" s="48" t="s">
        <v>105</v>
      </c>
      <c r="E878" s="55">
        <v>131.97</v>
      </c>
      <c r="F878" s="194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43</v>
      </c>
      <c r="D879" s="48" t="s">
        <v>105</v>
      </c>
      <c r="E879" s="43">
        <v>131.97</v>
      </c>
      <c r="F879" s="188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43</v>
      </c>
      <c r="D880" s="48" t="s">
        <v>105</v>
      </c>
      <c r="E880" s="43">
        <v>131.97</v>
      </c>
      <c r="F880" s="188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43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9" t="s">
        <v>43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9" t="s">
        <v>43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9" t="s">
        <v>43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9" t="s">
        <v>43</v>
      </c>
      <c r="D885" s="48" t="s">
        <v>105</v>
      </c>
      <c r="E885" s="43">
        <v>131.97</v>
      </c>
      <c r="F885" s="194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19" t="s">
        <v>43</v>
      </c>
      <c r="D886" s="48" t="s">
        <v>105</v>
      </c>
      <c r="E886" s="43">
        <v>131.97</v>
      </c>
      <c r="F886" s="188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19" t="s">
        <v>43</v>
      </c>
      <c r="D887" s="48" t="s">
        <v>105</v>
      </c>
      <c r="E887" s="43">
        <v>131.97</v>
      </c>
      <c r="F887" s="188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19" t="s">
        <v>43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717</v>
      </c>
      <c r="C889" s="219" t="s">
        <v>43</v>
      </c>
      <c r="D889" s="48" t="s">
        <v>105</v>
      </c>
      <c r="E889" s="55">
        <v>131.97</v>
      </c>
      <c r="F889" s="194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19" t="s">
        <v>43</v>
      </c>
      <c r="D890" s="48" t="s">
        <v>105</v>
      </c>
      <c r="E890" s="43">
        <v>131.97</v>
      </c>
      <c r="F890" s="188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19" t="s">
        <v>43</v>
      </c>
      <c r="D891" s="48" t="s">
        <v>105</v>
      </c>
      <c r="E891" s="43">
        <v>131.97</v>
      </c>
      <c r="F891" s="188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19" t="s">
        <v>43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19" t="s">
        <v>43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722</v>
      </c>
      <c r="C894" s="219" t="s">
        <v>43</v>
      </c>
      <c r="D894" s="48" t="s">
        <v>105</v>
      </c>
      <c r="E894" s="55">
        <v>131.97</v>
      </c>
      <c r="F894" s="194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723</v>
      </c>
      <c r="C895" s="219" t="s">
        <v>43</v>
      </c>
      <c r="D895" s="48" t="s">
        <v>105</v>
      </c>
      <c r="E895" s="55">
        <v>6957.9299999999994</v>
      </c>
      <c r="F895" s="194" t="s">
        <v>105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724</v>
      </c>
      <c r="C896" s="219" t="s">
        <v>43</v>
      </c>
      <c r="D896" s="48" t="s">
        <v>105</v>
      </c>
      <c r="E896" s="55">
        <v>2563</v>
      </c>
      <c r="F896" s="194" t="s">
        <v>105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725</v>
      </c>
      <c r="C897" s="219" t="s">
        <v>43</v>
      </c>
      <c r="D897" s="48" t="s">
        <v>105</v>
      </c>
      <c r="E897" s="55">
        <v>2563</v>
      </c>
      <c r="F897" s="194" t="s">
        <v>105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726</v>
      </c>
      <c r="C898" s="219" t="s">
        <v>43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727</v>
      </c>
      <c r="C899" s="219" t="s">
        <v>43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728</v>
      </c>
      <c r="C900" s="219" t="s">
        <v>43</v>
      </c>
      <c r="D900" s="48" t="s">
        <v>105</v>
      </c>
      <c r="E900" s="55">
        <v>2885.5</v>
      </c>
      <c r="F900" s="194" t="s">
        <v>105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729</v>
      </c>
      <c r="C901" s="219" t="s">
        <v>43</v>
      </c>
      <c r="D901" s="48" t="s">
        <v>105</v>
      </c>
      <c r="E901" s="55">
        <v>2885.5</v>
      </c>
      <c r="F901" s="194" t="s">
        <v>105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730</v>
      </c>
      <c r="C902" s="219" t="s">
        <v>43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731</v>
      </c>
      <c r="C903" s="219" t="s">
        <v>43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732</v>
      </c>
      <c r="C904" s="219" t="s">
        <v>43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733</v>
      </c>
      <c r="C905" s="219" t="s">
        <v>43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734</v>
      </c>
      <c r="C906" s="219" t="s">
        <v>43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735</v>
      </c>
      <c r="C907" s="219" t="s">
        <v>43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736</v>
      </c>
      <c r="C908" s="219" t="s">
        <v>43</v>
      </c>
      <c r="D908" s="48" t="s">
        <v>105</v>
      </c>
      <c r="E908" s="55">
        <v>2785.5</v>
      </c>
      <c r="F908" s="194" t="s">
        <v>105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737</v>
      </c>
      <c r="C909" s="219" t="s">
        <v>43</v>
      </c>
      <c r="D909" s="48" t="s">
        <v>105</v>
      </c>
      <c r="E909" s="55">
        <v>2785.5</v>
      </c>
      <c r="F909" s="194" t="s">
        <v>105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738</v>
      </c>
      <c r="C910" s="219" t="s">
        <v>43</v>
      </c>
      <c r="D910" s="48" t="s">
        <v>105</v>
      </c>
      <c r="E910" s="55">
        <v>1</v>
      </c>
      <c r="F910" s="194" t="s">
        <v>105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739</v>
      </c>
      <c r="C911" s="219" t="s">
        <v>43</v>
      </c>
      <c r="D911" s="48" t="s">
        <v>105</v>
      </c>
      <c r="E911" s="55">
        <v>1200</v>
      </c>
      <c r="F911" s="194" t="s">
        <v>105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19" t="s">
        <v>43</v>
      </c>
      <c r="D912" s="48" t="s">
        <v>105</v>
      </c>
      <c r="E912" s="55">
        <v>1200</v>
      </c>
      <c r="F912" s="194" t="s">
        <v>105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19" t="s">
        <v>43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19" t="s">
        <v>43</v>
      </c>
      <c r="D914" s="48" t="s">
        <v>105</v>
      </c>
      <c r="E914" s="55">
        <v>500</v>
      </c>
      <c r="F914" s="194" t="s">
        <v>105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19" t="s">
        <v>43</v>
      </c>
      <c r="D915" s="48" t="s">
        <v>105</v>
      </c>
      <c r="E915" s="55">
        <v>500</v>
      </c>
      <c r="F915" s="194" t="s">
        <v>105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19" t="s">
        <v>43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19" t="s">
        <v>43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19" t="s">
        <v>43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19" t="s">
        <v>43</v>
      </c>
      <c r="D919" s="48" t="s">
        <v>105</v>
      </c>
      <c r="E919" s="55">
        <v>114.24</v>
      </c>
      <c r="F919" s="194" t="s">
        <v>105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19" t="s">
        <v>43</v>
      </c>
      <c r="D920" s="48" t="s">
        <v>105</v>
      </c>
      <c r="E920" s="55">
        <v>114.24</v>
      </c>
      <c r="F920" s="194" t="s">
        <v>105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19" t="s">
        <v>43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19" t="s">
        <v>43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19" t="s">
        <v>43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19" t="s">
        <v>43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19" t="s">
        <v>43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19" t="s">
        <v>43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19" t="s">
        <v>43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19" t="s">
        <v>43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19" t="s">
        <v>43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19" t="s">
        <v>43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19" t="s">
        <v>43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19" t="s">
        <v>43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19" t="s">
        <v>43</v>
      </c>
      <c r="D933" s="48" t="s">
        <v>105</v>
      </c>
      <c r="E933" s="55">
        <v>1800</v>
      </c>
      <c r="F933" s="194" t="s">
        <v>105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19" t="s">
        <v>43</v>
      </c>
      <c r="D934" s="48" t="s">
        <v>105</v>
      </c>
      <c r="E934" s="55">
        <v>546</v>
      </c>
      <c r="F934" s="194" t="s">
        <v>105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19" t="s">
        <v>43</v>
      </c>
      <c r="D935" s="48" t="s">
        <v>105</v>
      </c>
      <c r="E935" s="55">
        <v>114.24</v>
      </c>
      <c r="F935" s="194" t="s">
        <v>105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19" t="s">
        <v>43</v>
      </c>
      <c r="D936" s="48" t="s">
        <v>105</v>
      </c>
      <c r="E936" s="55">
        <v>114.24</v>
      </c>
      <c r="F936" s="194" t="s">
        <v>105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19" t="s">
        <v>43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19" t="s">
        <v>43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19" t="s">
        <v>43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19" t="s">
        <v>43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19" t="s">
        <v>43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19" t="s">
        <v>43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19" t="s">
        <v>43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19" t="s">
        <v>43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43</v>
      </c>
      <c r="D945" s="48" t="s">
        <v>105</v>
      </c>
      <c r="E945" s="55">
        <v>1550</v>
      </c>
      <c r="F945" s="194" t="s">
        <v>105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43</v>
      </c>
      <c r="D946" s="48" t="s">
        <v>105</v>
      </c>
      <c r="E946" s="55">
        <v>1550</v>
      </c>
      <c r="F946" s="194" t="s">
        <v>105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43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43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43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43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43</v>
      </c>
      <c r="D951" s="48" t="s">
        <v>105</v>
      </c>
      <c r="E951" s="55">
        <v>952</v>
      </c>
      <c r="F951" s="194" t="s">
        <v>105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43</v>
      </c>
      <c r="D952" s="48" t="s">
        <v>105</v>
      </c>
      <c r="E952" s="55">
        <v>925</v>
      </c>
      <c r="F952" s="194" t="s">
        <v>105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43</v>
      </c>
      <c r="D953" s="48" t="s">
        <v>105</v>
      </c>
      <c r="E953" s="55">
        <v>1100</v>
      </c>
      <c r="F953" s="194" t="s">
        <v>105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43</v>
      </c>
      <c r="D954" s="48" t="s">
        <v>105</v>
      </c>
      <c r="E954" s="55">
        <v>1350</v>
      </c>
      <c r="F954" s="194" t="s">
        <v>105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43</v>
      </c>
      <c r="D955" s="48" t="s">
        <v>105</v>
      </c>
      <c r="E955" s="55">
        <v>1350</v>
      </c>
      <c r="F955" s="194" t="s">
        <v>105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43</v>
      </c>
      <c r="D956" s="48" t="s">
        <v>105</v>
      </c>
      <c r="E956" s="43">
        <v>2727.48</v>
      </c>
      <c r="F956" s="188" t="s">
        <v>105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43</v>
      </c>
      <c r="D957" s="48" t="s">
        <v>105</v>
      </c>
      <c r="E957" s="43">
        <v>2727.48</v>
      </c>
      <c r="F957" s="188" t="s">
        <v>105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43</v>
      </c>
      <c r="D958" s="48" t="s">
        <v>105</v>
      </c>
      <c r="E958" s="55">
        <v>2727.48</v>
      </c>
      <c r="F958" s="194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43</v>
      </c>
      <c r="D959" s="48" t="s">
        <v>105</v>
      </c>
      <c r="E959" s="55">
        <v>2727.48</v>
      </c>
      <c r="F959" s="194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43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43</v>
      </c>
      <c r="D961" s="48" t="s">
        <v>105</v>
      </c>
      <c r="E961" s="55">
        <v>3111.85</v>
      </c>
      <c r="F961" s="194" t="s">
        <v>105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43</v>
      </c>
      <c r="D962" s="48" t="s">
        <v>105</v>
      </c>
      <c r="E962" s="43">
        <v>1550</v>
      </c>
      <c r="F962" s="188" t="s">
        <v>105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43</v>
      </c>
      <c r="D963" s="48" t="s">
        <v>105</v>
      </c>
      <c r="E963" s="55">
        <v>1550</v>
      </c>
      <c r="F963" s="194" t="s">
        <v>105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43</v>
      </c>
      <c r="D964" s="48" t="s">
        <v>105</v>
      </c>
      <c r="E964" s="55">
        <v>1550</v>
      </c>
      <c r="F964" s="194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43</v>
      </c>
      <c r="D965" s="48" t="s">
        <v>105</v>
      </c>
      <c r="E965" s="43">
        <v>1550</v>
      </c>
      <c r="F965" s="188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43</v>
      </c>
      <c r="D966" s="48" t="s">
        <v>105</v>
      </c>
      <c r="E966" s="55">
        <v>1550</v>
      </c>
      <c r="F966" s="194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43</v>
      </c>
      <c r="D967" s="48" t="s">
        <v>105</v>
      </c>
      <c r="E967" s="55">
        <v>3844</v>
      </c>
      <c r="F967" s="194" t="s">
        <v>105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43</v>
      </c>
      <c r="D968" s="48" t="s">
        <v>105</v>
      </c>
      <c r="E968" s="55">
        <v>3844</v>
      </c>
      <c r="F968" s="194" t="s">
        <v>105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43</v>
      </c>
      <c r="D969" s="48" t="s">
        <v>105</v>
      </c>
      <c r="E969" s="55">
        <v>998.41</v>
      </c>
      <c r="F969" s="194" t="s">
        <v>105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43</v>
      </c>
      <c r="D970" s="48" t="s">
        <v>105</v>
      </c>
      <c r="E970" s="55">
        <v>998.41</v>
      </c>
      <c r="F970" s="194" t="s">
        <v>105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43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43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43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43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43</v>
      </c>
      <c r="D975" s="48" t="s">
        <v>105</v>
      </c>
      <c r="E975" s="55">
        <v>3844</v>
      </c>
      <c r="F975" s="194" t="s">
        <v>105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43</v>
      </c>
      <c r="D976" s="48" t="s">
        <v>105</v>
      </c>
      <c r="E976" s="55">
        <v>3844</v>
      </c>
      <c r="F976" s="194" t="s">
        <v>105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43</v>
      </c>
      <c r="D977" s="48" t="s">
        <v>105</v>
      </c>
      <c r="E977" s="55">
        <v>998.41</v>
      </c>
      <c r="F977" s="194" t="s">
        <v>105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43</v>
      </c>
      <c r="D978" s="48" t="s">
        <v>105</v>
      </c>
      <c r="E978" s="55">
        <v>3844</v>
      </c>
      <c r="F978" s="194" t="s">
        <v>105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43</v>
      </c>
      <c r="D979" s="48" t="s">
        <v>105</v>
      </c>
      <c r="E979" s="55">
        <v>3844</v>
      </c>
      <c r="F979" s="194" t="s">
        <v>105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43</v>
      </c>
      <c r="D980" s="48" t="s">
        <v>105</v>
      </c>
      <c r="E980" s="55">
        <v>1173.3399999999999</v>
      </c>
      <c r="F980" s="194" t="s">
        <v>105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43</v>
      </c>
      <c r="D981" s="48" t="s">
        <v>105</v>
      </c>
      <c r="E981" s="55">
        <v>3844</v>
      </c>
      <c r="F981" s="194" t="s">
        <v>105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43</v>
      </c>
      <c r="D982" s="48" t="s">
        <v>105</v>
      </c>
      <c r="E982" s="55">
        <v>1200</v>
      </c>
      <c r="F982" s="194" t="s">
        <v>105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87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72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811</v>
      </c>
      <c r="C1011" s="160" t="s">
        <v>26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26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26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26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26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26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816</v>
      </c>
      <c r="C1017" s="160" t="s">
        <v>26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817</v>
      </c>
      <c r="C1018" s="160" t="s">
        <v>26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26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26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26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26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26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26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824</v>
      </c>
      <c r="C1025" s="160" t="s">
        <v>26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825</v>
      </c>
      <c r="C1026" s="160" t="s">
        <v>26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26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26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26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26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830</v>
      </c>
      <c r="C1031" s="160" t="s">
        <v>26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831</v>
      </c>
      <c r="C1032" s="160" t="s">
        <v>26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832</v>
      </c>
      <c r="C1033" s="160" t="s">
        <v>26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26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26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26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26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26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26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26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26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26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26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72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30">
      <c r="A1067" s="83">
        <v>1</v>
      </c>
      <c r="B1067" s="206" t="s">
        <v>843</v>
      </c>
      <c r="C1067" s="219" t="s">
        <v>54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9" t="s">
        <v>54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54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9" t="s">
        <v>54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9" t="s">
        <v>54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9" t="s">
        <v>54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849</v>
      </c>
      <c r="C1073" s="219" t="s">
        <v>54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72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105</v>
      </c>
      <c r="E1107" s="43">
        <v>88750</v>
      </c>
      <c r="F1107" s="188" t="s">
        <v>105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105</v>
      </c>
      <c r="E1108" s="43">
        <v>18000</v>
      </c>
      <c r="F1108" s="188" t="s">
        <v>105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105</v>
      </c>
      <c r="E1109" s="43">
        <v>48900</v>
      </c>
      <c r="F1109" s="188" t="s">
        <v>105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105</v>
      </c>
      <c r="E1110" s="43">
        <v>5150</v>
      </c>
      <c r="F1110" s="188" t="s">
        <v>105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105</v>
      </c>
      <c r="E1111" s="43">
        <v>6400</v>
      </c>
      <c r="F1111" s="188" t="s">
        <v>105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105</v>
      </c>
      <c r="E1113" s="43">
        <v>48683.375</v>
      </c>
      <c r="F1113" s="188" t="s">
        <v>105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1017</v>
      </c>
      <c r="C1273" s="276" t="s">
        <v>851</v>
      </c>
      <c r="D1273" s="277" t="s">
        <v>105</v>
      </c>
      <c r="E1273" s="141">
        <v>44533.333333333336</v>
      </c>
      <c r="F1273" s="278" t="s">
        <v>105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105</v>
      </c>
      <c r="E1274" s="141">
        <v>30900</v>
      </c>
      <c r="F1274" s="278" t="s">
        <v>105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105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105</v>
      </c>
      <c r="E1276" s="141">
        <v>22370</v>
      </c>
      <c r="F1276" s="278" t="s">
        <v>105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105</v>
      </c>
      <c r="E1277" s="141">
        <v>184100</v>
      </c>
      <c r="F1277" s="278" t="s">
        <v>105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1023</v>
      </c>
      <c r="C1278" s="276" t="s">
        <v>851</v>
      </c>
      <c r="D1278" s="277" t="s">
        <v>105</v>
      </c>
      <c r="E1278" s="141">
        <v>6333.3374999999996</v>
      </c>
      <c r="F1278" s="278" t="s">
        <v>105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1024</v>
      </c>
      <c r="C1279" s="276" t="s">
        <v>851</v>
      </c>
      <c r="D1279" s="277" t="s">
        <v>105</v>
      </c>
      <c r="E1279" s="141">
        <v>17266.599999999999</v>
      </c>
      <c r="F1279" s="278" t="s">
        <v>105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1025</v>
      </c>
      <c r="C1280" s="276" t="s">
        <v>851</v>
      </c>
      <c r="D1280" s="277" t="s">
        <v>105</v>
      </c>
      <c r="E1280" s="141">
        <v>6796.7</v>
      </c>
      <c r="F1280" s="278" t="s">
        <v>105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105</v>
      </c>
      <c r="E1281" s="141">
        <v>182666.66666666666</v>
      </c>
      <c r="F1281" s="278" t="s">
        <v>105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105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1028</v>
      </c>
      <c r="C1283" s="276" t="s">
        <v>851</v>
      </c>
      <c r="D1283" s="277" t="s">
        <v>105</v>
      </c>
      <c r="E1283" s="141">
        <v>46996.6</v>
      </c>
      <c r="F1283" s="278" t="s">
        <v>105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1028</v>
      </c>
      <c r="C1284" s="276" t="s">
        <v>851</v>
      </c>
      <c r="D1284" s="277" t="s">
        <v>105</v>
      </c>
      <c r="E1284" s="141">
        <v>48330</v>
      </c>
      <c r="F1284" s="278" t="s">
        <v>105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105</v>
      </c>
      <c r="E1286" s="141">
        <v>104388.75</v>
      </c>
      <c r="F1286" s="278" t="s">
        <v>105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105</v>
      </c>
      <c r="E1287" s="141">
        <v>79760</v>
      </c>
      <c r="F1287" s="278" t="s">
        <v>105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1033</v>
      </c>
      <c r="C1288" s="276" t="s">
        <v>851</v>
      </c>
      <c r="D1288" s="277" t="s">
        <v>200</v>
      </c>
      <c r="E1288" s="141">
        <v>62000</v>
      </c>
      <c r="F1288" s="278" t="s">
        <v>200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1034</v>
      </c>
      <c r="C1289" s="276" t="s">
        <v>851</v>
      </c>
      <c r="D1289" s="277" t="s">
        <v>105</v>
      </c>
      <c r="E1289" s="141">
        <v>152500</v>
      </c>
      <c r="F1289" s="278" t="s">
        <v>105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1035</v>
      </c>
      <c r="C1290" s="276" t="s">
        <v>851</v>
      </c>
      <c r="D1290" s="277" t="s">
        <v>105</v>
      </c>
      <c r="E1290" s="141">
        <v>432050</v>
      </c>
      <c r="F1290" s="278" t="s">
        <v>105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87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72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105</v>
      </c>
      <c r="E1328" s="43">
        <v>343.33</v>
      </c>
      <c r="F1328" s="48" t="s">
        <v>105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105</v>
      </c>
      <c r="E1329" s="43">
        <v>343.33</v>
      </c>
      <c r="F1329" s="48" t="s">
        <v>105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105</v>
      </c>
      <c r="E1331" s="43">
        <v>343.33</v>
      </c>
      <c r="F1331" s="48" t="s">
        <v>105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105</v>
      </c>
      <c r="E1332" s="43">
        <v>343.33</v>
      </c>
      <c r="F1332" s="48" t="s">
        <v>105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105</v>
      </c>
      <c r="E1333" s="43">
        <v>343.33</v>
      </c>
      <c r="F1333" s="48" t="s">
        <v>105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105</v>
      </c>
      <c r="E1334" s="43">
        <v>343.33</v>
      </c>
      <c r="F1334" s="48" t="s">
        <v>105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105</v>
      </c>
      <c r="E1339" s="43">
        <v>343.33</v>
      </c>
      <c r="F1339" s="48" t="s">
        <v>105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105</v>
      </c>
      <c r="E1340" s="43">
        <v>343.33</v>
      </c>
      <c r="F1340" s="48" t="s">
        <v>105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105</v>
      </c>
      <c r="E1341" s="43">
        <v>343.33</v>
      </c>
      <c r="F1341" s="48" t="s">
        <v>105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105</v>
      </c>
      <c r="E1342" s="43">
        <v>343.33</v>
      </c>
      <c r="F1342" s="48" t="s">
        <v>105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105</v>
      </c>
      <c r="E1346" s="43">
        <v>343.33</v>
      </c>
      <c r="F1346" s="48" t="s">
        <v>105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105</v>
      </c>
      <c r="E1347" s="43">
        <v>343.33</v>
      </c>
      <c r="F1347" s="48" t="s">
        <v>105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105</v>
      </c>
      <c r="E1348" s="43">
        <v>308.33</v>
      </c>
      <c r="F1348" s="48" t="s">
        <v>105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105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105</v>
      </c>
      <c r="E1356" s="43">
        <v>9522.5084745762706</v>
      </c>
      <c r="F1356" s="188" t="s">
        <v>105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1037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1037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1037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105</v>
      </c>
      <c r="E1360" s="43">
        <v>4000</v>
      </c>
      <c r="F1360" s="188" t="s">
        <v>105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105</v>
      </c>
      <c r="E1361" s="43">
        <v>51000</v>
      </c>
      <c r="F1361" s="188" t="s">
        <v>105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105</v>
      </c>
      <c r="E1362" s="43">
        <v>1600</v>
      </c>
      <c r="F1362" s="188" t="s">
        <v>105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105</v>
      </c>
      <c r="E1363" s="43">
        <v>1233.6600000000001</v>
      </c>
      <c r="F1363" s="188" t="s">
        <v>105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105</v>
      </c>
      <c r="E1364" s="43">
        <v>500</v>
      </c>
      <c r="F1364" s="188" t="s">
        <v>105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105</v>
      </c>
      <c r="E1365" s="43">
        <v>5900</v>
      </c>
      <c r="F1365" s="188" t="s">
        <v>105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105</v>
      </c>
      <c r="E1366" s="43">
        <v>5900</v>
      </c>
      <c r="F1366" s="188" t="s">
        <v>105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105</v>
      </c>
      <c r="E1367" s="43">
        <v>288766.66666666669</v>
      </c>
      <c r="F1367" s="188" t="s">
        <v>105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105</v>
      </c>
      <c r="E1369" s="43">
        <v>219.5</v>
      </c>
      <c r="F1369" s="188" t="s">
        <v>105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105</v>
      </c>
      <c r="E1370" s="43">
        <v>907</v>
      </c>
      <c r="F1370" s="188" t="s">
        <v>105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105</v>
      </c>
      <c r="E1371" s="43">
        <v>5333.34</v>
      </c>
      <c r="F1371" s="188" t="s">
        <v>105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7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1037</v>
      </c>
      <c r="D1374" s="290" t="s">
        <v>105</v>
      </c>
      <c r="E1374" s="62"/>
      <c r="F1374" s="191" t="s">
        <v>105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1037</v>
      </c>
      <c r="D1375" s="290" t="s">
        <v>105</v>
      </c>
      <c r="E1375" s="62"/>
      <c r="F1375" s="191" t="s">
        <v>105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1037</v>
      </c>
      <c r="D1376" s="290" t="s">
        <v>105</v>
      </c>
      <c r="E1376" s="62"/>
      <c r="F1376" s="191" t="s">
        <v>105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1037</v>
      </c>
      <c r="D1377" s="290" t="s">
        <v>105</v>
      </c>
      <c r="E1377" s="62"/>
      <c r="F1377" s="191" t="s">
        <v>105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1037</v>
      </c>
      <c r="D1378" s="290" t="s">
        <v>105</v>
      </c>
      <c r="E1378" s="62"/>
      <c r="F1378" s="191" t="s">
        <v>105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1037</v>
      </c>
      <c r="D1379" s="291" t="s">
        <v>105</v>
      </c>
      <c r="E1379" s="43"/>
      <c r="F1379" s="188" t="s">
        <v>105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1037</v>
      </c>
      <c r="D1380" s="292" t="s">
        <v>105</v>
      </c>
      <c r="E1380" s="166"/>
      <c r="F1380" s="192" t="s">
        <v>105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1037</v>
      </c>
      <c r="D1381" s="292" t="s">
        <v>105</v>
      </c>
      <c r="E1381" s="166"/>
      <c r="F1381" s="192" t="s">
        <v>105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1037</v>
      </c>
      <c r="D1382" s="293" t="s">
        <v>105</v>
      </c>
      <c r="E1382" s="222"/>
      <c r="F1382" s="193" t="s">
        <v>105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1037</v>
      </c>
      <c r="D1383" s="10" t="s">
        <v>105</v>
      </c>
      <c r="E1383" s="222"/>
      <c r="F1383" s="193" t="s">
        <v>105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1037</v>
      </c>
      <c r="D1384" s="10" t="s">
        <v>105</v>
      </c>
      <c r="E1384" s="166"/>
      <c r="F1384" s="193" t="s">
        <v>105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1037</v>
      </c>
      <c r="D1385" s="10" t="s">
        <v>105</v>
      </c>
      <c r="E1385" s="166"/>
      <c r="F1385" s="193" t="s">
        <v>105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1037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1037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1037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1037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1037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1037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1037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1037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1037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1037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1037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1112</v>
      </c>
      <c r="C1397" s="219" t="s">
        <v>1037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1037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1037</v>
      </c>
      <c r="D1399" s="248" t="s">
        <v>105</v>
      </c>
      <c r="E1399" s="166">
        <v>19073</v>
      </c>
      <c r="F1399" s="193" t="s">
        <v>105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1116</v>
      </c>
      <c r="C1400" s="219" t="s">
        <v>1037</v>
      </c>
      <c r="D1400" s="248" t="s">
        <v>105</v>
      </c>
      <c r="E1400" s="166">
        <v>866.66499999999996</v>
      </c>
      <c r="F1400" s="193" t="s">
        <v>105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1037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1037</v>
      </c>
      <c r="D1402" s="248" t="s">
        <v>105</v>
      </c>
      <c r="E1402" s="166">
        <v>19000</v>
      </c>
      <c r="F1402" s="193" t="s">
        <v>105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1037</v>
      </c>
      <c r="D1403" s="248" t="s">
        <v>105</v>
      </c>
      <c r="E1403" s="166">
        <v>3800</v>
      </c>
      <c r="F1403" s="193" t="s">
        <v>105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1120</v>
      </c>
      <c r="C1404" s="219" t="s">
        <v>1037</v>
      </c>
      <c r="D1404" s="248" t="s">
        <v>168</v>
      </c>
      <c r="E1404" s="166">
        <v>3200</v>
      </c>
      <c r="F1404" s="193" t="s">
        <v>168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1037</v>
      </c>
      <c r="D1405" s="248" t="s">
        <v>210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1037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1037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1037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1037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1037</v>
      </c>
      <c r="D1410" s="248" t="s">
        <v>105</v>
      </c>
      <c r="E1410" s="166">
        <v>6013.33</v>
      </c>
      <c r="F1410" s="273" t="s">
        <v>105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1037</v>
      </c>
      <c r="D1411" s="248" t="s">
        <v>105</v>
      </c>
      <c r="E1411" s="166">
        <v>1101.5</v>
      </c>
      <c r="F1411" s="273" t="s">
        <v>105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1037</v>
      </c>
      <c r="D1412" s="248" t="s">
        <v>105</v>
      </c>
      <c r="E1412" s="166">
        <v>11100</v>
      </c>
      <c r="F1412" s="273" t="s">
        <v>105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1037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1037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1037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87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72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1132</v>
      </c>
      <c r="C1428" s="219" t="s">
        <v>51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51</v>
      </c>
      <c r="D1429" s="57" t="s">
        <v>105</v>
      </c>
      <c r="E1429" s="43">
        <v>3146.625</v>
      </c>
      <c r="F1429" s="188" t="s">
        <v>105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51</v>
      </c>
      <c r="D1430" s="48" t="s">
        <v>105</v>
      </c>
      <c r="E1430" s="43">
        <v>8731.5333333333328</v>
      </c>
      <c r="F1430" s="188" t="s">
        <v>105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51</v>
      </c>
      <c r="D1431" s="48" t="s">
        <v>105</v>
      </c>
      <c r="E1431" s="43">
        <v>5376.625</v>
      </c>
      <c r="F1431" s="188" t="s">
        <v>105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51</v>
      </c>
      <c r="D1432" s="48" t="s">
        <v>105</v>
      </c>
      <c r="E1432" s="43">
        <v>7039.5</v>
      </c>
      <c r="F1432" s="188" t="s">
        <v>105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51</v>
      </c>
      <c r="D1433" s="48" t="s">
        <v>105</v>
      </c>
      <c r="E1433" s="43">
        <v>13260</v>
      </c>
      <c r="F1433" s="188" t="s">
        <v>105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51</v>
      </c>
      <c r="D1434" s="48" t="s">
        <v>105</v>
      </c>
      <c r="E1434" s="43">
        <v>5136.2</v>
      </c>
      <c r="F1434" s="188" t="s">
        <v>105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51</v>
      </c>
      <c r="D1435" s="48" t="s">
        <v>105</v>
      </c>
      <c r="E1435" s="43">
        <v>5628.6</v>
      </c>
      <c r="F1435" s="188" t="s">
        <v>105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51</v>
      </c>
      <c r="D1436" s="48" t="s">
        <v>105</v>
      </c>
      <c r="E1436" s="46">
        <v>7204.6</v>
      </c>
      <c r="F1436" s="188" t="s">
        <v>105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51</v>
      </c>
      <c r="D1437" s="48" t="s">
        <v>105</v>
      </c>
      <c r="E1437" s="46">
        <v>12510</v>
      </c>
      <c r="F1437" s="188" t="s">
        <v>105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51</v>
      </c>
      <c r="D1438" s="48" t="s">
        <v>105</v>
      </c>
      <c r="E1438" s="46">
        <v>8789</v>
      </c>
      <c r="F1438" s="188" t="s">
        <v>105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51</v>
      </c>
      <c r="D1439" s="48" t="s">
        <v>105</v>
      </c>
      <c r="E1439" s="46">
        <v>20643.5</v>
      </c>
      <c r="F1439" s="188" t="s">
        <v>105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51</v>
      </c>
      <c r="D1440" s="48" t="s">
        <v>105</v>
      </c>
      <c r="E1440" s="46">
        <v>2006</v>
      </c>
      <c r="F1440" s="188" t="s">
        <v>105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51</v>
      </c>
      <c r="D1441" s="48" t="s">
        <v>105</v>
      </c>
      <c r="E1441" s="46">
        <v>36293.5</v>
      </c>
      <c r="F1441" s="188" t="s">
        <v>105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51</v>
      </c>
      <c r="D1442" s="48" t="s">
        <v>105</v>
      </c>
      <c r="E1442" s="46">
        <v>9613.3333333333339</v>
      </c>
      <c r="F1442" s="188" t="s">
        <v>105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51</v>
      </c>
      <c r="D1443" s="48" t="s">
        <v>105</v>
      </c>
      <c r="E1443" s="46">
        <v>76295</v>
      </c>
      <c r="F1443" s="188" t="s">
        <v>105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51</v>
      </c>
      <c r="D1444" s="48" t="s">
        <v>105</v>
      </c>
      <c r="E1444" s="46">
        <v>3326.46</v>
      </c>
      <c r="F1444" s="188" t="s">
        <v>105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51</v>
      </c>
      <c r="D1445" s="48" t="s">
        <v>105</v>
      </c>
      <c r="E1445" s="46">
        <v>61667.5</v>
      </c>
      <c r="F1445" s="188" t="s">
        <v>105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51</v>
      </c>
      <c r="D1446" s="48" t="s">
        <v>105</v>
      </c>
      <c r="E1446" s="43">
        <v>720750</v>
      </c>
      <c r="F1446" s="188" t="s">
        <v>105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51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51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51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51</v>
      </c>
      <c r="D1450" s="48" t="s">
        <v>105</v>
      </c>
      <c r="E1450" s="43">
        <v>34700</v>
      </c>
      <c r="F1450" s="188" t="s">
        <v>105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51</v>
      </c>
      <c r="D1451" s="48" t="s">
        <v>105</v>
      </c>
      <c r="E1451" s="43">
        <v>16695</v>
      </c>
      <c r="F1451" s="188" t="s">
        <v>105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51</v>
      </c>
      <c r="D1452" s="48" t="s">
        <v>105</v>
      </c>
      <c r="E1452" s="43">
        <v>20585</v>
      </c>
      <c r="F1452" s="188" t="s">
        <v>105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51</v>
      </c>
      <c r="D1453" s="48" t="s">
        <v>105</v>
      </c>
      <c r="E1453" s="43">
        <v>2912.52</v>
      </c>
      <c r="F1453" s="188" t="s">
        <v>105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51</v>
      </c>
      <c r="D1454" s="48" t="s">
        <v>105</v>
      </c>
      <c r="E1454" s="43">
        <v>18486</v>
      </c>
      <c r="F1454" s="188" t="s">
        <v>105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51</v>
      </c>
      <c r="D1455" s="48" t="s">
        <v>105</v>
      </c>
      <c r="E1455" s="43">
        <v>18895</v>
      </c>
      <c r="F1455" s="188" t="s">
        <v>105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51</v>
      </c>
      <c r="D1456" s="48" t="s">
        <v>105</v>
      </c>
      <c r="E1456" s="43">
        <v>35150</v>
      </c>
      <c r="F1456" s="188" t="s">
        <v>105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51</v>
      </c>
      <c r="D1457" s="48" t="s">
        <v>1068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51</v>
      </c>
      <c r="D1458" s="48" t="s">
        <v>105</v>
      </c>
      <c r="E1458" s="43">
        <v>8470</v>
      </c>
      <c r="F1458" s="188" t="s">
        <v>105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51</v>
      </c>
      <c r="D1459" s="48" t="s">
        <v>105</v>
      </c>
      <c r="E1459" s="43">
        <v>2480</v>
      </c>
      <c r="F1459" s="188" t="s">
        <v>105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51</v>
      </c>
      <c r="D1460" s="48" t="s">
        <v>105</v>
      </c>
      <c r="E1460" s="43">
        <v>100620</v>
      </c>
      <c r="F1460" s="188" t="s">
        <v>105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51</v>
      </c>
      <c r="D1461" s="48" t="s">
        <v>105</v>
      </c>
      <c r="E1461" s="43">
        <v>50245</v>
      </c>
      <c r="F1461" s="188" t="s">
        <v>105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51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51</v>
      </c>
      <c r="D1463" s="48" t="s">
        <v>105</v>
      </c>
      <c r="E1463" s="43">
        <v>33709</v>
      </c>
      <c r="F1463" s="188" t="s">
        <v>105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51</v>
      </c>
      <c r="D1464" s="48" t="s">
        <v>105</v>
      </c>
      <c r="E1464" s="43">
        <v>103948</v>
      </c>
      <c r="F1464" s="188" t="s">
        <v>105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51</v>
      </c>
      <c r="D1465" s="48" t="s">
        <v>105</v>
      </c>
      <c r="E1465" s="43">
        <v>32370</v>
      </c>
      <c r="F1465" s="188" t="s">
        <v>105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51</v>
      </c>
      <c r="D1466" s="48" t="s">
        <v>105</v>
      </c>
      <c r="E1466" s="43">
        <v>110153</v>
      </c>
      <c r="F1466" s="188" t="s">
        <v>105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51</v>
      </c>
      <c r="D1467" s="48" t="s">
        <v>105</v>
      </c>
      <c r="E1467" s="43">
        <v>49830</v>
      </c>
      <c r="F1467" s="188" t="s">
        <v>105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51</v>
      </c>
      <c r="D1468" s="48" t="s">
        <v>105</v>
      </c>
      <c r="E1468" s="43">
        <v>45846.5</v>
      </c>
      <c r="F1468" s="188" t="s">
        <v>105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51</v>
      </c>
      <c r="D1469" s="48" t="s">
        <v>105</v>
      </c>
      <c r="E1469" s="43">
        <v>12830</v>
      </c>
      <c r="F1469" s="188" t="s">
        <v>105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51</v>
      </c>
      <c r="D1470" s="48" t="s">
        <v>105</v>
      </c>
      <c r="E1470" s="43">
        <v>38888.571428571428</v>
      </c>
      <c r="F1470" s="188" t="s">
        <v>105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51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51</v>
      </c>
      <c r="D1472" s="48" t="s">
        <v>105</v>
      </c>
      <c r="E1472" s="43">
        <v>22475</v>
      </c>
      <c r="F1472" s="188" t="s">
        <v>105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51</v>
      </c>
      <c r="D1473" s="48" t="s">
        <v>105</v>
      </c>
      <c r="E1473" s="43">
        <v>95966.7</v>
      </c>
      <c r="F1473" s="188" t="s">
        <v>105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51</v>
      </c>
      <c r="D1474" s="48" t="s">
        <v>105</v>
      </c>
      <c r="E1474" s="43">
        <v>22654</v>
      </c>
      <c r="F1474" s="188" t="s">
        <v>105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51</v>
      </c>
      <c r="D1475" s="48" t="s">
        <v>105</v>
      </c>
      <c r="E1475" s="43">
        <v>73154</v>
      </c>
      <c r="F1475" s="188" t="s">
        <v>105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51</v>
      </c>
      <c r="D1476" s="48" t="s">
        <v>105</v>
      </c>
      <c r="E1476" s="43">
        <v>22053.571428571428</v>
      </c>
      <c r="F1476" s="188" t="s">
        <v>105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51</v>
      </c>
      <c r="D1477" s="48" t="s">
        <v>105</v>
      </c>
      <c r="E1477" s="43">
        <v>132350</v>
      </c>
      <c r="F1477" s="188" t="s">
        <v>105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51</v>
      </c>
      <c r="D1478" s="48" t="s">
        <v>105</v>
      </c>
      <c r="E1478" s="43">
        <v>22518.5</v>
      </c>
      <c r="F1478" s="188" t="s">
        <v>105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51</v>
      </c>
      <c r="D1479" s="48" t="s">
        <v>105</v>
      </c>
      <c r="E1479" s="43">
        <v>2242.6</v>
      </c>
      <c r="F1479" s="188" t="s">
        <v>105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51</v>
      </c>
      <c r="D1480" s="48" t="s">
        <v>105</v>
      </c>
      <c r="E1480" s="43">
        <v>1875.65</v>
      </c>
      <c r="F1480" s="188" t="s">
        <v>105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9" t="s">
        <v>51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9" t="s">
        <v>51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51</v>
      </c>
      <c r="D1483" s="48" t="s">
        <v>105</v>
      </c>
      <c r="E1483" s="43">
        <v>37950</v>
      </c>
      <c r="F1483" s="188" t="s">
        <v>105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51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51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51</v>
      </c>
      <c r="D1486" s="48" t="s">
        <v>105</v>
      </c>
      <c r="E1486" s="43">
        <v>2670.7666666666669</v>
      </c>
      <c r="F1486" s="188" t="s">
        <v>105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51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51</v>
      </c>
      <c r="D1488" s="48" t="s">
        <v>1068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51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51</v>
      </c>
      <c r="D1490" s="48" t="s">
        <v>105</v>
      </c>
      <c r="E1490" s="43">
        <v>46106.7</v>
      </c>
      <c r="F1490" s="188" t="s">
        <v>105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51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51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51</v>
      </c>
      <c r="D1493" s="48" t="s">
        <v>105</v>
      </c>
      <c r="E1493" s="43">
        <v>13585</v>
      </c>
      <c r="F1493" s="188" t="s">
        <v>105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51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51</v>
      </c>
      <c r="D1495" s="48" t="s">
        <v>105</v>
      </c>
      <c r="E1495" s="43">
        <v>25650</v>
      </c>
      <c r="F1495" s="188" t="s">
        <v>105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51</v>
      </c>
      <c r="D1496" s="48" t="s">
        <v>105</v>
      </c>
      <c r="E1496" s="43">
        <v>2760</v>
      </c>
      <c r="F1496" s="188" t="s">
        <v>105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51</v>
      </c>
      <c r="D1497" s="48" t="s">
        <v>105</v>
      </c>
      <c r="E1497" s="43">
        <v>109000</v>
      </c>
      <c r="F1497" s="188" t="s">
        <v>105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51</v>
      </c>
      <c r="D1498" s="48" t="s">
        <v>105</v>
      </c>
      <c r="E1498" s="43">
        <v>758.33233532934105</v>
      </c>
      <c r="F1498" s="188" t="s">
        <v>105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51</v>
      </c>
      <c r="D1499" s="48" t="s">
        <v>105</v>
      </c>
      <c r="E1499" s="43">
        <v>2233.3000000000002</v>
      </c>
      <c r="F1499" s="188" t="s">
        <v>105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51</v>
      </c>
      <c r="D1500" s="48" t="s">
        <v>105</v>
      </c>
      <c r="E1500" s="43">
        <v>17680</v>
      </c>
      <c r="F1500" s="188" t="s">
        <v>105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51</v>
      </c>
      <c r="D1501" s="48" t="s">
        <v>105</v>
      </c>
      <c r="E1501" s="43">
        <v>16710</v>
      </c>
      <c r="F1501" s="188" t="s">
        <v>105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51</v>
      </c>
      <c r="D1502" s="48" t="s">
        <v>105</v>
      </c>
      <c r="E1502" s="43">
        <v>4120</v>
      </c>
      <c r="F1502" s="188" t="s">
        <v>105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9" t="s">
        <v>51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9" t="s">
        <v>51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51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51</v>
      </c>
      <c r="D1506" s="48" t="s">
        <v>105</v>
      </c>
      <c r="E1506" s="43">
        <v>2860</v>
      </c>
      <c r="F1506" s="188" t="s">
        <v>105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51</v>
      </c>
      <c r="D1507" s="48" t="s">
        <v>105</v>
      </c>
      <c r="E1507" s="43">
        <v>212420</v>
      </c>
      <c r="F1507" s="188" t="s">
        <v>105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51</v>
      </c>
      <c r="D1508" s="86" t="s">
        <v>105</v>
      </c>
      <c r="E1508" s="166">
        <v>245960</v>
      </c>
      <c r="F1508" s="192" t="s">
        <v>105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9" t="s">
        <v>51</v>
      </c>
      <c r="D1509" s="48" t="s">
        <v>105</v>
      </c>
      <c r="E1509" s="43">
        <v>1270000</v>
      </c>
      <c r="F1509" s="188" t="s">
        <v>105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87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72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28</v>
      </c>
      <c r="M2" s="79" t="s">
        <v>34</v>
      </c>
    </row>
    <row r="3" spans="1:13" outlineLevel="1">
      <c r="A3" s="3" t="s">
        <v>1318</v>
      </c>
      <c r="B3" s="5" t="s">
        <v>210</v>
      </c>
      <c r="D3" s="266" t="s">
        <v>14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40</v>
      </c>
    </row>
    <row r="4" spans="1:13" ht="30" outlineLevel="1">
      <c r="A4" s="2" t="s">
        <v>1322</v>
      </c>
      <c r="B4" s="5" t="s">
        <v>302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43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851</v>
      </c>
    </row>
    <row r="6" spans="1:13" outlineLevel="1">
      <c r="A6" s="2" t="s">
        <v>321</v>
      </c>
      <c r="B6" s="5" t="s">
        <v>321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1037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231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26</v>
      </c>
    </row>
    <row r="9" spans="1:13" outlineLevel="1">
      <c r="A9" s="2" t="s">
        <v>1347</v>
      </c>
      <c r="B9" s="5" t="s">
        <v>1201</v>
      </c>
      <c r="F9" s="2" t="s">
        <v>9</v>
      </c>
      <c r="H9" t="s">
        <v>1348</v>
      </c>
      <c r="I9">
        <v>70323724</v>
      </c>
      <c r="K9" t="s">
        <v>1349</v>
      </c>
      <c r="M9" s="79" t="s">
        <v>54</v>
      </c>
    </row>
    <row r="10" spans="1:13" outlineLevel="1">
      <c r="A10" s="2" t="s">
        <v>1350</v>
      </c>
      <c r="B10" s="5" t="s">
        <v>99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116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51</v>
      </c>
    </row>
    <row r="12" spans="1:13" ht="30" outlineLevel="1">
      <c r="A12" s="3" t="s">
        <v>1359</v>
      </c>
      <c r="B12" s="5" t="s">
        <v>1030</v>
      </c>
      <c r="F12" s="302" t="s">
        <v>1360</v>
      </c>
      <c r="H12" s="27" t="s">
        <v>1361</v>
      </c>
      <c r="I12" s="28">
        <v>32184975</v>
      </c>
      <c r="M12" s="233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233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357</v>
      </c>
      <c r="H17" s="24" t="s">
        <v>6</v>
      </c>
      <c r="I17" s="20">
        <v>1152194903</v>
      </c>
    </row>
    <row r="18" spans="1:9" outlineLevel="1">
      <c r="A18" s="2" t="s">
        <v>1370</v>
      </c>
      <c r="B18" s="5" t="s">
        <v>1222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236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100</v>
      </c>
      <c r="H21" s="21" t="s">
        <v>1379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202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168</v>
      </c>
      <c r="H24" s="21" t="s">
        <v>1384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1385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1386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105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2023-11-29T23:57:42Z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