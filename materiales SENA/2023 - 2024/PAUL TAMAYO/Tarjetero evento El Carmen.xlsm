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grajalesp\Desktop\"/>
    </mc:Choice>
  </mc:AlternateContent>
  <xr:revisionPtr revIDLastSave="1" documentId="8_{ACDA0ACA-6631-4A78-A40E-D5D03B8954DC}" xr6:coauthVersionLast="47" xr6:coauthVersionMax="47" xr10:uidLastSave="{0A94731A-4FC6-470E-9661-C553111074F1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6" i="59" a="1"/>
  <c r="P12" i="59" a="1"/>
  <c r="P15" i="59" a="1"/>
  <c r="P14" i="59" a="1"/>
  <c r="P13" i="59" a="1"/>
  <c r="P14" i="59" l="1"/>
  <c r="P16" i="59"/>
  <c r="P15" i="59"/>
  <c r="P13" i="59"/>
  <c r="P12" i="59"/>
  <c r="R1" i="59"/>
  <c r="S10" i="43" l="1"/>
  <c r="S11" i="43"/>
  <c r="S12" i="43"/>
  <c r="S13" i="43"/>
  <c r="H15" i="59" s="1" a="1"/>
  <c r="S14" i="43"/>
  <c r="H16" i="59" s="1" a="1"/>
  <c r="S15" i="43"/>
  <c r="S16" i="43"/>
  <c r="H18" i="59" s="1" a="1"/>
  <c r="S17" i="43"/>
  <c r="H19" i="59" s="1" a="1"/>
  <c r="S18" i="43"/>
  <c r="S19" i="43"/>
  <c r="S20" i="43"/>
  <c r="S21" i="43"/>
  <c r="S22" i="43"/>
  <c r="H24" i="59" s="1" a="1"/>
  <c r="S23" i="43"/>
  <c r="S24" i="43"/>
  <c r="H26" i="59" s="1" a="1"/>
  <c r="S25" i="43"/>
  <c r="H27" i="59" s="1" a="1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H32" i="59" a="1"/>
  <c r="H28" i="59" a="1"/>
  <c r="S10" i="59" a="1"/>
  <c r="H25" i="59" a="1"/>
  <c r="H29" i="59" a="1"/>
  <c r="H22" i="59" a="1"/>
  <c r="H13" i="59" a="1"/>
  <c r="H21" i="59" a="1"/>
  <c r="H17" i="59" a="1"/>
  <c r="H31" i="59" a="1"/>
  <c r="H23" i="59" a="1"/>
  <c r="H12" i="59" a="1"/>
  <c r="H20" i="59" a="1"/>
  <c r="H30" i="59" a="1"/>
  <c r="H14" i="59" a="1"/>
  <c r="R3" i="59" l="1"/>
  <c r="S10" i="59"/>
  <c r="H27" i="59"/>
  <c r="O27" i="59" s="1"/>
  <c r="H19" i="59"/>
  <c r="B19" i="59" s="1"/>
  <c r="H26" i="59"/>
  <c r="O26" i="59" s="1"/>
  <c r="H18" i="59"/>
  <c r="O18" i="59" s="1"/>
  <c r="H25" i="59"/>
  <c r="O25" i="59" s="1"/>
  <c r="H17" i="59"/>
  <c r="B17" i="59" s="1"/>
  <c r="H24" i="59"/>
  <c r="B24" i="59" s="1"/>
  <c r="H16" i="59"/>
  <c r="K16" i="59" s="1" a="1"/>
  <c r="H23" i="59"/>
  <c r="B23" i="59" s="1"/>
  <c r="H15" i="59"/>
  <c r="O15" i="59" s="1"/>
  <c r="H32" i="59"/>
  <c r="B32" i="59" s="1"/>
  <c r="H30" i="59"/>
  <c r="B30" i="59" s="1"/>
  <c r="H22" i="59"/>
  <c r="B22" i="59" s="1"/>
  <c r="H14" i="59"/>
  <c r="B14" i="59" s="1"/>
  <c r="H31" i="59"/>
  <c r="B31" i="59" s="1"/>
  <c r="H29" i="59"/>
  <c r="B29" i="59" s="1"/>
  <c r="H21" i="59"/>
  <c r="B21" i="59" s="1"/>
  <c r="H13" i="59"/>
  <c r="O13" i="59" s="1"/>
  <c r="H28" i="59"/>
  <c r="B28" i="59" s="1"/>
  <c r="H20" i="59"/>
  <c r="B20" i="59" s="1"/>
  <c r="H12" i="59"/>
  <c r="B12" i="59" s="1"/>
  <c r="B27" i="59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19" i="59"/>
  <c r="O23" i="59"/>
  <c r="K19" i="59" a="1"/>
  <c r="K18" i="59" a="1"/>
  <c r="K31" i="59" a="1"/>
  <c r="K13" i="59" a="1"/>
  <c r="K26" i="59" a="1"/>
  <c r="K24" i="59" a="1"/>
  <c r="K27" i="59" a="1"/>
  <c r="K28" i="59" l="1" a="1"/>
  <c r="K28" i="59" s="1"/>
  <c r="K15" i="59" a="1"/>
  <c r="K15" i="59" s="1"/>
  <c r="K17" i="59" a="1"/>
  <c r="K17" i="59" s="1"/>
  <c r="K30" i="59" a="1"/>
  <c r="K20" i="59" a="1"/>
  <c r="K21" i="59" a="1"/>
  <c r="K21" i="59" s="1"/>
  <c r="K23" i="59" a="1"/>
  <c r="K23" i="59" s="1"/>
  <c r="K22" i="59" a="1"/>
  <c r="K22" i="59" s="1"/>
  <c r="O21" i="59"/>
  <c r="B15" i="59"/>
  <c r="B25" i="59"/>
  <c r="O22" i="59"/>
  <c r="B18" i="59"/>
  <c r="O20" i="59"/>
  <c r="B26" i="59"/>
  <c r="O30" i="59"/>
  <c r="B13" i="59"/>
  <c r="O14" i="59"/>
  <c r="O24" i="59"/>
  <c r="O31" i="59"/>
  <c r="O17" i="59"/>
  <c r="O28" i="59"/>
  <c r="O32" i="59"/>
  <c r="O12" i="59"/>
  <c r="K16" i="59"/>
  <c r="K31" i="59"/>
  <c r="K27" i="59"/>
  <c r="K19" i="59"/>
  <c r="K30" i="59"/>
  <c r="K26" i="59"/>
  <c r="K20" i="59"/>
  <c r="K24" i="59"/>
  <c r="K13" i="59"/>
  <c r="K18" i="59"/>
  <c r="O29" i="59"/>
  <c r="O16" i="59"/>
  <c r="B16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14" i="59" a="1"/>
  <c r="K32" i="59" a="1"/>
  <c r="K12" i="59" a="1"/>
  <c r="K25" i="59" a="1"/>
  <c r="K29" i="59" a="1"/>
  <c r="K12" i="59" l="1"/>
  <c r="K14" i="59"/>
  <c r="K32" i="59"/>
  <c r="K25" i="59"/>
  <c r="K29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<sst xmlns="http://schemas.openxmlformats.org/spreadsheetml/2006/main" count="5065" uniqueCount="1393">
  <si>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</si>
  <si>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</si>
  <si>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</si>
  <si>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</si>
  <si>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</si>
  <si>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</si>
  <si>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Hoyos Maya</t>
  </si>
  <si>
    <t>CÉDULA</t>
  </si>
  <si>
    <t>PROGRAMA</t>
  </si>
  <si>
    <t>PRODUCCION MARROQUINERIA</t>
  </si>
  <si>
    <t>FICHA(#)</t>
  </si>
  <si>
    <t>NOMBRE DEL PRODUCTO</t>
  </si>
  <si>
    <t xml:space="preserve">TARJETERO </t>
  </si>
  <si>
    <t>Destinación específica</t>
  </si>
  <si>
    <t>MUESTRA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</si>
  <si>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</si>
  <si>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</si>
  <si>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</si>
  <si>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</si>
  <si>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</si>
  <si>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</si>
  <si>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</si>
  <si>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</si>
  <si>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</si>
  <si>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</si>
  <si>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</si>
  <si>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</si>
  <si>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DOTACION</t>
  </si>
  <si>
    <t>HERRAJES</t>
  </si>
  <si>
    <t>REMACHE SENCILLO #6 NÍQUEL</t>
  </si>
  <si>
    <t>QUÍMICOS</t>
  </si>
  <si>
    <t>Solución de caucho INDUPEG</t>
  </si>
  <si>
    <t>Cera glas</t>
  </si>
  <si>
    <t>HERRAMIENTAS_</t>
  </si>
  <si>
    <t xml:space="preserve">SACABOCADO TRINCHETE NO 0
</t>
  </si>
  <si>
    <t>Restar_Pedido</t>
  </si>
  <si>
    <t>REMACHADORA TROQUELADORA</t>
  </si>
  <si>
    <t xml:space="preserve">DADOS PARA REMACHE DOBLE CABEZA
</t>
  </si>
  <si>
    <t xml:space="preserve">CEPILLO DE MANGO PLASTICO CREPE Y NYLON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</si>
  <si>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</si>
  <si>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</si>
  <si>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</si>
  <si>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</si>
  <si>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</si>
  <si>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</si>
  <si>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</si>
  <si>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</si>
  <si>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</si>
  <si>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</si>
  <si>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</si>
  <si>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</si>
  <si>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</si>
  <si>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</si>
  <si>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</si>
  <si>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</si>
  <si>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</si>
  <si>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</si>
  <si>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</si>
  <si>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</si>
  <si>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</si>
  <si>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</si>
  <si>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</si>
  <si>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</si>
  <si>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</si>
  <si>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</si>
  <si>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</si>
  <si>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</si>
  <si>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</si>
  <si>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</si>
  <si>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</si>
  <si>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</si>
  <si>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</si>
  <si>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</si>
  <si>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</si>
  <si>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</si>
  <si>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</si>
  <si>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</si>
  <si>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</si>
  <si>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</si>
  <si>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</si>
  <si>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</si>
  <si>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</si>
  <si>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</si>
  <si>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</si>
  <si>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</si>
  <si>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</si>
  <si>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</si>
  <si>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</si>
  <si>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</si>
  <si>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</si>
  <si>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</si>
  <si>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</si>
  <si>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</si>
  <si>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</si>
  <si>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</si>
  <si>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</si>
  <si>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</si>
  <si>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</si>
  <si>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</si>
  <si>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</si>
  <si>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</si>
  <si>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</si>
  <si>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</si>
  <si>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</si>
  <si>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</si>
  <si>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</si>
  <si>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</si>
  <si>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</si>
  <si>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</si>
  <si>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</si>
  <si>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</si>
  <si>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</si>
  <si>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</si>
  <si>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</si>
  <si>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</si>
  <si>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</si>
  <si>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</si>
  <si>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</si>
  <si>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</si>
  <si>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</si>
  <si>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</si>
  <si>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</si>
  <si>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</si>
  <si>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</si>
  <si>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</si>
  <si>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</si>
  <si>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</si>
  <si>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</si>
  <si>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</si>
  <si>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</si>
  <si>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</si>
  <si>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</si>
  <si>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</si>
  <si>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</si>
  <si>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</si>
  <si>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</si>
  <si>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</si>
  <si>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</si>
  <si>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</si>
  <si>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</si>
  <si>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</si>
  <si>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</si>
  <si>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</si>
  <si>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</si>
  <si>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</si>
  <si>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</si>
  <si>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</si>
  <si>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</si>
  <si>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</si>
  <si>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</si>
  <si>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</si>
  <si>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</si>
  <si>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</si>
  <si>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</si>
  <si>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</si>
  <si>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</si>
  <si>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</si>
  <si>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</si>
  <si>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</si>
  <si>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</si>
  <si>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</si>
  <si>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</si>
  <si>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</si>
  <si>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</si>
  <si>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</si>
  <si>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</si>
  <si>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</si>
  <si>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</si>
  <si>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</si>
  <si>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</si>
  <si>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</si>
  <si>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</si>
  <si>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</si>
  <si>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</si>
  <si>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</si>
  <si>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</si>
  <si>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</si>
  <si>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</si>
  <si>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</si>
  <si>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</si>
  <si>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</si>
  <si>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</si>
  <si>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</si>
  <si>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</si>
  <si>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</si>
  <si>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</si>
  <si>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</si>
  <si>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</si>
  <si>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</si>
  <si>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</si>
  <si>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</si>
  <si>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</si>
  <si>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</si>
  <si>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</si>
  <si>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</si>
  <si>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</si>
  <si>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</si>
  <si>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</si>
  <si>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</si>
  <si>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</si>
  <si>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</si>
  <si>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</si>
  <si>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</si>
  <si>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</si>
  <si>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</si>
  <si>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</si>
  <si>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</si>
  <si>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</si>
  <si>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</si>
  <si>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</si>
  <si>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</si>
  <si>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</si>
  <si>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</si>
  <si>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</si>
  <si>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</si>
  <si>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</si>
  <si>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</si>
  <si>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</si>
  <si>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</si>
  <si>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</si>
  <si>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</si>
  <si>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</si>
  <si>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</si>
  <si>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</si>
  <si>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</si>
  <si>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</si>
  <si>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</si>
  <si>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</si>
  <si>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</si>
  <si>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</si>
  <si>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</si>
  <si>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</si>
  <si>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</si>
  <si>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</si>
  <si>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</si>
  <si>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</si>
  <si>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</si>
  <si>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</si>
  <si>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</si>
  <si>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</si>
  <si>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</si>
  <si>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</si>
  <si>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</si>
  <si>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</si>
  <si>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</si>
  <si>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</si>
  <si>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</si>
  <si>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</si>
  <si>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</si>
  <si>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</si>
  <si>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</si>
  <si>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</si>
  <si>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</si>
  <si>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</si>
  <si>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</si>
  <si>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</si>
  <si>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</si>
  <si>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</si>
  <si>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</si>
  <si>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</si>
  <si>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</si>
  <si>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</si>
  <si>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</si>
  <si>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</si>
  <si>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</si>
  <si>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</si>
  <si>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</si>
  <si>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</si>
  <si>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</si>
  <si>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</si>
  <si>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</si>
  <si>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</si>
  <si>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</si>
  <si>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</si>
  <si>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</si>
  <si>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</si>
  <si>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</si>
  <si>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</si>
  <si>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</si>
  <si>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</si>
  <si>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</si>
  <si>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</si>
  <si>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</si>
  <si>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</si>
  <si>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</si>
  <si>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</si>
  <si>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</si>
  <si>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</si>
  <si>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</si>
  <si>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</si>
  <si>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</si>
  <si>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</si>
  <si>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</si>
  <si>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</si>
  <si>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</si>
  <si>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</si>
  <si>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</si>
  <si>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</si>
  <si>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</si>
  <si>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</si>
  <si>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</si>
  <si>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</si>
  <si>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</si>
  <si>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</si>
  <si>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</si>
  <si>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</si>
  <si>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</si>
  <si>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</si>
  <si>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</si>
  <si>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</si>
  <si>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</si>
  <si>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</si>
  <si>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</si>
  <si>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</si>
  <si>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</si>
  <si>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</si>
  <si>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</si>
  <si>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</si>
  <si>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</si>
  <si>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</si>
  <si>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</si>
  <si>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</si>
  <si>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</si>
  <si>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</si>
  <si>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</si>
  <si>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</si>
  <si>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</si>
  <si>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</si>
  <si>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</si>
  <si>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</si>
  <si>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</si>
  <si>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</si>
  <si>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</si>
  <si>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</si>
  <si>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</si>
  <si>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</si>
  <si>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</si>
  <si>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</si>
  <si>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</si>
  <si>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</si>
  <si>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</si>
  <si>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</si>
  <si>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</si>
  <si>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</si>
  <si>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</si>
  <si>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</si>
  <si>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</si>
  <si>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</si>
  <si>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</si>
  <si>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</si>
  <si>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</si>
  <si>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</si>
  <si>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</si>
  <si>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</si>
  <si>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</si>
  <si>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</si>
  <si>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</si>
  <si>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</si>
  <si>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</si>
  <si>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</si>
  <si>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</si>
  <si>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</si>
  <si>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</si>
  <si>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</si>
  <si>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</si>
  <si>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</si>
  <si>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</si>
  <si>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</si>
  <si>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</si>
  <si>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</si>
  <si>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</si>
  <si>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</si>
  <si>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</si>
  <si>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</si>
  <si>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</si>
  <si>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</si>
  <si>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</si>
  <si>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</si>
  <si>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</si>
  <si>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</si>
  <si>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</si>
  <si>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</si>
  <si>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</si>
  <si>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</si>
  <si>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</si>
  <si>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</si>
  <si>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</si>
  <si>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</si>
  <si>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</si>
  <si>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</si>
  <si>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</si>
  <si>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</si>
  <si>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</si>
  <si>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</si>
  <si>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</si>
  <si>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</si>
  <si>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</si>
  <si>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</si>
  <si>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</si>
  <si>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</si>
  <si>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</si>
  <si>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</si>
  <si>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</si>
  <si>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</si>
  <si>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</si>
  <si>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</si>
  <si>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</si>
  <si>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</si>
  <si>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</si>
  <si>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</si>
  <si>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</si>
  <si>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</si>
  <si>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</si>
  <si>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</si>
  <si>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</si>
  <si>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</si>
  <si>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</si>
  <si>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</si>
  <si>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</si>
  <si>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</si>
  <si>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</si>
  <si>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</si>
  <si>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</si>
  <si>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</si>
  <si>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</si>
  <si>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</si>
  <si>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</si>
  <si>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</si>
  <si>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</si>
  <si>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</si>
  <si>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</si>
  <si>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</si>
  <si>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</si>
  <si>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</si>
  <si>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</si>
  <si>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</si>
  <si>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</si>
  <si>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</si>
  <si>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</si>
  <si>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</si>
  <si>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</si>
  <si>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</si>
  <si>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</si>
  <si>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</si>
  <si>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</si>
  <si>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</si>
  <si>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</si>
  <si>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</si>
  <si>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</si>
  <si>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</si>
  <si>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</si>
  <si>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</si>
  <si>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</si>
  <si>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</si>
  <si>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</si>
  <si>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</si>
  <si>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</si>
  <si>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</si>
  <si>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</si>
  <si>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</si>
  <si>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</si>
  <si>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</si>
  <si>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</si>
  <si>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</si>
  <si>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</si>
  <si>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</si>
  <si>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</si>
  <si>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</si>
  <si>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</si>
  <si>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</si>
  <si>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</si>
  <si>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</si>
  <si>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</si>
  <si>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</si>
  <si>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</si>
  <si>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</si>
  <si>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</si>
  <si>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</si>
  <si>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</si>
  <si>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</si>
  <si>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</si>
  <si>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</si>
  <si>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</si>
  <si>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</si>
  <si>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</si>
  <si>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</si>
  <si>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</si>
  <si>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</si>
  <si>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</si>
  <si>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</si>
  <si>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</si>
  <si>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</si>
  <si>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</si>
  <si>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</si>
  <si>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</si>
  <si>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</si>
  <si>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</si>
  <si>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</si>
  <si>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</si>
  <si>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</si>
  <si>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</si>
  <si>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</si>
  <si>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</si>
  <si>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</si>
  <si>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</si>
  <si>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</si>
  <si>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</si>
  <si>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</si>
  <si>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</si>
  <si>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</si>
  <si>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</si>
  <si>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</si>
  <si>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</si>
  <si>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</si>
  <si>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</si>
  <si>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</si>
  <si>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</si>
  <si>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</si>
  <si>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</si>
  <si>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</si>
  <si>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</si>
  <si>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</si>
  <si>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</si>
  <si>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</si>
  <si>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</si>
  <si>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</si>
  <si>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</si>
  <si>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</si>
  <si>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</si>
  <si>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</si>
  <si>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</si>
  <si>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</si>
  <si>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</si>
  <si>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</si>
  <si>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</si>
  <si>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</si>
  <si>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</si>
  <si>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</si>
  <si>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</si>
  <si>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</si>
  <si>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</si>
  <si>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</si>
  <si>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</si>
  <si>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</si>
  <si>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</si>
  <si>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</si>
  <si>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</si>
  <si>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</si>
  <si>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</si>
  <si>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</si>
  <si>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</si>
  <si>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</si>
  <si>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</si>
  <si>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</si>
  <si>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</si>
  <si>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</si>
  <si>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</si>
  <si>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</si>
  <si>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</si>
  <si>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</si>
  <si>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</si>
  <si>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</si>
  <si>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</si>
  <si>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</si>
  <si>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</si>
  <si>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</si>
  <si>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</si>
  <si>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</si>
  <si>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</si>
  <si>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</si>
  <si>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</si>
  <si>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</si>
  <si>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</si>
  <si>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</si>
  <si>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</si>
  <si>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</si>
  <si>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</si>
  <si>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</si>
  <si>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</si>
  <si>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</si>
  <si>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</si>
  <si>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</si>
  <si>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</si>
  <si>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</si>
  <si>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</si>
  <si>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</si>
  <si>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</si>
  <si>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</si>
  <si>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</si>
  <si>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</si>
  <si>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</si>
  <si>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</si>
  <si>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</si>
  <si>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</si>
  <si>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</si>
  <si>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</si>
  <si>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</si>
  <si>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</si>
  <si>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</si>
  <si>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</si>
  <si>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</si>
  <si>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</si>
  <si>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</si>
  <si>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</si>
  <si>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</si>
  <si>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</si>
  <si>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</si>
  <si>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</si>
  <si>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</si>
  <si>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</si>
  <si>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</si>
  <si>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</si>
  <si>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</si>
  <si>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</si>
  <si>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</si>
  <si>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</si>
  <si>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</si>
  <si>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</si>
  <si>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</si>
  <si>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</si>
  <si>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</si>
  <si>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</si>
  <si>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</si>
  <si>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</si>
  <si>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</si>
  <si>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</si>
  <si>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</si>
  <si>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</si>
  <si>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</si>
  <si>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</si>
  <si>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</si>
  <si>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</si>
  <si>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</si>
  <si>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</si>
  <si>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</si>
  <si>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</si>
  <si>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</si>
  <si>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</si>
  <si>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</si>
  <si>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</si>
  <si>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</si>
  <si>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</si>
  <si>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</si>
  <si>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</si>
  <si>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</si>
  <si>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</si>
  <si>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</si>
  <si>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</si>
  <si>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</si>
  <si>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</si>
  <si>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</si>
  <si>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</si>
  <si>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</si>
  <si>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</si>
  <si>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</si>
  <si>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</si>
  <si>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</si>
  <si>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</si>
  <si>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</si>
  <si>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</si>
  <si>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</si>
  <si>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</si>
  <si>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</si>
  <si>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</si>
  <si>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</si>
  <si>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</si>
  <si>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</si>
  <si>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</si>
  <si>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</si>
  <si>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</si>
  <si>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</si>
  <si>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</si>
  <si>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</si>
  <si>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</si>
  <si>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</si>
  <si>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</si>
  <si>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</si>
  <si>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</si>
  <si>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</si>
  <si>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</si>
  <si>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</si>
  <si>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</si>
  <si>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</si>
  <si>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</si>
  <si>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</si>
  <si>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</si>
  <si>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</si>
  <si>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</si>
  <si>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</si>
  <si>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</si>
  <si>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</si>
  <si>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</si>
  <si>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</si>
  <si>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</si>
  <si>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</si>
  <si>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</si>
  <si>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</si>
  <si>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</si>
  <si>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</si>
  <si>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</si>
  <si>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</si>
  <si>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</si>
  <si>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</si>
  <si>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</si>
  <si>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</si>
  <si>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</si>
  <si>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</si>
  <si>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</si>
  <si>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</si>
  <si>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</si>
  <si>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</si>
  <si>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</si>
  <si>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</si>
  <si>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</si>
  <si>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</si>
  <si>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</si>
  <si>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</si>
  <si>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</si>
  <si>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</si>
  <si>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</si>
  <si>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</si>
  <si>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</si>
  <si>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</si>
  <si>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</si>
  <si>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</si>
  <si>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</si>
  <si>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</si>
  <si>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</si>
  <si>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</si>
  <si>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</si>
  <si>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</si>
  <si>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</si>
  <si>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</si>
  <si>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</si>
  <si>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</si>
  <si>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</si>
  <si>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</si>
  <si>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</si>
  <si>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</si>
  <si>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</si>
  <si>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</si>
  <si>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</si>
  <si>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</si>
  <si>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</si>
  <si>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</si>
  <si>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</si>
  <si>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</si>
  <si>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</si>
  <si>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</si>
  <si>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</si>
  <si>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</si>
  <si>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</si>
  <si>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</si>
  <si>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</si>
  <si>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</si>
  <si>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</si>
  <si>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</si>
  <si>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</si>
  <si>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</si>
  <si>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</si>
  <si>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</si>
  <si>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</si>
  <si>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</si>
  <si>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</si>
  <si>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</si>
  <si>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</si>
  <si>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</si>
  <si>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</si>
  <si>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</si>
  <si>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</si>
  <si>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</si>
  <si>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</si>
  <si>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</si>
  <si>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</si>
  <si>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</si>
  <si>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</si>
  <si>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</si>
  <si>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</si>
  <si>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</si>
  <si>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</si>
  <si>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</si>
  <si>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</si>
  <si>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</si>
  <si>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</si>
  <si>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</si>
  <si>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</si>
  <si>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</si>
  <si>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</si>
  <si>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</si>
  <si>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</si>
  <si>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</si>
  <si>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</si>
  <si>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</si>
  <si>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</si>
  <si>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</si>
  <si>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</si>
  <si>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</si>
  <si>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</si>
  <si>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</si>
  <si>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</si>
  <si>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</si>
  <si>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</si>
  <si>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</si>
  <si>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</si>
  <si>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</si>
  <si>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</si>
  <si>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</si>
  <si>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</si>
  <si>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</si>
  <si>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</si>
  <si>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</si>
  <si>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</si>
  <si>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</si>
  <si>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</si>
  <si>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</si>
  <si>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</si>
  <si>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</si>
  <si>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</si>
  <si>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</si>
  <si>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</si>
  <si>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</si>
  <si>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</si>
  <si>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</si>
  <si>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</si>
  <si>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</si>
  <si>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</si>
  <si>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</si>
  <si>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</si>
  <si>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</si>
  <si>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</si>
  <si>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</si>
  <si>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</si>
  <si>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</si>
  <si>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</si>
  <si>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</si>
  <si>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</si>
  <si>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</si>
  <si>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</si>
  <si>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</si>
  <si>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</si>
  <si>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</si>
  <si>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</si>
  <si>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</si>
  <si>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</si>
  <si>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</si>
  <si>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</si>
  <si>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</si>
  <si>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</si>
  <si>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</si>
  <si>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</si>
  <si>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</si>
  <si>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</si>
  <si>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</si>
  <si>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</si>
  <si>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</si>
  <si>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</si>
  <si>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</si>
  <si>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</si>
  <si>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COMPAS DE PRESICION DOBLE PUNTA METAL
</t>
  </si>
  <si>
    <t xml:space="preserve">CORTADO X-ACTO
</t>
  </si>
  <si>
    <t xml:space="preserve">CUCHILLO DE ZAPATERIA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</si>
  <si>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</si>
  <si>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</si>
  <si>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</si>
  <si>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</si>
  <si>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</si>
  <si>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</si>
  <si>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</si>
  <si>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</si>
  <si>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</si>
  <si>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</si>
  <si>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</si>
  <si>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</si>
  <si>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</si>
  <si>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</si>
  <si>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</si>
  <si>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</si>
  <si>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</si>
  <si>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</si>
  <si>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</si>
  <si>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</si>
  <si>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</si>
  <si>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</si>
  <si>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</si>
  <si>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</si>
  <si>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</si>
  <si>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</si>
  <si>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</si>
  <si>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</si>
  <si>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</si>
  <si>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</si>
  <si>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</si>
  <si>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</si>
  <si>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</si>
  <si>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</si>
  <si>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</si>
  <si>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</si>
  <si>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</si>
  <si>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</si>
  <si>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</si>
  <si>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</si>
  <si>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</si>
  <si>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</si>
  <si>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</si>
  <si>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</si>
  <si>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</si>
  <si>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</si>
  <si>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</si>
  <si>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</si>
  <si>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</si>
  <si>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</si>
  <si>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</si>
  <si>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</si>
  <si>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</si>
  <si>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</si>
  <si>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</si>
  <si>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</si>
  <si>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</si>
  <si>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</si>
  <si>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</si>
  <si>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</si>
  <si>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</si>
  <si>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</si>
  <si>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</si>
  <si>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</si>
  <si>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</si>
  <si>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</si>
  <si>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</si>
  <si>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</si>
  <si>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</si>
  <si>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</si>
  <si>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</si>
  <si>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</si>
  <si>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</si>
  <si>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</si>
  <si>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</si>
  <si>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</si>
  <si>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</si>
  <si>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</si>
  <si>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</si>
  <si>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</si>
  <si>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</si>
  <si>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</si>
  <si>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</si>
  <si>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</si>
  <si>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</si>
  <si>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</si>
  <si>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</si>
  <si>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</si>
  <si>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</si>
  <si>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</si>
  <si>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</si>
  <si>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</si>
  <si>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</si>
  <si>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</si>
  <si>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</si>
  <si>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</si>
  <si>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</si>
  <si>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</si>
  <si>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</si>
  <si>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</si>
  <si>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</si>
  <si>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</si>
  <si>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</si>
  <si>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</si>
  <si>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</si>
  <si>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</si>
  <si>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</si>
  <si>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</si>
  <si>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</si>
  <si>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</si>
  <si>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</si>
  <si>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</si>
  <si>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</si>
  <si>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</si>
  <si>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</si>
  <si>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</si>
  <si>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</si>
  <si>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</si>
  <si>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</si>
  <si>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</si>
  <si>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</si>
  <si>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</si>
  <si>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</si>
  <si>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</si>
  <si>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</si>
  <si>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</si>
  <si>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</si>
  <si>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</si>
  <si>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</si>
  <si>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</si>
  <si>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</si>
  <si>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</si>
  <si>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</si>
  <si>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</si>
  <si>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</si>
  <si>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</si>
  <si>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</si>
  <si>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</si>
  <si>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</si>
  <si>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</si>
  <si>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</si>
  <si>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</si>
  <si>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</si>
  <si>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</si>
  <si>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</si>
  <si>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</si>
  <si>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</si>
  <si>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</si>
  <si>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</si>
  <si>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</si>
  <si>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</si>
  <si>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</si>
  <si>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</si>
  <si>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</si>
  <si>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</si>
  <si>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</si>
  <si>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</si>
  <si>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</si>
  <si>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</si>
  <si>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</si>
  <si>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</si>
  <si>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</si>
  <si>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</si>
  <si>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</si>
  <si>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</si>
  <si>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</si>
  <si>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</si>
  <si>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</si>
  <si>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</si>
  <si>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 xml:space="preserve">REPTO DE CUCHILLAS BISTRÍ X-ACTO 
</t>
  </si>
  <si>
    <t xml:space="preserve">SACABOCADO PIRIGALLO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</si>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</sst>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16982</xdr:colOff>
      <xdr:row>0</xdr:row>
      <xdr:rowOff>141314</xdr:rowOff>
    </xdr:from>
    <xdr:to>
      <xdr:col>23</xdr:col>
      <xdr:colOff>347869</xdr:colOff>
      <xdr:row>6</xdr:row>
      <xdr:rowOff>174489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A167E18-6D5A-7311-C642-7CB55CAFA3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C0CAD4"/>
            </a:clrFrom>
            <a:clrTo>
              <a:srgbClr val="C0CAD4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9287" t="1898" b="51876"/>
        <a:stretch/>
      </xdr:blipFill>
      <xdr:spPr>
        <a:xfrm rot="10800000">
          <a:off x="7521025" y="141314"/>
          <a:ext cx="2070235" cy="18056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6" sqref="D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JH1411-1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45244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1152194903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/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2145.8799999999683</v>
      </c>
      <c r="E5" s="367"/>
      <c r="F5" s="368"/>
      <c r="G5" s="351" t="s">
        <v>16</v>
      </c>
      <c r="H5" s="369"/>
      <c r="I5" s="369"/>
      <c r="J5" s="352"/>
      <c r="K5" s="325">
        <v>70</v>
      </c>
      <c r="L5" s="325"/>
      <c r="M5" s="326" t="s">
        <v>17</v>
      </c>
      <c r="N5" s="326"/>
      <c r="O5" s="379">
        <f ca="1">IFERROR(IF(K5=0,"",D5*K5),"")</f>
        <v>150211.59999999776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1.4285714285714285E-2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3.1</v>
      </c>
      <c r="R10" s="314"/>
      <c r="S10" s="315">
        <f>IFERROR(IF(Q10="Unidad","1",(Q10*$K$5)),"")</f>
        <v>217</v>
      </c>
      <c r="T10" s="316"/>
      <c r="U10" s="317"/>
      <c r="V10" s="323"/>
      <c r="W10" s="318">
        <f ca="1">IFERROR(IF(D10="","",INDEX(Tabla_Completa,MATCH('Soli_citud '!D10,Materiales,0),7)*S10),"")</f>
        <v>54250</v>
      </c>
      <c r="X10" s="318"/>
      <c r="Y10" s="318"/>
      <c r="Z10" s="34"/>
    </row>
    <row r="11" spans="1:28" ht="17.25" customHeight="1">
      <c r="A11" s="305" t="s">
        <v>28</v>
      </c>
      <c r="B11" s="306"/>
      <c r="C11" s="307"/>
      <c r="D11" s="319" t="s">
        <v>29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U</v>
      </c>
      <c r="P11" s="312"/>
      <c r="Q11" s="313">
        <v>12</v>
      </c>
      <c r="R11" s="314"/>
      <c r="S11" s="315">
        <f t="shared" ref="S11:S31" si="1">IFERROR(IF(Q11="Unidad","1",(Q11*$K$5)),"")</f>
        <v>840</v>
      </c>
      <c r="T11" s="316"/>
      <c r="U11" s="317"/>
      <c r="V11" s="317"/>
      <c r="W11" s="318">
        <f ca="1">IFERROR(IF(D11="","",INDEX(Tabla_Completa,MATCH('Soli_citud '!D11,Materiales,0),7)*S11),"")</f>
        <v>95961.599999999991</v>
      </c>
      <c r="X11" s="318"/>
      <c r="Y11" s="318"/>
    </row>
    <row r="12" spans="1:28" ht="15.75" customHeight="1">
      <c r="A12" s="305" t="s">
        <v>30</v>
      </c>
      <c r="B12" s="306"/>
      <c r="C12" s="307"/>
      <c r="D12" s="322" t="s">
        <v>31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gal</v>
      </c>
      <c r="P12" s="312"/>
      <c r="Q12" s="313">
        <v>0.5</v>
      </c>
      <c r="R12" s="314"/>
      <c r="S12" s="315">
        <f t="shared" si="1"/>
        <v>35</v>
      </c>
      <c r="T12" s="316"/>
      <c r="U12" s="317"/>
      <c r="V12" s="317"/>
      <c r="W12" s="318">
        <f ca="1">IFERROR(IF(D12="","",INDEX(Tabla_Completa,MATCH('Soli_citud '!D12,Materiales,0),7)*S12),"")</f>
        <v>0</v>
      </c>
      <c r="X12" s="318"/>
      <c r="Y12" s="318"/>
    </row>
    <row r="13" spans="1:28" ht="15.75" customHeight="1">
      <c r="A13" s="305" t="s">
        <v>30</v>
      </c>
      <c r="B13" s="306"/>
      <c r="C13" s="307"/>
      <c r="D13" s="319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kg</v>
      </c>
      <c r="P13" s="312"/>
      <c r="Q13" s="313">
        <v>0.05</v>
      </c>
      <c r="R13" s="314"/>
      <c r="S13" s="315">
        <f t="shared" si="1"/>
        <v>3.5</v>
      </c>
      <c r="T13" s="316"/>
      <c r="U13" s="317"/>
      <c r="V13" s="317"/>
      <c r="W13" s="318">
        <f ca="1">IFERROR(IF(D13="","",INDEX(Tabla_Completa,MATCH('Soli_citud '!D13,Materiales,0),7)*S13),"")</f>
        <v>0</v>
      </c>
      <c r="X13" s="318"/>
      <c r="Y13" s="318"/>
    </row>
    <row r="14" spans="1:28" ht="17.25" customHeight="1">
      <c r="A14" s="305" t="s">
        <v>33</v>
      </c>
      <c r="B14" s="306"/>
      <c r="C14" s="307"/>
      <c r="D14" s="319" t="s">
        <v>34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g</v>
      </c>
      <c r="P14" s="312"/>
      <c r="Q14" s="313">
        <v>0.01</v>
      </c>
      <c r="R14" s="314"/>
      <c r="S14" s="315">
        <f t="shared" si="1"/>
        <v>0.70000000000000007</v>
      </c>
      <c r="T14" s="316"/>
      <c r="U14" s="317" t="s">
        <v>35</v>
      </c>
      <c r="V14" s="317"/>
      <c r="W14" s="318">
        <f ca="1">IFERROR(IF(D14="","",INDEX(Tabla_Completa,MATCH('Soli_citud '!D14,Materiales,0),7)*S14),"")</f>
        <v>7116.6900000000014</v>
      </c>
      <c r="X14" s="318"/>
      <c r="Y14" s="318"/>
    </row>
    <row r="15" spans="1:28" ht="15.75" customHeight="1">
      <c r="A15" s="305" t="s">
        <v>33</v>
      </c>
      <c r="B15" s="306"/>
      <c r="C15" s="307"/>
      <c r="D15" s="319" t="s">
        <v>36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U</v>
      </c>
      <c r="P15" s="312"/>
      <c r="Q15" s="313">
        <v>1</v>
      </c>
      <c r="R15" s="314"/>
      <c r="S15" s="315">
        <f t="shared" si="1"/>
        <v>70</v>
      </c>
      <c r="T15" s="316"/>
      <c r="U15" s="317" t="s">
        <v>35</v>
      </c>
      <c r="V15" s="317"/>
      <c r="W15" s="318">
        <f ca="1">IFERROR(IF(D15="","",INDEX(Tabla_Completa,MATCH('Soli_citud '!D15,Materiales,0),7)*S15),"")</f>
        <v>12786666.666666666</v>
      </c>
      <c r="X15" s="318"/>
      <c r="Y15" s="318"/>
    </row>
    <row r="16" spans="1:28" ht="15.75" customHeight="1">
      <c r="A16" s="305" t="s">
        <v>33</v>
      </c>
      <c r="B16" s="306"/>
      <c r="C16" s="307"/>
      <c r="D16" s="319" t="s">
        <v>37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Par</v>
      </c>
      <c r="P16" s="312"/>
      <c r="Q16" s="313">
        <v>2</v>
      </c>
      <c r="R16" s="314"/>
      <c r="S16" s="315">
        <f t="shared" si="1"/>
        <v>140</v>
      </c>
      <c r="T16" s="316"/>
      <c r="U16" s="317" t="s">
        <v>35</v>
      </c>
      <c r="V16" s="317"/>
      <c r="W16" s="318">
        <f ca="1">IFERROR(IF(D16="","",INDEX(Tabla_Completa,MATCH('Soli_citud '!D16,Materiales,0),7)*S16),"")</f>
        <v>8610000</v>
      </c>
      <c r="X16" s="318"/>
      <c r="Y16" s="318"/>
    </row>
    <row r="17" spans="1:25" ht="15.75" customHeight="1">
      <c r="A17" s="305" t="s">
        <v>33</v>
      </c>
      <c r="B17" s="306"/>
      <c r="C17" s="307"/>
      <c r="D17" s="319" t="s">
        <v>38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U</v>
      </c>
      <c r="P17" s="312"/>
      <c r="Q17" s="313">
        <v>0.01</v>
      </c>
      <c r="R17" s="314"/>
      <c r="S17" s="315">
        <f t="shared" si="1"/>
        <v>0.70000000000000007</v>
      </c>
      <c r="T17" s="316"/>
      <c r="U17" s="317" t="s">
        <v>35</v>
      </c>
      <c r="V17" s="317"/>
      <c r="W17" s="318">
        <f ca="1">IFERROR(IF(D17="","",INDEX(Tabla_Completa,MATCH('Soli_citud '!D17,Materiales,0),7)*S17),"")</f>
        <v>12600.000000000002</v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39</v>
      </c>
      <c r="B39" s="399"/>
      <c r="C39" s="399"/>
      <c r="D39" s="400" t="s">
        <v>40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41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42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43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44</v>
      </c>
      <c r="O44" s="389"/>
      <c r="P44" s="389"/>
      <c r="Q44" s="389"/>
      <c r="R44" s="395" t="s">
        <v>45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46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47</v>
      </c>
      <c r="O45" s="389"/>
      <c r="P45" s="389"/>
      <c r="Q45" s="389"/>
      <c r="R45" s="396" t="s">
        <v>48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49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50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51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28</v>
      </c>
      <c r="O47" s="389"/>
      <c r="P47" s="389"/>
      <c r="Q47" s="389"/>
      <c r="R47" s="388" t="s">
        <v>52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53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54</v>
      </c>
      <c r="O48" s="389"/>
      <c r="P48" s="389"/>
      <c r="Q48" s="389"/>
      <c r="R48" s="388" t="s">
        <v>55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56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57</v>
      </c>
      <c r="O49" s="390"/>
      <c r="P49" s="390"/>
      <c r="Q49" s="390"/>
      <c r="R49" s="396" t="s">
        <v>58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59</v>
      </c>
      <c r="O50" s="389"/>
      <c r="P50" s="389"/>
      <c r="Q50" s="389"/>
      <c r="R50" s="388" t="s">
        <v>60</v>
      </c>
      <c r="S50" s="388"/>
      <c r="T50" s="388"/>
      <c r="U50" s="388"/>
      <c r="V50" s="388"/>
      <c r="W50" s="388"/>
      <c r="X50" s="388"/>
    </row>
    <row r="51" spans="1:24" ht="15.75">
      <c r="N51" s="389" t="s">
        <v>61</v>
      </c>
      <c r="O51" s="389"/>
      <c r="P51" s="389"/>
      <c r="Q51" s="389"/>
      <c r="R51" s="388" t="s">
        <v>62</v>
      </c>
      <c r="S51" s="388"/>
      <c r="T51" s="388"/>
      <c r="U51" s="388"/>
      <c r="V51" s="388"/>
      <c r="W51" s="388"/>
      <c r="X51" s="388"/>
    </row>
    <row r="52" spans="1:24" ht="15.75">
      <c r="N52" s="389" t="s">
        <v>63</v>
      </c>
      <c r="O52" s="389"/>
      <c r="P52" s="389"/>
      <c r="Q52" s="389"/>
      <c r="R52" s="388" t="s">
        <v>52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L17" sqref="L17:M17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64</v>
      </c>
      <c r="E1" s="472"/>
      <c r="F1" s="472"/>
      <c r="G1" s="472"/>
      <c r="H1" s="472"/>
      <c r="I1" s="472"/>
      <c r="J1" s="477" t="s">
        <v>65</v>
      </c>
      <c r="K1" s="478"/>
      <c r="L1" s="478"/>
      <c r="M1" s="479"/>
      <c r="N1" s="473">
        <f>IF('Soli_citud '!O1="","",'Soli_citud '!O1)</f>
        <v>45244</v>
      </c>
      <c r="O1" s="474"/>
      <c r="P1" s="407" t="s">
        <v>66</v>
      </c>
      <c r="Q1" s="408"/>
      <c r="R1" s="403" t="str">
        <f>IF('Soli_citud '!D4="","",'Soli_citud '!D4)</f>
        <v xml:space="preserve">TARJETERO </v>
      </c>
      <c r="S1" s="404"/>
      <c r="Z1" t="s">
        <v>67</v>
      </c>
      <c r="AA1" s="252" t="s">
        <v>67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68</v>
      </c>
      <c r="K2" s="455"/>
      <c r="L2" s="455"/>
      <c r="M2" s="456"/>
      <c r="N2" s="475" t="str">
        <f>'Soli_citud '!F1</f>
        <v>JH1411-1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69</v>
      </c>
      <c r="K3" s="476"/>
      <c r="L3" s="476"/>
      <c r="M3" s="476"/>
      <c r="N3" s="463" t="str">
        <f>IF('Soli_citud '!O3="","",'Soli_citud '!O3)</f>
        <v/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70</v>
      </c>
      <c r="K4" s="468"/>
      <c r="L4" s="468"/>
      <c r="M4" s="469" t="str">
        <f>IF('Soli_citud '!O4="","",'Soli_citud '!O4)</f>
        <v>MUESTRA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71</v>
      </c>
      <c r="C6" s="449"/>
      <c r="D6" s="450"/>
      <c r="E6" s="465" t="s">
        <v>72</v>
      </c>
      <c r="F6" s="465"/>
      <c r="G6" s="465"/>
      <c r="H6" s="465"/>
      <c r="I6" s="466"/>
      <c r="J6" s="439" t="s">
        <v>73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2145.8799999999683</v>
      </c>
      <c r="C8" s="427"/>
      <c r="D8" s="428"/>
      <c r="E8" s="445" t="s">
        <v>74</v>
      </c>
      <c r="F8" s="446"/>
      <c r="G8" s="446"/>
      <c r="H8" s="446"/>
      <c r="I8" s="447"/>
      <c r="J8" s="441" t="str">
        <f>IF('Soli_citud '!E2="","",'Soli_citud '!E2)</f>
        <v>Juan Hoyos Maya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75</v>
      </c>
      <c r="C9" s="430"/>
      <c r="D9" s="422"/>
      <c r="E9" s="421" t="s">
        <v>76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77</v>
      </c>
      <c r="K10" s="461"/>
      <c r="L10" s="462"/>
      <c r="M10" s="242">
        <f>'Soli_citud '!K5</f>
        <v>70</v>
      </c>
      <c r="N10" s="443" t="s">
        <v>78</v>
      </c>
      <c r="O10" s="444"/>
      <c r="P10" s="411"/>
      <c r="Q10" s="412"/>
      <c r="R10" s="243" t="s">
        <v>79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80</v>
      </c>
      <c r="B11" s="264" t="s">
        <v>81</v>
      </c>
      <c r="C11" s="423" t="s">
        <v>82</v>
      </c>
      <c r="D11" s="424"/>
      <c r="E11" s="424"/>
      <c r="F11" s="425"/>
      <c r="G11" s="112" t="s">
        <v>83</v>
      </c>
      <c r="H11" s="112" t="s">
        <v>84</v>
      </c>
      <c r="I11" s="237" t="s">
        <v>85</v>
      </c>
      <c r="J11" s="110" t="s">
        <v>86</v>
      </c>
      <c r="K11" s="223" t="s">
        <v>87</v>
      </c>
      <c r="L11" s="459" t="s">
        <v>24</v>
      </c>
      <c r="M11" s="460"/>
      <c r="N11" s="240" t="s">
        <v>88</v>
      </c>
      <c r="O11" s="240" t="s">
        <v>89</v>
      </c>
      <c r="P11" s="244" t="s">
        <v>90</v>
      </c>
      <c r="Q11" s="245" t="s">
        <v>91</v>
      </c>
      <c r="R11" s="236" t="s">
        <v>92</v>
      </c>
      <c r="S11" s="224" t="s">
        <v>93</v>
      </c>
    </row>
    <row r="12" spans="1:27" ht="19.5" customHeight="1">
      <c r="A12" s="78">
        <v>1</v>
      </c>
      <c r="B12" s="265" t="str">
        <f>IF(H12="","",$N$2)</f>
        <v>JH1411-1</v>
      </c>
      <c r="C12" s="420" t="str">
        <f>IFERROR(IF('Soli_citud '!D10="","",'Soli_citud '!D10),"")</f>
        <v>DOTACION</v>
      </c>
      <c r="D12" s="420"/>
      <c r="E12" s="420"/>
      <c r="F12" s="420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217</v>
      </c>
      <c r="I12" s="227">
        <v>45250</v>
      </c>
      <c r="J12" s="228">
        <v>165</v>
      </c>
      <c r="K12" s="207" cm="1">
        <f t="array" ref="K12">IFERROR(_xlfn.IFS(H12="","",J12=H12,"Cumplido",J12&lt;H12,H12-J12,J12&gt;H12,"Revisar"),"")</f>
        <v>52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JH1411-1</v>
      </c>
      <c r="C13" s="420" t="str">
        <f>IFERROR(IF('Soli_citud '!D11="","",'Soli_citud '!D11),"")</f>
        <v>REMACHE SENCILLO #6 NÍQUEL</v>
      </c>
      <c r="D13" s="420"/>
      <c r="E13" s="420"/>
      <c r="F13" s="420"/>
      <c r="G13" s="226" t="str">
        <f ca="1">IF('Soli_citud '!O11="","",'Soli_citud '!O11)</f>
        <v>U</v>
      </c>
      <c r="H13" s="226" cm="1">
        <f t="array" ref="H13">_xlfn.IFS('Soli_citud '!S11="","",'Soli_citud '!S11&lt;=0,"",'Soli_citud '!S11&gt;0,'Soli_citud '!S11)</f>
        <v>840</v>
      </c>
      <c r="I13" s="227"/>
      <c r="J13" s="229"/>
      <c r="K13" s="207" cm="1">
        <f t="array" ref="K13">IFERROR(_xlfn.IFS(H13="","",J13=H13,"Cumplido",J13&lt;H13,H13-J13,J13&gt;H13,"Revisar"),"")</f>
        <v>840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JH1411-1</v>
      </c>
      <c r="C14" s="420" t="str">
        <f>IFERROR(IF('Soli_citud '!D12="","",'Soli_citud '!D12),"")</f>
        <v>Solución de caucho INDUPEG</v>
      </c>
      <c r="D14" s="420"/>
      <c r="E14" s="420"/>
      <c r="F14" s="420"/>
      <c r="G14" s="226" t="str">
        <f ca="1">IF('Soli_citud '!O12="","",'Soli_citud '!O12)</f>
        <v>gal</v>
      </c>
      <c r="H14" s="226" cm="1">
        <f t="array" ref="H14">_xlfn.IFS('Soli_citud '!S12="","",'Soli_citud '!S12&lt;=0,"",'Soli_citud '!S12&gt;0,'Soli_citud '!S12)</f>
        <v>35</v>
      </c>
      <c r="I14" s="230"/>
      <c r="J14" s="229"/>
      <c r="K14" s="207" cm="1">
        <f t="array" ref="K14">IFERROR(_xlfn.IFS(H14="","",J14=H14,"Cumplido",J14&lt;H14,H14-J14,J14&gt;H14,"Revisar"),"")</f>
        <v>35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JH1411-1</v>
      </c>
      <c r="C15" s="420" t="str">
        <f>IFERROR(IF('Soli_citud '!D13="","",'Soli_citud '!D13),"")</f>
        <v>Cera glas</v>
      </c>
      <c r="D15" s="420"/>
      <c r="E15" s="420"/>
      <c r="F15" s="420"/>
      <c r="G15" s="226" t="str">
        <f ca="1">IF('Soli_citud '!O13="","",'Soli_citud '!O13)</f>
        <v>kg</v>
      </c>
      <c r="H15" s="226" cm="1">
        <f t="array" ref="H15">_xlfn.IFS('Soli_citud '!S13="","",'Soli_citud '!S13&lt;=0,"",'Soli_citud '!S13&gt;0,'Soli_citud '!S13)</f>
        <v>3.5</v>
      </c>
      <c r="I15" s="230"/>
      <c r="J15" s="229"/>
      <c r="K15" s="207" cm="1">
        <f t="array" ref="K15">IFERROR(_xlfn.IFS(H15="","",J15=H15,"Cumplido",J15&lt;H15,H15-J15,J15&gt;H15,"Revisar"),"")</f>
        <v>3.5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JH1411-1</v>
      </c>
      <c r="C16" s="420" t="str">
        <f>IFERROR(IF('Soli_citud '!D14="","",'Soli_citud '!D14),"")</f>
        <v xml:space="preserve">SACABOCADO TRINCHETE NO 0
</v>
      </c>
      <c r="D16" s="420"/>
      <c r="E16" s="420"/>
      <c r="F16" s="420"/>
      <c r="G16" s="226" t="str">
        <f ca="1">IF('Soli_citud '!O14="","",'Soli_citud '!O14)</f>
        <v>g</v>
      </c>
      <c r="H16" s="226" cm="1">
        <f t="array" ref="H16">_xlfn.IFS('Soli_citud '!S14="","",'Soli_citud '!S14&lt;=0,"",'Soli_citud '!S14&gt;0,'Soli_citud '!S14)</f>
        <v>0.70000000000000007</v>
      </c>
      <c r="I16" s="230"/>
      <c r="J16" s="229"/>
      <c r="K16" s="207" cm="1">
        <f t="array" ref="K16">IFERROR(_xlfn.IFS(H16="","",J16=H16,"Cumplido",J16&lt;H16,H16-J16,J16&gt;H16,"Revisar"),"")</f>
        <v>0.70000000000000007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>DEVOLUTIVO</v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JH1411-1</v>
      </c>
      <c r="C17" s="420" t="str">
        <f>IFERROR(IF('Soli_citud '!D15="","",'Soli_citud '!D15),"")</f>
        <v>REMACHADORA TROQUELADORA</v>
      </c>
      <c r="D17" s="420"/>
      <c r="E17" s="420"/>
      <c r="F17" s="420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70</v>
      </c>
      <c r="I17" s="230"/>
      <c r="J17" s="229"/>
      <c r="K17" s="207" cm="1">
        <f t="array" ref="K17">IFERROR(_xlfn.IFS(H17="","",J17=H17,"Cumplido",J17&lt;H17,H17-J17,J17&gt;H17,"Revisar"),"")</f>
        <v>70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>DEVOLUTIVO</v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JH1411-1</v>
      </c>
      <c r="C18" s="420" t="str">
        <f>IFERROR(IF('Soli_citud '!D16="","",'Soli_citud '!D16),"")</f>
        <v xml:space="preserve">DADOS PARA REMACHE DOBLE CABEZA
</v>
      </c>
      <c r="D18" s="420"/>
      <c r="E18" s="420"/>
      <c r="F18" s="420"/>
      <c r="G18" s="226" t="str">
        <f ca="1">IF('Soli_citud '!O16="","",'Soli_citud '!O16)</f>
        <v>Par</v>
      </c>
      <c r="H18" s="226" cm="1">
        <f t="array" ref="H18">_xlfn.IFS('Soli_citud '!S16="","",'Soli_citud '!S16&lt;=0,"",'Soli_citud '!S16&gt;0,'Soli_citud '!S16)</f>
        <v>140</v>
      </c>
      <c r="I18" s="230"/>
      <c r="J18" s="229"/>
      <c r="K18" s="207" cm="1">
        <f t="array" ref="K18">IFERROR(_xlfn.IFS(H18="","",J18=H18,"Cumplido",J18&lt;H18,H18-J18,J18&gt;H18,"Revisar"),"")</f>
        <v>140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>DEVOLUTIVO</v>
      </c>
      <c r="Q18" s="231"/>
      <c r="R18" s="228"/>
      <c r="S18" s="228"/>
    </row>
    <row r="19" spans="1:19" ht="31.5" customHeight="1">
      <c r="A19" s="77">
        <v>8</v>
      </c>
      <c r="B19" s="265" t="str">
        <f t="shared" si="1"/>
        <v>JH1411-1</v>
      </c>
      <c r="C19" s="420" t="str">
        <f>IFERROR(IF('Soli_citud '!D17="","",'Soli_citud '!D17),"")</f>
        <v xml:space="preserve">CEPILLO DE MANGO PLASTICO CREPE Y NYLON
</v>
      </c>
      <c r="D19" s="420"/>
      <c r="E19" s="420"/>
      <c r="F19" s="420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0.70000000000000007</v>
      </c>
      <c r="I19" s="230"/>
      <c r="J19" s="229"/>
      <c r="K19" s="207" cm="1">
        <f t="array" ref="K19">IFERROR(_xlfn.IFS(H19="","",J19=H19,"Cumplido",J19&lt;H19,H19-J19,J19&gt;H19,"Revisar"),"")</f>
        <v>0.70000000000000007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>DEVOLUTIVO</v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94</v>
      </c>
      <c r="F1" s="486"/>
      <c r="Z1" s="252" t="s">
        <v>67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95</v>
      </c>
      <c r="B6" s="304">
        <f>SUBTOTAL(3,(BD!$B$8:$B$20))</f>
        <v>13</v>
      </c>
      <c r="C6" s="482"/>
      <c r="D6" s="483"/>
      <c r="H6" s="480" t="s">
        <v>96</v>
      </c>
      <c r="I6" s="480"/>
    </row>
    <row r="7" spans="1:26" ht="47.25">
      <c r="A7" s="73" t="s">
        <v>80</v>
      </c>
      <c r="B7" s="116" t="s">
        <v>97</v>
      </c>
      <c r="C7" s="70" t="s">
        <v>98</v>
      </c>
      <c r="D7" s="71" t="s">
        <v>99</v>
      </c>
      <c r="E7" s="91" t="s">
        <v>100</v>
      </c>
      <c r="F7" s="187" t="s">
        <v>101</v>
      </c>
      <c r="G7" s="71" t="s">
        <v>102</v>
      </c>
      <c r="H7" s="72" t="s">
        <v>103</v>
      </c>
      <c r="I7" s="72" t="s">
        <v>104</v>
      </c>
      <c r="J7" s="74" t="s">
        <v>105</v>
      </c>
    </row>
    <row r="8" spans="1:26" ht="15" customHeight="1">
      <c r="A8" s="41">
        <v>1</v>
      </c>
      <c r="B8" s="36" t="s">
        <v>106</v>
      </c>
      <c r="C8" s="140" t="s">
        <v>44</v>
      </c>
      <c r="D8" s="48" t="s">
        <v>107</v>
      </c>
      <c r="E8" s="43">
        <v>74650</v>
      </c>
      <c r="F8" s="188" t="s">
        <v>108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109</v>
      </c>
      <c r="C9" s="140" t="s">
        <v>44</v>
      </c>
      <c r="D9" s="48" t="s">
        <v>107</v>
      </c>
      <c r="E9" s="43">
        <v>231671.5</v>
      </c>
      <c r="F9" s="188" t="s">
        <v>108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110</v>
      </c>
      <c r="C10" s="140" t="s">
        <v>44</v>
      </c>
      <c r="D10" s="48" t="s">
        <v>107</v>
      </c>
      <c r="E10" s="43">
        <v>231671.5</v>
      </c>
      <c r="F10" s="188" t="s">
        <v>108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111</v>
      </c>
      <c r="C11" s="140" t="s">
        <v>44</v>
      </c>
      <c r="D11" s="48" t="s">
        <v>107</v>
      </c>
      <c r="E11" s="43">
        <v>78666.625</v>
      </c>
      <c r="F11" s="188" t="s">
        <v>108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112</v>
      </c>
      <c r="C12" s="140" t="s">
        <v>44</v>
      </c>
      <c r="D12" s="48" t="s">
        <v>113</v>
      </c>
      <c r="E12" s="43">
        <v>72665</v>
      </c>
      <c r="F12" s="188" t="s">
        <v>113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114</v>
      </c>
      <c r="C13" s="140" t="s">
        <v>44</v>
      </c>
      <c r="D13" s="48" t="s">
        <v>107</v>
      </c>
      <c r="E13" s="43">
        <v>59690.625</v>
      </c>
      <c r="F13" s="188" t="s">
        <v>108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115</v>
      </c>
      <c r="C14" s="140" t="s">
        <v>44</v>
      </c>
      <c r="D14" s="48" t="s">
        <v>107</v>
      </c>
      <c r="E14" s="43">
        <v>50200</v>
      </c>
      <c r="F14" s="188" t="s">
        <v>108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116</v>
      </c>
      <c r="C15" s="140" t="s">
        <v>44</v>
      </c>
      <c r="D15" s="58" t="s">
        <v>107</v>
      </c>
      <c r="E15" s="62">
        <v>66108</v>
      </c>
      <c r="F15" s="188" t="s">
        <v>108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117</v>
      </c>
      <c r="C16" s="140" t="s">
        <v>44</v>
      </c>
      <c r="D16" s="58" t="s">
        <v>107</v>
      </c>
      <c r="E16" s="43">
        <v>97100</v>
      </c>
      <c r="F16" s="188" t="s">
        <v>108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118</v>
      </c>
      <c r="C17" s="140" t="s">
        <v>44</v>
      </c>
      <c r="D17" s="58" t="s">
        <v>107</v>
      </c>
      <c r="E17" s="43">
        <v>61960</v>
      </c>
      <c r="F17" s="188" t="s">
        <v>108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119</v>
      </c>
      <c r="C18" s="140" t="s">
        <v>44</v>
      </c>
      <c r="D18" s="48" t="s">
        <v>107</v>
      </c>
      <c r="E18" s="43">
        <v>28400</v>
      </c>
      <c r="F18" s="188" t="s">
        <v>108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120</v>
      </c>
      <c r="C19" s="140" t="s">
        <v>44</v>
      </c>
      <c r="D19" s="48" t="s">
        <v>107</v>
      </c>
      <c r="E19" s="43">
        <v>36816</v>
      </c>
      <c r="F19" s="188" t="s">
        <v>107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121</v>
      </c>
      <c r="C20" s="275" t="s">
        <v>44</v>
      </c>
      <c r="D20" s="48" t="s">
        <v>108</v>
      </c>
      <c r="E20" s="43"/>
      <c r="F20" s="188" t="s">
        <v>108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95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80</v>
      </c>
      <c r="B33" s="121" t="s">
        <v>97</v>
      </c>
      <c r="C33" s="66" t="s">
        <v>98</v>
      </c>
      <c r="D33" s="67" t="s">
        <v>99</v>
      </c>
      <c r="E33" s="69" t="s">
        <v>100</v>
      </c>
      <c r="F33" s="187" t="s">
        <v>101</v>
      </c>
      <c r="G33" s="71" t="s">
        <v>102</v>
      </c>
      <c r="H33" s="72" t="s">
        <v>103</v>
      </c>
      <c r="I33" s="72" t="s">
        <v>104</v>
      </c>
      <c r="J33" s="74" t="s">
        <v>105</v>
      </c>
    </row>
    <row r="34" spans="1:10" ht="15" customHeight="1">
      <c r="A34" s="41">
        <v>1</v>
      </c>
      <c r="B34" s="36" t="s">
        <v>123</v>
      </c>
      <c r="C34" s="219" t="s">
        <v>124</v>
      </c>
      <c r="D34" s="48" t="s">
        <v>113</v>
      </c>
      <c r="E34" s="43">
        <v>8995</v>
      </c>
      <c r="F34" s="188" t="s">
        <v>113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125</v>
      </c>
      <c r="C35" s="219" t="s">
        <v>124</v>
      </c>
      <c r="D35" s="48" t="s">
        <v>113</v>
      </c>
      <c r="E35" s="43">
        <v>109707</v>
      </c>
      <c r="F35" s="188" t="s">
        <v>113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126</v>
      </c>
      <c r="C36" s="219" t="s">
        <v>124</v>
      </c>
      <c r="D36" s="48" t="s">
        <v>113</v>
      </c>
      <c r="E36" s="43">
        <v>65500</v>
      </c>
      <c r="F36" s="188" t="s">
        <v>113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127</v>
      </c>
      <c r="C37" s="219" t="s">
        <v>124</v>
      </c>
      <c r="D37" s="48" t="s">
        <v>113</v>
      </c>
      <c r="E37" s="43">
        <v>24994</v>
      </c>
      <c r="F37" s="188" t="s">
        <v>113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128</v>
      </c>
      <c r="C38" s="219" t="s">
        <v>124</v>
      </c>
      <c r="D38" s="48" t="s">
        <v>113</v>
      </c>
      <c r="E38" s="43">
        <v>20237</v>
      </c>
      <c r="F38" s="188" t="s">
        <v>113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129</v>
      </c>
      <c r="C39" s="219" t="s">
        <v>124</v>
      </c>
      <c r="D39" s="48" t="s">
        <v>113</v>
      </c>
      <c r="E39" s="43">
        <v>24994</v>
      </c>
      <c r="F39" s="188" t="s">
        <v>113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130</v>
      </c>
      <c r="C40" s="219" t="s">
        <v>124</v>
      </c>
      <c r="D40" s="48" t="s">
        <v>113</v>
      </c>
      <c r="E40" s="43">
        <v>24994</v>
      </c>
      <c r="F40" s="188" t="s">
        <v>113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131</v>
      </c>
      <c r="C41" s="219" t="s">
        <v>124</v>
      </c>
      <c r="D41" s="48" t="s">
        <v>113</v>
      </c>
      <c r="E41" s="43">
        <v>24994</v>
      </c>
      <c r="F41" s="188" t="s">
        <v>113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132</v>
      </c>
      <c r="C42" s="219" t="s">
        <v>124</v>
      </c>
      <c r="D42" s="48" t="s">
        <v>113</v>
      </c>
      <c r="E42" s="43">
        <v>24994</v>
      </c>
      <c r="F42" s="188" t="s">
        <v>113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133</v>
      </c>
      <c r="C43" s="219" t="s">
        <v>124</v>
      </c>
      <c r="D43" s="48" t="s">
        <v>113</v>
      </c>
      <c r="E43" s="43">
        <v>24994</v>
      </c>
      <c r="F43" s="188" t="s">
        <v>113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134</v>
      </c>
      <c r="C44" s="219" t="s">
        <v>124</v>
      </c>
      <c r="D44" s="48" t="s">
        <v>113</v>
      </c>
      <c r="E44" s="43">
        <v>24994</v>
      </c>
      <c r="F44" s="188" t="s">
        <v>113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135</v>
      </c>
      <c r="C45" s="219" t="s">
        <v>124</v>
      </c>
      <c r="D45" s="48" t="s">
        <v>113</v>
      </c>
      <c r="E45" s="43">
        <v>24994</v>
      </c>
      <c r="F45" s="188" t="s">
        <v>113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136</v>
      </c>
      <c r="C46" s="219" t="s">
        <v>124</v>
      </c>
      <c r="D46" s="48" t="s">
        <v>113</v>
      </c>
      <c r="E46" s="43">
        <v>24994</v>
      </c>
      <c r="F46" s="188" t="s">
        <v>113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137</v>
      </c>
      <c r="C47" s="219" t="s">
        <v>124</v>
      </c>
      <c r="D47" s="48" t="s">
        <v>113</v>
      </c>
      <c r="E47" s="43">
        <v>24994</v>
      </c>
      <c r="F47" s="188" t="s">
        <v>113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138</v>
      </c>
      <c r="C48" s="219" t="s">
        <v>124</v>
      </c>
      <c r="D48" s="48" t="s">
        <v>113</v>
      </c>
      <c r="E48" s="43">
        <v>24994</v>
      </c>
      <c r="F48" s="188" t="s">
        <v>113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139</v>
      </c>
      <c r="C49" s="219" t="s">
        <v>124</v>
      </c>
      <c r="D49" s="48" t="s">
        <v>113</v>
      </c>
      <c r="E49" s="43">
        <v>24994</v>
      </c>
      <c r="F49" s="188" t="s">
        <v>113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140</v>
      </c>
      <c r="C50" s="219" t="s">
        <v>124</v>
      </c>
      <c r="D50" s="48" t="s">
        <v>113</v>
      </c>
      <c r="E50" s="43">
        <v>24994</v>
      </c>
      <c r="F50" s="188" t="s">
        <v>113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141</v>
      </c>
      <c r="C51" s="219" t="s">
        <v>124</v>
      </c>
      <c r="D51" s="48" t="s">
        <v>113</v>
      </c>
      <c r="E51" s="43">
        <v>24994</v>
      </c>
      <c r="F51" s="188" t="s">
        <v>113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142</v>
      </c>
      <c r="C52" s="219" t="s">
        <v>124</v>
      </c>
      <c r="D52" s="48" t="s">
        <v>113</v>
      </c>
      <c r="E52" s="43">
        <v>24994</v>
      </c>
      <c r="F52" s="188" t="s">
        <v>113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143</v>
      </c>
      <c r="C53" s="219" t="s">
        <v>124</v>
      </c>
      <c r="D53" s="48" t="s">
        <v>113</v>
      </c>
      <c r="E53" s="43">
        <v>24994</v>
      </c>
      <c r="F53" s="188" t="s">
        <v>113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144</v>
      </c>
      <c r="C54" s="219" t="s">
        <v>124</v>
      </c>
      <c r="D54" s="48" t="s">
        <v>113</v>
      </c>
      <c r="E54" s="43">
        <v>24994</v>
      </c>
      <c r="F54" s="188" t="s">
        <v>113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145</v>
      </c>
      <c r="C55" s="219" t="s">
        <v>124</v>
      </c>
      <c r="D55" s="48" t="s">
        <v>113</v>
      </c>
      <c r="E55" s="43">
        <v>24994</v>
      </c>
      <c r="F55" s="188" t="s">
        <v>113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146</v>
      </c>
      <c r="C56" s="219" t="s">
        <v>124</v>
      </c>
      <c r="D56" s="48" t="s">
        <v>113</v>
      </c>
      <c r="E56" s="43">
        <v>24994</v>
      </c>
      <c r="F56" s="188" t="s">
        <v>113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147</v>
      </c>
      <c r="C57" s="219" t="s">
        <v>124</v>
      </c>
      <c r="D57" s="48" t="s">
        <v>113</v>
      </c>
      <c r="E57" s="43">
        <v>24994</v>
      </c>
      <c r="F57" s="188" t="s">
        <v>113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148</v>
      </c>
      <c r="C58" s="219" t="s">
        <v>124</v>
      </c>
      <c r="D58" s="48" t="s">
        <v>113</v>
      </c>
      <c r="E58" s="43">
        <v>24994</v>
      </c>
      <c r="F58" s="188" t="s">
        <v>113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149</v>
      </c>
      <c r="C59" s="219" t="s">
        <v>124</v>
      </c>
      <c r="D59" s="48" t="s">
        <v>113</v>
      </c>
      <c r="E59" s="43">
        <v>24994</v>
      </c>
      <c r="F59" s="188" t="s">
        <v>113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150</v>
      </c>
      <c r="C60" s="219" t="s">
        <v>124</v>
      </c>
      <c r="D60" s="48" t="s">
        <v>113</v>
      </c>
      <c r="E60" s="43">
        <v>24994</v>
      </c>
      <c r="F60" s="188" t="s">
        <v>113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151</v>
      </c>
      <c r="C61" s="219" t="s">
        <v>124</v>
      </c>
      <c r="D61" s="48" t="s">
        <v>113</v>
      </c>
      <c r="E61" s="43">
        <v>24994</v>
      </c>
      <c r="F61" s="188" t="s">
        <v>113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152</v>
      </c>
      <c r="C62" s="219" t="s">
        <v>124</v>
      </c>
      <c r="D62" s="48" t="s">
        <v>113</v>
      </c>
      <c r="E62" s="43">
        <v>24994</v>
      </c>
      <c r="F62" s="188" t="s">
        <v>113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153</v>
      </c>
      <c r="C63" s="219" t="s">
        <v>124</v>
      </c>
      <c r="D63" s="48" t="s">
        <v>113</v>
      </c>
      <c r="E63" s="43">
        <v>24994</v>
      </c>
      <c r="F63" s="188" t="s">
        <v>113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154</v>
      </c>
      <c r="C64" s="219" t="s">
        <v>124</v>
      </c>
      <c r="D64" s="48" t="s">
        <v>113</v>
      </c>
      <c r="E64" s="43">
        <v>20111</v>
      </c>
      <c r="F64" s="188" t="s">
        <v>113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155</v>
      </c>
      <c r="C65" s="219" t="s">
        <v>124</v>
      </c>
      <c r="D65" s="48" t="s">
        <v>113</v>
      </c>
      <c r="E65" s="43">
        <v>20111</v>
      </c>
      <c r="F65" s="188" t="s">
        <v>113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156</v>
      </c>
      <c r="C66" s="219" t="s">
        <v>124</v>
      </c>
      <c r="D66" s="48" t="s">
        <v>113</v>
      </c>
      <c r="E66" s="43">
        <v>20111</v>
      </c>
      <c r="F66" s="188" t="s">
        <v>113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157</v>
      </c>
      <c r="C67" s="219" t="s">
        <v>124</v>
      </c>
      <c r="D67" s="48" t="s">
        <v>113</v>
      </c>
      <c r="E67" s="43">
        <v>5611</v>
      </c>
      <c r="F67" s="188" t="s">
        <v>113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158</v>
      </c>
      <c r="C68" s="219" t="s">
        <v>124</v>
      </c>
      <c r="D68" s="48" t="s">
        <v>113</v>
      </c>
      <c r="E68" s="43">
        <v>20111</v>
      </c>
      <c r="F68" s="188" t="s">
        <v>113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159</v>
      </c>
      <c r="C69" s="219" t="s">
        <v>124</v>
      </c>
      <c r="D69" s="48" t="s">
        <v>113</v>
      </c>
      <c r="E69" s="43">
        <v>5611</v>
      </c>
      <c r="F69" s="188" t="s">
        <v>113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160</v>
      </c>
      <c r="C70" s="219" t="s">
        <v>124</v>
      </c>
      <c r="D70" s="48" t="s">
        <v>113</v>
      </c>
      <c r="E70" s="43">
        <v>5611</v>
      </c>
      <c r="F70" s="188" t="s">
        <v>113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161</v>
      </c>
      <c r="C71" s="219" t="s">
        <v>124</v>
      </c>
      <c r="D71" s="48" t="s">
        <v>113</v>
      </c>
      <c r="E71" s="43">
        <v>5611</v>
      </c>
      <c r="F71" s="188" t="s">
        <v>113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162</v>
      </c>
      <c r="C72" s="219" t="s">
        <v>124</v>
      </c>
      <c r="D72" s="48" t="s">
        <v>113</v>
      </c>
      <c r="E72" s="43">
        <v>20111</v>
      </c>
      <c r="F72" s="188" t="s">
        <v>113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163</v>
      </c>
      <c r="C73" s="219" t="s">
        <v>124</v>
      </c>
      <c r="D73" s="48" t="s">
        <v>113</v>
      </c>
      <c r="E73" s="43">
        <v>20111</v>
      </c>
      <c r="F73" s="188" t="s">
        <v>113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164</v>
      </c>
      <c r="C74" s="219" t="s">
        <v>124</v>
      </c>
      <c r="D74" s="48" t="s">
        <v>113</v>
      </c>
      <c r="E74" s="43">
        <v>20111</v>
      </c>
      <c r="F74" s="188" t="s">
        <v>113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165</v>
      </c>
      <c r="C75" s="219" t="s">
        <v>124</v>
      </c>
      <c r="D75" s="48" t="s">
        <v>113</v>
      </c>
      <c r="E75" s="43">
        <v>20111</v>
      </c>
      <c r="F75" s="188" t="s">
        <v>113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166</v>
      </c>
      <c r="C76" s="219" t="s">
        <v>124</v>
      </c>
      <c r="D76" s="48" t="s">
        <v>113</v>
      </c>
      <c r="E76" s="43">
        <v>229095</v>
      </c>
      <c r="F76" s="188" t="s">
        <v>113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167</v>
      </c>
      <c r="C77" s="219" t="s">
        <v>124</v>
      </c>
      <c r="D77" s="48" t="s">
        <v>113</v>
      </c>
      <c r="E77" s="43">
        <v>279854.5</v>
      </c>
      <c r="F77" s="188" t="s">
        <v>113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168</v>
      </c>
      <c r="C78" s="219" t="s">
        <v>124</v>
      </c>
      <c r="D78" s="48" t="s">
        <v>113</v>
      </c>
      <c r="E78" s="43">
        <v>157271</v>
      </c>
      <c r="F78" s="188" t="s">
        <v>113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169</v>
      </c>
      <c r="C79" s="219" t="s">
        <v>124</v>
      </c>
      <c r="D79" s="48" t="s">
        <v>113</v>
      </c>
      <c r="E79" s="43">
        <v>284545</v>
      </c>
      <c r="F79" s="188" t="s">
        <v>113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170</v>
      </c>
      <c r="C80" s="219" t="s">
        <v>124</v>
      </c>
      <c r="D80" s="48" t="s">
        <v>113</v>
      </c>
      <c r="E80" s="43">
        <v>120557.6</v>
      </c>
      <c r="F80" s="188" t="s">
        <v>113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171</v>
      </c>
      <c r="C81" s="219" t="s">
        <v>124</v>
      </c>
      <c r="D81" s="48" t="s">
        <v>113</v>
      </c>
      <c r="E81" s="43">
        <v>31797.599999999999</v>
      </c>
      <c r="F81" s="188" t="s">
        <v>113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172</v>
      </c>
      <c r="C82" s="219" t="s">
        <v>124</v>
      </c>
      <c r="D82" s="48" t="s">
        <v>113</v>
      </c>
      <c r="E82" s="43">
        <v>25200</v>
      </c>
      <c r="F82" s="188" t="s">
        <v>113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173</v>
      </c>
      <c r="C83" s="219" t="s">
        <v>124</v>
      </c>
      <c r="D83" s="48" t="s">
        <v>113</v>
      </c>
      <c r="E83" s="43">
        <v>131707</v>
      </c>
      <c r="F83" s="188" t="s">
        <v>113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174</v>
      </c>
      <c r="C84" s="219" t="s">
        <v>124</v>
      </c>
      <c r="D84" s="48" t="s">
        <v>113</v>
      </c>
      <c r="E84" s="43">
        <v>446666</v>
      </c>
      <c r="F84" s="188" t="s">
        <v>113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175</v>
      </c>
      <c r="C85" s="219" t="s">
        <v>124</v>
      </c>
      <c r="D85" s="48" t="s">
        <v>176</v>
      </c>
      <c r="E85" s="43">
        <v>97321</v>
      </c>
      <c r="F85" s="188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177</v>
      </c>
      <c r="C86" s="219" t="s">
        <v>124</v>
      </c>
      <c r="D86" s="48" t="s">
        <v>176</v>
      </c>
      <c r="E86" s="43">
        <v>99191</v>
      </c>
      <c r="F86" s="188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178</v>
      </c>
      <c r="C87" s="219" t="s">
        <v>124</v>
      </c>
      <c r="D87" s="48" t="s">
        <v>113</v>
      </c>
      <c r="E87" s="43">
        <v>30600</v>
      </c>
      <c r="F87" s="188" t="s">
        <v>113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179</v>
      </c>
      <c r="C88" s="219" t="s">
        <v>124</v>
      </c>
      <c r="D88" s="48" t="s">
        <v>113</v>
      </c>
      <c r="E88" s="43">
        <v>27800</v>
      </c>
      <c r="F88" s="188" t="s">
        <v>113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180</v>
      </c>
      <c r="C89" s="219" t="s">
        <v>124</v>
      </c>
      <c r="D89" s="48" t="s">
        <v>113</v>
      </c>
      <c r="E89" s="43">
        <v>25955</v>
      </c>
      <c r="F89" s="188" t="s">
        <v>113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181</v>
      </c>
      <c r="C90" s="219" t="s">
        <v>124</v>
      </c>
      <c r="D90" s="48" t="s">
        <v>113</v>
      </c>
      <c r="E90" s="43">
        <v>58187.6</v>
      </c>
      <c r="F90" s="188" t="s">
        <v>113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182</v>
      </c>
      <c r="C91" s="219" t="s">
        <v>124</v>
      </c>
      <c r="D91" s="48" t="s">
        <v>113</v>
      </c>
      <c r="E91" s="43">
        <v>40505.5</v>
      </c>
      <c r="F91" s="188" t="s">
        <v>113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183</v>
      </c>
      <c r="C92" s="219" t="s">
        <v>124</v>
      </c>
      <c r="D92" s="48" t="s">
        <v>113</v>
      </c>
      <c r="E92" s="43">
        <v>28585</v>
      </c>
      <c r="F92" s="188" t="s">
        <v>113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184</v>
      </c>
      <c r="C93" s="219" t="s">
        <v>124</v>
      </c>
      <c r="D93" s="48" t="s">
        <v>113</v>
      </c>
      <c r="E93" s="43">
        <v>204785</v>
      </c>
      <c r="F93" s="188" t="s">
        <v>113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185</v>
      </c>
      <c r="C94" s="219" t="s">
        <v>124</v>
      </c>
      <c r="D94" s="48" t="s">
        <v>113</v>
      </c>
      <c r="E94" s="43">
        <v>64500</v>
      </c>
      <c r="F94" s="188" t="s">
        <v>113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186</v>
      </c>
      <c r="C95" s="219" t="s">
        <v>124</v>
      </c>
      <c r="D95" s="48" t="s">
        <v>113</v>
      </c>
      <c r="E95" s="43">
        <v>111250</v>
      </c>
      <c r="F95" s="188" t="s">
        <v>113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187</v>
      </c>
      <c r="C96" s="219" t="s">
        <v>124</v>
      </c>
      <c r="D96" s="48" t="s">
        <v>113</v>
      </c>
      <c r="E96" s="43">
        <v>79000</v>
      </c>
      <c r="F96" s="188" t="s">
        <v>113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188</v>
      </c>
      <c r="C97" s="219" t="s">
        <v>124</v>
      </c>
      <c r="D97" s="48" t="s">
        <v>113</v>
      </c>
      <c r="E97" s="43">
        <v>108010</v>
      </c>
      <c r="F97" s="188" t="s">
        <v>113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189</v>
      </c>
      <c r="C98" s="219" t="s">
        <v>124</v>
      </c>
      <c r="D98" s="48" t="s">
        <v>113</v>
      </c>
      <c r="E98" s="43">
        <v>71816.5</v>
      </c>
      <c r="F98" s="188" t="s">
        <v>113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190</v>
      </c>
      <c r="C99" s="219" t="s">
        <v>124</v>
      </c>
      <c r="D99" s="48" t="s">
        <v>113</v>
      </c>
      <c r="E99" s="43">
        <v>89211</v>
      </c>
      <c r="F99" s="188" t="s">
        <v>113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191</v>
      </c>
      <c r="C100" s="219" t="s">
        <v>124</v>
      </c>
      <c r="D100" s="48" t="s">
        <v>113</v>
      </c>
      <c r="E100" s="43">
        <v>603076</v>
      </c>
      <c r="F100" s="188" t="s">
        <v>113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192</v>
      </c>
      <c r="C101" s="219" t="s">
        <v>124</v>
      </c>
      <c r="D101" s="48" t="s">
        <v>113</v>
      </c>
      <c r="E101" s="43">
        <v>248532</v>
      </c>
      <c r="F101" s="188" t="s">
        <v>113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193</v>
      </c>
      <c r="C102" s="219" t="s">
        <v>124</v>
      </c>
      <c r="D102" s="48" t="s">
        <v>113</v>
      </c>
      <c r="E102" s="43">
        <v>33000</v>
      </c>
      <c r="F102" s="188" t="s">
        <v>113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194</v>
      </c>
      <c r="C103" s="219" t="s">
        <v>124</v>
      </c>
      <c r="D103" s="48" t="s">
        <v>113</v>
      </c>
      <c r="E103" s="43">
        <v>26141</v>
      </c>
      <c r="F103" s="188" t="s">
        <v>113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195</v>
      </c>
      <c r="C104" s="219" t="s">
        <v>124</v>
      </c>
      <c r="D104" s="48" t="s">
        <v>113</v>
      </c>
      <c r="E104" s="43">
        <v>9818</v>
      </c>
      <c r="F104" s="188" t="s">
        <v>113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196</v>
      </c>
      <c r="C105" s="219" t="s">
        <v>124</v>
      </c>
      <c r="D105" s="48" t="s">
        <v>113</v>
      </c>
      <c r="E105" s="43">
        <v>37905</v>
      </c>
      <c r="F105" s="188" t="s">
        <v>113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197</v>
      </c>
      <c r="C106" s="219" t="s">
        <v>124</v>
      </c>
      <c r="D106" s="48" t="s">
        <v>113</v>
      </c>
      <c r="E106" s="43">
        <v>17500</v>
      </c>
      <c r="F106" s="188" t="s">
        <v>113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198</v>
      </c>
      <c r="C107" s="219" t="s">
        <v>124</v>
      </c>
      <c r="D107" s="48" t="s">
        <v>176</v>
      </c>
      <c r="E107" s="43">
        <v>47662</v>
      </c>
      <c r="F107" s="188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199</v>
      </c>
      <c r="C108" s="219" t="s">
        <v>124</v>
      </c>
      <c r="D108" s="48" t="s">
        <v>176</v>
      </c>
      <c r="E108" s="43">
        <v>8533</v>
      </c>
      <c r="F108" s="188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200</v>
      </c>
      <c r="C109" s="219" t="s">
        <v>124</v>
      </c>
      <c r="D109" s="48" t="s">
        <v>176</v>
      </c>
      <c r="E109" s="43">
        <v>8367</v>
      </c>
      <c r="F109" s="188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201</v>
      </c>
      <c r="C110" s="219" t="s">
        <v>124</v>
      </c>
      <c r="D110" s="48" t="s">
        <v>176</v>
      </c>
      <c r="E110" s="43">
        <v>32859</v>
      </c>
      <c r="F110" s="188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202</v>
      </c>
      <c r="C111" s="219" t="s">
        <v>124</v>
      </c>
      <c r="D111" s="48" t="s">
        <v>176</v>
      </c>
      <c r="E111" s="43">
        <v>9366</v>
      </c>
      <c r="F111" s="188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203</v>
      </c>
      <c r="C112" s="219" t="s">
        <v>124</v>
      </c>
      <c r="D112" s="48" t="s">
        <v>176</v>
      </c>
      <c r="E112" s="43">
        <v>54502</v>
      </c>
      <c r="F112" s="188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204</v>
      </c>
      <c r="C113" s="219" t="s">
        <v>124</v>
      </c>
      <c r="D113" s="48" t="s">
        <v>205</v>
      </c>
      <c r="E113" s="43">
        <v>14170</v>
      </c>
      <c r="F113" s="188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206</v>
      </c>
      <c r="C114" s="219" t="s">
        <v>124</v>
      </c>
      <c r="D114" s="48" t="s">
        <v>113</v>
      </c>
      <c r="E114" s="43">
        <v>57850</v>
      </c>
      <c r="F114" s="188" t="s">
        <v>113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207</v>
      </c>
      <c r="C115" s="219" t="s">
        <v>124</v>
      </c>
      <c r="D115" s="48" t="s">
        <v>208</v>
      </c>
      <c r="E115" s="43">
        <v>33800</v>
      </c>
      <c r="F115" s="188" t="s">
        <v>113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209</v>
      </c>
      <c r="C116" s="219" t="s">
        <v>124</v>
      </c>
      <c r="D116" s="48" t="s">
        <v>210</v>
      </c>
      <c r="E116" s="43">
        <v>50178</v>
      </c>
      <c r="F116" s="188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211</v>
      </c>
      <c r="C117" s="219" t="s">
        <v>124</v>
      </c>
      <c r="D117" s="48" t="s">
        <v>176</v>
      </c>
      <c r="E117" s="43">
        <v>35105</v>
      </c>
      <c r="F117" s="188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212</v>
      </c>
      <c r="C118" s="219" t="s">
        <v>124</v>
      </c>
      <c r="D118" s="48" t="s">
        <v>113</v>
      </c>
      <c r="E118" s="43">
        <v>175000</v>
      </c>
      <c r="F118" s="188" t="s">
        <v>113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213</v>
      </c>
      <c r="C119" s="219" t="s">
        <v>124</v>
      </c>
      <c r="D119" s="48" t="s">
        <v>113</v>
      </c>
      <c r="E119" s="43">
        <v>283333.33333333331</v>
      </c>
      <c r="F119" s="188" t="s">
        <v>113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214</v>
      </c>
      <c r="C120" s="219" t="s">
        <v>124</v>
      </c>
      <c r="D120" s="48" t="s">
        <v>113</v>
      </c>
      <c r="E120" s="43">
        <v>40333.5</v>
      </c>
      <c r="F120" s="188" t="s">
        <v>113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215</v>
      </c>
      <c r="C121" s="219" t="s">
        <v>124</v>
      </c>
      <c r="D121" s="48" t="s">
        <v>113</v>
      </c>
      <c r="E121" s="43">
        <v>15547.5</v>
      </c>
      <c r="F121" s="188" t="s">
        <v>113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216</v>
      </c>
      <c r="C122" s="219" t="s">
        <v>124</v>
      </c>
      <c r="D122" s="48" t="s">
        <v>113</v>
      </c>
      <c r="E122" s="43">
        <v>18172.599999999999</v>
      </c>
      <c r="F122" s="188" t="s">
        <v>113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217</v>
      </c>
      <c r="C123" s="219" t="s">
        <v>124</v>
      </c>
      <c r="D123" s="48" t="s">
        <v>218</v>
      </c>
      <c r="E123" s="43">
        <v>38591.666666666664</v>
      </c>
      <c r="F123" s="188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219</v>
      </c>
      <c r="C124" s="219" t="s">
        <v>124</v>
      </c>
      <c r="D124" s="48" t="s">
        <v>176</v>
      </c>
      <c r="E124" s="43">
        <v>22134</v>
      </c>
      <c r="F124" s="188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220</v>
      </c>
      <c r="C125" s="219" t="s">
        <v>124</v>
      </c>
      <c r="D125" s="48" t="s">
        <v>113</v>
      </c>
      <c r="E125" s="43">
        <v>18125</v>
      </c>
      <c r="F125" s="188" t="s">
        <v>113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221</v>
      </c>
      <c r="C126" s="219" t="s">
        <v>124</v>
      </c>
      <c r="D126" s="48" t="s">
        <v>113</v>
      </c>
      <c r="E126" s="43">
        <v>102685</v>
      </c>
      <c r="F126" s="188" t="s">
        <v>113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222</v>
      </c>
      <c r="C127" s="219" t="s">
        <v>124</v>
      </c>
      <c r="D127" s="48" t="s">
        <v>113</v>
      </c>
      <c r="E127" s="43">
        <v>25163</v>
      </c>
      <c r="F127" s="188" t="s">
        <v>113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223</v>
      </c>
      <c r="C128" s="219" t="s">
        <v>124</v>
      </c>
      <c r="D128" s="48" t="s">
        <v>176</v>
      </c>
      <c r="E128" s="43">
        <v>149370</v>
      </c>
      <c r="F128" s="188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224</v>
      </c>
      <c r="C129" s="219" t="s">
        <v>124</v>
      </c>
      <c r="D129" s="48" t="s">
        <v>113</v>
      </c>
      <c r="E129" s="43">
        <v>83922.5</v>
      </c>
      <c r="F129" s="188" t="s">
        <v>113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225</v>
      </c>
      <c r="C130" s="219" t="s">
        <v>124</v>
      </c>
      <c r="D130" s="48" t="s">
        <v>113</v>
      </c>
      <c r="E130" s="43">
        <v>547525</v>
      </c>
      <c r="F130" s="188" t="s">
        <v>113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226</v>
      </c>
      <c r="C131" s="219" t="s">
        <v>124</v>
      </c>
      <c r="D131" s="48" t="s">
        <v>210</v>
      </c>
      <c r="E131" s="43">
        <v>8850</v>
      </c>
      <c r="F131" s="188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227</v>
      </c>
      <c r="C132" s="219" t="s">
        <v>124</v>
      </c>
      <c r="D132" s="48" t="s">
        <v>228</v>
      </c>
      <c r="E132" s="43">
        <v>135533.5</v>
      </c>
      <c r="F132" s="188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229</v>
      </c>
      <c r="C133" s="219" t="s">
        <v>124</v>
      </c>
      <c r="D133" s="48" t="s">
        <v>113</v>
      </c>
      <c r="E133" s="43">
        <v>313317.5</v>
      </c>
      <c r="F133" s="188" t="s">
        <v>113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230</v>
      </c>
      <c r="C134" s="219" t="s">
        <v>124</v>
      </c>
      <c r="D134" s="48" t="s">
        <v>113</v>
      </c>
      <c r="E134" s="43">
        <v>22214</v>
      </c>
      <c r="F134" s="188" t="s">
        <v>113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231</v>
      </c>
      <c r="C135" s="219" t="s">
        <v>124</v>
      </c>
      <c r="D135" s="48" t="s">
        <v>113</v>
      </c>
      <c r="E135" s="43">
        <v>293333.33500000002</v>
      </c>
      <c r="F135" s="188" t="s">
        <v>113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232</v>
      </c>
      <c r="C136" s="219" t="s">
        <v>124</v>
      </c>
      <c r="D136" s="48" t="s">
        <v>113</v>
      </c>
      <c r="E136" s="43">
        <v>30290</v>
      </c>
      <c r="F136" s="188" t="s">
        <v>113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233</v>
      </c>
      <c r="C137" s="219" t="s">
        <v>124</v>
      </c>
      <c r="D137" s="48" t="s">
        <v>113</v>
      </c>
      <c r="E137" s="43">
        <v>69202</v>
      </c>
      <c r="F137" s="188" t="s">
        <v>113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234</v>
      </c>
      <c r="C138" s="219" t="s">
        <v>124</v>
      </c>
      <c r="D138" s="48" t="s">
        <v>218</v>
      </c>
      <c r="E138" s="43">
        <v>90800</v>
      </c>
      <c r="F138" s="188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235</v>
      </c>
      <c r="C139" s="219" t="s">
        <v>124</v>
      </c>
      <c r="D139" s="48" t="s">
        <v>113</v>
      </c>
      <c r="E139" s="43">
        <v>79333.666666666672</v>
      </c>
      <c r="F139" s="188" t="s">
        <v>113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236</v>
      </c>
      <c r="C140" s="219" t="s">
        <v>124</v>
      </c>
      <c r="D140" s="48" t="s">
        <v>113</v>
      </c>
      <c r="E140" s="43">
        <v>27500</v>
      </c>
      <c r="F140" s="188" t="s">
        <v>113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237</v>
      </c>
      <c r="C141" s="219" t="s">
        <v>124</v>
      </c>
      <c r="D141" s="48" t="s">
        <v>113</v>
      </c>
      <c r="E141" s="43">
        <v>16548</v>
      </c>
      <c r="F141" s="188" t="s">
        <v>113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95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80</v>
      </c>
      <c r="B161" s="123" t="s">
        <v>97</v>
      </c>
      <c r="C161" s="119" t="s">
        <v>98</v>
      </c>
      <c r="D161" s="103" t="s">
        <v>99</v>
      </c>
      <c r="E161" s="69" t="s">
        <v>100</v>
      </c>
      <c r="F161" s="187" t="s">
        <v>101</v>
      </c>
      <c r="G161" s="71" t="s">
        <v>102</v>
      </c>
      <c r="H161" s="72" t="s">
        <v>103</v>
      </c>
      <c r="I161" s="72" t="s">
        <v>104</v>
      </c>
      <c r="J161" s="74" t="s">
        <v>105</v>
      </c>
    </row>
    <row r="162" spans="1:10" ht="15" customHeight="1">
      <c r="A162" s="41">
        <v>1</v>
      </c>
      <c r="B162" s="200" t="s">
        <v>238</v>
      </c>
      <c r="C162" s="219" t="s">
        <v>239</v>
      </c>
      <c r="D162" s="48" t="s">
        <v>176</v>
      </c>
      <c r="E162" s="43">
        <v>760</v>
      </c>
      <c r="F162" s="188" t="s">
        <v>176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240</v>
      </c>
      <c r="C163" s="219" t="s">
        <v>239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19" t="s">
        <v>239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245</v>
      </c>
      <c r="C165" s="219" t="s">
        <v>239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19" t="s">
        <v>239</v>
      </c>
      <c r="D166" s="48" t="s">
        <v>241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19" t="s">
        <v>239</v>
      </c>
      <c r="D167" s="48" t="s">
        <v>176</v>
      </c>
      <c r="E167" s="43">
        <v>639</v>
      </c>
      <c r="F167" s="48" t="s">
        <v>176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19" t="s">
        <v>239</v>
      </c>
      <c r="D168" s="48" t="s">
        <v>176</v>
      </c>
      <c r="E168" s="43">
        <v>639</v>
      </c>
      <c r="F168" s="48" t="s">
        <v>176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19" t="s">
        <v>239</v>
      </c>
      <c r="D169" s="48" t="s">
        <v>176</v>
      </c>
      <c r="E169" s="43">
        <v>639</v>
      </c>
      <c r="F169" s="48" t="s">
        <v>176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19" t="s">
        <v>239</v>
      </c>
      <c r="D170" s="48" t="s">
        <v>176</v>
      </c>
      <c r="E170" s="43">
        <v>639</v>
      </c>
      <c r="F170" s="48" t="s">
        <v>176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19" t="s">
        <v>239</v>
      </c>
      <c r="D171" s="48" t="s">
        <v>176</v>
      </c>
      <c r="E171" s="43">
        <v>639</v>
      </c>
      <c r="F171" s="48" t="s">
        <v>176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19" t="s">
        <v>239</v>
      </c>
      <c r="D172" s="48" t="s">
        <v>176</v>
      </c>
      <c r="E172" s="43">
        <v>639</v>
      </c>
      <c r="F172" s="48" t="s">
        <v>176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19" t="s">
        <v>239</v>
      </c>
      <c r="D173" s="48" t="s">
        <v>176</v>
      </c>
      <c r="E173" s="43">
        <v>639</v>
      </c>
      <c r="F173" s="48" t="s">
        <v>176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19" t="s">
        <v>239</v>
      </c>
      <c r="D174" s="48" t="s">
        <v>176</v>
      </c>
      <c r="E174" s="43">
        <v>639</v>
      </c>
      <c r="F174" s="48" t="s">
        <v>176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19" t="s">
        <v>239</v>
      </c>
      <c r="D175" s="48" t="s">
        <v>176</v>
      </c>
      <c r="E175" s="43">
        <v>639</v>
      </c>
      <c r="F175" s="48" t="s">
        <v>176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19" t="s">
        <v>239</v>
      </c>
      <c r="D176" s="48" t="s">
        <v>176</v>
      </c>
      <c r="E176" s="43">
        <v>639</v>
      </c>
      <c r="F176" s="48" t="s">
        <v>176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19" t="s">
        <v>239</v>
      </c>
      <c r="D177" s="48" t="s">
        <v>176</v>
      </c>
      <c r="E177" s="43">
        <v>639</v>
      </c>
      <c r="F177" s="48" t="s">
        <v>176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19" t="s">
        <v>239</v>
      </c>
      <c r="D178" s="48" t="s">
        <v>176</v>
      </c>
      <c r="E178" s="43">
        <v>475</v>
      </c>
      <c r="F178" s="48" t="s">
        <v>176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19" t="s">
        <v>239</v>
      </c>
      <c r="D179" s="48" t="s">
        <v>176</v>
      </c>
      <c r="E179" s="43">
        <v>475</v>
      </c>
      <c r="F179" s="48" t="s">
        <v>176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19" t="s">
        <v>239</v>
      </c>
      <c r="D180" s="48" t="s">
        <v>176</v>
      </c>
      <c r="E180" s="43">
        <v>475</v>
      </c>
      <c r="F180" s="48" t="s">
        <v>176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19" t="s">
        <v>239</v>
      </c>
      <c r="D181" s="48" t="s">
        <v>176</v>
      </c>
      <c r="E181" s="43">
        <v>475</v>
      </c>
      <c r="F181" s="48" t="s">
        <v>176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19" t="s">
        <v>239</v>
      </c>
      <c r="D182" s="48" t="s">
        <v>176</v>
      </c>
      <c r="E182" s="43">
        <v>475</v>
      </c>
      <c r="F182" s="48" t="s">
        <v>176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19" t="s">
        <v>239</v>
      </c>
      <c r="D183" s="48" t="s">
        <v>176</v>
      </c>
      <c r="E183" s="43">
        <v>475</v>
      </c>
      <c r="F183" s="48" t="s">
        <v>176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19" t="s">
        <v>239</v>
      </c>
      <c r="D184" s="48" t="s">
        <v>176</v>
      </c>
      <c r="E184" s="43">
        <v>475</v>
      </c>
      <c r="F184" s="48" t="s">
        <v>176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19" t="s">
        <v>239</v>
      </c>
      <c r="D185" s="48" t="s">
        <v>176</v>
      </c>
      <c r="E185" s="43">
        <v>475</v>
      </c>
      <c r="F185" s="48" t="s">
        <v>176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19" t="s">
        <v>239</v>
      </c>
      <c r="D186" s="48" t="s">
        <v>176</v>
      </c>
      <c r="E186" s="43">
        <v>475</v>
      </c>
      <c r="F186" s="48" t="s">
        <v>176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19" t="s">
        <v>239</v>
      </c>
      <c r="D187" s="48" t="s">
        <v>176</v>
      </c>
      <c r="E187" s="43">
        <v>475</v>
      </c>
      <c r="F187" s="48" t="s">
        <v>176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19" t="s">
        <v>239</v>
      </c>
      <c r="D188" s="48" t="s">
        <v>176</v>
      </c>
      <c r="E188" s="43">
        <v>475</v>
      </c>
      <c r="F188" s="48" t="s">
        <v>176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19" t="s">
        <v>239</v>
      </c>
      <c r="D189" s="48" t="s">
        <v>176</v>
      </c>
      <c r="E189" s="43">
        <v>475</v>
      </c>
      <c r="F189" s="48" t="s">
        <v>176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19" t="s">
        <v>239</v>
      </c>
      <c r="D190" s="48" t="s">
        <v>176</v>
      </c>
      <c r="E190" s="43">
        <v>475</v>
      </c>
      <c r="F190" s="48" t="s">
        <v>176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19" t="s">
        <v>239</v>
      </c>
      <c r="D191" s="58" t="s">
        <v>176</v>
      </c>
      <c r="E191" s="43">
        <v>475</v>
      </c>
      <c r="F191" s="58" t="s">
        <v>176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19" t="s">
        <v>239</v>
      </c>
      <c r="D192" s="58" t="s">
        <v>176</v>
      </c>
      <c r="E192" s="43">
        <v>475</v>
      </c>
      <c r="F192" s="58" t="s">
        <v>176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19" t="s">
        <v>239</v>
      </c>
      <c r="D193" s="58" t="s">
        <v>176</v>
      </c>
      <c r="E193" s="43">
        <v>475</v>
      </c>
      <c r="F193" s="58" t="s">
        <v>176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19" t="s">
        <v>239</v>
      </c>
      <c r="D194" s="58" t="s">
        <v>176</v>
      </c>
      <c r="E194" s="43">
        <v>475</v>
      </c>
      <c r="F194" s="58" t="s">
        <v>176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19" t="s">
        <v>239</v>
      </c>
      <c r="D195" s="58" t="s">
        <v>176</v>
      </c>
      <c r="E195" s="43">
        <v>475</v>
      </c>
      <c r="F195" s="58" t="s">
        <v>176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19" t="s">
        <v>239</v>
      </c>
      <c r="D196" s="58" t="s">
        <v>176</v>
      </c>
      <c r="E196" s="43">
        <v>475</v>
      </c>
      <c r="F196" s="58" t="s">
        <v>176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19" t="s">
        <v>239</v>
      </c>
      <c r="D197" s="58" t="s">
        <v>176</v>
      </c>
      <c r="E197" s="43">
        <v>475</v>
      </c>
      <c r="F197" s="58" t="s">
        <v>176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19" t="s">
        <v>239</v>
      </c>
      <c r="D198" s="48" t="s">
        <v>176</v>
      </c>
      <c r="E198" s="43">
        <v>475</v>
      </c>
      <c r="F198" s="48" t="s">
        <v>176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19" t="s">
        <v>239</v>
      </c>
      <c r="D199" s="48" t="s">
        <v>176</v>
      </c>
      <c r="E199" s="43">
        <v>475</v>
      </c>
      <c r="F199" s="48" t="s">
        <v>176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19" t="s">
        <v>239</v>
      </c>
      <c r="D200" s="48" t="s">
        <v>176</v>
      </c>
      <c r="E200" s="43">
        <v>475</v>
      </c>
      <c r="F200" s="48" t="s">
        <v>176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19" t="s">
        <v>239</v>
      </c>
      <c r="D201" s="151" t="s">
        <v>176</v>
      </c>
      <c r="E201" s="43">
        <v>475</v>
      </c>
      <c r="F201" s="48" t="s">
        <v>176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19" t="s">
        <v>239</v>
      </c>
      <c r="D202" s="48" t="s">
        <v>176</v>
      </c>
      <c r="E202" s="43">
        <v>475</v>
      </c>
      <c r="F202" s="48" t="s">
        <v>176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19" t="s">
        <v>239</v>
      </c>
      <c r="D203" s="151" t="s">
        <v>176</v>
      </c>
      <c r="E203" s="152">
        <v>639</v>
      </c>
      <c r="F203" s="48" t="s">
        <v>176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19" t="s">
        <v>239</v>
      </c>
      <c r="D204" s="151" t="s">
        <v>176</v>
      </c>
      <c r="E204" s="152">
        <v>639</v>
      </c>
      <c r="F204" s="48" t="s">
        <v>176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19" t="s">
        <v>239</v>
      </c>
      <c r="D205" s="151" t="s">
        <v>176</v>
      </c>
      <c r="E205" s="152">
        <v>639</v>
      </c>
      <c r="F205" s="48" t="s">
        <v>176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19" t="s">
        <v>239</v>
      </c>
      <c r="D206" s="151" t="s">
        <v>176</v>
      </c>
      <c r="E206" s="152">
        <v>639</v>
      </c>
      <c r="F206" s="48" t="s">
        <v>176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19" t="s">
        <v>239</v>
      </c>
      <c r="D207" s="151" t="s">
        <v>176</v>
      </c>
      <c r="E207" s="152">
        <v>639</v>
      </c>
      <c r="F207" s="48" t="s">
        <v>176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19" t="s">
        <v>239</v>
      </c>
      <c r="D208" s="151" t="s">
        <v>176</v>
      </c>
      <c r="E208" s="152">
        <v>639</v>
      </c>
      <c r="F208" s="48" t="s">
        <v>176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19" t="s">
        <v>239</v>
      </c>
      <c r="D209" s="151" t="s">
        <v>176</v>
      </c>
      <c r="E209" s="152">
        <v>639</v>
      </c>
      <c r="F209" s="48" t="s">
        <v>176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19" t="s">
        <v>239</v>
      </c>
      <c r="D210" s="48" t="s">
        <v>176</v>
      </c>
      <c r="E210" s="43">
        <v>639</v>
      </c>
      <c r="F210" s="48" t="s">
        <v>176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19" t="s">
        <v>239</v>
      </c>
      <c r="D211" s="151" t="s">
        <v>176</v>
      </c>
      <c r="E211" s="152">
        <v>639</v>
      </c>
      <c r="F211" s="48" t="s">
        <v>176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19" t="s">
        <v>239</v>
      </c>
      <c r="D212" s="151" t="s">
        <v>176</v>
      </c>
      <c r="E212" s="152">
        <v>639</v>
      </c>
      <c r="F212" s="48" t="s">
        <v>176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19" t="s">
        <v>239</v>
      </c>
      <c r="D213" s="151" t="s">
        <v>176</v>
      </c>
      <c r="E213" s="152">
        <v>639</v>
      </c>
      <c r="F213" s="48" t="s">
        <v>176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19" t="s">
        <v>239</v>
      </c>
      <c r="D214" s="151" t="s">
        <v>176</v>
      </c>
      <c r="E214" s="152">
        <v>639</v>
      </c>
      <c r="F214" s="48" t="s">
        <v>176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19" t="s">
        <v>239</v>
      </c>
      <c r="D215" s="151" t="s">
        <v>176</v>
      </c>
      <c r="E215" s="152">
        <v>639</v>
      </c>
      <c r="F215" s="48" t="s">
        <v>176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19" t="s">
        <v>239</v>
      </c>
      <c r="D216" s="48" t="s">
        <v>176</v>
      </c>
      <c r="E216" s="43">
        <v>639</v>
      </c>
      <c r="F216" s="48" t="s">
        <v>176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19" t="s">
        <v>239</v>
      </c>
      <c r="D217" s="48" t="s">
        <v>176</v>
      </c>
      <c r="E217" s="166">
        <v>639</v>
      </c>
      <c r="F217" s="86" t="s">
        <v>176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19" t="s">
        <v>239</v>
      </c>
      <c r="D218" s="48" t="s">
        <v>176</v>
      </c>
      <c r="E218" s="166">
        <v>475.34</v>
      </c>
      <c r="F218" s="86" t="s">
        <v>176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19" t="s">
        <v>239</v>
      </c>
      <c r="D219" s="48" t="s">
        <v>176</v>
      </c>
      <c r="E219" s="166">
        <v>475.34</v>
      </c>
      <c r="F219" s="86" t="s">
        <v>176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19" t="s">
        <v>239</v>
      </c>
      <c r="D220" s="48" t="s">
        <v>176</v>
      </c>
      <c r="E220" s="166">
        <v>475.34</v>
      </c>
      <c r="F220" s="86" t="s">
        <v>176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19" t="s">
        <v>239</v>
      </c>
      <c r="D221" s="48" t="s">
        <v>176</v>
      </c>
      <c r="E221" s="43">
        <v>475.34</v>
      </c>
      <c r="F221" s="300" t="s">
        <v>176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19" t="s">
        <v>239</v>
      </c>
      <c r="D222" s="48" t="s">
        <v>176</v>
      </c>
      <c r="E222" s="166">
        <v>475.34</v>
      </c>
      <c r="F222" s="86" t="s">
        <v>176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19" t="s">
        <v>239</v>
      </c>
      <c r="D223" s="48" t="s">
        <v>176</v>
      </c>
      <c r="E223" s="166">
        <v>475.34</v>
      </c>
      <c r="F223" s="86" t="s">
        <v>176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19" t="s">
        <v>239</v>
      </c>
      <c r="D224" s="48" t="s">
        <v>176</v>
      </c>
      <c r="E224" s="166">
        <v>475.34</v>
      </c>
      <c r="F224" s="86" t="s">
        <v>176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19" t="s">
        <v>239</v>
      </c>
      <c r="D225" s="48" t="s">
        <v>176</v>
      </c>
      <c r="E225" s="166">
        <v>475.34</v>
      </c>
      <c r="F225" s="86" t="s">
        <v>176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19" t="s">
        <v>239</v>
      </c>
      <c r="D226" s="48" t="s">
        <v>176</v>
      </c>
      <c r="E226" s="166">
        <v>475.34</v>
      </c>
      <c r="F226" s="86" t="s">
        <v>176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19" t="s">
        <v>239</v>
      </c>
      <c r="D227" s="48" t="s">
        <v>176</v>
      </c>
      <c r="E227" s="166">
        <v>475.34</v>
      </c>
      <c r="F227" s="86" t="s">
        <v>176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309</v>
      </c>
      <c r="C228" s="219" t="s">
        <v>239</v>
      </c>
      <c r="D228" s="48" t="s">
        <v>244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311</v>
      </c>
      <c r="C229" s="219" t="s">
        <v>239</v>
      </c>
      <c r="D229" s="48" t="s">
        <v>244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312</v>
      </c>
      <c r="C230" s="219" t="s">
        <v>239</v>
      </c>
      <c r="D230" s="48" t="s">
        <v>244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313</v>
      </c>
      <c r="C231" s="219" t="s">
        <v>239</v>
      </c>
      <c r="D231" s="48" t="s">
        <v>244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314</v>
      </c>
      <c r="C232" s="219" t="s">
        <v>239</v>
      </c>
      <c r="D232" s="49" t="s">
        <v>241</v>
      </c>
      <c r="E232" s="166">
        <v>16471.25</v>
      </c>
      <c r="F232" s="301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315</v>
      </c>
      <c r="C233" s="219" t="s">
        <v>239</v>
      </c>
      <c r="D233" s="49" t="s">
        <v>241</v>
      </c>
      <c r="E233" s="166">
        <v>32931.5</v>
      </c>
      <c r="F233" s="301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316</v>
      </c>
      <c r="C234" s="219" t="s">
        <v>239</v>
      </c>
      <c r="D234" s="49" t="s">
        <v>241</v>
      </c>
      <c r="E234" s="166">
        <v>16209.5</v>
      </c>
      <c r="F234" s="301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317</v>
      </c>
      <c r="C235" s="219" t="s">
        <v>239</v>
      </c>
      <c r="D235" s="49" t="s">
        <v>241</v>
      </c>
      <c r="E235" s="166">
        <v>32417</v>
      </c>
      <c r="F235" s="301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318</v>
      </c>
      <c r="C236" s="219" t="s">
        <v>239</v>
      </c>
      <c r="D236" s="49" t="s">
        <v>241</v>
      </c>
      <c r="E236" s="166">
        <v>50250</v>
      </c>
      <c r="F236" s="301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319</v>
      </c>
      <c r="C237" s="219" t="s">
        <v>239</v>
      </c>
      <c r="D237" s="49" t="s">
        <v>241</v>
      </c>
      <c r="E237" s="166">
        <v>25131.5</v>
      </c>
      <c r="F237" s="301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320</v>
      </c>
      <c r="C238" s="219" t="s">
        <v>239</v>
      </c>
      <c r="D238" s="48" t="s">
        <v>243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321</v>
      </c>
      <c r="C239" s="219" t="s">
        <v>239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322</v>
      </c>
      <c r="C240" s="219" t="s">
        <v>239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323</v>
      </c>
      <c r="C241" s="219" t="s">
        <v>239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324</v>
      </c>
      <c r="C242" s="219" t="s">
        <v>239</v>
      </c>
      <c r="D242" s="48" t="s">
        <v>247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325</v>
      </c>
      <c r="C243" s="219" t="s">
        <v>239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326</v>
      </c>
      <c r="C244" s="219" t="s">
        <v>239</v>
      </c>
      <c r="D244" s="48" t="s">
        <v>244</v>
      </c>
      <c r="E244" s="43">
        <v>26000</v>
      </c>
      <c r="F244" s="193" t="s">
        <v>247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327</v>
      </c>
      <c r="C245" s="219" t="s">
        <v>239</v>
      </c>
      <c r="D245" s="48" t="s">
        <v>244</v>
      </c>
      <c r="E245" s="43">
        <v>13000</v>
      </c>
      <c r="F245" s="193" t="s">
        <v>247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328</v>
      </c>
      <c r="C246" s="276" t="s">
        <v>239</v>
      </c>
      <c r="D246" s="48" t="s">
        <v>244</v>
      </c>
      <c r="E246" s="141">
        <v>7000</v>
      </c>
      <c r="F246" s="193" t="s">
        <v>329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330</v>
      </c>
      <c r="C247" s="276" t="s">
        <v>239</v>
      </c>
      <c r="D247" s="48" t="s">
        <v>243</v>
      </c>
      <c r="E247" s="141">
        <v>12000</v>
      </c>
      <c r="F247" s="193" t="s">
        <v>329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331</v>
      </c>
      <c r="C248" s="276" t="s">
        <v>239</v>
      </c>
      <c r="D248" s="48" t="s">
        <v>113</v>
      </c>
      <c r="E248" s="141">
        <v>7266.666666666667</v>
      </c>
      <c r="F248" s="193" t="s">
        <v>329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332</v>
      </c>
      <c r="C249" s="276" t="s">
        <v>239</v>
      </c>
      <c r="D249" s="48" t="s">
        <v>113</v>
      </c>
      <c r="E249" s="141">
        <v>7266.666666666667</v>
      </c>
      <c r="F249" s="193" t="s">
        <v>329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333</v>
      </c>
      <c r="C250" s="276" t="s">
        <v>239</v>
      </c>
      <c r="D250" s="277" t="s">
        <v>113</v>
      </c>
      <c r="E250" s="141">
        <v>7266.665</v>
      </c>
      <c r="F250" s="278" t="s">
        <v>329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334</v>
      </c>
      <c r="C251" s="276" t="s">
        <v>239</v>
      </c>
      <c r="D251" s="277" t="s">
        <v>243</v>
      </c>
      <c r="E251" s="141">
        <v>5000</v>
      </c>
      <c r="F251" s="278" t="s">
        <v>329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335</v>
      </c>
      <c r="C252" s="276" t="s">
        <v>239</v>
      </c>
      <c r="D252" s="277" t="s">
        <v>244</v>
      </c>
      <c r="E252" s="303">
        <v>7183</v>
      </c>
      <c r="F252" s="278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336</v>
      </c>
      <c r="C253" s="276" t="s">
        <v>239</v>
      </c>
      <c r="D253" s="277" t="s">
        <v>244</v>
      </c>
      <c r="E253" s="303">
        <v>10597</v>
      </c>
      <c r="F253" s="278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337</v>
      </c>
      <c r="C254" s="276" t="s">
        <v>239</v>
      </c>
      <c r="D254" s="277" t="s">
        <v>113</v>
      </c>
      <c r="E254" s="141">
        <v>2866.6666666666665</v>
      </c>
      <c r="F254" s="278" t="s">
        <v>113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338</v>
      </c>
      <c r="C255" s="276" t="s">
        <v>239</v>
      </c>
      <c r="D255" s="277" t="s">
        <v>113</v>
      </c>
      <c r="E255" s="141">
        <v>2866.6666666666665</v>
      </c>
      <c r="F255" s="278" t="s">
        <v>113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339</v>
      </c>
      <c r="C256" s="276" t="s">
        <v>239</v>
      </c>
      <c r="D256" s="277" t="s">
        <v>247</v>
      </c>
      <c r="E256" s="141"/>
      <c r="F256" s="278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340</v>
      </c>
      <c r="C257" s="276" t="s">
        <v>239</v>
      </c>
      <c r="D257" s="277" t="s">
        <v>241</v>
      </c>
      <c r="E257" s="141">
        <v>8000</v>
      </c>
      <c r="F257" s="278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341</v>
      </c>
      <c r="C258" s="276" t="s">
        <v>239</v>
      </c>
      <c r="D258" s="277" t="s">
        <v>241</v>
      </c>
      <c r="E258" s="141">
        <v>10000</v>
      </c>
      <c r="F258" s="278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342</v>
      </c>
      <c r="C259" s="276" t="s">
        <v>239</v>
      </c>
      <c r="D259" s="277" t="s">
        <v>241</v>
      </c>
      <c r="E259" s="141">
        <v>10000</v>
      </c>
      <c r="F259" s="278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343</v>
      </c>
      <c r="C260" s="276" t="s">
        <v>239</v>
      </c>
      <c r="D260" s="277" t="s">
        <v>247</v>
      </c>
      <c r="E260" s="141"/>
      <c r="F260" s="278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344</v>
      </c>
      <c r="C261" s="276" t="s">
        <v>239</v>
      </c>
      <c r="D261" s="277" t="s">
        <v>208</v>
      </c>
      <c r="E261" s="141">
        <v>636792</v>
      </c>
      <c r="F261" s="278" t="s">
        <v>113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345</v>
      </c>
      <c r="C262" s="276" t="s">
        <v>239</v>
      </c>
      <c r="D262" s="277" t="s">
        <v>310</v>
      </c>
      <c r="E262" s="141">
        <v>28.18</v>
      </c>
      <c r="F262" s="278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346</v>
      </c>
      <c r="C263" s="276" t="s">
        <v>239</v>
      </c>
      <c r="D263" s="277" t="s">
        <v>310</v>
      </c>
      <c r="E263" s="141">
        <v>2700</v>
      </c>
      <c r="F263" s="278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347</v>
      </c>
      <c r="C264" s="276" t="s">
        <v>239</v>
      </c>
      <c r="D264" s="277" t="s">
        <v>310</v>
      </c>
      <c r="E264" s="141">
        <v>18.53</v>
      </c>
      <c r="F264" s="278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348</v>
      </c>
      <c r="C265" s="276" t="s">
        <v>239</v>
      </c>
      <c r="D265" s="277" t="s">
        <v>244</v>
      </c>
      <c r="E265" s="141">
        <v>1800</v>
      </c>
      <c r="F265" s="278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349</v>
      </c>
      <c r="C266" s="276" t="s">
        <v>239</v>
      </c>
      <c r="D266" s="277" t="s">
        <v>244</v>
      </c>
      <c r="E266" s="141">
        <v>1057</v>
      </c>
      <c r="F266" s="278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350</v>
      </c>
      <c r="C267" s="276" t="s">
        <v>239</v>
      </c>
      <c r="D267" s="277" t="s">
        <v>310</v>
      </c>
      <c r="E267" s="141">
        <v>18.53</v>
      </c>
      <c r="F267" s="278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351</v>
      </c>
      <c r="C268" s="276" t="s">
        <v>239</v>
      </c>
      <c r="D268" s="277" t="s">
        <v>310</v>
      </c>
      <c r="E268" s="141">
        <v>22.8</v>
      </c>
      <c r="F268" s="278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352</v>
      </c>
      <c r="C269" s="276" t="s">
        <v>239</v>
      </c>
      <c r="D269" s="277" t="s">
        <v>310</v>
      </c>
      <c r="E269" s="141">
        <v>22.8</v>
      </c>
      <c r="F269" s="278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353</v>
      </c>
      <c r="C270" s="276" t="s">
        <v>239</v>
      </c>
      <c r="D270" s="277" t="s">
        <v>310</v>
      </c>
      <c r="E270" s="141">
        <v>14.73</v>
      </c>
      <c r="F270" s="278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354</v>
      </c>
      <c r="C271" s="276" t="s">
        <v>239</v>
      </c>
      <c r="D271" s="277" t="s">
        <v>310</v>
      </c>
      <c r="E271" s="141">
        <v>14.73</v>
      </c>
      <c r="F271" s="278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355</v>
      </c>
      <c r="C272" s="276" t="s">
        <v>239</v>
      </c>
      <c r="D272" s="277" t="s">
        <v>244</v>
      </c>
      <c r="E272" s="141">
        <v>819.99999999999989</v>
      </c>
      <c r="F272" s="278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356</v>
      </c>
      <c r="C273" s="276" t="s">
        <v>239</v>
      </c>
      <c r="D273" s="277" t="s">
        <v>244</v>
      </c>
      <c r="E273" s="141">
        <v>1170</v>
      </c>
      <c r="F273" s="278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357</v>
      </c>
      <c r="C274" s="276" t="s">
        <v>239</v>
      </c>
      <c r="D274" s="277" t="s">
        <v>244</v>
      </c>
      <c r="E274" s="141">
        <v>8000</v>
      </c>
      <c r="F274" s="278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358</v>
      </c>
      <c r="C275" s="276" t="s">
        <v>239</v>
      </c>
      <c r="D275" s="277" t="s">
        <v>244</v>
      </c>
      <c r="E275" s="141">
        <v>11000</v>
      </c>
      <c r="F275" s="278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359</v>
      </c>
      <c r="C276" s="276" t="s">
        <v>239</v>
      </c>
      <c r="D276" s="277" t="s">
        <v>244</v>
      </c>
      <c r="E276" s="141">
        <v>10858</v>
      </c>
      <c r="F276" s="278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360</v>
      </c>
      <c r="C277" s="276" t="s">
        <v>239</v>
      </c>
      <c r="D277" s="277" t="s">
        <v>244</v>
      </c>
      <c r="E277" s="141">
        <v>13999.16</v>
      </c>
      <c r="F277" s="278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361</v>
      </c>
      <c r="C278" s="276" t="s">
        <v>239</v>
      </c>
      <c r="D278" s="277" t="s">
        <v>241</v>
      </c>
      <c r="E278" s="141"/>
      <c r="F278" s="278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362</v>
      </c>
      <c r="C279" s="276" t="s">
        <v>239</v>
      </c>
      <c r="D279" s="277" t="s">
        <v>247</v>
      </c>
      <c r="E279" s="141"/>
      <c r="F279" s="278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363</v>
      </c>
      <c r="C280" s="276" t="s">
        <v>239</v>
      </c>
      <c r="D280" s="277" t="s">
        <v>247</v>
      </c>
      <c r="E280" s="141"/>
      <c r="F280" s="278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364</v>
      </c>
      <c r="C281" s="276" t="s">
        <v>239</v>
      </c>
      <c r="D281" s="277" t="s">
        <v>365</v>
      </c>
      <c r="E281" s="141"/>
      <c r="F281" s="277" t="s">
        <v>365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366</v>
      </c>
      <c r="C282" s="276" t="s">
        <v>239</v>
      </c>
      <c r="D282" s="277" t="s">
        <v>218</v>
      </c>
      <c r="E282" s="141">
        <v>4776.666666666667</v>
      </c>
      <c r="F282" s="278" t="s">
        <v>113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367</v>
      </c>
      <c r="C283" s="276" t="s">
        <v>239</v>
      </c>
      <c r="D283" s="277" t="s">
        <v>244</v>
      </c>
      <c r="E283" s="141">
        <v>1035.3</v>
      </c>
      <c r="F283" s="278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368</v>
      </c>
      <c r="C284" s="276" t="s">
        <v>239</v>
      </c>
      <c r="D284" s="277" t="s">
        <v>243</v>
      </c>
      <c r="E284" s="141">
        <v>700</v>
      </c>
      <c r="F284" s="278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369</v>
      </c>
      <c r="C285" s="276" t="s">
        <v>239</v>
      </c>
      <c r="D285" s="277" t="s">
        <v>243</v>
      </c>
      <c r="E285" s="141">
        <v>1100</v>
      </c>
      <c r="F285" s="278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370</v>
      </c>
      <c r="C286" s="276" t="s">
        <v>239</v>
      </c>
      <c r="D286" s="277" t="s">
        <v>310</v>
      </c>
      <c r="E286" s="141">
        <v>1000</v>
      </c>
      <c r="F286" s="278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371</v>
      </c>
      <c r="C287" s="276" t="s">
        <v>239</v>
      </c>
      <c r="D287" s="277" t="s">
        <v>244</v>
      </c>
      <c r="E287" s="141">
        <v>700</v>
      </c>
      <c r="F287" s="278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372</v>
      </c>
      <c r="C288" s="276" t="s">
        <v>239</v>
      </c>
      <c r="D288" s="48" t="s">
        <v>244</v>
      </c>
      <c r="E288" s="166">
        <v>84</v>
      </c>
      <c r="F288" s="278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373</v>
      </c>
      <c r="C289" s="276" t="s">
        <v>239</v>
      </c>
      <c r="D289" s="277" t="s">
        <v>244</v>
      </c>
      <c r="E289" s="166">
        <v>10780</v>
      </c>
      <c r="F289" s="278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95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80</v>
      </c>
      <c r="B515" s="125" t="s">
        <v>97</v>
      </c>
      <c r="C515" s="119" t="s">
        <v>98</v>
      </c>
      <c r="D515" s="103" t="s">
        <v>99</v>
      </c>
      <c r="E515" s="69" t="s">
        <v>100</v>
      </c>
      <c r="F515" s="187" t="s">
        <v>101</v>
      </c>
      <c r="G515" s="71" t="s">
        <v>102</v>
      </c>
      <c r="H515" s="72" t="s">
        <v>103</v>
      </c>
      <c r="I515" s="72" t="s">
        <v>104</v>
      </c>
      <c r="J515" s="74" t="s">
        <v>105</v>
      </c>
    </row>
    <row r="516" spans="1:10" ht="15" customHeight="1">
      <c r="A516" s="41">
        <v>1</v>
      </c>
      <c r="B516" s="146" t="s">
        <v>374</v>
      </c>
      <c r="C516" s="219" t="s">
        <v>26</v>
      </c>
      <c r="D516" s="48" t="s">
        <v>375</v>
      </c>
      <c r="E516" s="43">
        <v>380</v>
      </c>
      <c r="F516" s="188" t="s">
        <v>375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376</v>
      </c>
      <c r="C517" s="219" t="s">
        <v>26</v>
      </c>
      <c r="D517" s="50" t="s">
        <v>375</v>
      </c>
      <c r="E517" s="52">
        <v>848.47</v>
      </c>
      <c r="F517" s="51" t="s">
        <v>375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377</v>
      </c>
      <c r="C518" s="219" t="s">
        <v>26</v>
      </c>
      <c r="D518" s="50" t="s">
        <v>375</v>
      </c>
      <c r="E518" s="43">
        <v>815</v>
      </c>
      <c r="F518" s="188" t="s">
        <v>375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378</v>
      </c>
      <c r="C519" s="219" t="s">
        <v>26</v>
      </c>
      <c r="D519" s="50" t="s">
        <v>375</v>
      </c>
      <c r="E519" s="43">
        <v>623.66666666666663</v>
      </c>
      <c r="F519" s="188" t="s">
        <v>375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379</v>
      </c>
      <c r="C520" s="219" t="s">
        <v>26</v>
      </c>
      <c r="D520" s="48" t="s">
        <v>375</v>
      </c>
      <c r="E520" s="43">
        <v>698.53</v>
      </c>
      <c r="F520" s="188" t="s">
        <v>375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380</v>
      </c>
      <c r="C521" s="219" t="s">
        <v>26</v>
      </c>
      <c r="D521" s="48" t="s">
        <v>375</v>
      </c>
      <c r="E521" s="43">
        <v>390.66666666666669</v>
      </c>
      <c r="F521" s="188" t="s">
        <v>375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381</v>
      </c>
      <c r="C522" s="219" t="s">
        <v>26</v>
      </c>
      <c r="D522" s="48" t="s">
        <v>375</v>
      </c>
      <c r="E522" s="43">
        <v>477.19</v>
      </c>
      <c r="F522" s="51" t="s">
        <v>375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382</v>
      </c>
      <c r="C523" s="219" t="s">
        <v>26</v>
      </c>
      <c r="D523" s="48" t="s">
        <v>375</v>
      </c>
      <c r="E523" s="43">
        <v>998.41</v>
      </c>
      <c r="F523" s="188" t="s">
        <v>375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383</v>
      </c>
      <c r="C524" s="219" t="s">
        <v>26</v>
      </c>
      <c r="D524" s="48" t="s">
        <v>375</v>
      </c>
      <c r="E524" s="43">
        <v>898.44999999999993</v>
      </c>
      <c r="F524" s="188" t="s">
        <v>375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384</v>
      </c>
      <c r="C525" s="219" t="s">
        <v>26</v>
      </c>
      <c r="D525" s="215" t="s">
        <v>375</v>
      </c>
      <c r="E525" s="217">
        <v>1500</v>
      </c>
      <c r="F525" s="174" t="s">
        <v>375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385</v>
      </c>
      <c r="C526" s="219" t="s">
        <v>26</v>
      </c>
      <c r="D526" s="48" t="s">
        <v>375</v>
      </c>
      <c r="E526" s="216">
        <v>53371.5</v>
      </c>
      <c r="F526" s="51" t="s">
        <v>375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386</v>
      </c>
      <c r="C527" s="219" t="s">
        <v>26</v>
      </c>
      <c r="D527" s="48" t="s">
        <v>375</v>
      </c>
      <c r="E527" s="43">
        <v>897.26</v>
      </c>
      <c r="F527" s="188" t="s">
        <v>375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387</v>
      </c>
      <c r="C528" s="219" t="s">
        <v>26</v>
      </c>
      <c r="D528" s="53" t="s">
        <v>375</v>
      </c>
      <c r="E528" s="43">
        <v>1673.3335</v>
      </c>
      <c r="F528" s="188" t="s">
        <v>375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27</v>
      </c>
      <c r="C529" s="219" t="s">
        <v>26</v>
      </c>
      <c r="D529" s="50" t="s">
        <v>375</v>
      </c>
      <c r="E529" s="45">
        <v>250</v>
      </c>
      <c r="F529" s="51" t="s">
        <v>375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388</v>
      </c>
      <c r="C530" s="219" t="s">
        <v>26</v>
      </c>
      <c r="D530" s="50" t="s">
        <v>375</v>
      </c>
      <c r="E530" s="52">
        <v>898.45</v>
      </c>
      <c r="F530" s="51" t="s">
        <v>375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389</v>
      </c>
      <c r="C531" s="219" t="s">
        <v>26</v>
      </c>
      <c r="D531" s="50" t="s">
        <v>375</v>
      </c>
      <c r="E531" s="52">
        <v>898.45</v>
      </c>
      <c r="F531" s="51" t="s">
        <v>375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390</v>
      </c>
      <c r="C532" s="219" t="s">
        <v>26</v>
      </c>
      <c r="D532" s="214" t="s">
        <v>375</v>
      </c>
      <c r="E532" s="145">
        <v>549.78</v>
      </c>
      <c r="F532" s="51" t="s">
        <v>375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391</v>
      </c>
      <c r="C533" s="219" t="s">
        <v>26</v>
      </c>
      <c r="D533" s="214" t="s">
        <v>375</v>
      </c>
      <c r="E533" s="218">
        <v>357</v>
      </c>
      <c r="F533" s="51" t="s">
        <v>375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392</v>
      </c>
      <c r="C534" s="219" t="s">
        <v>26</v>
      </c>
      <c r="D534" s="214" t="s">
        <v>375</v>
      </c>
      <c r="E534" s="145">
        <v>998.41</v>
      </c>
      <c r="F534" s="51" t="s">
        <v>375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393</v>
      </c>
      <c r="C535" s="219" t="s">
        <v>26</v>
      </c>
      <c r="D535" s="144" t="s">
        <v>375</v>
      </c>
      <c r="E535" s="145">
        <v>898.45</v>
      </c>
      <c r="F535" s="54" t="s">
        <v>375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394</v>
      </c>
      <c r="C536" s="219" t="s">
        <v>26</v>
      </c>
      <c r="D536" s="172" t="s">
        <v>375</v>
      </c>
      <c r="E536" s="173">
        <v>1200</v>
      </c>
      <c r="F536" s="174" t="s">
        <v>375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395</v>
      </c>
      <c r="C537" s="219" t="s">
        <v>26</v>
      </c>
      <c r="D537" s="144" t="s">
        <v>375</v>
      </c>
      <c r="E537" s="141">
        <v>1217</v>
      </c>
      <c r="F537" s="188" t="s">
        <v>375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396</v>
      </c>
      <c r="C538" s="219" t="s">
        <v>26</v>
      </c>
      <c r="D538" s="144" t="s">
        <v>375</v>
      </c>
      <c r="E538" s="145">
        <v>759.22</v>
      </c>
      <c r="F538" s="51" t="s">
        <v>375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95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80</v>
      </c>
      <c r="B561" s="178" t="s">
        <v>97</v>
      </c>
      <c r="C561" s="66" t="s">
        <v>98</v>
      </c>
      <c r="D561" s="67" t="s">
        <v>99</v>
      </c>
      <c r="E561" s="69" t="s">
        <v>100</v>
      </c>
      <c r="F561" s="187" t="s">
        <v>101</v>
      </c>
      <c r="G561" s="71" t="s">
        <v>102</v>
      </c>
      <c r="H561" s="72" t="s">
        <v>103</v>
      </c>
      <c r="I561" s="179" t="s">
        <v>104</v>
      </c>
      <c r="J561" s="75" t="s">
        <v>105</v>
      </c>
    </row>
    <row r="562" spans="1:10" ht="15" customHeight="1">
      <c r="A562" s="41">
        <v>1</v>
      </c>
      <c r="B562" s="232" t="s">
        <v>397</v>
      </c>
      <c r="C562" s="219" t="s">
        <v>28</v>
      </c>
      <c r="D562" s="48" t="s">
        <v>113</v>
      </c>
      <c r="E562" s="43">
        <v>304.64</v>
      </c>
      <c r="F562" s="188" t="s">
        <v>113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398</v>
      </c>
      <c r="C563" s="219" t="s">
        <v>28</v>
      </c>
      <c r="D563" s="48" t="s">
        <v>113</v>
      </c>
      <c r="E563" s="55">
        <v>3356</v>
      </c>
      <c r="F563" s="194" t="s">
        <v>113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399</v>
      </c>
      <c r="C564" s="219" t="s">
        <v>28</v>
      </c>
      <c r="D564" s="48" t="s">
        <v>113</v>
      </c>
      <c r="E564" s="55">
        <v>304.64</v>
      </c>
      <c r="F564" s="194" t="s">
        <v>113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400</v>
      </c>
      <c r="C565" s="219" t="s">
        <v>28</v>
      </c>
      <c r="D565" s="48" t="s">
        <v>113</v>
      </c>
      <c r="E565" s="43">
        <v>304.64</v>
      </c>
      <c r="F565" s="188" t="s">
        <v>113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401</v>
      </c>
      <c r="C566" s="219" t="s">
        <v>28</v>
      </c>
      <c r="D566" s="48" t="s">
        <v>113</v>
      </c>
      <c r="E566" s="55">
        <v>304.64</v>
      </c>
      <c r="F566" s="194" t="s">
        <v>113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402</v>
      </c>
      <c r="C567" s="219" t="s">
        <v>28</v>
      </c>
      <c r="D567" s="48" t="s">
        <v>113</v>
      </c>
      <c r="E567" s="43">
        <v>304.64</v>
      </c>
      <c r="F567" s="188" t="s">
        <v>113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403</v>
      </c>
      <c r="C568" s="219" t="s">
        <v>28</v>
      </c>
      <c r="D568" s="48" t="s">
        <v>113</v>
      </c>
      <c r="E568" s="55">
        <v>304.64</v>
      </c>
      <c r="F568" s="194" t="s">
        <v>113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404</v>
      </c>
      <c r="C569" s="219" t="s">
        <v>28</v>
      </c>
      <c r="D569" s="48" t="s">
        <v>113</v>
      </c>
      <c r="E569" s="43">
        <v>304.64</v>
      </c>
      <c r="F569" s="188" t="s">
        <v>113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405</v>
      </c>
      <c r="C570" s="219" t="s">
        <v>28</v>
      </c>
      <c r="D570" s="48" t="s">
        <v>113</v>
      </c>
      <c r="E570" s="43">
        <v>304.64</v>
      </c>
      <c r="F570" s="188" t="s">
        <v>113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406</v>
      </c>
      <c r="C571" s="219" t="s">
        <v>28</v>
      </c>
      <c r="D571" s="48" t="s">
        <v>113</v>
      </c>
      <c r="E571" s="55">
        <v>304.64</v>
      </c>
      <c r="F571" s="194" t="s">
        <v>113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407</v>
      </c>
      <c r="C572" s="219" t="s">
        <v>28</v>
      </c>
      <c r="D572" s="48" t="s">
        <v>113</v>
      </c>
      <c r="E572" s="43">
        <v>2400</v>
      </c>
      <c r="F572" s="188" t="s">
        <v>113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408</v>
      </c>
      <c r="C573" s="219" t="s">
        <v>28</v>
      </c>
      <c r="D573" s="48" t="s">
        <v>113</v>
      </c>
      <c r="E573" s="43">
        <v>2400</v>
      </c>
      <c r="F573" s="188" t="s">
        <v>113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409</v>
      </c>
      <c r="C574" s="219" t="s">
        <v>28</v>
      </c>
      <c r="D574" s="48" t="s">
        <v>113</v>
      </c>
      <c r="E574" s="43">
        <v>2400</v>
      </c>
      <c r="F574" s="188" t="s">
        <v>113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410</v>
      </c>
      <c r="C575" s="219" t="s">
        <v>28</v>
      </c>
      <c r="D575" s="48" t="s">
        <v>113</v>
      </c>
      <c r="E575" s="43">
        <v>2400</v>
      </c>
      <c r="F575" s="188" t="s">
        <v>113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411</v>
      </c>
      <c r="C576" s="219" t="s">
        <v>28</v>
      </c>
      <c r="D576" s="48" t="s">
        <v>113</v>
      </c>
      <c r="E576" s="43">
        <v>2400</v>
      </c>
      <c r="F576" s="188" t="s">
        <v>113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412</v>
      </c>
      <c r="C577" s="219" t="s">
        <v>28</v>
      </c>
      <c r="D577" s="48" t="s">
        <v>113</v>
      </c>
      <c r="E577" s="43">
        <v>2400</v>
      </c>
      <c r="F577" s="188" t="s">
        <v>113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413</v>
      </c>
      <c r="C578" s="219" t="s">
        <v>28</v>
      </c>
      <c r="D578" s="48" t="s">
        <v>113</v>
      </c>
      <c r="E578" s="43">
        <v>304.64</v>
      </c>
      <c r="F578" s="194" t="s">
        <v>113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414</v>
      </c>
      <c r="C579" s="219" t="s">
        <v>28</v>
      </c>
      <c r="D579" s="48" t="s">
        <v>113</v>
      </c>
      <c r="E579" s="43">
        <v>304.64</v>
      </c>
      <c r="F579" s="188" t="s">
        <v>113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415</v>
      </c>
      <c r="C580" s="219" t="s">
        <v>28</v>
      </c>
      <c r="D580" s="48" t="s">
        <v>113</v>
      </c>
      <c r="E580" s="43">
        <v>304.64</v>
      </c>
      <c r="F580" s="188" t="s">
        <v>113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416</v>
      </c>
      <c r="C581" s="219" t="s">
        <v>28</v>
      </c>
      <c r="D581" s="48" t="s">
        <v>113</v>
      </c>
      <c r="E581" s="43">
        <v>304.64</v>
      </c>
      <c r="F581" s="188" t="s">
        <v>113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417</v>
      </c>
      <c r="C582" s="219" t="s">
        <v>28</v>
      </c>
      <c r="D582" s="48" t="s">
        <v>113</v>
      </c>
      <c r="E582" s="43">
        <v>304.64</v>
      </c>
      <c r="F582" s="188" t="s">
        <v>113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418</v>
      </c>
      <c r="C583" s="219" t="s">
        <v>28</v>
      </c>
      <c r="D583" s="48" t="s">
        <v>113</v>
      </c>
      <c r="E583" s="55">
        <v>304.64</v>
      </c>
      <c r="F583" s="194" t="s">
        <v>113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419</v>
      </c>
      <c r="C584" s="219" t="s">
        <v>28</v>
      </c>
      <c r="D584" s="48" t="s">
        <v>113</v>
      </c>
      <c r="E584" s="43">
        <v>304.64</v>
      </c>
      <c r="F584" s="188" t="s">
        <v>113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420</v>
      </c>
      <c r="C585" s="219" t="s">
        <v>28</v>
      </c>
      <c r="D585" s="48" t="s">
        <v>113</v>
      </c>
      <c r="E585" s="43">
        <v>304.64</v>
      </c>
      <c r="F585" s="188" t="s">
        <v>113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421</v>
      </c>
      <c r="C586" s="219" t="s">
        <v>28</v>
      </c>
      <c r="D586" s="48" t="s">
        <v>113</v>
      </c>
      <c r="E586" s="43">
        <v>304.64</v>
      </c>
      <c r="F586" s="188" t="s">
        <v>113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422</v>
      </c>
      <c r="C587" s="219" t="s">
        <v>28</v>
      </c>
      <c r="D587" s="48" t="s">
        <v>113</v>
      </c>
      <c r="E587" s="43">
        <v>304.64</v>
      </c>
      <c r="F587" s="188" t="s">
        <v>113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423</v>
      </c>
      <c r="C588" s="219" t="s">
        <v>28</v>
      </c>
      <c r="D588" s="48" t="s">
        <v>113</v>
      </c>
      <c r="E588" s="43">
        <v>304.64</v>
      </c>
      <c r="F588" s="188" t="s">
        <v>113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424</v>
      </c>
      <c r="C589" s="219" t="s">
        <v>28</v>
      </c>
      <c r="D589" s="48" t="s">
        <v>113</v>
      </c>
      <c r="E589" s="43">
        <v>304.64</v>
      </c>
      <c r="F589" s="188" t="s">
        <v>113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425</v>
      </c>
      <c r="C590" s="219" t="s">
        <v>28</v>
      </c>
      <c r="D590" s="48" t="s">
        <v>113</v>
      </c>
      <c r="E590" s="43">
        <v>304.64</v>
      </c>
      <c r="F590" s="188" t="s">
        <v>113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426</v>
      </c>
      <c r="C591" s="219" t="s">
        <v>28</v>
      </c>
      <c r="D591" s="48" t="s">
        <v>113</v>
      </c>
      <c r="E591" s="43">
        <v>304.64</v>
      </c>
      <c r="F591" s="188" t="s">
        <v>113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427</v>
      </c>
      <c r="C592" s="219" t="s">
        <v>28</v>
      </c>
      <c r="D592" s="48" t="s">
        <v>113</v>
      </c>
      <c r="E592" s="55">
        <v>304.64</v>
      </c>
      <c r="F592" s="194" t="s">
        <v>113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428</v>
      </c>
      <c r="C593" s="219" t="s">
        <v>28</v>
      </c>
      <c r="D593" s="48" t="s">
        <v>113</v>
      </c>
      <c r="E593" s="43">
        <v>304.64</v>
      </c>
      <c r="F593" s="188" t="s">
        <v>113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429</v>
      </c>
      <c r="C594" s="219" t="s">
        <v>28</v>
      </c>
      <c r="D594" s="48" t="s">
        <v>113</v>
      </c>
      <c r="E594" s="43">
        <v>3356</v>
      </c>
      <c r="F594" s="188" t="s">
        <v>113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430</v>
      </c>
      <c r="C595" s="219" t="s">
        <v>28</v>
      </c>
      <c r="D595" s="48" t="s">
        <v>113</v>
      </c>
      <c r="E595" s="43">
        <v>3356</v>
      </c>
      <c r="F595" s="188" t="s">
        <v>113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431</v>
      </c>
      <c r="C596" s="219" t="s">
        <v>28</v>
      </c>
      <c r="D596" s="48" t="s">
        <v>113</v>
      </c>
      <c r="E596" s="43">
        <v>3356</v>
      </c>
      <c r="F596" s="188" t="s">
        <v>113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432</v>
      </c>
      <c r="C597" s="219" t="s">
        <v>28</v>
      </c>
      <c r="D597" s="48" t="s">
        <v>113</v>
      </c>
      <c r="E597" s="43">
        <v>3356</v>
      </c>
      <c r="F597" s="188" t="s">
        <v>113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433</v>
      </c>
      <c r="C598" s="219" t="s">
        <v>28</v>
      </c>
      <c r="D598" s="48" t="s">
        <v>113</v>
      </c>
      <c r="E598" s="43">
        <v>3356</v>
      </c>
      <c r="F598" s="188" t="s">
        <v>113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434</v>
      </c>
      <c r="C599" s="219" t="s">
        <v>28</v>
      </c>
      <c r="D599" s="48" t="s">
        <v>113</v>
      </c>
      <c r="E599" s="43">
        <v>3356</v>
      </c>
      <c r="F599" s="188" t="s">
        <v>113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435</v>
      </c>
      <c r="C600" s="219" t="s">
        <v>28</v>
      </c>
      <c r="D600" s="48" t="s">
        <v>113</v>
      </c>
      <c r="E600" s="43">
        <v>3356</v>
      </c>
      <c r="F600" s="188" t="s">
        <v>113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436</v>
      </c>
      <c r="C601" s="219" t="s">
        <v>28</v>
      </c>
      <c r="D601" s="48" t="s">
        <v>113</v>
      </c>
      <c r="E601" s="43">
        <v>3356</v>
      </c>
      <c r="F601" s="188" t="s">
        <v>113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437</v>
      </c>
      <c r="C602" s="219" t="s">
        <v>28</v>
      </c>
      <c r="D602" s="48" t="s">
        <v>113</v>
      </c>
      <c r="E602" s="43">
        <v>3356</v>
      </c>
      <c r="F602" s="188" t="s">
        <v>113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438</v>
      </c>
      <c r="C603" s="219" t="s">
        <v>28</v>
      </c>
      <c r="D603" s="48" t="s">
        <v>113</v>
      </c>
      <c r="E603" s="43">
        <v>3356</v>
      </c>
      <c r="F603" s="188" t="s">
        <v>113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439</v>
      </c>
      <c r="C604" s="219" t="s">
        <v>28</v>
      </c>
      <c r="D604" s="48" t="s">
        <v>113</v>
      </c>
      <c r="E604" s="43">
        <v>3356</v>
      </c>
      <c r="F604" s="188" t="s">
        <v>113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440</v>
      </c>
      <c r="C605" s="219" t="s">
        <v>28</v>
      </c>
      <c r="D605" s="48" t="s">
        <v>113</v>
      </c>
      <c r="E605" s="43">
        <v>1537.48</v>
      </c>
      <c r="F605" s="188" t="s">
        <v>113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441</v>
      </c>
      <c r="C606" s="219" t="s">
        <v>28</v>
      </c>
      <c r="D606" s="48" t="s">
        <v>113</v>
      </c>
      <c r="E606" s="55">
        <v>1537.48</v>
      </c>
      <c r="F606" s="188" t="s">
        <v>113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442</v>
      </c>
      <c r="C607" s="219" t="s">
        <v>28</v>
      </c>
      <c r="D607" s="48" t="s">
        <v>113</v>
      </c>
      <c r="E607" s="43">
        <v>1537.48</v>
      </c>
      <c r="F607" s="188" t="s">
        <v>113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443</v>
      </c>
      <c r="C608" s="219" t="s">
        <v>28</v>
      </c>
      <c r="D608" s="48" t="s">
        <v>113</v>
      </c>
      <c r="E608" s="43">
        <v>1537.48</v>
      </c>
      <c r="F608" s="188" t="s">
        <v>113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444</v>
      </c>
      <c r="C609" s="219" t="s">
        <v>28</v>
      </c>
      <c r="D609" s="48" t="s">
        <v>113</v>
      </c>
      <c r="E609" s="55">
        <v>1537.48</v>
      </c>
      <c r="F609" s="194" t="s">
        <v>113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445</v>
      </c>
      <c r="C610" s="219" t="s">
        <v>28</v>
      </c>
      <c r="D610" s="48" t="s">
        <v>113</v>
      </c>
      <c r="E610" s="55">
        <v>2727.48</v>
      </c>
      <c r="F610" s="188" t="s">
        <v>113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446</v>
      </c>
      <c r="C611" s="219" t="s">
        <v>28</v>
      </c>
      <c r="D611" s="48" t="s">
        <v>113</v>
      </c>
      <c r="E611" s="55">
        <v>1537.48</v>
      </c>
      <c r="F611" s="194" t="s">
        <v>113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447</v>
      </c>
      <c r="C612" s="219" t="s">
        <v>28</v>
      </c>
      <c r="D612" s="48" t="s">
        <v>113</v>
      </c>
      <c r="E612" s="55">
        <v>11057</v>
      </c>
      <c r="F612" s="194" t="s">
        <v>113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448</v>
      </c>
      <c r="C613" s="219" t="s">
        <v>28</v>
      </c>
      <c r="D613" s="48" t="s">
        <v>113</v>
      </c>
      <c r="E613" s="55">
        <v>11057</v>
      </c>
      <c r="F613" s="194" t="s">
        <v>113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449</v>
      </c>
      <c r="C614" s="219" t="s">
        <v>28</v>
      </c>
      <c r="D614" s="48" t="s">
        <v>113</v>
      </c>
      <c r="E614" s="55">
        <v>375</v>
      </c>
      <c r="F614" s="194" t="s">
        <v>113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450</v>
      </c>
      <c r="C615" s="219" t="s">
        <v>28</v>
      </c>
      <c r="D615" s="48" t="s">
        <v>113</v>
      </c>
      <c r="E615" s="55">
        <v>1006.6666666666666</v>
      </c>
      <c r="F615" s="194" t="s">
        <v>113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451</v>
      </c>
      <c r="C616" s="219" t="s">
        <v>28</v>
      </c>
      <c r="D616" s="48" t="s">
        <v>113</v>
      </c>
      <c r="E616" s="55">
        <v>375</v>
      </c>
      <c r="F616" s="194" t="s">
        <v>113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452</v>
      </c>
      <c r="C617" s="219" t="s">
        <v>28</v>
      </c>
      <c r="D617" s="48" t="s">
        <v>113</v>
      </c>
      <c r="E617" s="55">
        <v>375</v>
      </c>
      <c r="F617" s="194" t="s">
        <v>113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453</v>
      </c>
      <c r="C618" s="219" t="s">
        <v>28</v>
      </c>
      <c r="D618" s="48" t="s">
        <v>113</v>
      </c>
      <c r="E618" s="55">
        <v>177.31</v>
      </c>
      <c r="F618" s="194" t="s">
        <v>113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454</v>
      </c>
      <c r="C619" s="219" t="s">
        <v>28</v>
      </c>
      <c r="D619" s="48" t="s">
        <v>113</v>
      </c>
      <c r="E619" s="55">
        <v>177.31</v>
      </c>
      <c r="F619" s="194" t="s">
        <v>113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455</v>
      </c>
      <c r="C620" s="219" t="s">
        <v>28</v>
      </c>
      <c r="D620" s="48" t="s">
        <v>113</v>
      </c>
      <c r="E620" s="55">
        <v>177.31</v>
      </c>
      <c r="F620" s="194" t="s">
        <v>113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456</v>
      </c>
      <c r="C621" s="219" t="s">
        <v>28</v>
      </c>
      <c r="D621" s="48" t="s">
        <v>113</v>
      </c>
      <c r="E621" s="55">
        <v>177.31</v>
      </c>
      <c r="F621" s="194" t="s">
        <v>113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457</v>
      </c>
      <c r="C622" s="219" t="s">
        <v>28</v>
      </c>
      <c r="D622" s="48" t="s">
        <v>113</v>
      </c>
      <c r="E622" s="43">
        <v>1280.44</v>
      </c>
      <c r="F622" s="194" t="s">
        <v>113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458</v>
      </c>
      <c r="C623" s="219" t="s">
        <v>28</v>
      </c>
      <c r="D623" s="48" t="s">
        <v>113</v>
      </c>
      <c r="E623" s="55">
        <v>1280.44</v>
      </c>
      <c r="F623" s="194" t="s">
        <v>113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459</v>
      </c>
      <c r="C624" s="219" t="s">
        <v>28</v>
      </c>
      <c r="D624" s="48" t="s">
        <v>113</v>
      </c>
      <c r="E624" s="43">
        <v>1280.44</v>
      </c>
      <c r="F624" s="194" t="s">
        <v>113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460</v>
      </c>
      <c r="C625" s="219" t="s">
        <v>28</v>
      </c>
      <c r="D625" s="48" t="s">
        <v>113</v>
      </c>
      <c r="E625" s="43">
        <v>1280.44</v>
      </c>
      <c r="F625" s="194" t="s">
        <v>113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461</v>
      </c>
      <c r="C626" s="219" t="s">
        <v>28</v>
      </c>
      <c r="D626" s="48" t="s">
        <v>113</v>
      </c>
      <c r="E626" s="43">
        <v>1280.44</v>
      </c>
      <c r="F626" s="194" t="s">
        <v>113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462</v>
      </c>
      <c r="C627" s="219" t="s">
        <v>28</v>
      </c>
      <c r="D627" s="48" t="s">
        <v>113</v>
      </c>
      <c r="E627" s="55">
        <v>1280.44</v>
      </c>
      <c r="F627" s="194" t="s">
        <v>113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463</v>
      </c>
      <c r="C628" s="219" t="s">
        <v>28</v>
      </c>
      <c r="D628" s="48" t="s">
        <v>113</v>
      </c>
      <c r="E628" s="43">
        <v>1280.44</v>
      </c>
      <c r="F628" s="194" t="s">
        <v>113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464</v>
      </c>
      <c r="C629" s="219" t="s">
        <v>28</v>
      </c>
      <c r="D629" s="48" t="s">
        <v>113</v>
      </c>
      <c r="E629" s="55">
        <v>14750</v>
      </c>
      <c r="F629" s="194" t="s">
        <v>113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465</v>
      </c>
      <c r="C630" s="219" t="s">
        <v>28</v>
      </c>
      <c r="D630" s="48" t="s">
        <v>113</v>
      </c>
      <c r="E630" s="55">
        <v>14750</v>
      </c>
      <c r="F630" s="194" t="s">
        <v>113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466</v>
      </c>
      <c r="C631" s="219" t="s">
        <v>28</v>
      </c>
      <c r="D631" s="48" t="s">
        <v>113</v>
      </c>
      <c r="E631" s="55">
        <v>4799.2700000000004</v>
      </c>
      <c r="F631" s="194" t="s">
        <v>113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467</v>
      </c>
      <c r="C632" s="219" t="s">
        <v>28</v>
      </c>
      <c r="D632" s="48" t="s">
        <v>113</v>
      </c>
      <c r="E632" s="55">
        <v>4799.2700000000004</v>
      </c>
      <c r="F632" s="194" t="s">
        <v>113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468</v>
      </c>
      <c r="C633" s="219" t="s">
        <v>28</v>
      </c>
      <c r="D633" s="48" t="s">
        <v>113</v>
      </c>
      <c r="E633" s="55">
        <v>1000</v>
      </c>
      <c r="F633" s="194" t="s">
        <v>113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469</v>
      </c>
      <c r="C634" s="219" t="s">
        <v>28</v>
      </c>
      <c r="D634" s="48" t="s">
        <v>113</v>
      </c>
      <c r="E634" s="55">
        <v>1000</v>
      </c>
      <c r="F634" s="194" t="s">
        <v>113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470</v>
      </c>
      <c r="C635" s="219" t="s">
        <v>28</v>
      </c>
      <c r="D635" s="48" t="s">
        <v>113</v>
      </c>
      <c r="E635" s="55">
        <v>6957.9299999999994</v>
      </c>
      <c r="F635" s="194" t="s">
        <v>113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471</v>
      </c>
      <c r="C636" s="219" t="s">
        <v>28</v>
      </c>
      <c r="D636" s="48" t="s">
        <v>113</v>
      </c>
      <c r="E636" s="55">
        <v>6957.9299999999994</v>
      </c>
      <c r="F636" s="194" t="s">
        <v>113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472</v>
      </c>
      <c r="C637" s="219" t="s">
        <v>28</v>
      </c>
      <c r="D637" s="48" t="s">
        <v>113</v>
      </c>
      <c r="E637" s="55">
        <v>6957.9299999999994</v>
      </c>
      <c r="F637" s="194" t="s">
        <v>113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473</v>
      </c>
      <c r="C638" s="219" t="s">
        <v>28</v>
      </c>
      <c r="D638" s="48" t="s">
        <v>113</v>
      </c>
      <c r="E638" s="55">
        <v>6957.9299999999994</v>
      </c>
      <c r="F638" s="194" t="s">
        <v>113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474</v>
      </c>
      <c r="C639" s="219" t="s">
        <v>28</v>
      </c>
      <c r="D639" s="48" t="s">
        <v>113</v>
      </c>
      <c r="E639" s="55">
        <v>6957.9299999999994</v>
      </c>
      <c r="F639" s="194" t="s">
        <v>113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475</v>
      </c>
      <c r="C640" s="219" t="s">
        <v>28</v>
      </c>
      <c r="D640" s="48" t="s">
        <v>113</v>
      </c>
      <c r="E640" s="55">
        <v>6957.9299999999994</v>
      </c>
      <c r="F640" s="194" t="s">
        <v>113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476</v>
      </c>
      <c r="C641" s="219" t="s">
        <v>28</v>
      </c>
      <c r="D641" s="48" t="s">
        <v>113</v>
      </c>
      <c r="E641" s="55">
        <v>6957.9299999999994</v>
      </c>
      <c r="F641" s="194" t="s">
        <v>113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477</v>
      </c>
      <c r="C642" s="219" t="s">
        <v>28</v>
      </c>
      <c r="D642" s="48" t="s">
        <v>113</v>
      </c>
      <c r="E642" s="55">
        <v>6957.9299999999994</v>
      </c>
      <c r="F642" s="194" t="s">
        <v>113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478</v>
      </c>
      <c r="C643" s="219" t="s">
        <v>28</v>
      </c>
      <c r="D643" s="48" t="s">
        <v>113</v>
      </c>
      <c r="E643" s="55">
        <v>6957.9299999999994</v>
      </c>
      <c r="F643" s="194" t="s">
        <v>113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479</v>
      </c>
      <c r="C644" s="219" t="s">
        <v>28</v>
      </c>
      <c r="D644" s="48" t="s">
        <v>113</v>
      </c>
      <c r="E644" s="55">
        <v>6957.9299999999994</v>
      </c>
      <c r="F644" s="194" t="s">
        <v>113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480</v>
      </c>
      <c r="C645" s="219" t="s">
        <v>28</v>
      </c>
      <c r="D645" s="48" t="s">
        <v>113</v>
      </c>
      <c r="E645" s="55">
        <v>6957.9299999999994</v>
      </c>
      <c r="F645" s="194" t="s">
        <v>113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481</v>
      </c>
      <c r="C646" s="219" t="s">
        <v>28</v>
      </c>
      <c r="D646" s="48" t="s">
        <v>113</v>
      </c>
      <c r="E646" s="55">
        <v>6957.9299999999994</v>
      </c>
      <c r="F646" s="194" t="s">
        <v>113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482</v>
      </c>
      <c r="C647" s="219" t="s">
        <v>28</v>
      </c>
      <c r="D647" s="48" t="s">
        <v>113</v>
      </c>
      <c r="E647" s="43">
        <v>3700</v>
      </c>
      <c r="F647" s="188" t="s">
        <v>113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483</v>
      </c>
      <c r="C648" s="219" t="s">
        <v>28</v>
      </c>
      <c r="D648" s="48" t="s">
        <v>113</v>
      </c>
      <c r="E648" s="43">
        <v>3700</v>
      </c>
      <c r="F648" s="188" t="s">
        <v>113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484</v>
      </c>
      <c r="C649" s="219" t="s">
        <v>28</v>
      </c>
      <c r="D649" s="48" t="s">
        <v>113</v>
      </c>
      <c r="E649" s="55">
        <v>1200</v>
      </c>
      <c r="F649" s="194" t="s">
        <v>113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485</v>
      </c>
      <c r="C650" s="219" t="s">
        <v>28</v>
      </c>
      <c r="D650" s="48" t="s">
        <v>113</v>
      </c>
      <c r="E650" s="55">
        <v>1200</v>
      </c>
      <c r="F650" s="194" t="s">
        <v>113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486</v>
      </c>
      <c r="C651" s="219" t="s">
        <v>28</v>
      </c>
      <c r="D651" s="48" t="s">
        <v>113</v>
      </c>
      <c r="E651" s="55">
        <v>1200</v>
      </c>
      <c r="F651" s="194" t="s">
        <v>113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487</v>
      </c>
      <c r="C652" s="219" t="s">
        <v>28</v>
      </c>
      <c r="D652" s="48" t="s">
        <v>113</v>
      </c>
      <c r="E652" s="55">
        <v>1200</v>
      </c>
      <c r="F652" s="194" t="s">
        <v>113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488</v>
      </c>
      <c r="C653" s="219" t="s">
        <v>28</v>
      </c>
      <c r="D653" s="48" t="s">
        <v>113</v>
      </c>
      <c r="E653" s="55">
        <v>1200</v>
      </c>
      <c r="F653" s="194" t="s">
        <v>113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489</v>
      </c>
      <c r="C654" s="219" t="s">
        <v>28</v>
      </c>
      <c r="D654" s="48" t="s">
        <v>113</v>
      </c>
      <c r="E654" s="55">
        <v>873.94</v>
      </c>
      <c r="F654" s="194" t="s">
        <v>113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490</v>
      </c>
      <c r="C655" s="219" t="s">
        <v>28</v>
      </c>
      <c r="D655" s="48" t="s">
        <v>113</v>
      </c>
      <c r="E655" s="55">
        <v>873.94</v>
      </c>
      <c r="F655" s="194" t="s">
        <v>113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491</v>
      </c>
      <c r="C656" s="219" t="s">
        <v>28</v>
      </c>
      <c r="D656" s="48" t="s">
        <v>113</v>
      </c>
      <c r="E656" s="55">
        <v>873.94</v>
      </c>
      <c r="F656" s="194" t="s">
        <v>113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492</v>
      </c>
      <c r="C657" s="219" t="s">
        <v>28</v>
      </c>
      <c r="D657" s="48" t="s">
        <v>113</v>
      </c>
      <c r="E657" s="55">
        <v>1173.3399999999999</v>
      </c>
      <c r="F657" s="194" t="s">
        <v>113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493</v>
      </c>
      <c r="C658" s="219" t="s">
        <v>28</v>
      </c>
      <c r="D658" s="48" t="s">
        <v>113</v>
      </c>
      <c r="E658" s="55">
        <v>998.41</v>
      </c>
      <c r="F658" s="194" t="s">
        <v>113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494</v>
      </c>
      <c r="C659" s="219" t="s">
        <v>28</v>
      </c>
      <c r="D659" s="48" t="s">
        <v>113</v>
      </c>
      <c r="E659" s="55">
        <v>998.41</v>
      </c>
      <c r="F659" s="194" t="s">
        <v>113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495</v>
      </c>
      <c r="C660" s="219" t="s">
        <v>28</v>
      </c>
      <c r="D660" s="48" t="s">
        <v>113</v>
      </c>
      <c r="E660" s="55">
        <v>998.41</v>
      </c>
      <c r="F660" s="194" t="s">
        <v>113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496</v>
      </c>
      <c r="C661" s="219" t="s">
        <v>28</v>
      </c>
      <c r="D661" s="48" t="s">
        <v>113</v>
      </c>
      <c r="E661" s="55">
        <v>998.41</v>
      </c>
      <c r="F661" s="194" t="s">
        <v>113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497</v>
      </c>
      <c r="C662" s="219" t="s">
        <v>28</v>
      </c>
      <c r="D662" s="48" t="s">
        <v>113</v>
      </c>
      <c r="E662" s="55">
        <v>1173.3399999999999</v>
      </c>
      <c r="F662" s="194" t="s">
        <v>113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498</v>
      </c>
      <c r="C663" s="219" t="s">
        <v>28</v>
      </c>
      <c r="D663" s="48" t="s">
        <v>113</v>
      </c>
      <c r="E663" s="55">
        <v>998.41</v>
      </c>
      <c r="F663" s="194" t="s">
        <v>113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499</v>
      </c>
      <c r="C664" s="219" t="s">
        <v>28</v>
      </c>
      <c r="D664" s="48" t="s">
        <v>113</v>
      </c>
      <c r="E664" s="55">
        <v>998.41</v>
      </c>
      <c r="F664" s="194" t="s">
        <v>113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500</v>
      </c>
      <c r="C665" s="219" t="s">
        <v>28</v>
      </c>
      <c r="D665" s="48" t="s">
        <v>113</v>
      </c>
      <c r="E665" s="55">
        <v>1173.3399999999999</v>
      </c>
      <c r="F665" s="194" t="s">
        <v>113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501</v>
      </c>
      <c r="C666" s="219" t="s">
        <v>28</v>
      </c>
      <c r="D666" s="48" t="s">
        <v>113</v>
      </c>
      <c r="E666" s="55">
        <v>998.41</v>
      </c>
      <c r="F666" s="194" t="s">
        <v>113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502</v>
      </c>
      <c r="C667" s="219" t="s">
        <v>28</v>
      </c>
      <c r="D667" s="48" t="s">
        <v>113</v>
      </c>
      <c r="E667" s="55">
        <v>998.41</v>
      </c>
      <c r="F667" s="194" t="s">
        <v>113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503</v>
      </c>
      <c r="C668" s="219" t="s">
        <v>28</v>
      </c>
      <c r="D668" s="48" t="s">
        <v>113</v>
      </c>
      <c r="E668" s="55">
        <v>1018.64</v>
      </c>
      <c r="F668" s="194" t="s">
        <v>113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504</v>
      </c>
      <c r="C669" s="219" t="s">
        <v>28</v>
      </c>
      <c r="D669" s="48" t="s">
        <v>113</v>
      </c>
      <c r="E669" s="55">
        <v>1173.3399999999999</v>
      </c>
      <c r="F669" s="194" t="s">
        <v>113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505</v>
      </c>
      <c r="C670" s="219" t="s">
        <v>28</v>
      </c>
      <c r="D670" s="48" t="s">
        <v>113</v>
      </c>
      <c r="E670" s="55">
        <v>1173.3399999999999</v>
      </c>
      <c r="F670" s="194" t="s">
        <v>113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506</v>
      </c>
      <c r="C671" s="219" t="s">
        <v>28</v>
      </c>
      <c r="D671" s="48" t="s">
        <v>113</v>
      </c>
      <c r="E671" s="55">
        <v>1018.64</v>
      </c>
      <c r="F671" s="194" t="s">
        <v>113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507</v>
      </c>
      <c r="C672" s="219" t="s">
        <v>28</v>
      </c>
      <c r="D672" s="48" t="s">
        <v>113</v>
      </c>
      <c r="E672" s="55">
        <v>1018.64</v>
      </c>
      <c r="F672" s="194" t="s">
        <v>113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508</v>
      </c>
      <c r="C673" s="219" t="s">
        <v>28</v>
      </c>
      <c r="D673" s="48" t="s">
        <v>113</v>
      </c>
      <c r="E673" s="55">
        <v>2746.52</v>
      </c>
      <c r="F673" s="194" t="s">
        <v>113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509</v>
      </c>
      <c r="C674" s="219" t="s">
        <v>28</v>
      </c>
      <c r="D674" s="48" t="s">
        <v>113</v>
      </c>
      <c r="E674" s="55">
        <v>1173.3399999999999</v>
      </c>
      <c r="F674" s="194" t="s">
        <v>113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510</v>
      </c>
      <c r="C675" s="219" t="s">
        <v>28</v>
      </c>
      <c r="D675" s="48" t="s">
        <v>113</v>
      </c>
      <c r="E675" s="55">
        <v>1173.3399999999999</v>
      </c>
      <c r="F675" s="194" t="s">
        <v>113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511</v>
      </c>
      <c r="C676" s="219" t="s">
        <v>28</v>
      </c>
      <c r="D676" s="48" t="s">
        <v>113</v>
      </c>
      <c r="E676" s="55">
        <v>1173.3399999999999</v>
      </c>
      <c r="F676" s="194" t="s">
        <v>113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512</v>
      </c>
      <c r="C677" s="219" t="s">
        <v>28</v>
      </c>
      <c r="D677" s="48" t="s">
        <v>113</v>
      </c>
      <c r="E677" s="55">
        <v>1173.3399999999999</v>
      </c>
      <c r="F677" s="194" t="s">
        <v>113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513</v>
      </c>
      <c r="C678" s="219" t="s">
        <v>28</v>
      </c>
      <c r="D678" s="48" t="s">
        <v>113</v>
      </c>
      <c r="E678" s="55">
        <v>1173.3399999999999</v>
      </c>
      <c r="F678" s="194" t="s">
        <v>113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514</v>
      </c>
      <c r="C679" s="219" t="s">
        <v>28</v>
      </c>
      <c r="D679" s="48" t="s">
        <v>113</v>
      </c>
      <c r="E679" s="55">
        <v>1173.3399999999999</v>
      </c>
      <c r="F679" s="194" t="s">
        <v>113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515</v>
      </c>
      <c r="C680" s="219" t="s">
        <v>28</v>
      </c>
      <c r="D680" s="48" t="s">
        <v>113</v>
      </c>
      <c r="E680" s="55">
        <v>1173.3399999999999</v>
      </c>
      <c r="F680" s="194" t="s">
        <v>113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516</v>
      </c>
      <c r="C681" s="219" t="s">
        <v>28</v>
      </c>
      <c r="D681" s="48" t="s">
        <v>113</v>
      </c>
      <c r="E681" s="55">
        <v>1173.3399999999999</v>
      </c>
      <c r="F681" s="194" t="s">
        <v>113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517</v>
      </c>
      <c r="C682" s="219" t="s">
        <v>28</v>
      </c>
      <c r="D682" s="48" t="s">
        <v>113</v>
      </c>
      <c r="E682" s="55">
        <v>1173.3399999999999</v>
      </c>
      <c r="F682" s="194" t="s">
        <v>113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518</v>
      </c>
      <c r="C683" s="219" t="s">
        <v>28</v>
      </c>
      <c r="D683" s="48" t="s">
        <v>113</v>
      </c>
      <c r="E683" s="55">
        <v>2563</v>
      </c>
      <c r="F683" s="188" t="s">
        <v>113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519</v>
      </c>
      <c r="C684" s="219" t="s">
        <v>28</v>
      </c>
      <c r="D684" s="48" t="s">
        <v>113</v>
      </c>
      <c r="E684" s="43">
        <v>2364.5299999999997</v>
      </c>
      <c r="F684" s="188" t="s">
        <v>113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520</v>
      </c>
      <c r="C685" s="219" t="s">
        <v>28</v>
      </c>
      <c r="D685" s="48" t="s">
        <v>113</v>
      </c>
      <c r="E685" s="43">
        <v>2364.5299999999997</v>
      </c>
      <c r="F685" s="188" t="s">
        <v>113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521</v>
      </c>
      <c r="C686" s="219" t="s">
        <v>28</v>
      </c>
      <c r="D686" s="48" t="s">
        <v>113</v>
      </c>
      <c r="E686" s="43">
        <v>2563</v>
      </c>
      <c r="F686" s="188" t="s">
        <v>113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522</v>
      </c>
      <c r="C687" s="219" t="s">
        <v>28</v>
      </c>
      <c r="D687" s="48" t="s">
        <v>113</v>
      </c>
      <c r="E687" s="55">
        <v>2563</v>
      </c>
      <c r="F687" s="194" t="s">
        <v>113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523</v>
      </c>
      <c r="C688" s="219" t="s">
        <v>28</v>
      </c>
      <c r="D688" s="48" t="s">
        <v>113</v>
      </c>
      <c r="E688" s="55">
        <v>2563</v>
      </c>
      <c r="F688" s="194" t="s">
        <v>113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524</v>
      </c>
      <c r="C689" s="219" t="s">
        <v>28</v>
      </c>
      <c r="D689" s="48" t="s">
        <v>113</v>
      </c>
      <c r="E689" s="43">
        <v>2440.69</v>
      </c>
      <c r="F689" s="188" t="s">
        <v>113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525</v>
      </c>
      <c r="C690" s="219" t="s">
        <v>28</v>
      </c>
      <c r="D690" s="48" t="s">
        <v>113</v>
      </c>
      <c r="E690" s="43">
        <v>2440.69</v>
      </c>
      <c r="F690" s="188" t="s">
        <v>113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526</v>
      </c>
      <c r="C691" s="219" t="s">
        <v>28</v>
      </c>
      <c r="D691" s="48" t="s">
        <v>113</v>
      </c>
      <c r="E691" s="55">
        <v>873.94</v>
      </c>
      <c r="F691" s="194" t="s">
        <v>113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527</v>
      </c>
      <c r="C692" s="219" t="s">
        <v>28</v>
      </c>
      <c r="D692" s="48" t="s">
        <v>113</v>
      </c>
      <c r="E692" s="55">
        <v>873.94</v>
      </c>
      <c r="F692" s="194" t="s">
        <v>113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528</v>
      </c>
      <c r="C693" s="219" t="s">
        <v>28</v>
      </c>
      <c r="D693" s="48" t="s">
        <v>113</v>
      </c>
      <c r="E693" s="55">
        <v>873.94</v>
      </c>
      <c r="F693" s="194" t="s">
        <v>113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529</v>
      </c>
      <c r="C694" s="219" t="s">
        <v>28</v>
      </c>
      <c r="D694" s="48" t="s">
        <v>113</v>
      </c>
      <c r="E694" s="55">
        <v>873.94</v>
      </c>
      <c r="F694" s="194" t="s">
        <v>113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530</v>
      </c>
      <c r="C695" s="219" t="s">
        <v>28</v>
      </c>
      <c r="D695" s="48" t="s">
        <v>113</v>
      </c>
      <c r="E695" s="55">
        <v>873.94</v>
      </c>
      <c r="F695" s="194" t="s">
        <v>113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531</v>
      </c>
      <c r="C696" s="219" t="s">
        <v>28</v>
      </c>
      <c r="D696" s="48" t="s">
        <v>113</v>
      </c>
      <c r="E696" s="55">
        <v>1547</v>
      </c>
      <c r="F696" s="194" t="s">
        <v>113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532</v>
      </c>
      <c r="C697" s="219" t="s">
        <v>28</v>
      </c>
      <c r="D697" s="48" t="s">
        <v>113</v>
      </c>
      <c r="E697" s="55">
        <v>1547</v>
      </c>
      <c r="F697" s="194" t="s">
        <v>113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533</v>
      </c>
      <c r="C698" s="219" t="s">
        <v>28</v>
      </c>
      <c r="D698" s="48" t="s">
        <v>113</v>
      </c>
      <c r="E698" s="55">
        <v>1547</v>
      </c>
      <c r="F698" s="194" t="s">
        <v>113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534</v>
      </c>
      <c r="C699" s="219" t="s">
        <v>28</v>
      </c>
      <c r="D699" s="48" t="s">
        <v>113</v>
      </c>
      <c r="E699" s="55">
        <v>1850</v>
      </c>
      <c r="F699" s="194" t="s">
        <v>113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535</v>
      </c>
      <c r="C700" s="219" t="s">
        <v>28</v>
      </c>
      <c r="D700" s="48" t="s">
        <v>113</v>
      </c>
      <c r="E700" s="55">
        <v>1850</v>
      </c>
      <c r="F700" s="194" t="s">
        <v>113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536</v>
      </c>
      <c r="C701" s="219" t="s">
        <v>28</v>
      </c>
      <c r="D701" s="48" t="s">
        <v>113</v>
      </c>
      <c r="E701" s="55">
        <v>4799.2700000000004</v>
      </c>
      <c r="F701" s="194" t="s">
        <v>113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537</v>
      </c>
      <c r="C702" s="219" t="s">
        <v>28</v>
      </c>
      <c r="D702" s="48" t="s">
        <v>113</v>
      </c>
      <c r="E702" s="55">
        <v>4799.2700000000004</v>
      </c>
      <c r="F702" s="194" t="s">
        <v>113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538</v>
      </c>
      <c r="C703" s="219" t="s">
        <v>28</v>
      </c>
      <c r="D703" s="48" t="s">
        <v>113</v>
      </c>
      <c r="E703" s="55">
        <v>4799.2700000000004</v>
      </c>
      <c r="F703" s="194" t="s">
        <v>113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539</v>
      </c>
      <c r="C704" s="219" t="s">
        <v>28</v>
      </c>
      <c r="D704" s="48" t="s">
        <v>113</v>
      </c>
      <c r="E704" s="55">
        <v>4799.2700000000004</v>
      </c>
      <c r="F704" s="194" t="s">
        <v>113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540</v>
      </c>
      <c r="C705" s="219" t="s">
        <v>28</v>
      </c>
      <c r="D705" s="48" t="s">
        <v>113</v>
      </c>
      <c r="E705" s="55">
        <v>4799.2700000000004</v>
      </c>
      <c r="F705" s="194" t="s">
        <v>113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541</v>
      </c>
      <c r="C706" s="219" t="s">
        <v>28</v>
      </c>
      <c r="D706" s="48" t="s">
        <v>113</v>
      </c>
      <c r="E706" s="55">
        <v>4799.2700000000004</v>
      </c>
      <c r="F706" s="194" t="s">
        <v>113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542</v>
      </c>
      <c r="C707" s="219" t="s">
        <v>28</v>
      </c>
      <c r="D707" s="48" t="s">
        <v>113</v>
      </c>
      <c r="E707" s="55">
        <v>4799.2700000000004</v>
      </c>
      <c r="F707" s="194" t="s">
        <v>113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543</v>
      </c>
      <c r="C708" s="219" t="s">
        <v>28</v>
      </c>
      <c r="D708" s="48" t="s">
        <v>113</v>
      </c>
      <c r="E708" s="55">
        <v>4799.2700000000004</v>
      </c>
      <c r="F708" s="194" t="s">
        <v>113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544</v>
      </c>
      <c r="C709" s="219" t="s">
        <v>28</v>
      </c>
      <c r="D709" s="48" t="s">
        <v>113</v>
      </c>
      <c r="E709" s="55">
        <v>1000</v>
      </c>
      <c r="F709" s="194" t="s">
        <v>113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545</v>
      </c>
      <c r="C710" s="219" t="s">
        <v>28</v>
      </c>
      <c r="D710" s="48" t="s">
        <v>113</v>
      </c>
      <c r="E710" s="55">
        <v>8973.7900000000009</v>
      </c>
      <c r="F710" s="194" t="s">
        <v>113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546</v>
      </c>
      <c r="C711" s="219" t="s">
        <v>28</v>
      </c>
      <c r="D711" s="48" t="s">
        <v>113</v>
      </c>
      <c r="E711" s="55">
        <v>8973.7900000000009</v>
      </c>
      <c r="F711" s="194" t="s">
        <v>113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547</v>
      </c>
      <c r="C712" s="219" t="s">
        <v>28</v>
      </c>
      <c r="D712" s="48" t="s">
        <v>113</v>
      </c>
      <c r="E712" s="55">
        <v>8973.7900000000009</v>
      </c>
      <c r="F712" s="194" t="s">
        <v>113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548</v>
      </c>
      <c r="C713" s="219" t="s">
        <v>28</v>
      </c>
      <c r="D713" s="48" t="s">
        <v>113</v>
      </c>
      <c r="E713" s="55">
        <v>8973.7900000000009</v>
      </c>
      <c r="F713" s="194" t="s">
        <v>113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549</v>
      </c>
      <c r="C714" s="219" t="s">
        <v>28</v>
      </c>
      <c r="D714" s="48" t="s">
        <v>113</v>
      </c>
      <c r="E714" s="55">
        <v>3844.89</v>
      </c>
      <c r="F714" s="194" t="s">
        <v>113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550</v>
      </c>
      <c r="C715" s="219" t="s">
        <v>28</v>
      </c>
      <c r="D715" s="48" t="s">
        <v>113</v>
      </c>
      <c r="E715" s="55">
        <v>3844.89</v>
      </c>
      <c r="F715" s="194" t="s">
        <v>113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551</v>
      </c>
      <c r="C716" s="219" t="s">
        <v>28</v>
      </c>
      <c r="D716" s="48" t="s">
        <v>113</v>
      </c>
      <c r="E716" s="55">
        <v>3844.89</v>
      </c>
      <c r="F716" s="194" t="s">
        <v>113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552</v>
      </c>
      <c r="C717" s="219" t="s">
        <v>28</v>
      </c>
      <c r="D717" s="48" t="s">
        <v>113</v>
      </c>
      <c r="E717" s="55">
        <v>3844.89</v>
      </c>
      <c r="F717" s="194" t="s">
        <v>113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553</v>
      </c>
      <c r="C718" s="219" t="s">
        <v>28</v>
      </c>
      <c r="D718" s="48" t="s">
        <v>113</v>
      </c>
      <c r="E718" s="55">
        <v>3844.89</v>
      </c>
      <c r="F718" s="194" t="s">
        <v>113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554</v>
      </c>
      <c r="C719" s="219" t="s">
        <v>28</v>
      </c>
      <c r="D719" s="48" t="s">
        <v>113</v>
      </c>
      <c r="E719" s="55">
        <v>3844.89</v>
      </c>
      <c r="F719" s="194" t="s">
        <v>113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555</v>
      </c>
      <c r="C720" s="219" t="s">
        <v>28</v>
      </c>
      <c r="D720" s="48" t="s">
        <v>113</v>
      </c>
      <c r="E720" s="55">
        <v>3844.89</v>
      </c>
      <c r="F720" s="194" t="s">
        <v>113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556</v>
      </c>
      <c r="C721" s="219" t="s">
        <v>28</v>
      </c>
      <c r="D721" s="48" t="s">
        <v>113</v>
      </c>
      <c r="E721" s="55">
        <v>3844.89</v>
      </c>
      <c r="F721" s="194" t="s">
        <v>113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557</v>
      </c>
      <c r="C722" s="219" t="s">
        <v>28</v>
      </c>
      <c r="D722" s="48" t="s">
        <v>113</v>
      </c>
      <c r="E722" s="55">
        <v>1661.24</v>
      </c>
      <c r="F722" s="194" t="s">
        <v>113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558</v>
      </c>
      <c r="C723" s="219" t="s">
        <v>28</v>
      </c>
      <c r="D723" s="48" t="s">
        <v>113</v>
      </c>
      <c r="E723" s="55">
        <v>1661.24</v>
      </c>
      <c r="F723" s="194" t="s">
        <v>113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559</v>
      </c>
      <c r="C724" s="219" t="s">
        <v>28</v>
      </c>
      <c r="D724" s="48" t="s">
        <v>113</v>
      </c>
      <c r="E724" s="55">
        <v>1661.24</v>
      </c>
      <c r="F724" s="194" t="s">
        <v>113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560</v>
      </c>
      <c r="C725" s="219" t="s">
        <v>28</v>
      </c>
      <c r="D725" s="48" t="s">
        <v>113</v>
      </c>
      <c r="E725" s="55">
        <v>1661.24</v>
      </c>
      <c r="F725" s="194" t="s">
        <v>113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561</v>
      </c>
      <c r="C726" s="219" t="s">
        <v>28</v>
      </c>
      <c r="D726" s="48" t="s">
        <v>113</v>
      </c>
      <c r="E726" s="55">
        <v>1661.24</v>
      </c>
      <c r="F726" s="194" t="s">
        <v>113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562</v>
      </c>
      <c r="C727" s="219" t="s">
        <v>28</v>
      </c>
      <c r="D727" s="48" t="s">
        <v>113</v>
      </c>
      <c r="E727" s="55">
        <v>690.75</v>
      </c>
      <c r="F727" s="194" t="s">
        <v>113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563</v>
      </c>
      <c r="C728" s="219" t="s">
        <v>28</v>
      </c>
      <c r="D728" s="48" t="s">
        <v>113</v>
      </c>
      <c r="E728" s="55">
        <v>690.75</v>
      </c>
      <c r="F728" s="194" t="s">
        <v>113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564</v>
      </c>
      <c r="C729" s="219" t="s">
        <v>28</v>
      </c>
      <c r="D729" s="48" t="s">
        <v>113</v>
      </c>
      <c r="E729" s="55">
        <v>690.75</v>
      </c>
      <c r="F729" s="194" t="s">
        <v>113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565</v>
      </c>
      <c r="C730" s="219" t="s">
        <v>28</v>
      </c>
      <c r="D730" s="48" t="s">
        <v>113</v>
      </c>
      <c r="E730" s="55">
        <v>690.75</v>
      </c>
      <c r="F730" s="194" t="s">
        <v>113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566</v>
      </c>
      <c r="C731" s="219" t="s">
        <v>28</v>
      </c>
      <c r="D731" s="48" t="s">
        <v>113</v>
      </c>
      <c r="E731" s="55">
        <v>690.75</v>
      </c>
      <c r="F731" s="194" t="s">
        <v>113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567</v>
      </c>
      <c r="C732" s="219" t="s">
        <v>28</v>
      </c>
      <c r="D732" s="48" t="s">
        <v>113</v>
      </c>
      <c r="E732" s="55">
        <v>690.75</v>
      </c>
      <c r="F732" s="194" t="s">
        <v>113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568</v>
      </c>
      <c r="C733" s="219" t="s">
        <v>28</v>
      </c>
      <c r="D733" s="48" t="s">
        <v>113</v>
      </c>
      <c r="E733" s="43">
        <v>690.75</v>
      </c>
      <c r="F733" s="188" t="s">
        <v>113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569</v>
      </c>
      <c r="C734" s="219" t="s">
        <v>28</v>
      </c>
      <c r="D734" s="48" t="s">
        <v>113</v>
      </c>
      <c r="E734" s="43">
        <v>690.75</v>
      </c>
      <c r="F734" s="188" t="s">
        <v>113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570</v>
      </c>
      <c r="C735" s="219" t="s">
        <v>28</v>
      </c>
      <c r="D735" s="48" t="s">
        <v>113</v>
      </c>
      <c r="E735" s="55">
        <v>690.75</v>
      </c>
      <c r="F735" s="194" t="s">
        <v>113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571</v>
      </c>
      <c r="C736" s="219" t="s">
        <v>28</v>
      </c>
      <c r="D736" s="48" t="s">
        <v>113</v>
      </c>
      <c r="E736" s="55">
        <v>690.75</v>
      </c>
      <c r="F736" s="194" t="s">
        <v>113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572</v>
      </c>
      <c r="C737" s="219" t="s">
        <v>28</v>
      </c>
      <c r="D737" s="48" t="s">
        <v>113</v>
      </c>
      <c r="E737" s="55">
        <v>690.75</v>
      </c>
      <c r="F737" s="194" t="s">
        <v>113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573</v>
      </c>
      <c r="C738" s="219" t="s">
        <v>28</v>
      </c>
      <c r="D738" s="48" t="s">
        <v>113</v>
      </c>
      <c r="E738" s="55">
        <v>690.75</v>
      </c>
      <c r="F738" s="194" t="s">
        <v>113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574</v>
      </c>
      <c r="C739" s="219" t="s">
        <v>28</v>
      </c>
      <c r="D739" s="48" t="s">
        <v>113</v>
      </c>
      <c r="E739" s="43">
        <v>690.75</v>
      </c>
      <c r="F739" s="188" t="s">
        <v>113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575</v>
      </c>
      <c r="C740" s="219" t="s">
        <v>28</v>
      </c>
      <c r="D740" s="48" t="s">
        <v>113</v>
      </c>
      <c r="E740" s="43">
        <v>690.75</v>
      </c>
      <c r="F740" s="188" t="s">
        <v>113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576</v>
      </c>
      <c r="C741" s="219" t="s">
        <v>28</v>
      </c>
      <c r="D741" s="48" t="s">
        <v>113</v>
      </c>
      <c r="E741" s="55">
        <v>690.75</v>
      </c>
      <c r="F741" s="194" t="s">
        <v>113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577</v>
      </c>
      <c r="C742" s="219" t="s">
        <v>28</v>
      </c>
      <c r="D742" s="48" t="s">
        <v>113</v>
      </c>
      <c r="E742" s="55">
        <v>690.75</v>
      </c>
      <c r="F742" s="194" t="s">
        <v>113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578</v>
      </c>
      <c r="C743" s="219" t="s">
        <v>28</v>
      </c>
      <c r="D743" s="48" t="s">
        <v>113</v>
      </c>
      <c r="E743" s="55">
        <v>690.75</v>
      </c>
      <c r="F743" s="194" t="s">
        <v>113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579</v>
      </c>
      <c r="C744" s="219" t="s">
        <v>28</v>
      </c>
      <c r="D744" s="48" t="s">
        <v>113</v>
      </c>
      <c r="E744" s="43">
        <v>690.75</v>
      </c>
      <c r="F744" s="188" t="s">
        <v>113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580</v>
      </c>
      <c r="C745" s="219" t="s">
        <v>28</v>
      </c>
      <c r="D745" s="48" t="s">
        <v>113</v>
      </c>
      <c r="E745" s="55">
        <v>690.75</v>
      </c>
      <c r="F745" s="194" t="s">
        <v>113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581</v>
      </c>
      <c r="C746" s="219" t="s">
        <v>28</v>
      </c>
      <c r="D746" s="48" t="s">
        <v>113</v>
      </c>
      <c r="E746" s="55">
        <v>690.75</v>
      </c>
      <c r="F746" s="194" t="s">
        <v>113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582</v>
      </c>
      <c r="C747" s="219" t="s">
        <v>28</v>
      </c>
      <c r="D747" s="48" t="s">
        <v>113</v>
      </c>
      <c r="E747" s="55">
        <v>690.75</v>
      </c>
      <c r="F747" s="194" t="s">
        <v>113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583</v>
      </c>
      <c r="C748" s="219" t="s">
        <v>28</v>
      </c>
      <c r="D748" s="48" t="s">
        <v>113</v>
      </c>
      <c r="E748" s="55">
        <v>690.75</v>
      </c>
      <c r="F748" s="194" t="s">
        <v>113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584</v>
      </c>
      <c r="C749" s="219" t="s">
        <v>28</v>
      </c>
      <c r="D749" s="48" t="s">
        <v>113</v>
      </c>
      <c r="E749" s="43">
        <v>690.75</v>
      </c>
      <c r="F749" s="188" t="s">
        <v>113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585</v>
      </c>
      <c r="C750" s="219" t="s">
        <v>28</v>
      </c>
      <c r="D750" s="48" t="s">
        <v>113</v>
      </c>
      <c r="E750" s="55">
        <v>690.75</v>
      </c>
      <c r="F750" s="194" t="s">
        <v>113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586</v>
      </c>
      <c r="C751" s="219" t="s">
        <v>28</v>
      </c>
      <c r="D751" s="48" t="s">
        <v>113</v>
      </c>
      <c r="E751" s="55">
        <v>690.75</v>
      </c>
      <c r="F751" s="194" t="s">
        <v>113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587</v>
      </c>
      <c r="C752" s="219" t="s">
        <v>28</v>
      </c>
      <c r="D752" s="48" t="s">
        <v>113</v>
      </c>
      <c r="E752" s="55">
        <v>3850</v>
      </c>
      <c r="F752" s="194" t="s">
        <v>113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588</v>
      </c>
      <c r="C753" s="219" t="s">
        <v>28</v>
      </c>
      <c r="D753" s="48" t="s">
        <v>113</v>
      </c>
      <c r="E753" s="55">
        <v>3850</v>
      </c>
      <c r="F753" s="194" t="s">
        <v>113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589</v>
      </c>
      <c r="C754" s="219" t="s">
        <v>28</v>
      </c>
      <c r="D754" s="48" t="s">
        <v>113</v>
      </c>
      <c r="E754" s="55">
        <v>3850</v>
      </c>
      <c r="F754" s="194" t="s">
        <v>113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590</v>
      </c>
      <c r="C755" s="219" t="s">
        <v>28</v>
      </c>
      <c r="D755" s="48" t="s">
        <v>113</v>
      </c>
      <c r="E755" s="55">
        <v>3850</v>
      </c>
      <c r="F755" s="194" t="s">
        <v>113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591</v>
      </c>
      <c r="C756" s="219" t="s">
        <v>28</v>
      </c>
      <c r="D756" s="48" t="s">
        <v>113</v>
      </c>
      <c r="E756" s="55">
        <v>3850</v>
      </c>
      <c r="F756" s="194" t="s">
        <v>113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592</v>
      </c>
      <c r="C757" s="219" t="s">
        <v>28</v>
      </c>
      <c r="D757" s="48" t="s">
        <v>113</v>
      </c>
      <c r="E757" s="55">
        <v>3850</v>
      </c>
      <c r="F757" s="194" t="s">
        <v>113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593</v>
      </c>
      <c r="C758" s="219" t="s">
        <v>28</v>
      </c>
      <c r="D758" s="48" t="s">
        <v>113</v>
      </c>
      <c r="E758" s="55">
        <v>3850</v>
      </c>
      <c r="F758" s="194" t="s">
        <v>113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594</v>
      </c>
      <c r="C759" s="219" t="s">
        <v>28</v>
      </c>
      <c r="D759" s="48" t="s">
        <v>113</v>
      </c>
      <c r="E759" s="55">
        <v>3850</v>
      </c>
      <c r="F759" s="194" t="s">
        <v>113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595</v>
      </c>
      <c r="C760" s="219" t="s">
        <v>28</v>
      </c>
      <c r="D760" s="48" t="s">
        <v>113</v>
      </c>
      <c r="E760" s="55">
        <v>3850</v>
      </c>
      <c r="F760" s="194" t="s">
        <v>113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596</v>
      </c>
      <c r="C761" s="219" t="s">
        <v>28</v>
      </c>
      <c r="D761" s="48" t="s">
        <v>113</v>
      </c>
      <c r="E761" s="55">
        <v>3850</v>
      </c>
      <c r="F761" s="194" t="s">
        <v>113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597</v>
      </c>
      <c r="C762" s="219" t="s">
        <v>28</v>
      </c>
      <c r="D762" s="48" t="s">
        <v>113</v>
      </c>
      <c r="E762" s="55">
        <v>3850</v>
      </c>
      <c r="F762" s="194" t="s">
        <v>113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598</v>
      </c>
      <c r="C763" s="219" t="s">
        <v>28</v>
      </c>
      <c r="D763" s="48" t="s">
        <v>113</v>
      </c>
      <c r="E763" s="55">
        <v>3850</v>
      </c>
      <c r="F763" s="194" t="s">
        <v>113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599</v>
      </c>
      <c r="C764" s="219" t="s">
        <v>28</v>
      </c>
      <c r="D764" s="48" t="s">
        <v>113</v>
      </c>
      <c r="E764" s="55">
        <v>3850</v>
      </c>
      <c r="F764" s="194" t="s">
        <v>113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600</v>
      </c>
      <c r="C765" s="219" t="s">
        <v>28</v>
      </c>
      <c r="D765" s="48" t="s">
        <v>113</v>
      </c>
      <c r="E765" s="55">
        <v>3850</v>
      </c>
      <c r="F765" s="194" t="s">
        <v>113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601</v>
      </c>
      <c r="C766" s="219" t="s">
        <v>28</v>
      </c>
      <c r="D766" s="48" t="s">
        <v>113</v>
      </c>
      <c r="E766" s="55">
        <v>3850</v>
      </c>
      <c r="F766" s="194" t="s">
        <v>113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602</v>
      </c>
      <c r="C767" s="219" t="s">
        <v>28</v>
      </c>
      <c r="D767" s="48" t="s">
        <v>113</v>
      </c>
      <c r="E767" s="55">
        <v>3850</v>
      </c>
      <c r="F767" s="194" t="s">
        <v>113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603</v>
      </c>
      <c r="C768" s="219" t="s">
        <v>28</v>
      </c>
      <c r="D768" s="48" t="s">
        <v>113</v>
      </c>
      <c r="E768" s="55">
        <v>3850</v>
      </c>
      <c r="F768" s="194" t="s">
        <v>113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604</v>
      </c>
      <c r="C769" s="219" t="s">
        <v>28</v>
      </c>
      <c r="D769" s="48" t="s">
        <v>113</v>
      </c>
      <c r="E769" s="55">
        <v>3850</v>
      </c>
      <c r="F769" s="194" t="s">
        <v>113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605</v>
      </c>
      <c r="C770" s="219" t="s">
        <v>28</v>
      </c>
      <c r="D770" s="48" t="s">
        <v>113</v>
      </c>
      <c r="E770" s="55">
        <v>3850</v>
      </c>
      <c r="F770" s="194" t="s">
        <v>113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606</v>
      </c>
      <c r="C771" s="219" t="s">
        <v>28</v>
      </c>
      <c r="D771" s="48" t="s">
        <v>113</v>
      </c>
      <c r="E771" s="55">
        <v>3850</v>
      </c>
      <c r="F771" s="194" t="s">
        <v>113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607</v>
      </c>
      <c r="C772" s="219" t="s">
        <v>28</v>
      </c>
      <c r="D772" s="48" t="s">
        <v>113</v>
      </c>
      <c r="E772" s="55">
        <v>3850</v>
      </c>
      <c r="F772" s="194" t="s">
        <v>113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608</v>
      </c>
      <c r="C773" s="219" t="s">
        <v>28</v>
      </c>
      <c r="D773" s="48" t="s">
        <v>113</v>
      </c>
      <c r="E773" s="55">
        <v>8973.7900000000009</v>
      </c>
      <c r="F773" s="194" t="s">
        <v>113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609</v>
      </c>
      <c r="C774" s="219" t="s">
        <v>28</v>
      </c>
      <c r="D774" s="48" t="s">
        <v>113</v>
      </c>
      <c r="E774" s="55">
        <v>8973.7900000000009</v>
      </c>
      <c r="F774" s="194" t="s">
        <v>113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610</v>
      </c>
      <c r="C775" s="219" t="s">
        <v>28</v>
      </c>
      <c r="D775" s="48" t="s">
        <v>113</v>
      </c>
      <c r="E775" s="55">
        <v>8973.7900000000009</v>
      </c>
      <c r="F775" s="194" t="s">
        <v>113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611</v>
      </c>
      <c r="C776" s="219" t="s">
        <v>28</v>
      </c>
      <c r="D776" s="48" t="s">
        <v>113</v>
      </c>
      <c r="E776" s="55">
        <v>1661.24</v>
      </c>
      <c r="F776" s="194" t="s">
        <v>113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612</v>
      </c>
      <c r="C777" s="219" t="s">
        <v>28</v>
      </c>
      <c r="D777" s="48" t="s">
        <v>113</v>
      </c>
      <c r="E777" s="55">
        <v>1661.24</v>
      </c>
      <c r="F777" s="194" t="s">
        <v>113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613</v>
      </c>
      <c r="C778" s="219" t="s">
        <v>28</v>
      </c>
      <c r="D778" s="48" t="s">
        <v>113</v>
      </c>
      <c r="E778" s="55">
        <v>690.75</v>
      </c>
      <c r="F778" s="194" t="s">
        <v>113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614</v>
      </c>
      <c r="C779" s="219" t="s">
        <v>28</v>
      </c>
      <c r="D779" s="48" t="s">
        <v>113</v>
      </c>
      <c r="E779" s="56">
        <v>1505.04</v>
      </c>
      <c r="F779" s="188" t="s">
        <v>113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615</v>
      </c>
      <c r="C780" s="219" t="s">
        <v>28</v>
      </c>
      <c r="D780" s="48" t="s">
        <v>113</v>
      </c>
      <c r="E780" s="56">
        <v>3628.57</v>
      </c>
      <c r="F780" s="188" t="s">
        <v>113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616</v>
      </c>
      <c r="C781" s="219" t="s">
        <v>28</v>
      </c>
      <c r="D781" s="48" t="s">
        <v>113</v>
      </c>
      <c r="E781" s="56">
        <v>1505.04</v>
      </c>
      <c r="F781" s="188" t="s">
        <v>113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617</v>
      </c>
      <c r="C782" s="219" t="s">
        <v>28</v>
      </c>
      <c r="D782" s="48" t="s">
        <v>113</v>
      </c>
      <c r="E782" s="55">
        <v>2898.84</v>
      </c>
      <c r="F782" s="194" t="s">
        <v>113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618</v>
      </c>
      <c r="C783" s="219" t="s">
        <v>28</v>
      </c>
      <c r="D783" s="48" t="s">
        <v>113</v>
      </c>
      <c r="E783" s="55">
        <v>2898.84</v>
      </c>
      <c r="F783" s="194" t="s">
        <v>113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619</v>
      </c>
      <c r="C784" s="219" t="s">
        <v>28</v>
      </c>
      <c r="D784" s="48" t="s">
        <v>113</v>
      </c>
      <c r="E784" s="55">
        <v>2898.84</v>
      </c>
      <c r="F784" s="194" t="s">
        <v>113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620</v>
      </c>
      <c r="C785" s="219" t="s">
        <v>28</v>
      </c>
      <c r="D785" s="48" t="s">
        <v>113</v>
      </c>
      <c r="E785" s="55">
        <v>833</v>
      </c>
      <c r="F785" s="194" t="s">
        <v>113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621</v>
      </c>
      <c r="C786" s="219" t="s">
        <v>28</v>
      </c>
      <c r="D786" s="48" t="s">
        <v>113</v>
      </c>
      <c r="E786" s="55">
        <v>833</v>
      </c>
      <c r="F786" s="194" t="s">
        <v>113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622</v>
      </c>
      <c r="C787" s="219" t="s">
        <v>28</v>
      </c>
      <c r="D787" s="48" t="s">
        <v>113</v>
      </c>
      <c r="E787" s="55">
        <v>1266.6666666666667</v>
      </c>
      <c r="F787" s="194" t="s">
        <v>113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623</v>
      </c>
      <c r="C788" s="219" t="s">
        <v>28</v>
      </c>
      <c r="D788" s="48" t="s">
        <v>113</v>
      </c>
      <c r="E788" s="55">
        <v>1266.6666666666667</v>
      </c>
      <c r="F788" s="194" t="s">
        <v>113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624</v>
      </c>
      <c r="C789" s="219" t="s">
        <v>28</v>
      </c>
      <c r="D789" s="48" t="s">
        <v>113</v>
      </c>
      <c r="E789" s="55">
        <v>1266.6666666666667</v>
      </c>
      <c r="F789" s="194" t="s">
        <v>113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625</v>
      </c>
      <c r="C790" s="219" t="s">
        <v>28</v>
      </c>
      <c r="D790" s="48" t="s">
        <v>113</v>
      </c>
      <c r="E790" s="55">
        <v>1266.6666666666667</v>
      </c>
      <c r="F790" s="194" t="s">
        <v>113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626</v>
      </c>
      <c r="C791" s="219" t="s">
        <v>28</v>
      </c>
      <c r="D791" s="48" t="s">
        <v>113</v>
      </c>
      <c r="E791" s="43">
        <v>1266.6666666666667</v>
      </c>
      <c r="F791" s="188" t="s">
        <v>113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627</v>
      </c>
      <c r="C792" s="219" t="s">
        <v>28</v>
      </c>
      <c r="D792" s="48" t="s">
        <v>113</v>
      </c>
      <c r="E792" s="55">
        <v>1266.6666666666667</v>
      </c>
      <c r="F792" s="194" t="s">
        <v>113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628</v>
      </c>
      <c r="C793" s="219" t="s">
        <v>28</v>
      </c>
      <c r="D793" s="48" t="s">
        <v>113</v>
      </c>
      <c r="E793" s="55">
        <v>1266.6666666666667</v>
      </c>
      <c r="F793" s="194" t="s">
        <v>113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629</v>
      </c>
      <c r="C794" s="219" t="s">
        <v>28</v>
      </c>
      <c r="D794" s="48" t="s">
        <v>113</v>
      </c>
      <c r="E794" s="55">
        <v>1266.6666666666667</v>
      </c>
      <c r="F794" s="194" t="s">
        <v>113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630</v>
      </c>
      <c r="C795" s="219" t="s">
        <v>28</v>
      </c>
      <c r="D795" s="48" t="s">
        <v>113</v>
      </c>
      <c r="E795" s="55">
        <v>1266.6666666666667</v>
      </c>
      <c r="F795" s="194" t="s">
        <v>113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631</v>
      </c>
      <c r="C796" s="219" t="s">
        <v>28</v>
      </c>
      <c r="D796" s="48" t="s">
        <v>113</v>
      </c>
      <c r="E796" s="55">
        <v>1266.6666666666667</v>
      </c>
      <c r="F796" s="194" t="s">
        <v>113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632</v>
      </c>
      <c r="C797" s="219" t="s">
        <v>28</v>
      </c>
      <c r="D797" s="48" t="s">
        <v>113</v>
      </c>
      <c r="E797" s="55">
        <v>1266.6666666666667</v>
      </c>
      <c r="F797" s="194" t="s">
        <v>113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633</v>
      </c>
      <c r="C798" s="219" t="s">
        <v>28</v>
      </c>
      <c r="D798" s="48" t="s">
        <v>113</v>
      </c>
      <c r="E798" s="55">
        <v>1266.6666666666667</v>
      </c>
      <c r="F798" s="194" t="s">
        <v>113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634</v>
      </c>
      <c r="C799" s="219" t="s">
        <v>28</v>
      </c>
      <c r="D799" s="48" t="s">
        <v>113</v>
      </c>
      <c r="E799" s="55">
        <v>455.66624999999999</v>
      </c>
      <c r="F799" s="194" t="s">
        <v>113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635</v>
      </c>
      <c r="C800" s="219" t="s">
        <v>28</v>
      </c>
      <c r="D800" s="48" t="s">
        <v>113</v>
      </c>
      <c r="E800" s="55">
        <v>455.66624999999999</v>
      </c>
      <c r="F800" s="194" t="s">
        <v>113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636</v>
      </c>
      <c r="C801" s="219" t="s">
        <v>28</v>
      </c>
      <c r="D801" s="48" t="s">
        <v>113</v>
      </c>
      <c r="E801" s="55">
        <v>455.66624999999999</v>
      </c>
      <c r="F801" s="194" t="s">
        <v>113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637</v>
      </c>
      <c r="C802" s="219" t="s">
        <v>28</v>
      </c>
      <c r="D802" s="48" t="s">
        <v>113</v>
      </c>
      <c r="E802" s="55">
        <v>455.66624999999999</v>
      </c>
      <c r="F802" s="194" t="s">
        <v>113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638</v>
      </c>
      <c r="C803" s="219" t="s">
        <v>28</v>
      </c>
      <c r="D803" s="48" t="s">
        <v>113</v>
      </c>
      <c r="E803" s="55">
        <v>455.66624999999999</v>
      </c>
      <c r="F803" s="194" t="s">
        <v>113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639</v>
      </c>
      <c r="C804" s="219" t="s">
        <v>28</v>
      </c>
      <c r="D804" s="48" t="s">
        <v>113</v>
      </c>
      <c r="E804" s="55">
        <v>455.66624999999999</v>
      </c>
      <c r="F804" s="194" t="s">
        <v>113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640</v>
      </c>
      <c r="C805" s="219" t="s">
        <v>28</v>
      </c>
      <c r="D805" s="48" t="s">
        <v>113</v>
      </c>
      <c r="E805" s="55">
        <v>455.66624999999999</v>
      </c>
      <c r="F805" s="194" t="s">
        <v>113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641</v>
      </c>
      <c r="C806" s="219" t="s">
        <v>28</v>
      </c>
      <c r="D806" s="48" t="s">
        <v>113</v>
      </c>
      <c r="E806" s="55">
        <v>455.66624999999999</v>
      </c>
      <c r="F806" s="194" t="s">
        <v>113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642</v>
      </c>
      <c r="C807" s="219" t="s">
        <v>28</v>
      </c>
      <c r="D807" s="48" t="s">
        <v>113</v>
      </c>
      <c r="E807" s="55">
        <v>455.66624999999999</v>
      </c>
      <c r="F807" s="194" t="s">
        <v>113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643</v>
      </c>
      <c r="C808" s="219" t="s">
        <v>28</v>
      </c>
      <c r="D808" s="48" t="s">
        <v>113</v>
      </c>
      <c r="E808" s="55">
        <v>455.66624999999999</v>
      </c>
      <c r="F808" s="194" t="s">
        <v>113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644</v>
      </c>
      <c r="C809" s="219" t="s">
        <v>28</v>
      </c>
      <c r="D809" s="48" t="s">
        <v>113</v>
      </c>
      <c r="E809" s="55">
        <v>455.66624999999999</v>
      </c>
      <c r="F809" s="194" t="s">
        <v>113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645</v>
      </c>
      <c r="C810" s="219" t="s">
        <v>28</v>
      </c>
      <c r="D810" s="48" t="s">
        <v>113</v>
      </c>
      <c r="E810" s="55">
        <v>455.66624999999999</v>
      </c>
      <c r="F810" s="194" t="s">
        <v>113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646</v>
      </c>
      <c r="C811" s="219" t="s">
        <v>28</v>
      </c>
      <c r="D811" s="48" t="s">
        <v>113</v>
      </c>
      <c r="E811" s="55">
        <v>455.66624999999999</v>
      </c>
      <c r="F811" s="194" t="s">
        <v>113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647</v>
      </c>
      <c r="C812" s="219" t="s">
        <v>28</v>
      </c>
      <c r="D812" s="48" t="s">
        <v>113</v>
      </c>
      <c r="E812" s="55">
        <v>455.66624999999999</v>
      </c>
      <c r="F812" s="194" t="s">
        <v>113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648</v>
      </c>
      <c r="C813" s="219" t="s">
        <v>28</v>
      </c>
      <c r="D813" s="48" t="s">
        <v>113</v>
      </c>
      <c r="E813" s="43">
        <v>3356</v>
      </c>
      <c r="F813" s="188" t="s">
        <v>113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649</v>
      </c>
      <c r="C814" s="219" t="s">
        <v>28</v>
      </c>
      <c r="D814" s="48" t="s">
        <v>113</v>
      </c>
      <c r="E814" s="55">
        <v>1900</v>
      </c>
      <c r="F814" s="194" t="s">
        <v>113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650</v>
      </c>
      <c r="C815" s="219" t="s">
        <v>28</v>
      </c>
      <c r="D815" s="48" t="s">
        <v>113</v>
      </c>
      <c r="E815" s="55">
        <v>1900</v>
      </c>
      <c r="F815" s="194" t="s">
        <v>113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651</v>
      </c>
      <c r="C816" s="219" t="s">
        <v>28</v>
      </c>
      <c r="D816" s="48" t="s">
        <v>113</v>
      </c>
      <c r="E816" s="55">
        <v>23075</v>
      </c>
      <c r="F816" s="194" t="s">
        <v>113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652</v>
      </c>
      <c r="C817" s="219" t="s">
        <v>28</v>
      </c>
      <c r="D817" s="48" t="s">
        <v>113</v>
      </c>
      <c r="E817" s="55">
        <v>23075.289999999997</v>
      </c>
      <c r="F817" s="188" t="s">
        <v>113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653</v>
      </c>
      <c r="C818" s="219" t="s">
        <v>28</v>
      </c>
      <c r="D818" s="48" t="s">
        <v>113</v>
      </c>
      <c r="E818" s="55">
        <v>1018.64</v>
      </c>
      <c r="F818" s="194" t="s">
        <v>113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654</v>
      </c>
      <c r="C819" s="219" t="s">
        <v>28</v>
      </c>
      <c r="D819" s="48" t="s">
        <v>113</v>
      </c>
      <c r="E819" s="55">
        <v>1018.64</v>
      </c>
      <c r="F819" s="194" t="s">
        <v>113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655</v>
      </c>
      <c r="C820" s="219" t="s">
        <v>28</v>
      </c>
      <c r="D820" s="48" t="s">
        <v>113</v>
      </c>
      <c r="E820" s="43">
        <v>3356</v>
      </c>
      <c r="F820" s="188" t="s">
        <v>113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656</v>
      </c>
      <c r="C821" s="219" t="s">
        <v>28</v>
      </c>
      <c r="D821" s="48" t="s">
        <v>113</v>
      </c>
      <c r="E821" s="43">
        <v>3356</v>
      </c>
      <c r="F821" s="188" t="s">
        <v>113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657</v>
      </c>
      <c r="C822" s="219" t="s">
        <v>28</v>
      </c>
      <c r="D822" s="48" t="s">
        <v>113</v>
      </c>
      <c r="E822" s="43">
        <v>3356</v>
      </c>
      <c r="F822" s="188" t="s">
        <v>113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658</v>
      </c>
      <c r="C823" s="219" t="s">
        <v>28</v>
      </c>
      <c r="D823" s="48" t="s">
        <v>113</v>
      </c>
      <c r="E823" s="43">
        <v>3356</v>
      </c>
      <c r="F823" s="188" t="s">
        <v>113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659</v>
      </c>
      <c r="C824" s="219" t="s">
        <v>28</v>
      </c>
      <c r="D824" s="48" t="s">
        <v>113</v>
      </c>
      <c r="E824" s="55">
        <v>3356</v>
      </c>
      <c r="F824" s="194" t="s">
        <v>113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660</v>
      </c>
      <c r="C825" s="219" t="s">
        <v>28</v>
      </c>
      <c r="D825" s="48" t="s">
        <v>113</v>
      </c>
      <c r="E825" s="43">
        <v>3356</v>
      </c>
      <c r="F825" s="188" t="s">
        <v>113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661</v>
      </c>
      <c r="C826" s="219" t="s">
        <v>28</v>
      </c>
      <c r="D826" s="48" t="s">
        <v>113</v>
      </c>
      <c r="E826" s="43">
        <v>3356</v>
      </c>
      <c r="F826" s="188" t="s">
        <v>113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662</v>
      </c>
      <c r="C827" s="219" t="s">
        <v>28</v>
      </c>
      <c r="D827" s="48" t="s">
        <v>113</v>
      </c>
      <c r="E827" s="43">
        <v>3356</v>
      </c>
      <c r="F827" s="188" t="s">
        <v>113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663</v>
      </c>
      <c r="C828" s="219" t="s">
        <v>28</v>
      </c>
      <c r="D828" s="48" t="s">
        <v>113</v>
      </c>
      <c r="E828" s="55">
        <v>198</v>
      </c>
      <c r="F828" s="194" t="s">
        <v>113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664</v>
      </c>
      <c r="C829" s="219" t="s">
        <v>28</v>
      </c>
      <c r="D829" s="48" t="s">
        <v>113</v>
      </c>
      <c r="E829" s="55">
        <v>3356</v>
      </c>
      <c r="F829" s="194" t="s">
        <v>113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665</v>
      </c>
      <c r="C830" s="219" t="s">
        <v>28</v>
      </c>
      <c r="D830" s="48" t="s">
        <v>113</v>
      </c>
      <c r="E830" s="55">
        <v>198</v>
      </c>
      <c r="F830" s="194" t="s">
        <v>113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666</v>
      </c>
      <c r="C831" s="219" t="s">
        <v>28</v>
      </c>
      <c r="D831" s="48" t="s">
        <v>113</v>
      </c>
      <c r="E831" s="55">
        <v>3356</v>
      </c>
      <c r="F831" s="194" t="s">
        <v>113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667</v>
      </c>
      <c r="C832" s="219" t="s">
        <v>28</v>
      </c>
      <c r="D832" s="48" t="s">
        <v>113</v>
      </c>
      <c r="E832" s="55">
        <v>3356</v>
      </c>
      <c r="F832" s="194" t="s">
        <v>113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668</v>
      </c>
      <c r="C833" s="219" t="s">
        <v>28</v>
      </c>
      <c r="D833" s="48" t="s">
        <v>113</v>
      </c>
      <c r="E833" s="43">
        <v>198</v>
      </c>
      <c r="F833" s="188" t="s">
        <v>113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669</v>
      </c>
      <c r="C834" s="219" t="s">
        <v>28</v>
      </c>
      <c r="D834" s="48" t="s">
        <v>113</v>
      </c>
      <c r="E834" s="55">
        <v>198</v>
      </c>
      <c r="F834" s="194" t="s">
        <v>113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670</v>
      </c>
      <c r="C835" s="219" t="s">
        <v>28</v>
      </c>
      <c r="D835" s="48" t="s">
        <v>113</v>
      </c>
      <c r="E835" s="55">
        <v>198</v>
      </c>
      <c r="F835" s="194" t="s">
        <v>113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671</v>
      </c>
      <c r="C836" s="219" t="s">
        <v>28</v>
      </c>
      <c r="D836" s="48" t="s">
        <v>113</v>
      </c>
      <c r="E836" s="55">
        <v>198</v>
      </c>
      <c r="F836" s="194" t="s">
        <v>113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672</v>
      </c>
      <c r="C837" s="219" t="s">
        <v>28</v>
      </c>
      <c r="D837" s="48" t="s">
        <v>113</v>
      </c>
      <c r="E837" s="55">
        <v>198</v>
      </c>
      <c r="F837" s="194" t="s">
        <v>113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673</v>
      </c>
      <c r="C838" s="219" t="s">
        <v>28</v>
      </c>
      <c r="D838" s="48" t="s">
        <v>113</v>
      </c>
      <c r="E838" s="55">
        <v>3356</v>
      </c>
      <c r="F838" s="194" t="s">
        <v>113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674</v>
      </c>
      <c r="C839" s="219" t="s">
        <v>28</v>
      </c>
      <c r="D839" s="48" t="s">
        <v>113</v>
      </c>
      <c r="E839" s="55">
        <v>1100</v>
      </c>
      <c r="F839" s="194" t="s">
        <v>113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675</v>
      </c>
      <c r="C840" s="219" t="s">
        <v>28</v>
      </c>
      <c r="D840" s="48" t="s">
        <v>113</v>
      </c>
      <c r="E840" s="55">
        <v>1350</v>
      </c>
      <c r="F840" s="194" t="s">
        <v>113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676</v>
      </c>
      <c r="C841" s="219" t="s">
        <v>28</v>
      </c>
      <c r="D841" s="48" t="s">
        <v>113</v>
      </c>
      <c r="E841" s="55">
        <v>925</v>
      </c>
      <c r="F841" s="194" t="s">
        <v>113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677</v>
      </c>
      <c r="C842" s="219" t="s">
        <v>28</v>
      </c>
      <c r="D842" s="48" t="s">
        <v>113</v>
      </c>
      <c r="E842" s="43">
        <v>3373</v>
      </c>
      <c r="F842" s="188" t="s">
        <v>113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678</v>
      </c>
      <c r="C843" s="219" t="s">
        <v>28</v>
      </c>
      <c r="D843" s="48" t="s">
        <v>113</v>
      </c>
      <c r="E843" s="56">
        <v>1275.68</v>
      </c>
      <c r="F843" s="188" t="s">
        <v>113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679</v>
      </c>
      <c r="C844" s="219" t="s">
        <v>28</v>
      </c>
      <c r="D844" s="48" t="s">
        <v>113</v>
      </c>
      <c r="E844" s="55">
        <v>3373</v>
      </c>
      <c r="F844" s="194" t="s">
        <v>113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680</v>
      </c>
      <c r="C845" s="219" t="s">
        <v>28</v>
      </c>
      <c r="D845" s="48" t="s">
        <v>113</v>
      </c>
      <c r="E845" s="56">
        <v>1275.68</v>
      </c>
      <c r="F845" s="188" t="s">
        <v>113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681</v>
      </c>
      <c r="C846" s="219" t="s">
        <v>28</v>
      </c>
      <c r="D846" s="48" t="s">
        <v>113</v>
      </c>
      <c r="E846" s="43">
        <v>1275.68</v>
      </c>
      <c r="F846" s="188" t="s">
        <v>113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682</v>
      </c>
      <c r="C847" s="219" t="s">
        <v>28</v>
      </c>
      <c r="D847" s="48" t="s">
        <v>113</v>
      </c>
      <c r="E847" s="55">
        <v>2746.52</v>
      </c>
      <c r="F847" s="194" t="s">
        <v>113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683</v>
      </c>
      <c r="C848" s="219" t="s">
        <v>28</v>
      </c>
      <c r="D848" s="48" t="s">
        <v>113</v>
      </c>
      <c r="E848" s="43">
        <v>1275.68</v>
      </c>
      <c r="F848" s="188" t="s">
        <v>113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684</v>
      </c>
      <c r="C849" s="219" t="s">
        <v>28</v>
      </c>
      <c r="D849" s="48" t="s">
        <v>113</v>
      </c>
      <c r="E849" s="43">
        <v>1225.7</v>
      </c>
      <c r="F849" s="188" t="s">
        <v>113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685</v>
      </c>
      <c r="C850" s="219" t="s">
        <v>28</v>
      </c>
      <c r="D850" s="48" t="s">
        <v>113</v>
      </c>
      <c r="E850" s="43">
        <v>3881.78</v>
      </c>
      <c r="F850" s="188" t="s">
        <v>113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686</v>
      </c>
      <c r="C851" s="219" t="s">
        <v>28</v>
      </c>
      <c r="D851" s="48" t="s">
        <v>113</v>
      </c>
      <c r="E851" s="43">
        <v>1275.68</v>
      </c>
      <c r="F851" s="188" t="s">
        <v>113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687</v>
      </c>
      <c r="C852" s="219" t="s">
        <v>28</v>
      </c>
      <c r="D852" s="48" t="s">
        <v>113</v>
      </c>
      <c r="E852" s="43">
        <v>3881.78</v>
      </c>
      <c r="F852" s="188" t="s">
        <v>113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688</v>
      </c>
      <c r="C853" s="219" t="s">
        <v>28</v>
      </c>
      <c r="D853" s="48" t="s">
        <v>113</v>
      </c>
      <c r="E853" s="55">
        <v>1225.7</v>
      </c>
      <c r="F853" s="194" t="s">
        <v>113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689</v>
      </c>
      <c r="C854" s="219" t="s">
        <v>28</v>
      </c>
      <c r="D854" s="48" t="s">
        <v>113</v>
      </c>
      <c r="E854" s="43">
        <v>1225.7</v>
      </c>
      <c r="F854" s="188" t="s">
        <v>113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690</v>
      </c>
      <c r="C855" s="219" t="s">
        <v>28</v>
      </c>
      <c r="D855" s="48" t="s">
        <v>113</v>
      </c>
      <c r="E855" s="43">
        <v>2400</v>
      </c>
      <c r="F855" s="188" t="s">
        <v>113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691</v>
      </c>
      <c r="C856" s="219" t="s">
        <v>28</v>
      </c>
      <c r="D856" s="48" t="s">
        <v>113</v>
      </c>
      <c r="E856" s="43">
        <v>1275.68</v>
      </c>
      <c r="F856" s="188" t="s">
        <v>113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692</v>
      </c>
      <c r="C857" s="219" t="s">
        <v>28</v>
      </c>
      <c r="D857" s="48" t="s">
        <v>113</v>
      </c>
      <c r="E857" s="43">
        <v>1225.7</v>
      </c>
      <c r="F857" s="188" t="s">
        <v>113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693</v>
      </c>
      <c r="C858" s="219" t="s">
        <v>28</v>
      </c>
      <c r="D858" s="48" t="s">
        <v>113</v>
      </c>
      <c r="E858" s="43">
        <v>1275.68</v>
      </c>
      <c r="F858" s="188" t="s">
        <v>113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694</v>
      </c>
      <c r="C859" s="219" t="s">
        <v>28</v>
      </c>
      <c r="D859" s="48" t="s">
        <v>113</v>
      </c>
      <c r="E859" s="43">
        <v>2400</v>
      </c>
      <c r="F859" s="188" t="s">
        <v>113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695</v>
      </c>
      <c r="C860" s="219" t="s">
        <v>28</v>
      </c>
      <c r="D860" s="48" t="s">
        <v>113</v>
      </c>
      <c r="E860" s="55">
        <v>873.94</v>
      </c>
      <c r="F860" s="194" t="s">
        <v>113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696</v>
      </c>
      <c r="C861" s="219" t="s">
        <v>28</v>
      </c>
      <c r="D861" s="48" t="s">
        <v>113</v>
      </c>
      <c r="E861" s="55">
        <v>873.94</v>
      </c>
      <c r="F861" s="194" t="s">
        <v>113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697</v>
      </c>
      <c r="C862" s="219" t="s">
        <v>28</v>
      </c>
      <c r="D862" s="48" t="s">
        <v>113</v>
      </c>
      <c r="E862" s="55">
        <v>873.94</v>
      </c>
      <c r="F862" s="194" t="s">
        <v>113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698</v>
      </c>
      <c r="C863" s="219" t="s">
        <v>28</v>
      </c>
      <c r="D863" s="48" t="s">
        <v>113</v>
      </c>
      <c r="E863" s="55">
        <v>873.94</v>
      </c>
      <c r="F863" s="194" t="s">
        <v>113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699</v>
      </c>
      <c r="C864" s="219" t="s">
        <v>28</v>
      </c>
      <c r="D864" s="48" t="s">
        <v>113</v>
      </c>
      <c r="E864" s="43">
        <v>131.97</v>
      </c>
      <c r="F864" s="188" t="s">
        <v>113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700</v>
      </c>
      <c r="C865" s="219" t="s">
        <v>28</v>
      </c>
      <c r="D865" s="48" t="s">
        <v>113</v>
      </c>
      <c r="E865" s="55">
        <v>5450</v>
      </c>
      <c r="F865" s="194" t="s">
        <v>113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701</v>
      </c>
      <c r="C866" s="219" t="s">
        <v>28</v>
      </c>
      <c r="D866" s="48" t="s">
        <v>113</v>
      </c>
      <c r="E866" s="55">
        <v>5450</v>
      </c>
      <c r="F866" s="194" t="s">
        <v>113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702</v>
      </c>
      <c r="C867" s="219" t="s">
        <v>28</v>
      </c>
      <c r="D867" s="48" t="s">
        <v>113</v>
      </c>
      <c r="E867" s="55">
        <v>5450</v>
      </c>
      <c r="F867" s="194" t="s">
        <v>113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703</v>
      </c>
      <c r="C868" s="219" t="s">
        <v>28</v>
      </c>
      <c r="D868" s="48" t="s">
        <v>113</v>
      </c>
      <c r="E868" s="55">
        <v>5450</v>
      </c>
      <c r="F868" s="194" t="s">
        <v>113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704</v>
      </c>
      <c r="C869" s="219" t="s">
        <v>28</v>
      </c>
      <c r="D869" s="48" t="s">
        <v>113</v>
      </c>
      <c r="E869" s="55">
        <v>5450</v>
      </c>
      <c r="F869" s="194" t="s">
        <v>113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705</v>
      </c>
      <c r="C870" s="219" t="s">
        <v>28</v>
      </c>
      <c r="D870" s="48" t="s">
        <v>113</v>
      </c>
      <c r="E870" s="55">
        <v>5450</v>
      </c>
      <c r="F870" s="194" t="s">
        <v>113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706</v>
      </c>
      <c r="C871" s="219" t="s">
        <v>28</v>
      </c>
      <c r="D871" s="48" t="s">
        <v>113</v>
      </c>
      <c r="E871" s="55">
        <v>5450</v>
      </c>
      <c r="F871" s="194" t="s">
        <v>113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707</v>
      </c>
      <c r="C872" s="219" t="s">
        <v>28</v>
      </c>
      <c r="D872" s="48" t="s">
        <v>113</v>
      </c>
      <c r="E872" s="55">
        <v>5450</v>
      </c>
      <c r="F872" s="194" t="s">
        <v>113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708</v>
      </c>
      <c r="C873" s="219" t="s">
        <v>28</v>
      </c>
      <c r="D873" s="48" t="s">
        <v>113</v>
      </c>
      <c r="E873" s="43">
        <v>131.97</v>
      </c>
      <c r="F873" s="188" t="s">
        <v>113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709</v>
      </c>
      <c r="C874" s="219" t="s">
        <v>28</v>
      </c>
      <c r="D874" s="48" t="s">
        <v>113</v>
      </c>
      <c r="E874" s="43">
        <v>131.97</v>
      </c>
      <c r="F874" s="188" t="s">
        <v>113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710</v>
      </c>
      <c r="C875" s="219" t="s">
        <v>28</v>
      </c>
      <c r="D875" s="48" t="s">
        <v>113</v>
      </c>
      <c r="E875" s="43">
        <v>249.9</v>
      </c>
      <c r="F875" s="188" t="s">
        <v>113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711</v>
      </c>
      <c r="C876" s="219" t="s">
        <v>28</v>
      </c>
      <c r="D876" s="48" t="s">
        <v>113</v>
      </c>
      <c r="E876" s="43">
        <v>131.97</v>
      </c>
      <c r="F876" s="188" t="s">
        <v>113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712</v>
      </c>
      <c r="C877" s="219" t="s">
        <v>28</v>
      </c>
      <c r="D877" s="48" t="s">
        <v>113</v>
      </c>
      <c r="E877" s="43">
        <v>131.97</v>
      </c>
      <c r="F877" s="188" t="s">
        <v>113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713</v>
      </c>
      <c r="C878" s="219" t="s">
        <v>28</v>
      </c>
      <c r="D878" s="48" t="s">
        <v>113</v>
      </c>
      <c r="E878" s="55">
        <v>131.97</v>
      </c>
      <c r="F878" s="194" t="s">
        <v>113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714</v>
      </c>
      <c r="C879" s="219" t="s">
        <v>28</v>
      </c>
      <c r="D879" s="48" t="s">
        <v>113</v>
      </c>
      <c r="E879" s="43">
        <v>131.97</v>
      </c>
      <c r="F879" s="188" t="s">
        <v>113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715</v>
      </c>
      <c r="C880" s="219" t="s">
        <v>28</v>
      </c>
      <c r="D880" s="48" t="s">
        <v>113</v>
      </c>
      <c r="E880" s="43">
        <v>131.97</v>
      </c>
      <c r="F880" s="188" t="s">
        <v>113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716</v>
      </c>
      <c r="C881" s="219" t="s">
        <v>28</v>
      </c>
      <c r="D881" s="48" t="s">
        <v>113</v>
      </c>
      <c r="E881" s="43">
        <v>131.97</v>
      </c>
      <c r="F881" s="188" t="s">
        <v>113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717</v>
      </c>
      <c r="C882" s="219" t="s">
        <v>28</v>
      </c>
      <c r="D882" s="48" t="s">
        <v>113</v>
      </c>
      <c r="E882" s="43">
        <v>131.97</v>
      </c>
      <c r="F882" s="188" t="s">
        <v>113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718</v>
      </c>
      <c r="C883" s="219" t="s">
        <v>28</v>
      </c>
      <c r="D883" s="48" t="s">
        <v>113</v>
      </c>
      <c r="E883" s="43">
        <v>131.97</v>
      </c>
      <c r="F883" s="188" t="s">
        <v>113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719</v>
      </c>
      <c r="C884" s="219" t="s">
        <v>28</v>
      </c>
      <c r="D884" s="48" t="s">
        <v>113</v>
      </c>
      <c r="E884" s="43">
        <v>131.97</v>
      </c>
      <c r="F884" s="188" t="s">
        <v>113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720</v>
      </c>
      <c r="C885" s="219" t="s">
        <v>28</v>
      </c>
      <c r="D885" s="48" t="s">
        <v>113</v>
      </c>
      <c r="E885" s="43">
        <v>131.97</v>
      </c>
      <c r="F885" s="194" t="s">
        <v>113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721</v>
      </c>
      <c r="C886" s="219" t="s">
        <v>28</v>
      </c>
      <c r="D886" s="48" t="s">
        <v>113</v>
      </c>
      <c r="E886" s="43">
        <v>131.97</v>
      </c>
      <c r="F886" s="188" t="s">
        <v>113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722</v>
      </c>
      <c r="C887" s="219" t="s">
        <v>28</v>
      </c>
      <c r="D887" s="48" t="s">
        <v>113</v>
      </c>
      <c r="E887" s="43">
        <v>131.97</v>
      </c>
      <c r="F887" s="188" t="s">
        <v>113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723</v>
      </c>
      <c r="C888" s="219" t="s">
        <v>28</v>
      </c>
      <c r="D888" s="48" t="s">
        <v>113</v>
      </c>
      <c r="E888" s="43">
        <v>131.97</v>
      </c>
      <c r="F888" s="188" t="s">
        <v>113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724</v>
      </c>
      <c r="C889" s="219" t="s">
        <v>28</v>
      </c>
      <c r="D889" s="48" t="s">
        <v>113</v>
      </c>
      <c r="E889" s="55">
        <v>131.97</v>
      </c>
      <c r="F889" s="194" t="s">
        <v>113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725</v>
      </c>
      <c r="C890" s="219" t="s">
        <v>28</v>
      </c>
      <c r="D890" s="48" t="s">
        <v>113</v>
      </c>
      <c r="E890" s="43">
        <v>131.97</v>
      </c>
      <c r="F890" s="188" t="s">
        <v>113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726</v>
      </c>
      <c r="C891" s="219" t="s">
        <v>28</v>
      </c>
      <c r="D891" s="48" t="s">
        <v>113</v>
      </c>
      <c r="E891" s="43">
        <v>131.97</v>
      </c>
      <c r="F891" s="188" t="s">
        <v>113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727</v>
      </c>
      <c r="C892" s="219" t="s">
        <v>28</v>
      </c>
      <c r="D892" s="48" t="s">
        <v>113</v>
      </c>
      <c r="E892" s="43">
        <v>131.97</v>
      </c>
      <c r="F892" s="188" t="s">
        <v>113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728</v>
      </c>
      <c r="C893" s="219" t="s">
        <v>28</v>
      </c>
      <c r="D893" s="48" t="s">
        <v>113</v>
      </c>
      <c r="E893" s="43">
        <v>131.97</v>
      </c>
      <c r="F893" s="188" t="s">
        <v>113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729</v>
      </c>
      <c r="C894" s="219" t="s">
        <v>28</v>
      </c>
      <c r="D894" s="48" t="s">
        <v>113</v>
      </c>
      <c r="E894" s="55">
        <v>131.97</v>
      </c>
      <c r="F894" s="194" t="s">
        <v>113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730</v>
      </c>
      <c r="C895" s="219" t="s">
        <v>28</v>
      </c>
      <c r="D895" s="48" t="s">
        <v>113</v>
      </c>
      <c r="E895" s="55">
        <v>6957.9299999999994</v>
      </c>
      <c r="F895" s="194" t="s">
        <v>113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731</v>
      </c>
      <c r="C896" s="219" t="s">
        <v>28</v>
      </c>
      <c r="D896" s="48" t="s">
        <v>113</v>
      </c>
      <c r="E896" s="55">
        <v>2563</v>
      </c>
      <c r="F896" s="194" t="s">
        <v>113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732</v>
      </c>
      <c r="C897" s="219" t="s">
        <v>28</v>
      </c>
      <c r="D897" s="48" t="s">
        <v>113</v>
      </c>
      <c r="E897" s="55">
        <v>2563</v>
      </c>
      <c r="F897" s="194" t="s">
        <v>113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733</v>
      </c>
      <c r="C898" s="219" t="s">
        <v>28</v>
      </c>
      <c r="D898" s="48" t="s">
        <v>113</v>
      </c>
      <c r="E898" s="55">
        <v>2563</v>
      </c>
      <c r="F898" s="194" t="s">
        <v>113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734</v>
      </c>
      <c r="C899" s="219" t="s">
        <v>28</v>
      </c>
      <c r="D899" s="48" t="s">
        <v>113</v>
      </c>
      <c r="E899" s="55">
        <v>2563</v>
      </c>
      <c r="F899" s="194" t="s">
        <v>113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735</v>
      </c>
      <c r="C900" s="219" t="s">
        <v>28</v>
      </c>
      <c r="D900" s="48" t="s">
        <v>113</v>
      </c>
      <c r="E900" s="55">
        <v>2885.5</v>
      </c>
      <c r="F900" s="194" t="s">
        <v>113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736</v>
      </c>
      <c r="C901" s="219" t="s">
        <v>28</v>
      </c>
      <c r="D901" s="48" t="s">
        <v>113</v>
      </c>
      <c r="E901" s="55">
        <v>2885.5</v>
      </c>
      <c r="F901" s="194" t="s">
        <v>113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737</v>
      </c>
      <c r="C902" s="219" t="s">
        <v>28</v>
      </c>
      <c r="D902" s="48" t="s">
        <v>113</v>
      </c>
      <c r="E902" s="55">
        <v>2885.5</v>
      </c>
      <c r="F902" s="194" t="s">
        <v>113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738</v>
      </c>
      <c r="C903" s="219" t="s">
        <v>28</v>
      </c>
      <c r="D903" s="48" t="s">
        <v>113</v>
      </c>
      <c r="E903" s="55">
        <v>2885.5</v>
      </c>
      <c r="F903" s="194" t="s">
        <v>113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739</v>
      </c>
      <c r="C904" s="219" t="s">
        <v>28</v>
      </c>
      <c r="D904" s="48" t="s">
        <v>113</v>
      </c>
      <c r="E904" s="55">
        <v>2885.5</v>
      </c>
      <c r="F904" s="194" t="s">
        <v>113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740</v>
      </c>
      <c r="C905" s="219" t="s">
        <v>28</v>
      </c>
      <c r="D905" s="48" t="s">
        <v>113</v>
      </c>
      <c r="E905" s="55">
        <v>2885.5</v>
      </c>
      <c r="F905" s="194" t="s">
        <v>113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741</v>
      </c>
      <c r="C906" s="219" t="s">
        <v>28</v>
      </c>
      <c r="D906" s="48" t="s">
        <v>113</v>
      </c>
      <c r="E906" s="55">
        <v>2885.5</v>
      </c>
      <c r="F906" s="194" t="s">
        <v>113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742</v>
      </c>
      <c r="C907" s="219" t="s">
        <v>28</v>
      </c>
      <c r="D907" s="48" t="s">
        <v>113</v>
      </c>
      <c r="E907" s="55">
        <v>2885.5</v>
      </c>
      <c r="F907" s="194" t="s">
        <v>113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743</v>
      </c>
      <c r="C908" s="219" t="s">
        <v>28</v>
      </c>
      <c r="D908" s="48" t="s">
        <v>113</v>
      </c>
      <c r="E908" s="55">
        <v>2785.5</v>
      </c>
      <c r="F908" s="194" t="s">
        <v>113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744</v>
      </c>
      <c r="C909" s="219" t="s">
        <v>28</v>
      </c>
      <c r="D909" s="48" t="s">
        <v>113</v>
      </c>
      <c r="E909" s="55">
        <v>2785.5</v>
      </c>
      <c r="F909" s="194" t="s">
        <v>113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745</v>
      </c>
      <c r="C910" s="219" t="s">
        <v>28</v>
      </c>
      <c r="D910" s="48" t="s">
        <v>113</v>
      </c>
      <c r="E910" s="55">
        <v>1</v>
      </c>
      <c r="F910" s="194" t="s">
        <v>113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746</v>
      </c>
      <c r="C911" s="219" t="s">
        <v>28</v>
      </c>
      <c r="D911" s="48" t="s">
        <v>113</v>
      </c>
      <c r="E911" s="55">
        <v>1200</v>
      </c>
      <c r="F911" s="194" t="s">
        <v>113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747</v>
      </c>
      <c r="C912" s="219" t="s">
        <v>28</v>
      </c>
      <c r="D912" s="48" t="s">
        <v>113</v>
      </c>
      <c r="E912" s="55">
        <v>1200</v>
      </c>
      <c r="F912" s="194" t="s">
        <v>113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748</v>
      </c>
      <c r="C913" s="219" t="s">
        <v>28</v>
      </c>
      <c r="D913" s="48" t="s">
        <v>113</v>
      </c>
      <c r="E913" s="55">
        <v>1200</v>
      </c>
      <c r="F913" s="194" t="s">
        <v>113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749</v>
      </c>
      <c r="C914" s="219" t="s">
        <v>28</v>
      </c>
      <c r="D914" s="48" t="s">
        <v>113</v>
      </c>
      <c r="E914" s="55">
        <v>500</v>
      </c>
      <c r="F914" s="194" t="s">
        <v>113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750</v>
      </c>
      <c r="C915" s="219" t="s">
        <v>28</v>
      </c>
      <c r="D915" s="48" t="s">
        <v>113</v>
      </c>
      <c r="E915" s="55">
        <v>500</v>
      </c>
      <c r="F915" s="194" t="s">
        <v>113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751</v>
      </c>
      <c r="C916" s="219" t="s">
        <v>28</v>
      </c>
      <c r="D916" s="48" t="s">
        <v>113</v>
      </c>
      <c r="E916" s="55">
        <v>500</v>
      </c>
      <c r="F916" s="194" t="s">
        <v>113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752</v>
      </c>
      <c r="C917" s="219" t="s">
        <v>28</v>
      </c>
      <c r="D917" s="48" t="s">
        <v>113</v>
      </c>
      <c r="E917" s="55">
        <v>500</v>
      </c>
      <c r="F917" s="194" t="s">
        <v>113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753</v>
      </c>
      <c r="C918" s="219" t="s">
        <v>28</v>
      </c>
      <c r="D918" s="48" t="s">
        <v>113</v>
      </c>
      <c r="E918" s="55">
        <v>500</v>
      </c>
      <c r="F918" s="194" t="s">
        <v>113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754</v>
      </c>
      <c r="C919" s="219" t="s">
        <v>28</v>
      </c>
      <c r="D919" s="48" t="s">
        <v>113</v>
      </c>
      <c r="E919" s="55">
        <v>114.24</v>
      </c>
      <c r="F919" s="194" t="s">
        <v>113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755</v>
      </c>
      <c r="C920" s="219" t="s">
        <v>28</v>
      </c>
      <c r="D920" s="48" t="s">
        <v>113</v>
      </c>
      <c r="E920" s="55">
        <v>114.24</v>
      </c>
      <c r="F920" s="194" t="s">
        <v>113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756</v>
      </c>
      <c r="C921" s="219" t="s">
        <v>28</v>
      </c>
      <c r="D921" s="48" t="s">
        <v>113</v>
      </c>
      <c r="E921" s="55">
        <v>114.24</v>
      </c>
      <c r="F921" s="194" t="s">
        <v>113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757</v>
      </c>
      <c r="C922" s="219" t="s">
        <v>28</v>
      </c>
      <c r="D922" s="48" t="s">
        <v>113</v>
      </c>
      <c r="E922" s="55">
        <v>114.24</v>
      </c>
      <c r="F922" s="194" t="s">
        <v>113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758</v>
      </c>
      <c r="C923" s="219" t="s">
        <v>28</v>
      </c>
      <c r="D923" s="48" t="s">
        <v>113</v>
      </c>
      <c r="E923" s="55">
        <v>114.24</v>
      </c>
      <c r="F923" s="194" t="s">
        <v>113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759</v>
      </c>
      <c r="C924" s="219" t="s">
        <v>28</v>
      </c>
      <c r="D924" s="48" t="s">
        <v>113</v>
      </c>
      <c r="E924" s="55">
        <v>114.24</v>
      </c>
      <c r="F924" s="194" t="s">
        <v>113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760</v>
      </c>
      <c r="C925" s="219" t="s">
        <v>28</v>
      </c>
      <c r="D925" s="48" t="s">
        <v>113</v>
      </c>
      <c r="E925" s="55">
        <v>114.24</v>
      </c>
      <c r="F925" s="194" t="s">
        <v>113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761</v>
      </c>
      <c r="C926" s="219" t="s">
        <v>28</v>
      </c>
      <c r="D926" s="48" t="s">
        <v>113</v>
      </c>
      <c r="E926" s="55">
        <v>114.24</v>
      </c>
      <c r="F926" s="194" t="s">
        <v>113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762</v>
      </c>
      <c r="C927" s="219" t="s">
        <v>28</v>
      </c>
      <c r="D927" s="48" t="s">
        <v>113</v>
      </c>
      <c r="E927" s="55">
        <v>114.24</v>
      </c>
      <c r="F927" s="194" t="s">
        <v>113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763</v>
      </c>
      <c r="C928" s="219" t="s">
        <v>28</v>
      </c>
      <c r="D928" s="48" t="s">
        <v>113</v>
      </c>
      <c r="E928" s="55">
        <v>114.24</v>
      </c>
      <c r="F928" s="194" t="s">
        <v>113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764</v>
      </c>
      <c r="C929" s="219" t="s">
        <v>28</v>
      </c>
      <c r="D929" s="48" t="s">
        <v>113</v>
      </c>
      <c r="E929" s="55">
        <v>114.24</v>
      </c>
      <c r="F929" s="194" t="s">
        <v>113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765</v>
      </c>
      <c r="C930" s="219" t="s">
        <v>28</v>
      </c>
      <c r="D930" s="48" t="s">
        <v>113</v>
      </c>
      <c r="E930" s="55">
        <v>114.24</v>
      </c>
      <c r="F930" s="194" t="s">
        <v>113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766</v>
      </c>
      <c r="C931" s="219" t="s">
        <v>28</v>
      </c>
      <c r="D931" s="48" t="s">
        <v>113</v>
      </c>
      <c r="E931" s="55">
        <v>114.24</v>
      </c>
      <c r="F931" s="194" t="s">
        <v>113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767</v>
      </c>
      <c r="C932" s="219" t="s">
        <v>28</v>
      </c>
      <c r="D932" s="48" t="s">
        <v>113</v>
      </c>
      <c r="E932" s="55">
        <v>114.24</v>
      </c>
      <c r="F932" s="194" t="s">
        <v>113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768</v>
      </c>
      <c r="C933" s="219" t="s">
        <v>28</v>
      </c>
      <c r="D933" s="48" t="s">
        <v>113</v>
      </c>
      <c r="E933" s="55">
        <v>1800</v>
      </c>
      <c r="F933" s="194" t="s">
        <v>113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769</v>
      </c>
      <c r="C934" s="219" t="s">
        <v>28</v>
      </c>
      <c r="D934" s="48" t="s">
        <v>113</v>
      </c>
      <c r="E934" s="55">
        <v>546</v>
      </c>
      <c r="F934" s="194" t="s">
        <v>113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770</v>
      </c>
      <c r="C935" s="219" t="s">
        <v>28</v>
      </c>
      <c r="D935" s="48" t="s">
        <v>113</v>
      </c>
      <c r="E935" s="55">
        <v>114.24</v>
      </c>
      <c r="F935" s="194" t="s">
        <v>113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771</v>
      </c>
      <c r="C936" s="219" t="s">
        <v>28</v>
      </c>
      <c r="D936" s="48" t="s">
        <v>113</v>
      </c>
      <c r="E936" s="55">
        <v>114.24</v>
      </c>
      <c r="F936" s="194" t="s">
        <v>113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772</v>
      </c>
      <c r="C937" s="219" t="s">
        <v>28</v>
      </c>
      <c r="D937" s="48" t="s">
        <v>113</v>
      </c>
      <c r="E937" s="55">
        <v>114.24</v>
      </c>
      <c r="F937" s="194" t="s">
        <v>113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773</v>
      </c>
      <c r="C938" s="219" t="s">
        <v>28</v>
      </c>
      <c r="D938" s="48" t="s">
        <v>113</v>
      </c>
      <c r="E938" s="55">
        <v>114.24</v>
      </c>
      <c r="F938" s="194" t="s">
        <v>113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29</v>
      </c>
      <c r="C939" s="219" t="s">
        <v>28</v>
      </c>
      <c r="D939" s="48" t="s">
        <v>113</v>
      </c>
      <c r="E939" s="55">
        <v>114.24</v>
      </c>
      <c r="F939" s="194" t="s">
        <v>113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774</v>
      </c>
      <c r="C940" s="219" t="s">
        <v>28</v>
      </c>
      <c r="D940" s="48" t="s">
        <v>113</v>
      </c>
      <c r="E940" s="55">
        <v>114.24</v>
      </c>
      <c r="F940" s="194" t="s">
        <v>113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775</v>
      </c>
      <c r="C941" s="219" t="s">
        <v>28</v>
      </c>
      <c r="D941" s="48" t="s">
        <v>113</v>
      </c>
      <c r="E941" s="55">
        <v>114.24</v>
      </c>
      <c r="F941" s="194" t="s">
        <v>113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776</v>
      </c>
      <c r="C942" s="219" t="s">
        <v>28</v>
      </c>
      <c r="D942" s="48" t="s">
        <v>113</v>
      </c>
      <c r="E942" s="55">
        <v>114.24</v>
      </c>
      <c r="F942" s="194" t="s">
        <v>113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777</v>
      </c>
      <c r="C943" s="219" t="s">
        <v>28</v>
      </c>
      <c r="D943" s="48" t="s">
        <v>113</v>
      </c>
      <c r="E943" s="55">
        <v>114.24</v>
      </c>
      <c r="F943" s="194" t="s">
        <v>113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778</v>
      </c>
      <c r="C944" s="219" t="s">
        <v>28</v>
      </c>
      <c r="D944" s="48" t="s">
        <v>113</v>
      </c>
      <c r="E944" s="55">
        <v>114.24</v>
      </c>
      <c r="F944" s="194" t="s">
        <v>113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779</v>
      </c>
      <c r="C945" s="219" t="s">
        <v>28</v>
      </c>
      <c r="D945" s="48" t="s">
        <v>113</v>
      </c>
      <c r="E945" s="55">
        <v>1550</v>
      </c>
      <c r="F945" s="194" t="s">
        <v>113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780</v>
      </c>
      <c r="C946" s="219" t="s">
        <v>28</v>
      </c>
      <c r="D946" s="48" t="s">
        <v>113</v>
      </c>
      <c r="E946" s="55">
        <v>1550</v>
      </c>
      <c r="F946" s="194" t="s">
        <v>113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781</v>
      </c>
      <c r="C947" s="219" t="s">
        <v>28</v>
      </c>
      <c r="D947" s="48" t="s">
        <v>113</v>
      </c>
      <c r="E947" s="55">
        <v>1550</v>
      </c>
      <c r="F947" s="194" t="s">
        <v>113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782</v>
      </c>
      <c r="C948" s="219" t="s">
        <v>28</v>
      </c>
      <c r="D948" s="48" t="s">
        <v>113</v>
      </c>
      <c r="E948" s="55">
        <v>1550</v>
      </c>
      <c r="F948" s="194" t="s">
        <v>113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783</v>
      </c>
      <c r="C949" s="219" t="s">
        <v>28</v>
      </c>
      <c r="D949" s="48" t="s">
        <v>113</v>
      </c>
      <c r="E949" s="55">
        <v>1550</v>
      </c>
      <c r="F949" s="194" t="s">
        <v>113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784</v>
      </c>
      <c r="C950" s="219" t="s">
        <v>28</v>
      </c>
      <c r="D950" s="48" t="s">
        <v>113</v>
      </c>
      <c r="E950" s="55">
        <v>1550</v>
      </c>
      <c r="F950" s="194" t="s">
        <v>113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785</v>
      </c>
      <c r="C951" s="219" t="s">
        <v>28</v>
      </c>
      <c r="D951" s="48" t="s">
        <v>113</v>
      </c>
      <c r="E951" s="55">
        <v>952</v>
      </c>
      <c r="F951" s="194" t="s">
        <v>113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786</v>
      </c>
      <c r="C952" s="219" t="s">
        <v>28</v>
      </c>
      <c r="D952" s="48" t="s">
        <v>113</v>
      </c>
      <c r="E952" s="55">
        <v>925</v>
      </c>
      <c r="F952" s="194" t="s">
        <v>113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787</v>
      </c>
      <c r="C953" s="219" t="s">
        <v>28</v>
      </c>
      <c r="D953" s="48" t="s">
        <v>113</v>
      </c>
      <c r="E953" s="55">
        <v>1100</v>
      </c>
      <c r="F953" s="194" t="s">
        <v>113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788</v>
      </c>
      <c r="C954" s="219" t="s">
        <v>28</v>
      </c>
      <c r="D954" s="48" t="s">
        <v>113</v>
      </c>
      <c r="E954" s="55">
        <v>1350</v>
      </c>
      <c r="F954" s="194" t="s">
        <v>113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789</v>
      </c>
      <c r="C955" s="219" t="s">
        <v>28</v>
      </c>
      <c r="D955" s="48" t="s">
        <v>113</v>
      </c>
      <c r="E955" s="55">
        <v>1350</v>
      </c>
      <c r="F955" s="194" t="s">
        <v>113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790</v>
      </c>
      <c r="C956" s="219" t="s">
        <v>28</v>
      </c>
      <c r="D956" s="48" t="s">
        <v>113</v>
      </c>
      <c r="E956" s="43">
        <v>2727.48</v>
      </c>
      <c r="F956" s="188" t="s">
        <v>113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791</v>
      </c>
      <c r="C957" s="219" t="s">
        <v>28</v>
      </c>
      <c r="D957" s="48" t="s">
        <v>113</v>
      </c>
      <c r="E957" s="43">
        <v>2727.48</v>
      </c>
      <c r="F957" s="188" t="s">
        <v>113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792</v>
      </c>
      <c r="C958" s="219" t="s">
        <v>28</v>
      </c>
      <c r="D958" s="48" t="s">
        <v>113</v>
      </c>
      <c r="E958" s="55">
        <v>2727.48</v>
      </c>
      <c r="F958" s="194" t="s">
        <v>113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793</v>
      </c>
      <c r="C959" s="219" t="s">
        <v>28</v>
      </c>
      <c r="D959" s="48" t="s">
        <v>113</v>
      </c>
      <c r="E959" s="55">
        <v>2727.48</v>
      </c>
      <c r="F959" s="194" t="s">
        <v>113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794</v>
      </c>
      <c r="C960" s="219" t="s">
        <v>28</v>
      </c>
      <c r="D960" s="48" t="s">
        <v>113</v>
      </c>
      <c r="E960" s="55">
        <v>2727.48</v>
      </c>
      <c r="F960" s="194" t="s">
        <v>113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795</v>
      </c>
      <c r="C961" s="219" t="s">
        <v>28</v>
      </c>
      <c r="D961" s="48" t="s">
        <v>113</v>
      </c>
      <c r="E961" s="55">
        <v>3111.85</v>
      </c>
      <c r="F961" s="194" t="s">
        <v>113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796</v>
      </c>
      <c r="C962" s="219" t="s">
        <v>28</v>
      </c>
      <c r="D962" s="48" t="s">
        <v>113</v>
      </c>
      <c r="E962" s="43">
        <v>1550</v>
      </c>
      <c r="F962" s="188" t="s">
        <v>113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797</v>
      </c>
      <c r="C963" s="219" t="s">
        <v>28</v>
      </c>
      <c r="D963" s="48" t="s">
        <v>113</v>
      </c>
      <c r="E963" s="55">
        <v>1550</v>
      </c>
      <c r="F963" s="194" t="s">
        <v>113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798</v>
      </c>
      <c r="C964" s="219" t="s">
        <v>28</v>
      </c>
      <c r="D964" s="48" t="s">
        <v>113</v>
      </c>
      <c r="E964" s="55">
        <v>1550</v>
      </c>
      <c r="F964" s="194" t="s">
        <v>113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799</v>
      </c>
      <c r="C965" s="219" t="s">
        <v>28</v>
      </c>
      <c r="D965" s="48" t="s">
        <v>113</v>
      </c>
      <c r="E965" s="43">
        <v>1550</v>
      </c>
      <c r="F965" s="188" t="s">
        <v>113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800</v>
      </c>
      <c r="C966" s="219" t="s">
        <v>28</v>
      </c>
      <c r="D966" s="48" t="s">
        <v>113</v>
      </c>
      <c r="E966" s="55">
        <v>1550</v>
      </c>
      <c r="F966" s="194" t="s">
        <v>113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801</v>
      </c>
      <c r="C967" s="219" t="s">
        <v>28</v>
      </c>
      <c r="D967" s="48" t="s">
        <v>113</v>
      </c>
      <c r="E967" s="55">
        <v>3844</v>
      </c>
      <c r="F967" s="194" t="s">
        <v>113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802</v>
      </c>
      <c r="C968" s="219" t="s">
        <v>28</v>
      </c>
      <c r="D968" s="48" t="s">
        <v>113</v>
      </c>
      <c r="E968" s="55">
        <v>3844</v>
      </c>
      <c r="F968" s="194" t="s">
        <v>113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803</v>
      </c>
      <c r="C969" s="219" t="s">
        <v>28</v>
      </c>
      <c r="D969" s="48" t="s">
        <v>113</v>
      </c>
      <c r="E969" s="55">
        <v>998.41</v>
      </c>
      <c r="F969" s="194" t="s">
        <v>113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804</v>
      </c>
      <c r="C970" s="219" t="s">
        <v>28</v>
      </c>
      <c r="D970" s="48" t="s">
        <v>113</v>
      </c>
      <c r="E970" s="55">
        <v>998.41</v>
      </c>
      <c r="F970" s="194" t="s">
        <v>113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805</v>
      </c>
      <c r="C971" s="219" t="s">
        <v>28</v>
      </c>
      <c r="D971" s="48" t="s">
        <v>113</v>
      </c>
      <c r="E971" s="55">
        <v>998.41</v>
      </c>
      <c r="F971" s="194" t="s">
        <v>113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806</v>
      </c>
      <c r="C972" s="219" t="s">
        <v>28</v>
      </c>
      <c r="D972" s="48" t="s">
        <v>113</v>
      </c>
      <c r="E972" s="55">
        <v>998.41</v>
      </c>
      <c r="F972" s="194" t="s">
        <v>113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807</v>
      </c>
      <c r="C973" s="219" t="s">
        <v>28</v>
      </c>
      <c r="D973" s="48" t="s">
        <v>113</v>
      </c>
      <c r="E973" s="55">
        <v>998.41</v>
      </c>
      <c r="F973" s="194" t="s">
        <v>113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808</v>
      </c>
      <c r="C974" s="219" t="s">
        <v>28</v>
      </c>
      <c r="D974" s="48" t="s">
        <v>113</v>
      </c>
      <c r="E974" s="55">
        <v>998.41</v>
      </c>
      <c r="F974" s="194" t="s">
        <v>113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809</v>
      </c>
      <c r="C975" s="219" t="s">
        <v>28</v>
      </c>
      <c r="D975" s="48" t="s">
        <v>113</v>
      </c>
      <c r="E975" s="55">
        <v>3844</v>
      </c>
      <c r="F975" s="194" t="s">
        <v>113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810</v>
      </c>
      <c r="C976" s="219" t="s">
        <v>28</v>
      </c>
      <c r="D976" s="48" t="s">
        <v>113</v>
      </c>
      <c r="E976" s="55">
        <v>3844</v>
      </c>
      <c r="F976" s="194" t="s">
        <v>113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811</v>
      </c>
      <c r="C977" s="219" t="s">
        <v>28</v>
      </c>
      <c r="D977" s="48" t="s">
        <v>113</v>
      </c>
      <c r="E977" s="55">
        <v>998.41</v>
      </c>
      <c r="F977" s="194" t="s">
        <v>113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812</v>
      </c>
      <c r="C978" s="219" t="s">
        <v>28</v>
      </c>
      <c r="D978" s="48" t="s">
        <v>113</v>
      </c>
      <c r="E978" s="55">
        <v>3844</v>
      </c>
      <c r="F978" s="194" t="s">
        <v>113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813</v>
      </c>
      <c r="C979" s="219" t="s">
        <v>28</v>
      </c>
      <c r="D979" s="48" t="s">
        <v>113</v>
      </c>
      <c r="E979" s="55">
        <v>3844</v>
      </c>
      <c r="F979" s="194" t="s">
        <v>113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814</v>
      </c>
      <c r="C980" s="219" t="s">
        <v>28</v>
      </c>
      <c r="D980" s="48" t="s">
        <v>113</v>
      </c>
      <c r="E980" s="55">
        <v>1173.3399999999999</v>
      </c>
      <c r="F980" s="194" t="s">
        <v>113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815</v>
      </c>
      <c r="C981" s="219" t="s">
        <v>28</v>
      </c>
      <c r="D981" s="48" t="s">
        <v>113</v>
      </c>
      <c r="E981" s="55">
        <v>3844</v>
      </c>
      <c r="F981" s="194" t="s">
        <v>113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816</v>
      </c>
      <c r="C982" s="219" t="s">
        <v>28</v>
      </c>
      <c r="D982" s="48" t="s">
        <v>113</v>
      </c>
      <c r="E982" s="55">
        <v>1200</v>
      </c>
      <c r="F982" s="194" t="s">
        <v>113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95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80</v>
      </c>
      <c r="B1010" s="128" t="s">
        <v>97</v>
      </c>
      <c r="C1010" s="119" t="s">
        <v>98</v>
      </c>
      <c r="D1010" s="103" t="s">
        <v>99</v>
      </c>
      <c r="E1010" s="69" t="s">
        <v>100</v>
      </c>
      <c r="F1010" s="187" t="s">
        <v>101</v>
      </c>
      <c r="G1010" s="71" t="s">
        <v>102</v>
      </c>
      <c r="H1010" s="72" t="s">
        <v>103</v>
      </c>
      <c r="I1010" s="72" t="s">
        <v>104</v>
      </c>
      <c r="J1010" s="74" t="s">
        <v>105</v>
      </c>
    </row>
    <row r="1011" spans="1:10">
      <c r="A1011" s="41">
        <v>1</v>
      </c>
      <c r="B1011" s="168" t="s">
        <v>817</v>
      </c>
      <c r="C1011" s="160" t="s">
        <v>61</v>
      </c>
      <c r="D1011" s="48" t="s">
        <v>244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818</v>
      </c>
      <c r="C1012" s="160" t="s">
        <v>61</v>
      </c>
      <c r="D1012" s="48" t="s">
        <v>244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819</v>
      </c>
      <c r="C1013" s="160" t="s">
        <v>61</v>
      </c>
      <c r="D1013" s="48" t="s">
        <v>244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820</v>
      </c>
      <c r="C1014" s="160" t="s">
        <v>61</v>
      </c>
      <c r="D1014" s="48" t="s">
        <v>244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821</v>
      </c>
      <c r="C1015" s="160" t="s">
        <v>61</v>
      </c>
      <c r="D1015" s="48" t="s">
        <v>243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822</v>
      </c>
      <c r="C1016" s="160" t="s">
        <v>61</v>
      </c>
      <c r="D1016" s="48" t="s">
        <v>243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823</v>
      </c>
      <c r="C1017" s="160" t="s">
        <v>61</v>
      </c>
      <c r="D1017" s="48" t="s">
        <v>244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824</v>
      </c>
      <c r="C1018" s="160" t="s">
        <v>61</v>
      </c>
      <c r="D1018" s="48" t="s">
        <v>244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825</v>
      </c>
      <c r="C1019" s="160" t="s">
        <v>61</v>
      </c>
      <c r="D1019" s="48" t="s">
        <v>243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826</v>
      </c>
      <c r="C1020" s="160" t="s">
        <v>61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827</v>
      </c>
      <c r="C1021" s="160" t="s">
        <v>61</v>
      </c>
      <c r="D1021" s="151" t="s">
        <v>244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828</v>
      </c>
      <c r="C1022" s="160" t="s">
        <v>61</v>
      </c>
      <c r="D1022" s="151" t="s">
        <v>244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829</v>
      </c>
      <c r="C1023" s="160" t="s">
        <v>61</v>
      </c>
      <c r="D1023" s="151" t="s">
        <v>244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830</v>
      </c>
      <c r="C1024" s="160" t="s">
        <v>61</v>
      </c>
      <c r="D1024" s="151" t="s">
        <v>244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831</v>
      </c>
      <c r="C1025" s="160" t="s">
        <v>61</v>
      </c>
      <c r="D1025" s="151" t="s">
        <v>244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832</v>
      </c>
      <c r="C1026" s="160" t="s">
        <v>61</v>
      </c>
      <c r="D1026" s="151" t="s">
        <v>244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833</v>
      </c>
      <c r="C1027" s="160" t="s">
        <v>61</v>
      </c>
      <c r="D1027" s="151" t="s">
        <v>244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834</v>
      </c>
      <c r="C1028" s="160" t="s">
        <v>61</v>
      </c>
      <c r="D1028" s="151" t="s">
        <v>244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835</v>
      </c>
      <c r="C1029" s="160" t="s">
        <v>61</v>
      </c>
      <c r="D1029" s="151" t="s">
        <v>244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836</v>
      </c>
      <c r="C1030" s="160" t="s">
        <v>61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837</v>
      </c>
      <c r="C1031" s="160" t="s">
        <v>61</v>
      </c>
      <c r="D1031" s="151" t="s">
        <v>244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838</v>
      </c>
      <c r="C1032" s="160" t="s">
        <v>61</v>
      </c>
      <c r="D1032" s="151" t="s">
        <v>244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839</v>
      </c>
      <c r="C1033" s="160" t="s">
        <v>61</v>
      </c>
      <c r="D1033" s="151" t="s">
        <v>244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840</v>
      </c>
      <c r="C1034" s="160" t="s">
        <v>61</v>
      </c>
      <c r="D1034" s="151" t="s">
        <v>244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841</v>
      </c>
      <c r="C1035" s="160" t="s">
        <v>61</v>
      </c>
      <c r="D1035" s="151" t="s">
        <v>244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842</v>
      </c>
      <c r="C1036" s="160" t="s">
        <v>61</v>
      </c>
      <c r="D1036" s="151" t="s">
        <v>243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843</v>
      </c>
      <c r="C1037" s="160" t="s">
        <v>61</v>
      </c>
      <c r="D1037" s="151" t="s">
        <v>243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844</v>
      </c>
      <c r="C1038" s="160" t="s">
        <v>61</v>
      </c>
      <c r="D1038" s="48" t="s">
        <v>243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845</v>
      </c>
      <c r="C1039" s="160" t="s">
        <v>61</v>
      </c>
      <c r="D1039" s="48" t="s">
        <v>244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846</v>
      </c>
      <c r="C1040" s="160" t="s">
        <v>61</v>
      </c>
      <c r="D1040" s="151" t="s">
        <v>243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847</v>
      </c>
      <c r="C1041" s="160" t="s">
        <v>61</v>
      </c>
      <c r="D1041" s="48" t="s">
        <v>243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848</v>
      </c>
      <c r="C1042" s="160" t="s">
        <v>61</v>
      </c>
      <c r="D1042" s="48" t="s">
        <v>243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849</v>
      </c>
      <c r="C1043" s="160" t="s">
        <v>61</v>
      </c>
      <c r="D1043" s="48" t="s">
        <v>244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95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80</v>
      </c>
      <c r="B1066" s="211" t="s">
        <v>97</v>
      </c>
      <c r="C1066" s="66" t="s">
        <v>98</v>
      </c>
      <c r="D1066" s="67" t="s">
        <v>99</v>
      </c>
      <c r="E1066" s="69" t="s">
        <v>100</v>
      </c>
      <c r="F1066" s="187" t="s">
        <v>101</v>
      </c>
      <c r="G1066" s="71" t="s">
        <v>102</v>
      </c>
      <c r="H1066" s="72" t="s">
        <v>103</v>
      </c>
      <c r="I1066" s="72" t="s">
        <v>104</v>
      </c>
      <c r="J1066" s="74" t="s">
        <v>105</v>
      </c>
    </row>
    <row r="1067" spans="1:10" ht="30">
      <c r="A1067" s="83">
        <v>1</v>
      </c>
      <c r="B1067" s="206" t="s">
        <v>850</v>
      </c>
      <c r="C1067" s="219" t="s">
        <v>63</v>
      </c>
      <c r="D1067" s="48" t="s">
        <v>241</v>
      </c>
      <c r="E1067" s="43">
        <v>49000</v>
      </c>
      <c r="F1067" s="188" t="s">
        <v>241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851</v>
      </c>
      <c r="C1068" s="219" t="s">
        <v>63</v>
      </c>
      <c r="D1068" s="48" t="s">
        <v>176</v>
      </c>
      <c r="E1068" s="43">
        <v>14150</v>
      </c>
      <c r="F1068" s="188" t="s">
        <v>176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852</v>
      </c>
      <c r="C1069" s="219" t="s">
        <v>63</v>
      </c>
      <c r="D1069" s="48" t="s">
        <v>176</v>
      </c>
      <c r="E1069" s="43">
        <v>16000</v>
      </c>
      <c r="F1069" s="188" t="s">
        <v>176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853</v>
      </c>
      <c r="C1070" s="219" t="s">
        <v>63</v>
      </c>
      <c r="D1070" s="48" t="s">
        <v>176</v>
      </c>
      <c r="E1070" s="43">
        <v>18633.3</v>
      </c>
      <c r="F1070" s="188" t="s">
        <v>176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854</v>
      </c>
      <c r="C1071" s="219" t="s">
        <v>63</v>
      </c>
      <c r="D1071" s="48" t="s">
        <v>176</v>
      </c>
      <c r="E1071" s="43">
        <v>8550</v>
      </c>
      <c r="F1071" s="188" t="s">
        <v>176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855</v>
      </c>
      <c r="C1072" s="219" t="s">
        <v>63</v>
      </c>
      <c r="D1072" s="48" t="s">
        <v>176</v>
      </c>
      <c r="E1072" s="43">
        <v>14000</v>
      </c>
      <c r="F1072" s="188" t="s">
        <v>176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856</v>
      </c>
      <c r="C1073" s="219" t="s">
        <v>63</v>
      </c>
      <c r="D1073" s="48" t="s">
        <v>176</v>
      </c>
      <c r="E1073" s="43">
        <v>24800</v>
      </c>
      <c r="F1073" s="188" t="s">
        <v>176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95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80</v>
      </c>
      <c r="B1106" s="205" t="s">
        <v>97</v>
      </c>
      <c r="C1106" s="202" t="s">
        <v>98</v>
      </c>
      <c r="D1106" s="203" t="s">
        <v>99</v>
      </c>
      <c r="E1106" s="69" t="s">
        <v>100</v>
      </c>
      <c r="F1106" s="187" t="s">
        <v>101</v>
      </c>
      <c r="G1106" s="71" t="s">
        <v>102</v>
      </c>
      <c r="H1106" s="72" t="s">
        <v>103</v>
      </c>
      <c r="I1106" s="72" t="s">
        <v>104</v>
      </c>
      <c r="J1106" s="74" t="s">
        <v>105</v>
      </c>
    </row>
    <row r="1107" spans="1:10" ht="30">
      <c r="A1107" s="83">
        <v>1</v>
      </c>
      <c r="B1107" s="206" t="s">
        <v>857</v>
      </c>
      <c r="C1107" s="37" t="s">
        <v>33</v>
      </c>
      <c r="D1107" s="48" t="s">
        <v>113</v>
      </c>
      <c r="E1107" s="43">
        <v>88750</v>
      </c>
      <c r="F1107" s="188" t="s">
        <v>113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38</v>
      </c>
      <c r="C1108" s="37" t="s">
        <v>33</v>
      </c>
      <c r="D1108" s="48" t="s">
        <v>113</v>
      </c>
      <c r="E1108" s="43">
        <v>18000</v>
      </c>
      <c r="F1108" s="188" t="s">
        <v>113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858</v>
      </c>
      <c r="C1109" s="37" t="s">
        <v>33</v>
      </c>
      <c r="D1109" s="48" t="s">
        <v>113</v>
      </c>
      <c r="E1109" s="43">
        <v>48900</v>
      </c>
      <c r="F1109" s="188" t="s">
        <v>113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859</v>
      </c>
      <c r="C1110" s="37" t="s">
        <v>33</v>
      </c>
      <c r="D1110" s="48" t="s">
        <v>113</v>
      </c>
      <c r="E1110" s="43">
        <v>5150</v>
      </c>
      <c r="F1110" s="188" t="s">
        <v>113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860</v>
      </c>
      <c r="C1111" s="37" t="s">
        <v>33</v>
      </c>
      <c r="D1111" s="48" t="s">
        <v>113</v>
      </c>
      <c r="E1111" s="43">
        <v>6400</v>
      </c>
      <c r="F1111" s="188" t="s">
        <v>113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37</v>
      </c>
      <c r="C1112" s="37" t="s">
        <v>33</v>
      </c>
      <c r="D1112" s="48" t="s">
        <v>176</v>
      </c>
      <c r="E1112" s="43">
        <v>61500</v>
      </c>
      <c r="F1112" s="188" t="s">
        <v>176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861</v>
      </c>
      <c r="C1113" s="37" t="s">
        <v>33</v>
      </c>
      <c r="D1113" s="48" t="s">
        <v>113</v>
      </c>
      <c r="E1113" s="43">
        <v>48683.375</v>
      </c>
      <c r="F1113" s="188" t="s">
        <v>113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862</v>
      </c>
      <c r="C1114" s="37" t="s">
        <v>33</v>
      </c>
      <c r="D1114" s="48" t="s">
        <v>176</v>
      </c>
      <c r="E1114" s="43"/>
      <c r="F1114" s="48" t="s">
        <v>176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863</v>
      </c>
      <c r="C1115" s="37" t="s">
        <v>33</v>
      </c>
      <c r="D1115" s="48" t="s">
        <v>176</v>
      </c>
      <c r="E1115" s="43"/>
      <c r="F1115" s="48" t="s">
        <v>176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864</v>
      </c>
      <c r="C1116" s="37" t="s">
        <v>33</v>
      </c>
      <c r="D1116" s="48" t="s">
        <v>176</v>
      </c>
      <c r="E1116" s="43"/>
      <c r="F1116" s="48" t="s">
        <v>176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865</v>
      </c>
      <c r="C1117" s="37" t="s">
        <v>33</v>
      </c>
      <c r="D1117" s="48" t="s">
        <v>176</v>
      </c>
      <c r="E1117" s="43"/>
      <c r="F1117" s="48" t="s">
        <v>176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866</v>
      </c>
      <c r="C1118" s="37" t="s">
        <v>33</v>
      </c>
      <c r="D1118" s="48" t="s">
        <v>176</v>
      </c>
      <c r="E1118" s="43"/>
      <c r="F1118" s="48" t="s">
        <v>176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867</v>
      </c>
      <c r="C1119" s="37" t="s">
        <v>33</v>
      </c>
      <c r="D1119" s="48" t="s">
        <v>176</v>
      </c>
      <c r="E1119" s="43"/>
      <c r="F1119" s="48" t="s">
        <v>176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868</v>
      </c>
      <c r="C1120" s="37" t="s">
        <v>33</v>
      </c>
      <c r="D1120" s="48" t="s">
        <v>176</v>
      </c>
      <c r="E1120" s="43"/>
      <c r="F1120" s="48" t="s">
        <v>176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869</v>
      </c>
      <c r="C1121" s="37" t="s">
        <v>33</v>
      </c>
      <c r="D1121" s="48" t="s">
        <v>176</v>
      </c>
      <c r="E1121" s="43"/>
      <c r="F1121" s="48" t="s">
        <v>176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870</v>
      </c>
      <c r="C1122" s="37" t="s">
        <v>33</v>
      </c>
      <c r="D1122" s="48" t="s">
        <v>176</v>
      </c>
      <c r="E1122" s="43"/>
      <c r="F1122" s="48" t="s">
        <v>176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871</v>
      </c>
      <c r="C1123" s="37" t="s">
        <v>33</v>
      </c>
      <c r="D1123" s="48" t="s">
        <v>176</v>
      </c>
      <c r="E1123" s="43"/>
      <c r="F1123" s="48" t="s">
        <v>176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872</v>
      </c>
      <c r="C1124" s="37" t="s">
        <v>33</v>
      </c>
      <c r="D1124" s="48" t="s">
        <v>176</v>
      </c>
      <c r="E1124" s="43"/>
      <c r="F1124" s="48" t="s">
        <v>176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873</v>
      </c>
      <c r="C1125" s="37" t="s">
        <v>33</v>
      </c>
      <c r="D1125" s="48" t="s">
        <v>176</v>
      </c>
      <c r="E1125" s="43"/>
      <c r="F1125" s="48" t="s">
        <v>176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874</v>
      </c>
      <c r="C1126" s="37" t="s">
        <v>33</v>
      </c>
      <c r="D1126" s="48" t="s">
        <v>176</v>
      </c>
      <c r="E1126" s="43"/>
      <c r="F1126" s="48" t="s">
        <v>176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875</v>
      </c>
      <c r="C1127" s="37" t="s">
        <v>33</v>
      </c>
      <c r="D1127" s="48" t="s">
        <v>176</v>
      </c>
      <c r="E1127" s="43"/>
      <c r="F1127" s="48" t="s">
        <v>176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876</v>
      </c>
      <c r="C1128" s="37" t="s">
        <v>33</v>
      </c>
      <c r="D1128" s="48" t="s">
        <v>176</v>
      </c>
      <c r="E1128" s="43"/>
      <c r="F1128" s="48" t="s">
        <v>176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877</v>
      </c>
      <c r="C1129" s="37" t="s">
        <v>33</v>
      </c>
      <c r="D1129" s="48" t="s">
        <v>176</v>
      </c>
      <c r="E1129" s="43"/>
      <c r="F1129" s="48" t="s">
        <v>176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878</v>
      </c>
      <c r="C1130" s="37" t="s">
        <v>33</v>
      </c>
      <c r="D1130" s="48" t="s">
        <v>176</v>
      </c>
      <c r="E1130" s="43"/>
      <c r="F1130" s="48" t="s">
        <v>176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879</v>
      </c>
      <c r="C1131" s="37" t="s">
        <v>33</v>
      </c>
      <c r="D1131" s="204" t="s">
        <v>176</v>
      </c>
      <c r="E1131" s="43"/>
      <c r="F1131" s="48" t="s">
        <v>176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880</v>
      </c>
      <c r="C1132" s="275" t="s">
        <v>33</v>
      </c>
      <c r="D1132" s="48" t="s">
        <v>176</v>
      </c>
      <c r="E1132" s="43"/>
      <c r="F1132" s="48" t="s">
        <v>176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881</v>
      </c>
      <c r="C1133" s="276" t="s">
        <v>33</v>
      </c>
      <c r="D1133" s="277" t="s">
        <v>176</v>
      </c>
      <c r="E1133" s="141"/>
      <c r="F1133" s="48" t="s">
        <v>176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882</v>
      </c>
      <c r="C1134" s="276" t="s">
        <v>33</v>
      </c>
      <c r="D1134" s="277" t="s">
        <v>176</v>
      </c>
      <c r="E1134" s="141"/>
      <c r="F1134" s="48" t="s">
        <v>176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883</v>
      </c>
      <c r="C1135" s="276" t="s">
        <v>33</v>
      </c>
      <c r="D1135" s="277" t="s">
        <v>176</v>
      </c>
      <c r="E1135" s="141"/>
      <c r="F1135" s="48" t="s">
        <v>176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884</v>
      </c>
      <c r="C1136" s="276" t="s">
        <v>33</v>
      </c>
      <c r="D1136" s="277" t="s">
        <v>176</v>
      </c>
      <c r="E1136" s="141"/>
      <c r="F1136" s="48" t="s">
        <v>176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885</v>
      </c>
      <c r="C1137" s="276" t="s">
        <v>33</v>
      </c>
      <c r="D1137" s="277" t="s">
        <v>176</v>
      </c>
      <c r="E1137" s="141"/>
      <c r="F1137" s="48" t="s">
        <v>176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886</v>
      </c>
      <c r="C1138" s="276" t="s">
        <v>33</v>
      </c>
      <c r="D1138" s="277" t="s">
        <v>176</v>
      </c>
      <c r="E1138" s="141"/>
      <c r="F1138" s="48" t="s">
        <v>176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887</v>
      </c>
      <c r="C1139" s="276" t="s">
        <v>33</v>
      </c>
      <c r="D1139" s="277" t="s">
        <v>176</v>
      </c>
      <c r="E1139" s="141"/>
      <c r="F1139" s="48" t="s">
        <v>176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888</v>
      </c>
      <c r="C1140" s="276" t="s">
        <v>33</v>
      </c>
      <c r="D1140" s="277" t="s">
        <v>176</v>
      </c>
      <c r="E1140" s="141"/>
      <c r="F1140" s="48" t="s">
        <v>176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889</v>
      </c>
      <c r="C1141" s="276" t="s">
        <v>33</v>
      </c>
      <c r="D1141" s="277" t="s">
        <v>176</v>
      </c>
      <c r="E1141" s="141"/>
      <c r="F1141" s="48" t="s">
        <v>176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890</v>
      </c>
      <c r="C1142" s="276" t="s">
        <v>33</v>
      </c>
      <c r="D1142" s="277" t="s">
        <v>176</v>
      </c>
      <c r="E1142" s="141"/>
      <c r="F1142" s="48" t="s">
        <v>176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891</v>
      </c>
      <c r="C1143" s="276" t="s">
        <v>33</v>
      </c>
      <c r="D1143" s="277" t="s">
        <v>176</v>
      </c>
      <c r="E1143" s="141"/>
      <c r="F1143" s="48" t="s">
        <v>176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892</v>
      </c>
      <c r="C1144" s="276" t="s">
        <v>33</v>
      </c>
      <c r="D1144" s="277" t="s">
        <v>176</v>
      </c>
      <c r="E1144" s="141"/>
      <c r="F1144" s="48" t="s">
        <v>176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893</v>
      </c>
      <c r="C1145" s="276" t="s">
        <v>33</v>
      </c>
      <c r="D1145" s="277" t="s">
        <v>176</v>
      </c>
      <c r="E1145" s="141"/>
      <c r="F1145" s="48" t="s">
        <v>176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894</v>
      </c>
      <c r="C1146" s="276" t="s">
        <v>33</v>
      </c>
      <c r="D1146" s="277" t="s">
        <v>176</v>
      </c>
      <c r="E1146" s="141"/>
      <c r="F1146" s="48" t="s">
        <v>176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895</v>
      </c>
      <c r="C1147" s="276" t="s">
        <v>33</v>
      </c>
      <c r="D1147" s="277" t="s">
        <v>176</v>
      </c>
      <c r="E1147" s="141"/>
      <c r="F1147" s="48" t="s">
        <v>176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896</v>
      </c>
      <c r="C1148" s="276" t="s">
        <v>33</v>
      </c>
      <c r="D1148" s="277" t="s">
        <v>176</v>
      </c>
      <c r="E1148" s="141"/>
      <c r="F1148" s="48" t="s">
        <v>176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897</v>
      </c>
      <c r="C1149" s="276" t="s">
        <v>33</v>
      </c>
      <c r="D1149" s="277" t="s">
        <v>176</v>
      </c>
      <c r="E1149" s="141"/>
      <c r="F1149" s="48" t="s">
        <v>176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898</v>
      </c>
      <c r="C1150" s="276" t="s">
        <v>33</v>
      </c>
      <c r="D1150" s="277" t="s">
        <v>176</v>
      </c>
      <c r="E1150" s="141"/>
      <c r="F1150" s="48" t="s">
        <v>176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899</v>
      </c>
      <c r="C1151" s="276" t="s">
        <v>33</v>
      </c>
      <c r="D1151" s="277" t="s">
        <v>176</v>
      </c>
      <c r="E1151" s="141"/>
      <c r="F1151" s="48" t="s">
        <v>176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900</v>
      </c>
      <c r="C1152" s="276" t="s">
        <v>33</v>
      </c>
      <c r="D1152" s="277" t="s">
        <v>176</v>
      </c>
      <c r="E1152" s="141"/>
      <c r="F1152" s="48" t="s">
        <v>176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901</v>
      </c>
      <c r="C1153" s="276" t="s">
        <v>33</v>
      </c>
      <c r="D1153" s="277" t="s">
        <v>176</v>
      </c>
      <c r="E1153" s="141"/>
      <c r="F1153" s="48" t="s">
        <v>176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902</v>
      </c>
      <c r="C1154" s="276" t="s">
        <v>33</v>
      </c>
      <c r="D1154" s="277" t="s">
        <v>176</v>
      </c>
      <c r="E1154" s="141"/>
      <c r="F1154" s="48" t="s">
        <v>176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903</v>
      </c>
      <c r="C1155" s="276" t="s">
        <v>33</v>
      </c>
      <c r="D1155" s="277" t="s">
        <v>176</v>
      </c>
      <c r="E1155" s="141"/>
      <c r="F1155" s="48" t="s">
        <v>176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904</v>
      </c>
      <c r="C1156" s="276" t="s">
        <v>33</v>
      </c>
      <c r="D1156" s="277" t="s">
        <v>176</v>
      </c>
      <c r="E1156" s="141"/>
      <c r="F1156" s="48" t="s">
        <v>176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905</v>
      </c>
      <c r="C1157" s="276" t="s">
        <v>33</v>
      </c>
      <c r="D1157" s="277" t="s">
        <v>176</v>
      </c>
      <c r="E1157" s="141"/>
      <c r="F1157" s="48" t="s">
        <v>176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906</v>
      </c>
      <c r="C1158" s="276" t="s">
        <v>33</v>
      </c>
      <c r="D1158" s="277" t="s">
        <v>176</v>
      </c>
      <c r="E1158" s="141"/>
      <c r="F1158" s="48" t="s">
        <v>176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907</v>
      </c>
      <c r="C1159" s="276" t="s">
        <v>33</v>
      </c>
      <c r="D1159" s="277" t="s">
        <v>176</v>
      </c>
      <c r="E1159" s="141"/>
      <c r="F1159" s="48" t="s">
        <v>176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908</v>
      </c>
      <c r="C1160" s="276" t="s">
        <v>33</v>
      </c>
      <c r="D1160" s="277" t="s">
        <v>176</v>
      </c>
      <c r="E1160" s="141"/>
      <c r="F1160" s="48" t="s">
        <v>176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909</v>
      </c>
      <c r="C1161" s="276" t="s">
        <v>33</v>
      </c>
      <c r="D1161" s="277" t="s">
        <v>176</v>
      </c>
      <c r="E1161" s="141"/>
      <c r="F1161" s="48" t="s">
        <v>176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910</v>
      </c>
      <c r="C1162" s="276" t="s">
        <v>33</v>
      </c>
      <c r="D1162" s="277" t="s">
        <v>176</v>
      </c>
      <c r="E1162" s="141"/>
      <c r="F1162" s="48" t="s">
        <v>176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911</v>
      </c>
      <c r="C1163" s="276" t="s">
        <v>33</v>
      </c>
      <c r="D1163" s="277" t="s">
        <v>176</v>
      </c>
      <c r="E1163" s="141"/>
      <c r="F1163" s="48" t="s">
        <v>176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912</v>
      </c>
      <c r="C1164" s="276" t="s">
        <v>33</v>
      </c>
      <c r="D1164" s="277" t="s">
        <v>176</v>
      </c>
      <c r="E1164" s="141"/>
      <c r="F1164" s="48" t="s">
        <v>176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913</v>
      </c>
      <c r="C1165" s="276" t="s">
        <v>33</v>
      </c>
      <c r="D1165" s="277" t="s">
        <v>176</v>
      </c>
      <c r="E1165" s="141"/>
      <c r="F1165" s="48" t="s">
        <v>176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914</v>
      </c>
      <c r="C1166" s="276" t="s">
        <v>33</v>
      </c>
      <c r="D1166" s="277" t="s">
        <v>176</v>
      </c>
      <c r="E1166" s="141"/>
      <c r="F1166" s="48" t="s">
        <v>176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915</v>
      </c>
      <c r="C1167" s="276" t="s">
        <v>33</v>
      </c>
      <c r="D1167" s="277" t="s">
        <v>176</v>
      </c>
      <c r="E1167" s="141"/>
      <c r="F1167" s="48" t="s">
        <v>176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916</v>
      </c>
      <c r="C1168" s="276" t="s">
        <v>33</v>
      </c>
      <c r="D1168" s="277" t="s">
        <v>176</v>
      </c>
      <c r="E1168" s="141"/>
      <c r="F1168" s="48" t="s">
        <v>176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917</v>
      </c>
      <c r="C1169" s="276" t="s">
        <v>33</v>
      </c>
      <c r="D1169" s="277" t="s">
        <v>176</v>
      </c>
      <c r="E1169" s="141"/>
      <c r="F1169" s="48" t="s">
        <v>176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918</v>
      </c>
      <c r="C1170" s="276" t="s">
        <v>33</v>
      </c>
      <c r="D1170" s="277" t="s">
        <v>176</v>
      </c>
      <c r="E1170" s="141"/>
      <c r="F1170" s="48" t="s">
        <v>176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919</v>
      </c>
      <c r="C1171" s="276" t="s">
        <v>33</v>
      </c>
      <c r="D1171" s="277" t="s">
        <v>176</v>
      </c>
      <c r="E1171" s="141"/>
      <c r="F1171" s="48" t="s">
        <v>176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920</v>
      </c>
      <c r="C1172" s="276" t="s">
        <v>33</v>
      </c>
      <c r="D1172" s="277" t="s">
        <v>176</v>
      </c>
      <c r="E1172" s="141"/>
      <c r="F1172" s="48" t="s">
        <v>176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921</v>
      </c>
      <c r="C1173" s="276" t="s">
        <v>33</v>
      </c>
      <c r="D1173" s="277" t="s">
        <v>176</v>
      </c>
      <c r="E1173" s="141"/>
      <c r="F1173" s="48" t="s">
        <v>176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922</v>
      </c>
      <c r="C1174" s="276" t="s">
        <v>33</v>
      </c>
      <c r="D1174" s="277" t="s">
        <v>176</v>
      </c>
      <c r="E1174" s="141"/>
      <c r="F1174" s="48" t="s">
        <v>176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923</v>
      </c>
      <c r="C1175" s="276" t="s">
        <v>33</v>
      </c>
      <c r="D1175" s="277" t="s">
        <v>176</v>
      </c>
      <c r="E1175" s="141"/>
      <c r="F1175" s="48" t="s">
        <v>176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924</v>
      </c>
      <c r="C1176" s="276" t="s">
        <v>33</v>
      </c>
      <c r="D1176" s="277" t="s">
        <v>176</v>
      </c>
      <c r="E1176" s="141"/>
      <c r="F1176" s="48" t="s">
        <v>176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925</v>
      </c>
      <c r="C1177" s="276" t="s">
        <v>33</v>
      </c>
      <c r="D1177" s="277" t="s">
        <v>176</v>
      </c>
      <c r="E1177" s="141"/>
      <c r="F1177" s="48" t="s">
        <v>176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926</v>
      </c>
      <c r="C1178" s="276" t="s">
        <v>33</v>
      </c>
      <c r="D1178" s="277" t="s">
        <v>176</v>
      </c>
      <c r="E1178" s="141"/>
      <c r="F1178" s="48" t="s">
        <v>176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927</v>
      </c>
      <c r="C1179" s="276" t="s">
        <v>33</v>
      </c>
      <c r="D1179" s="277" t="s">
        <v>176</v>
      </c>
      <c r="E1179" s="141"/>
      <c r="F1179" s="48" t="s">
        <v>176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928</v>
      </c>
      <c r="C1180" s="276" t="s">
        <v>33</v>
      </c>
      <c r="D1180" s="277" t="s">
        <v>176</v>
      </c>
      <c r="E1180" s="141"/>
      <c r="F1180" s="48" t="s">
        <v>176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929</v>
      </c>
      <c r="C1181" s="276" t="s">
        <v>33</v>
      </c>
      <c r="D1181" s="277" t="s">
        <v>176</v>
      </c>
      <c r="E1181" s="141"/>
      <c r="F1181" s="48" t="s">
        <v>176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930</v>
      </c>
      <c r="C1182" s="276" t="s">
        <v>33</v>
      </c>
      <c r="D1182" s="277" t="s">
        <v>176</v>
      </c>
      <c r="E1182" s="141"/>
      <c r="F1182" s="48" t="s">
        <v>176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931</v>
      </c>
      <c r="C1183" s="276" t="s">
        <v>33</v>
      </c>
      <c r="D1183" s="277" t="s">
        <v>176</v>
      </c>
      <c r="E1183" s="141"/>
      <c r="F1183" s="48" t="s">
        <v>176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932</v>
      </c>
      <c r="C1184" s="276" t="s">
        <v>33</v>
      </c>
      <c r="D1184" s="277" t="s">
        <v>176</v>
      </c>
      <c r="E1184" s="141"/>
      <c r="F1184" s="48" t="s">
        <v>176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933</v>
      </c>
      <c r="C1185" s="276" t="s">
        <v>33</v>
      </c>
      <c r="D1185" s="277" t="s">
        <v>176</v>
      </c>
      <c r="E1185" s="141"/>
      <c r="F1185" s="48" t="s">
        <v>176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934</v>
      </c>
      <c r="C1186" s="276" t="s">
        <v>33</v>
      </c>
      <c r="D1186" s="277" t="s">
        <v>176</v>
      </c>
      <c r="E1186" s="141"/>
      <c r="F1186" s="48" t="s">
        <v>176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935</v>
      </c>
      <c r="C1187" s="276" t="s">
        <v>33</v>
      </c>
      <c r="D1187" s="277" t="s">
        <v>176</v>
      </c>
      <c r="E1187" s="141"/>
      <c r="F1187" s="48" t="s">
        <v>176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936</v>
      </c>
      <c r="C1188" s="276" t="s">
        <v>33</v>
      </c>
      <c r="D1188" s="277" t="s">
        <v>176</v>
      </c>
      <c r="E1188" s="141"/>
      <c r="F1188" s="48" t="s">
        <v>176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937</v>
      </c>
      <c r="C1189" s="276" t="s">
        <v>33</v>
      </c>
      <c r="D1189" s="277" t="s">
        <v>176</v>
      </c>
      <c r="E1189" s="141"/>
      <c r="F1189" s="48" t="s">
        <v>176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938</v>
      </c>
      <c r="C1190" s="276" t="s">
        <v>33</v>
      </c>
      <c r="D1190" s="277" t="s">
        <v>176</v>
      </c>
      <c r="E1190" s="141"/>
      <c r="F1190" s="48" t="s">
        <v>176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939</v>
      </c>
      <c r="C1191" s="276" t="s">
        <v>33</v>
      </c>
      <c r="D1191" s="277" t="s">
        <v>176</v>
      </c>
      <c r="E1191" s="141"/>
      <c r="F1191" s="48" t="s">
        <v>176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940</v>
      </c>
      <c r="C1192" s="276" t="s">
        <v>33</v>
      </c>
      <c r="D1192" s="277" t="s">
        <v>176</v>
      </c>
      <c r="E1192" s="141"/>
      <c r="F1192" s="48" t="s">
        <v>176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941</v>
      </c>
      <c r="C1193" s="276" t="s">
        <v>33</v>
      </c>
      <c r="D1193" s="277" t="s">
        <v>176</v>
      </c>
      <c r="E1193" s="141"/>
      <c r="F1193" s="48" t="s">
        <v>176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942</v>
      </c>
      <c r="C1194" s="276" t="s">
        <v>33</v>
      </c>
      <c r="D1194" s="277" t="s">
        <v>176</v>
      </c>
      <c r="E1194" s="141"/>
      <c r="F1194" s="48" t="s">
        <v>176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943</v>
      </c>
      <c r="C1195" s="276" t="s">
        <v>33</v>
      </c>
      <c r="D1195" s="277" t="s">
        <v>176</v>
      </c>
      <c r="E1195" s="141"/>
      <c r="F1195" s="48" t="s">
        <v>176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944</v>
      </c>
      <c r="C1196" s="276" t="s">
        <v>33</v>
      </c>
      <c r="D1196" s="277" t="s">
        <v>176</v>
      </c>
      <c r="E1196" s="141"/>
      <c r="F1196" s="48" t="s">
        <v>176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945</v>
      </c>
      <c r="C1197" s="276" t="s">
        <v>33</v>
      </c>
      <c r="D1197" s="277" t="s">
        <v>176</v>
      </c>
      <c r="E1197" s="141"/>
      <c r="F1197" s="48" t="s">
        <v>176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946</v>
      </c>
      <c r="C1198" s="276" t="s">
        <v>33</v>
      </c>
      <c r="D1198" s="277" t="s">
        <v>176</v>
      </c>
      <c r="E1198" s="141"/>
      <c r="F1198" s="48" t="s">
        <v>176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947</v>
      </c>
      <c r="C1199" s="276" t="s">
        <v>33</v>
      </c>
      <c r="D1199" s="277" t="s">
        <v>176</v>
      </c>
      <c r="E1199" s="141"/>
      <c r="F1199" s="48" t="s">
        <v>176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948</v>
      </c>
      <c r="C1200" s="276" t="s">
        <v>33</v>
      </c>
      <c r="D1200" s="277" t="s">
        <v>176</v>
      </c>
      <c r="E1200" s="141"/>
      <c r="F1200" s="48" t="s">
        <v>176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949</v>
      </c>
      <c r="C1201" s="276" t="s">
        <v>33</v>
      </c>
      <c r="D1201" s="277" t="s">
        <v>176</v>
      </c>
      <c r="E1201" s="141"/>
      <c r="F1201" s="48" t="s">
        <v>176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950</v>
      </c>
      <c r="C1202" s="276" t="s">
        <v>33</v>
      </c>
      <c r="D1202" s="277" t="s">
        <v>176</v>
      </c>
      <c r="E1202" s="141"/>
      <c r="F1202" s="48" t="s">
        <v>176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951</v>
      </c>
      <c r="C1203" s="276" t="s">
        <v>33</v>
      </c>
      <c r="D1203" s="277" t="s">
        <v>176</v>
      </c>
      <c r="E1203" s="141"/>
      <c r="F1203" s="48" t="s">
        <v>176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952</v>
      </c>
      <c r="C1204" s="276" t="s">
        <v>33</v>
      </c>
      <c r="D1204" s="277" t="s">
        <v>176</v>
      </c>
      <c r="E1204" s="141"/>
      <c r="F1204" s="48" t="s">
        <v>176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953</v>
      </c>
      <c r="C1205" s="276" t="s">
        <v>33</v>
      </c>
      <c r="D1205" s="277" t="s">
        <v>176</v>
      </c>
      <c r="E1205" s="141"/>
      <c r="F1205" s="48" t="s">
        <v>176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954</v>
      </c>
      <c r="C1206" s="276" t="s">
        <v>33</v>
      </c>
      <c r="D1206" s="277" t="s">
        <v>176</v>
      </c>
      <c r="E1206" s="141"/>
      <c r="F1206" s="48" t="s">
        <v>176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955</v>
      </c>
      <c r="C1207" s="276" t="s">
        <v>33</v>
      </c>
      <c r="D1207" s="277" t="s">
        <v>176</v>
      </c>
      <c r="E1207" s="141"/>
      <c r="F1207" s="48" t="s">
        <v>176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956</v>
      </c>
      <c r="C1208" s="276" t="s">
        <v>33</v>
      </c>
      <c r="D1208" s="277" t="s">
        <v>176</v>
      </c>
      <c r="E1208" s="141"/>
      <c r="F1208" s="48" t="s">
        <v>176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957</v>
      </c>
      <c r="C1209" s="276" t="s">
        <v>33</v>
      </c>
      <c r="D1209" s="277" t="s">
        <v>176</v>
      </c>
      <c r="E1209" s="141"/>
      <c r="F1209" s="48" t="s">
        <v>176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958</v>
      </c>
      <c r="C1210" s="276" t="s">
        <v>33</v>
      </c>
      <c r="D1210" s="277" t="s">
        <v>176</v>
      </c>
      <c r="E1210" s="141"/>
      <c r="F1210" s="48" t="s">
        <v>176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959</v>
      </c>
      <c r="C1211" s="276" t="s">
        <v>33</v>
      </c>
      <c r="D1211" s="277" t="s">
        <v>176</v>
      </c>
      <c r="E1211" s="141"/>
      <c r="F1211" s="48" t="s">
        <v>176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960</v>
      </c>
      <c r="C1212" s="276" t="s">
        <v>33</v>
      </c>
      <c r="D1212" s="277" t="s">
        <v>176</v>
      </c>
      <c r="E1212" s="141"/>
      <c r="F1212" s="48" t="s">
        <v>176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961</v>
      </c>
      <c r="C1213" s="276" t="s">
        <v>33</v>
      </c>
      <c r="D1213" s="277" t="s">
        <v>176</v>
      </c>
      <c r="E1213" s="141"/>
      <c r="F1213" s="48" t="s">
        <v>176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962</v>
      </c>
      <c r="C1214" s="276" t="s">
        <v>33</v>
      </c>
      <c r="D1214" s="277" t="s">
        <v>176</v>
      </c>
      <c r="E1214" s="141"/>
      <c r="F1214" s="48" t="s">
        <v>176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963</v>
      </c>
      <c r="C1215" s="276" t="s">
        <v>33</v>
      </c>
      <c r="D1215" s="277" t="s">
        <v>176</v>
      </c>
      <c r="E1215" s="141"/>
      <c r="F1215" s="48" t="s">
        <v>176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964</v>
      </c>
      <c r="C1216" s="276" t="s">
        <v>33</v>
      </c>
      <c r="D1216" s="277" t="s">
        <v>176</v>
      </c>
      <c r="E1216" s="141"/>
      <c r="F1216" s="48" t="s">
        <v>176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965</v>
      </c>
      <c r="C1217" s="276" t="s">
        <v>33</v>
      </c>
      <c r="D1217" s="277" t="s">
        <v>176</v>
      </c>
      <c r="E1217" s="141"/>
      <c r="F1217" s="48" t="s">
        <v>176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966</v>
      </c>
      <c r="C1218" s="276" t="s">
        <v>33</v>
      </c>
      <c r="D1218" s="277" t="s">
        <v>176</v>
      </c>
      <c r="E1218" s="141"/>
      <c r="F1218" s="48" t="s">
        <v>176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967</v>
      </c>
      <c r="C1219" s="276" t="s">
        <v>33</v>
      </c>
      <c r="D1219" s="277" t="s">
        <v>176</v>
      </c>
      <c r="E1219" s="141"/>
      <c r="F1219" s="48" t="s">
        <v>176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968</v>
      </c>
      <c r="C1220" s="276" t="s">
        <v>33</v>
      </c>
      <c r="D1220" s="277" t="s">
        <v>176</v>
      </c>
      <c r="E1220" s="141"/>
      <c r="F1220" s="48" t="s">
        <v>176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969</v>
      </c>
      <c r="C1221" s="276" t="s">
        <v>33</v>
      </c>
      <c r="D1221" s="277" t="s">
        <v>176</v>
      </c>
      <c r="E1221" s="141"/>
      <c r="F1221" s="48" t="s">
        <v>176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970</v>
      </c>
      <c r="C1222" s="276" t="s">
        <v>33</v>
      </c>
      <c r="D1222" s="277" t="s">
        <v>176</v>
      </c>
      <c r="E1222" s="141"/>
      <c r="F1222" s="48" t="s">
        <v>176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971</v>
      </c>
      <c r="C1223" s="276" t="s">
        <v>33</v>
      </c>
      <c r="D1223" s="277" t="s">
        <v>176</v>
      </c>
      <c r="E1223" s="141"/>
      <c r="F1223" s="48" t="s">
        <v>176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972</v>
      </c>
      <c r="C1224" s="276" t="s">
        <v>33</v>
      </c>
      <c r="D1224" s="277" t="s">
        <v>176</v>
      </c>
      <c r="E1224" s="141"/>
      <c r="F1224" s="48" t="s">
        <v>176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973</v>
      </c>
      <c r="C1225" s="276" t="s">
        <v>33</v>
      </c>
      <c r="D1225" s="277" t="s">
        <v>176</v>
      </c>
      <c r="E1225" s="141"/>
      <c r="F1225" s="48" t="s">
        <v>176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974</v>
      </c>
      <c r="C1226" s="276" t="s">
        <v>33</v>
      </c>
      <c r="D1226" s="277" t="s">
        <v>176</v>
      </c>
      <c r="E1226" s="141"/>
      <c r="F1226" s="48" t="s">
        <v>176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975</v>
      </c>
      <c r="C1227" s="276" t="s">
        <v>33</v>
      </c>
      <c r="D1227" s="277" t="s">
        <v>176</v>
      </c>
      <c r="E1227" s="141"/>
      <c r="F1227" s="48" t="s">
        <v>176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976</v>
      </c>
      <c r="C1228" s="276" t="s">
        <v>33</v>
      </c>
      <c r="D1228" s="277" t="s">
        <v>176</v>
      </c>
      <c r="E1228" s="141"/>
      <c r="F1228" s="48" t="s">
        <v>176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977</v>
      </c>
      <c r="C1229" s="276" t="s">
        <v>33</v>
      </c>
      <c r="D1229" s="277" t="s">
        <v>176</v>
      </c>
      <c r="E1229" s="141"/>
      <c r="F1229" s="48" t="s">
        <v>176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978</v>
      </c>
      <c r="C1230" s="276" t="s">
        <v>33</v>
      </c>
      <c r="D1230" s="277" t="s">
        <v>176</v>
      </c>
      <c r="E1230" s="141"/>
      <c r="F1230" s="48" t="s">
        <v>176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979</v>
      </c>
      <c r="C1231" s="276" t="s">
        <v>33</v>
      </c>
      <c r="D1231" s="277" t="s">
        <v>176</v>
      </c>
      <c r="E1231" s="141"/>
      <c r="F1231" s="48" t="s">
        <v>176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980</v>
      </c>
      <c r="C1232" s="276" t="s">
        <v>33</v>
      </c>
      <c r="D1232" s="277" t="s">
        <v>176</v>
      </c>
      <c r="E1232" s="141"/>
      <c r="F1232" s="48" t="s">
        <v>176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981</v>
      </c>
      <c r="C1233" s="276" t="s">
        <v>33</v>
      </c>
      <c r="D1233" s="277" t="s">
        <v>176</v>
      </c>
      <c r="E1233" s="141"/>
      <c r="F1233" s="48" t="s">
        <v>176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982</v>
      </c>
      <c r="C1234" s="276" t="s">
        <v>33</v>
      </c>
      <c r="D1234" s="277" t="s">
        <v>176</v>
      </c>
      <c r="E1234" s="141"/>
      <c r="F1234" s="48" t="s">
        <v>176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983</v>
      </c>
      <c r="C1235" s="276" t="s">
        <v>33</v>
      </c>
      <c r="D1235" s="277" t="s">
        <v>176</v>
      </c>
      <c r="E1235" s="141"/>
      <c r="F1235" s="48" t="s">
        <v>176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984</v>
      </c>
      <c r="C1236" s="276" t="s">
        <v>33</v>
      </c>
      <c r="D1236" s="277" t="s">
        <v>176</v>
      </c>
      <c r="E1236" s="141"/>
      <c r="F1236" s="48" t="s">
        <v>176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985</v>
      </c>
      <c r="C1237" s="276" t="s">
        <v>33</v>
      </c>
      <c r="D1237" s="277" t="s">
        <v>176</v>
      </c>
      <c r="E1237" s="141"/>
      <c r="F1237" s="48" t="s">
        <v>176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986</v>
      </c>
      <c r="C1238" s="276" t="s">
        <v>33</v>
      </c>
      <c r="D1238" s="277" t="s">
        <v>176</v>
      </c>
      <c r="E1238" s="141"/>
      <c r="F1238" s="48" t="s">
        <v>176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987</v>
      </c>
      <c r="C1239" s="276" t="s">
        <v>33</v>
      </c>
      <c r="D1239" s="277" t="s">
        <v>176</v>
      </c>
      <c r="E1239" s="141"/>
      <c r="F1239" s="48" t="s">
        <v>176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988</v>
      </c>
      <c r="C1240" s="276" t="s">
        <v>33</v>
      </c>
      <c r="D1240" s="277" t="s">
        <v>176</v>
      </c>
      <c r="E1240" s="141"/>
      <c r="F1240" s="48" t="s">
        <v>176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989</v>
      </c>
      <c r="C1241" s="276" t="s">
        <v>33</v>
      </c>
      <c r="D1241" s="277" t="s">
        <v>176</v>
      </c>
      <c r="E1241" s="141"/>
      <c r="F1241" s="48" t="s">
        <v>176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990</v>
      </c>
      <c r="C1242" s="276" t="s">
        <v>33</v>
      </c>
      <c r="D1242" s="277" t="s">
        <v>176</v>
      </c>
      <c r="E1242" s="141"/>
      <c r="F1242" s="48" t="s">
        <v>176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991</v>
      </c>
      <c r="C1243" s="276" t="s">
        <v>33</v>
      </c>
      <c r="D1243" s="277" t="s">
        <v>176</v>
      </c>
      <c r="E1243" s="141"/>
      <c r="F1243" s="48" t="s">
        <v>176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992</v>
      </c>
      <c r="C1244" s="276" t="s">
        <v>33</v>
      </c>
      <c r="D1244" s="277" t="s">
        <v>176</v>
      </c>
      <c r="E1244" s="141"/>
      <c r="F1244" s="48" t="s">
        <v>176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993</v>
      </c>
      <c r="C1245" s="276" t="s">
        <v>33</v>
      </c>
      <c r="D1245" s="277" t="s">
        <v>176</v>
      </c>
      <c r="E1245" s="141"/>
      <c r="F1245" s="48" t="s">
        <v>176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994</v>
      </c>
      <c r="C1246" s="276" t="s">
        <v>33</v>
      </c>
      <c r="D1246" s="277" t="s">
        <v>176</v>
      </c>
      <c r="E1246" s="141"/>
      <c r="F1246" s="48" t="s">
        <v>176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995</v>
      </c>
      <c r="C1247" s="276" t="s">
        <v>33</v>
      </c>
      <c r="D1247" s="277" t="s">
        <v>176</v>
      </c>
      <c r="E1247" s="141"/>
      <c r="F1247" s="48" t="s">
        <v>176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996</v>
      </c>
      <c r="C1248" s="276" t="s">
        <v>33</v>
      </c>
      <c r="D1248" s="277" t="s">
        <v>176</v>
      </c>
      <c r="E1248" s="141"/>
      <c r="F1248" s="48" t="s">
        <v>176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997</v>
      </c>
      <c r="C1249" s="276" t="s">
        <v>33</v>
      </c>
      <c r="D1249" s="277" t="s">
        <v>176</v>
      </c>
      <c r="E1249" s="141"/>
      <c r="F1249" s="48" t="s">
        <v>176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998</v>
      </c>
      <c r="C1250" s="276" t="s">
        <v>33</v>
      </c>
      <c r="D1250" s="277" t="s">
        <v>176</v>
      </c>
      <c r="E1250" s="141"/>
      <c r="F1250" s="48" t="s">
        <v>176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999</v>
      </c>
      <c r="C1251" s="276" t="s">
        <v>33</v>
      </c>
      <c r="D1251" s="277" t="s">
        <v>176</v>
      </c>
      <c r="E1251" s="141"/>
      <c r="F1251" s="48" t="s">
        <v>176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1000</v>
      </c>
      <c r="C1252" s="276" t="s">
        <v>33</v>
      </c>
      <c r="D1252" s="277" t="s">
        <v>176</v>
      </c>
      <c r="E1252" s="141"/>
      <c r="F1252" s="48" t="s">
        <v>176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1001</v>
      </c>
      <c r="C1253" s="276" t="s">
        <v>33</v>
      </c>
      <c r="D1253" s="277" t="s">
        <v>176</v>
      </c>
      <c r="E1253" s="141"/>
      <c r="F1253" s="48" t="s">
        <v>176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1002</v>
      </c>
      <c r="C1254" s="276" t="s">
        <v>33</v>
      </c>
      <c r="D1254" s="277" t="s">
        <v>176</v>
      </c>
      <c r="E1254" s="141"/>
      <c r="F1254" s="48" t="s">
        <v>176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1003</v>
      </c>
      <c r="C1255" s="276" t="s">
        <v>33</v>
      </c>
      <c r="D1255" s="277" t="s">
        <v>176</v>
      </c>
      <c r="E1255" s="141"/>
      <c r="F1255" s="48" t="s">
        <v>176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1004</v>
      </c>
      <c r="C1256" s="276" t="s">
        <v>33</v>
      </c>
      <c r="D1256" s="277" t="s">
        <v>176</v>
      </c>
      <c r="E1256" s="141"/>
      <c r="F1256" s="48" t="s">
        <v>176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1005</v>
      </c>
      <c r="C1257" s="276" t="s">
        <v>33</v>
      </c>
      <c r="D1257" s="277" t="s">
        <v>176</v>
      </c>
      <c r="E1257" s="141"/>
      <c r="F1257" s="48" t="s">
        <v>176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1006</v>
      </c>
      <c r="C1258" s="276" t="s">
        <v>33</v>
      </c>
      <c r="D1258" s="277" t="s">
        <v>176</v>
      </c>
      <c r="E1258" s="141"/>
      <c r="F1258" s="48" t="s">
        <v>176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1007</v>
      </c>
      <c r="C1259" s="276" t="s">
        <v>33</v>
      </c>
      <c r="D1259" s="277" t="s">
        <v>176</v>
      </c>
      <c r="E1259" s="141"/>
      <c r="F1259" s="48" t="s">
        <v>176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1008</v>
      </c>
      <c r="C1260" s="276" t="s">
        <v>33</v>
      </c>
      <c r="D1260" s="277" t="s">
        <v>176</v>
      </c>
      <c r="E1260" s="141"/>
      <c r="F1260" s="48" t="s">
        <v>176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1009</v>
      </c>
      <c r="C1261" s="276" t="s">
        <v>33</v>
      </c>
      <c r="D1261" s="277" t="s">
        <v>176</v>
      </c>
      <c r="E1261" s="141"/>
      <c r="F1261" s="48" t="s">
        <v>176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1010</v>
      </c>
      <c r="C1262" s="276" t="s">
        <v>33</v>
      </c>
      <c r="D1262" s="277" t="s">
        <v>176</v>
      </c>
      <c r="E1262" s="141"/>
      <c r="F1262" s="48" t="s">
        <v>176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1011</v>
      </c>
      <c r="C1263" s="276" t="s">
        <v>33</v>
      </c>
      <c r="D1263" s="277" t="s">
        <v>176</v>
      </c>
      <c r="E1263" s="141"/>
      <c r="F1263" s="48" t="s">
        <v>176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1012</v>
      </c>
      <c r="C1264" s="276" t="s">
        <v>33</v>
      </c>
      <c r="D1264" s="277" t="s">
        <v>176</v>
      </c>
      <c r="E1264" s="141"/>
      <c r="F1264" s="48" t="s">
        <v>176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1013</v>
      </c>
      <c r="C1265" s="276" t="s">
        <v>33</v>
      </c>
      <c r="D1265" s="277" t="s">
        <v>176</v>
      </c>
      <c r="E1265" s="141"/>
      <c r="F1265" s="48" t="s">
        <v>176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1014</v>
      </c>
      <c r="C1266" s="276" t="s">
        <v>33</v>
      </c>
      <c r="D1266" s="277" t="s">
        <v>176</v>
      </c>
      <c r="E1266" s="141"/>
      <c r="F1266" s="48" t="s">
        <v>176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1015</v>
      </c>
      <c r="C1267" s="276" t="s">
        <v>33</v>
      </c>
      <c r="D1267" s="277" t="s">
        <v>176</v>
      </c>
      <c r="E1267" s="141"/>
      <c r="F1267" s="48" t="s">
        <v>176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1016</v>
      </c>
      <c r="C1268" s="276" t="s">
        <v>33</v>
      </c>
      <c r="D1268" s="277" t="s">
        <v>176</v>
      </c>
      <c r="E1268" s="141"/>
      <c r="F1268" s="48" t="s">
        <v>176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1017</v>
      </c>
      <c r="C1269" s="276" t="s">
        <v>33</v>
      </c>
      <c r="D1269" s="277" t="s">
        <v>176</v>
      </c>
      <c r="E1269" s="141"/>
      <c r="F1269" s="48" t="s">
        <v>176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1018</v>
      </c>
      <c r="C1270" s="276" t="s">
        <v>33</v>
      </c>
      <c r="D1270" s="277" t="s">
        <v>176</v>
      </c>
      <c r="E1270" s="141"/>
      <c r="F1270" s="48" t="s">
        <v>176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1019</v>
      </c>
      <c r="C1271" s="276" t="s">
        <v>33</v>
      </c>
      <c r="D1271" s="277" t="s">
        <v>176</v>
      </c>
      <c r="E1271" s="141"/>
      <c r="F1271" s="48" t="s">
        <v>176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1020</v>
      </c>
      <c r="C1272" s="276" t="s">
        <v>33</v>
      </c>
      <c r="D1272" s="277" t="s">
        <v>176</v>
      </c>
      <c r="E1272" s="141"/>
      <c r="F1272" s="48" t="s">
        <v>176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1021</v>
      </c>
      <c r="C1273" s="276" t="s">
        <v>33</v>
      </c>
      <c r="D1273" s="277" t="s">
        <v>113</v>
      </c>
      <c r="E1273" s="141">
        <v>44533.333333333336</v>
      </c>
      <c r="F1273" s="278" t="s">
        <v>113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1022</v>
      </c>
      <c r="C1274" s="276" t="s">
        <v>33</v>
      </c>
      <c r="D1274" s="277" t="s">
        <v>113</v>
      </c>
      <c r="E1274" s="141">
        <v>30900</v>
      </c>
      <c r="F1274" s="278" t="s">
        <v>113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1023</v>
      </c>
      <c r="C1275" s="276" t="s">
        <v>33</v>
      </c>
      <c r="D1275" s="277" t="s">
        <v>1024</v>
      </c>
      <c r="E1275" s="141">
        <v>44500</v>
      </c>
      <c r="F1275" s="278" t="s">
        <v>113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1025</v>
      </c>
      <c r="C1276" s="276" t="s">
        <v>33</v>
      </c>
      <c r="D1276" s="277" t="s">
        <v>113</v>
      </c>
      <c r="E1276" s="141">
        <v>22370</v>
      </c>
      <c r="F1276" s="278" t="s">
        <v>113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1026</v>
      </c>
      <c r="C1277" s="276" t="s">
        <v>33</v>
      </c>
      <c r="D1277" s="277" t="s">
        <v>113</v>
      </c>
      <c r="E1277" s="141">
        <v>184100</v>
      </c>
      <c r="F1277" s="278" t="s">
        <v>113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1027</v>
      </c>
      <c r="C1278" s="276" t="s">
        <v>33</v>
      </c>
      <c r="D1278" s="277" t="s">
        <v>113</v>
      </c>
      <c r="E1278" s="141">
        <v>6333.3374999999996</v>
      </c>
      <c r="F1278" s="278" t="s">
        <v>113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1028</v>
      </c>
      <c r="C1279" s="276" t="s">
        <v>33</v>
      </c>
      <c r="D1279" s="277" t="s">
        <v>113</v>
      </c>
      <c r="E1279" s="141">
        <v>17266.599999999999</v>
      </c>
      <c r="F1279" s="278" t="s">
        <v>113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1029</v>
      </c>
      <c r="C1280" s="276" t="s">
        <v>33</v>
      </c>
      <c r="D1280" s="277" t="s">
        <v>113</v>
      </c>
      <c r="E1280" s="141">
        <v>6796.7</v>
      </c>
      <c r="F1280" s="278" t="s">
        <v>113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36</v>
      </c>
      <c r="C1281" s="276" t="s">
        <v>33</v>
      </c>
      <c r="D1281" s="277" t="s">
        <v>113</v>
      </c>
      <c r="E1281" s="141">
        <v>182666.66666666666</v>
      </c>
      <c r="F1281" s="278" t="s">
        <v>113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1030</v>
      </c>
      <c r="C1282" s="276" t="s">
        <v>33</v>
      </c>
      <c r="D1282" s="277" t="s">
        <v>1024</v>
      </c>
      <c r="E1282" s="141">
        <v>2500</v>
      </c>
      <c r="F1282" s="278" t="s">
        <v>113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1031</v>
      </c>
      <c r="C1283" s="276" t="s">
        <v>33</v>
      </c>
      <c r="D1283" s="277" t="s">
        <v>113</v>
      </c>
      <c r="E1283" s="141">
        <v>46996.6</v>
      </c>
      <c r="F1283" s="278" t="s">
        <v>113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1031</v>
      </c>
      <c r="C1284" s="276" t="s">
        <v>33</v>
      </c>
      <c r="D1284" s="277" t="s">
        <v>113</v>
      </c>
      <c r="E1284" s="141">
        <v>48330</v>
      </c>
      <c r="F1284" s="278" t="s">
        <v>113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34</v>
      </c>
      <c r="C1285" s="276" t="s">
        <v>33</v>
      </c>
      <c r="D1285" s="277" t="s">
        <v>1032</v>
      </c>
      <c r="E1285" s="141">
        <v>10166.700000000001</v>
      </c>
      <c r="F1285" s="278" t="s">
        <v>1032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1033</v>
      </c>
      <c r="C1286" s="276" t="s">
        <v>33</v>
      </c>
      <c r="D1286" s="277" t="s">
        <v>113</v>
      </c>
      <c r="E1286" s="141">
        <v>104388.75</v>
      </c>
      <c r="F1286" s="278" t="s">
        <v>113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1034</v>
      </c>
      <c r="C1287" s="276" t="s">
        <v>33</v>
      </c>
      <c r="D1287" s="277" t="s">
        <v>113</v>
      </c>
      <c r="E1287" s="141">
        <v>79760</v>
      </c>
      <c r="F1287" s="278" t="s">
        <v>113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1035</v>
      </c>
      <c r="C1288" s="276" t="s">
        <v>33</v>
      </c>
      <c r="D1288" s="277" t="s">
        <v>208</v>
      </c>
      <c r="E1288" s="141">
        <v>62000</v>
      </c>
      <c r="F1288" s="278" t="s">
        <v>208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1036</v>
      </c>
      <c r="C1289" s="276" t="s">
        <v>33</v>
      </c>
      <c r="D1289" s="277" t="s">
        <v>113</v>
      </c>
      <c r="E1289" s="141">
        <v>152500</v>
      </c>
      <c r="F1289" s="278" t="s">
        <v>113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1037</v>
      </c>
      <c r="C1290" s="276" t="s">
        <v>33</v>
      </c>
      <c r="D1290" s="277" t="s">
        <v>113</v>
      </c>
      <c r="E1290" s="141">
        <v>432050</v>
      </c>
      <c r="F1290" s="278" t="s">
        <v>113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95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80</v>
      </c>
      <c r="B1327" s="133" t="s">
        <v>97</v>
      </c>
      <c r="C1327" s="119" t="s">
        <v>98</v>
      </c>
      <c r="D1327" s="103" t="s">
        <v>99</v>
      </c>
      <c r="E1327" s="69" t="s">
        <v>100</v>
      </c>
      <c r="F1327" s="187" t="s">
        <v>101</v>
      </c>
      <c r="G1327" s="71" t="s">
        <v>102</v>
      </c>
      <c r="H1327" s="72" t="s">
        <v>103</v>
      </c>
      <c r="I1327" s="72" t="s">
        <v>104</v>
      </c>
      <c r="J1327" s="82" t="s">
        <v>105</v>
      </c>
    </row>
    <row r="1328" spans="1:10">
      <c r="A1328" s="41">
        <v>1</v>
      </c>
      <c r="B1328" s="40" t="s">
        <v>1038</v>
      </c>
      <c r="C1328" s="37" t="s">
        <v>1039</v>
      </c>
      <c r="D1328" s="48" t="s">
        <v>113</v>
      </c>
      <c r="E1328" s="43">
        <v>343.33</v>
      </c>
      <c r="F1328" s="48" t="s">
        <v>113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1039</v>
      </c>
      <c r="D1329" s="48" t="s">
        <v>113</v>
      </c>
      <c r="E1329" s="43">
        <v>343.33</v>
      </c>
      <c r="F1329" s="48" t="s">
        <v>113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1039</v>
      </c>
      <c r="D1330" s="48" t="s">
        <v>113</v>
      </c>
      <c r="E1330" s="43">
        <v>343.33</v>
      </c>
      <c r="F1330" s="48" t="s">
        <v>113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1039</v>
      </c>
      <c r="D1331" s="48" t="s">
        <v>113</v>
      </c>
      <c r="E1331" s="43">
        <v>343.33</v>
      </c>
      <c r="F1331" s="48" t="s">
        <v>113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1039</v>
      </c>
      <c r="D1332" s="48" t="s">
        <v>113</v>
      </c>
      <c r="E1332" s="43">
        <v>343.33</v>
      </c>
      <c r="F1332" s="48" t="s">
        <v>113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1044</v>
      </c>
      <c r="C1333" s="37" t="s">
        <v>1039</v>
      </c>
      <c r="D1333" s="48" t="s">
        <v>113</v>
      </c>
      <c r="E1333" s="43">
        <v>343.33</v>
      </c>
      <c r="F1333" s="48" t="s">
        <v>113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1045</v>
      </c>
      <c r="C1334" s="37" t="s">
        <v>1039</v>
      </c>
      <c r="D1334" s="48" t="s">
        <v>113</v>
      </c>
      <c r="E1334" s="43">
        <v>343.33</v>
      </c>
      <c r="F1334" s="48" t="s">
        <v>113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1046</v>
      </c>
      <c r="C1335" s="37" t="s">
        <v>1039</v>
      </c>
      <c r="D1335" s="48" t="s">
        <v>113</v>
      </c>
      <c r="E1335" s="43">
        <v>343.33</v>
      </c>
      <c r="F1335" s="48" t="s">
        <v>113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1047</v>
      </c>
      <c r="C1336" s="37" t="s">
        <v>1039</v>
      </c>
      <c r="D1336" s="48" t="s">
        <v>113</v>
      </c>
      <c r="E1336" s="43">
        <v>343.33</v>
      </c>
      <c r="F1336" s="48" t="s">
        <v>113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1048</v>
      </c>
      <c r="C1337" s="37" t="s">
        <v>1039</v>
      </c>
      <c r="D1337" s="48" t="s">
        <v>113</v>
      </c>
      <c r="E1337" s="43">
        <v>343.33</v>
      </c>
      <c r="F1337" s="48" t="s">
        <v>113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1049</v>
      </c>
      <c r="C1338" s="37" t="s">
        <v>1039</v>
      </c>
      <c r="D1338" s="48" t="s">
        <v>113</v>
      </c>
      <c r="E1338" s="43">
        <v>343.33</v>
      </c>
      <c r="F1338" s="48" t="s">
        <v>113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1050</v>
      </c>
      <c r="C1339" s="37" t="s">
        <v>1039</v>
      </c>
      <c r="D1339" s="48" t="s">
        <v>113</v>
      </c>
      <c r="E1339" s="43">
        <v>343.33</v>
      </c>
      <c r="F1339" s="48" t="s">
        <v>113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1051</v>
      </c>
      <c r="C1340" s="37" t="s">
        <v>1039</v>
      </c>
      <c r="D1340" s="48" t="s">
        <v>113</v>
      </c>
      <c r="E1340" s="43">
        <v>343.33</v>
      </c>
      <c r="F1340" s="48" t="s">
        <v>113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1052</v>
      </c>
      <c r="C1341" s="37" t="s">
        <v>1039</v>
      </c>
      <c r="D1341" s="48" t="s">
        <v>113</v>
      </c>
      <c r="E1341" s="43">
        <v>343.33</v>
      </c>
      <c r="F1341" s="48" t="s">
        <v>113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1053</v>
      </c>
      <c r="C1342" s="37" t="s">
        <v>1039</v>
      </c>
      <c r="D1342" s="48" t="s">
        <v>113</v>
      </c>
      <c r="E1342" s="43">
        <v>343.33</v>
      </c>
      <c r="F1342" s="48" t="s">
        <v>113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1039</v>
      </c>
      <c r="D1343" s="48" t="s">
        <v>113</v>
      </c>
      <c r="E1343" s="43">
        <v>343.33</v>
      </c>
      <c r="F1343" s="48" t="s">
        <v>113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1039</v>
      </c>
      <c r="D1344" s="48" t="s">
        <v>113</v>
      </c>
      <c r="E1344" s="43">
        <v>343.33</v>
      </c>
      <c r="F1344" s="48" t="s">
        <v>113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1039</v>
      </c>
      <c r="D1345" s="48" t="s">
        <v>113</v>
      </c>
      <c r="E1345" s="43">
        <v>343.33</v>
      </c>
      <c r="F1345" s="48" t="s">
        <v>113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1039</v>
      </c>
      <c r="D1346" s="48" t="s">
        <v>113</v>
      </c>
      <c r="E1346" s="43">
        <v>343.33</v>
      </c>
      <c r="F1346" s="48" t="s">
        <v>113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1039</v>
      </c>
      <c r="D1347" s="48" t="s">
        <v>113</v>
      </c>
      <c r="E1347" s="43">
        <v>343.33</v>
      </c>
      <c r="F1347" s="48" t="s">
        <v>113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1059</v>
      </c>
      <c r="C1348" s="37" t="s">
        <v>1039</v>
      </c>
      <c r="D1348" s="48" t="s">
        <v>113</v>
      </c>
      <c r="E1348" s="43">
        <v>308.33</v>
      </c>
      <c r="F1348" s="48" t="s">
        <v>113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1060</v>
      </c>
      <c r="C1349" s="37" t="s">
        <v>1039</v>
      </c>
      <c r="D1349" s="48" t="s">
        <v>1061</v>
      </c>
      <c r="E1349" s="43">
        <v>42631</v>
      </c>
      <c r="F1349" s="188" t="s">
        <v>113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1062</v>
      </c>
      <c r="C1350" s="37" t="s">
        <v>1039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1064</v>
      </c>
      <c r="C1351" s="37" t="s">
        <v>1039</v>
      </c>
      <c r="D1351" s="48" t="s">
        <v>1065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1066</v>
      </c>
      <c r="C1352" s="37" t="s">
        <v>1039</v>
      </c>
      <c r="D1352" s="48" t="s">
        <v>1063</v>
      </c>
      <c r="E1352" s="43">
        <v>16133.3</v>
      </c>
      <c r="F1352" s="188" t="s">
        <v>210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1067</v>
      </c>
      <c r="C1353" s="37" t="s">
        <v>1039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1039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1039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1039</v>
      </c>
      <c r="D1356" s="48" t="s">
        <v>113</v>
      </c>
      <c r="E1356" s="43">
        <v>9522.5084745762706</v>
      </c>
      <c r="F1356" s="188" t="s">
        <v>113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1073</v>
      </c>
      <c r="C1357" s="37" t="s">
        <v>1039</v>
      </c>
      <c r="D1357" s="98" t="s">
        <v>365</v>
      </c>
      <c r="E1357" s="43"/>
      <c r="F1357" s="98" t="s">
        <v>365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1074</v>
      </c>
      <c r="C1358" s="37" t="s">
        <v>1039</v>
      </c>
      <c r="D1358" s="98" t="s">
        <v>365</v>
      </c>
      <c r="E1358" s="43"/>
      <c r="F1358" s="98" t="s">
        <v>365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1075</v>
      </c>
      <c r="C1359" s="37" t="s">
        <v>1039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1039</v>
      </c>
      <c r="D1360" s="48" t="s">
        <v>113</v>
      </c>
      <c r="E1360" s="43">
        <v>4000</v>
      </c>
      <c r="F1360" s="188" t="s">
        <v>113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1077</v>
      </c>
      <c r="C1361" s="37" t="s">
        <v>1039</v>
      </c>
      <c r="D1361" s="48" t="s">
        <v>113</v>
      </c>
      <c r="E1361" s="43">
        <v>51000</v>
      </c>
      <c r="F1361" s="188" t="s">
        <v>113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1078</v>
      </c>
      <c r="C1362" s="37" t="s">
        <v>1039</v>
      </c>
      <c r="D1362" s="48" t="s">
        <v>113</v>
      </c>
      <c r="E1362" s="43">
        <v>1600</v>
      </c>
      <c r="F1362" s="188" t="s">
        <v>113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1079</v>
      </c>
      <c r="C1363" s="37" t="s">
        <v>1039</v>
      </c>
      <c r="D1363" s="48" t="s">
        <v>113</v>
      </c>
      <c r="E1363" s="43">
        <v>1233.6600000000001</v>
      </c>
      <c r="F1363" s="188" t="s">
        <v>113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1080</v>
      </c>
      <c r="C1364" s="37" t="s">
        <v>1039</v>
      </c>
      <c r="D1364" s="48" t="s">
        <v>113</v>
      </c>
      <c r="E1364" s="43">
        <v>500</v>
      </c>
      <c r="F1364" s="188" t="s">
        <v>113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1039</v>
      </c>
      <c r="D1365" s="48" t="s">
        <v>113</v>
      </c>
      <c r="E1365" s="43">
        <v>5900</v>
      </c>
      <c r="F1365" s="188" t="s">
        <v>113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1039</v>
      </c>
      <c r="D1366" s="48" t="s">
        <v>113</v>
      </c>
      <c r="E1366" s="43">
        <v>5900</v>
      </c>
      <c r="F1366" s="188" t="s">
        <v>113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1039</v>
      </c>
      <c r="D1367" s="48" t="s">
        <v>113</v>
      </c>
      <c r="E1367" s="43">
        <v>288766.66666666669</v>
      </c>
      <c r="F1367" s="188" t="s">
        <v>113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1084</v>
      </c>
      <c r="C1368" s="37" t="s">
        <v>1039</v>
      </c>
      <c r="D1368" s="48" t="s">
        <v>1085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1086</v>
      </c>
      <c r="C1369" s="37" t="s">
        <v>1039</v>
      </c>
      <c r="D1369" s="48" t="s">
        <v>113</v>
      </c>
      <c r="E1369" s="43">
        <v>219.5</v>
      </c>
      <c r="F1369" s="188" t="s">
        <v>113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1087</v>
      </c>
      <c r="C1370" s="37" t="s">
        <v>1039</v>
      </c>
      <c r="D1370" s="48" t="s">
        <v>113</v>
      </c>
      <c r="E1370" s="43">
        <v>907</v>
      </c>
      <c r="F1370" s="188" t="s">
        <v>113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1039</v>
      </c>
      <c r="D1371" s="48" t="s">
        <v>113</v>
      </c>
      <c r="E1371" s="43">
        <v>5333.34</v>
      </c>
      <c r="F1371" s="188" t="s">
        <v>113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1089</v>
      </c>
      <c r="C1372" s="37" t="s">
        <v>1039</v>
      </c>
      <c r="D1372" s="58" t="s">
        <v>241</v>
      </c>
      <c r="E1372" s="62">
        <v>867804</v>
      </c>
      <c r="F1372" s="191" t="s">
        <v>241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1090</v>
      </c>
      <c r="C1373" s="161" t="s">
        <v>1039</v>
      </c>
      <c r="D1373" s="297" t="s">
        <v>241</v>
      </c>
      <c r="E1373" s="62">
        <v>1097662</v>
      </c>
      <c r="F1373" s="191" t="s">
        <v>241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1091</v>
      </c>
      <c r="C1374" s="161" t="s">
        <v>1039</v>
      </c>
      <c r="D1374" s="290" t="s">
        <v>113</v>
      </c>
      <c r="E1374" s="62"/>
      <c r="F1374" s="191" t="s">
        <v>113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1092</v>
      </c>
      <c r="C1375" s="161" t="s">
        <v>1039</v>
      </c>
      <c r="D1375" s="290" t="s">
        <v>113</v>
      </c>
      <c r="E1375" s="62"/>
      <c r="F1375" s="191" t="s">
        <v>113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1093</v>
      </c>
      <c r="C1376" s="161" t="s">
        <v>1039</v>
      </c>
      <c r="D1376" s="290" t="s">
        <v>113</v>
      </c>
      <c r="E1376" s="62"/>
      <c r="F1376" s="191" t="s">
        <v>113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1094</v>
      </c>
      <c r="C1377" s="161" t="s">
        <v>1039</v>
      </c>
      <c r="D1377" s="290" t="s">
        <v>113</v>
      </c>
      <c r="E1377" s="62"/>
      <c r="F1377" s="191" t="s">
        <v>113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1095</v>
      </c>
      <c r="C1378" s="161" t="s">
        <v>1039</v>
      </c>
      <c r="D1378" s="290" t="s">
        <v>113</v>
      </c>
      <c r="E1378" s="62"/>
      <c r="F1378" s="191" t="s">
        <v>113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1096</v>
      </c>
      <c r="C1379" s="37" t="s">
        <v>1039</v>
      </c>
      <c r="D1379" s="291" t="s">
        <v>113</v>
      </c>
      <c r="E1379" s="43"/>
      <c r="F1379" s="188" t="s">
        <v>113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1097</v>
      </c>
      <c r="C1380" s="219" t="s">
        <v>1039</v>
      </c>
      <c r="D1380" s="292" t="s">
        <v>113</v>
      </c>
      <c r="E1380" s="166"/>
      <c r="F1380" s="192" t="s">
        <v>113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1098</v>
      </c>
      <c r="C1381" s="219" t="s">
        <v>1039</v>
      </c>
      <c r="D1381" s="292" t="s">
        <v>113</v>
      </c>
      <c r="E1381" s="166"/>
      <c r="F1381" s="192" t="s">
        <v>113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1099</v>
      </c>
      <c r="C1382" s="221" t="s">
        <v>1039</v>
      </c>
      <c r="D1382" s="293" t="s">
        <v>113</v>
      </c>
      <c r="E1382" s="222"/>
      <c r="F1382" s="193" t="s">
        <v>113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1" t="s">
        <v>1039</v>
      </c>
      <c r="D1383" s="10" t="s">
        <v>113</v>
      </c>
      <c r="E1383" s="222"/>
      <c r="F1383" s="193" t="s">
        <v>113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1101</v>
      </c>
      <c r="C1384" s="219" t="s">
        <v>1039</v>
      </c>
      <c r="D1384" s="10" t="s">
        <v>113</v>
      </c>
      <c r="E1384" s="166"/>
      <c r="F1384" s="193" t="s">
        <v>113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1102</v>
      </c>
      <c r="C1385" s="219" t="s">
        <v>1039</v>
      </c>
      <c r="D1385" s="10" t="s">
        <v>113</v>
      </c>
      <c r="E1385" s="166"/>
      <c r="F1385" s="193" t="s">
        <v>113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1103</v>
      </c>
      <c r="C1386" s="219" t="s">
        <v>1039</v>
      </c>
      <c r="D1386" s="10" t="s">
        <v>113</v>
      </c>
      <c r="E1386" s="166"/>
      <c r="F1386" s="193" t="s">
        <v>113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1104</v>
      </c>
      <c r="C1387" s="219" t="s">
        <v>1039</v>
      </c>
      <c r="D1387" s="10" t="s">
        <v>113</v>
      </c>
      <c r="E1387" s="166"/>
      <c r="F1387" s="193" t="s">
        <v>113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1105</v>
      </c>
      <c r="C1388" s="219" t="s">
        <v>1039</v>
      </c>
      <c r="D1388" s="10" t="s">
        <v>113</v>
      </c>
      <c r="E1388" s="166"/>
      <c r="F1388" s="193" t="s">
        <v>113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1106</v>
      </c>
      <c r="C1389" s="219" t="s">
        <v>1039</v>
      </c>
      <c r="D1389" s="10" t="s">
        <v>113</v>
      </c>
      <c r="E1389" s="166"/>
      <c r="F1389" s="193" t="s">
        <v>113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1107</v>
      </c>
      <c r="C1390" s="219" t="s">
        <v>1039</v>
      </c>
      <c r="D1390" s="10" t="s">
        <v>113</v>
      </c>
      <c r="E1390" s="166"/>
      <c r="F1390" s="193" t="s">
        <v>113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1108</v>
      </c>
      <c r="C1391" s="219" t="s">
        <v>1039</v>
      </c>
      <c r="D1391" s="10" t="s">
        <v>113</v>
      </c>
      <c r="E1391" s="166"/>
      <c r="F1391" s="193" t="s">
        <v>113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1109</v>
      </c>
      <c r="C1392" s="219" t="s">
        <v>1039</v>
      </c>
      <c r="D1392" s="10" t="s">
        <v>113</v>
      </c>
      <c r="E1392" s="166"/>
      <c r="F1392" s="193" t="s">
        <v>113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1110</v>
      </c>
      <c r="C1393" s="219" t="s">
        <v>1039</v>
      </c>
      <c r="D1393" s="10" t="s">
        <v>113</v>
      </c>
      <c r="E1393" s="166"/>
      <c r="F1393" s="193" t="s">
        <v>113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1111</v>
      </c>
      <c r="C1394" s="219" t="s">
        <v>1039</v>
      </c>
      <c r="D1394" s="10" t="s">
        <v>113</v>
      </c>
      <c r="E1394" s="166"/>
      <c r="F1394" s="193" t="s">
        <v>113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1112</v>
      </c>
      <c r="C1395" s="219" t="s">
        <v>1039</v>
      </c>
      <c r="D1395" s="10" t="s">
        <v>113</v>
      </c>
      <c r="E1395" s="166"/>
      <c r="F1395" s="193" t="s">
        <v>113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1113</v>
      </c>
      <c r="C1396" s="219" t="s">
        <v>1039</v>
      </c>
      <c r="D1396" s="10" t="s">
        <v>113</v>
      </c>
      <c r="E1396" s="166"/>
      <c r="F1396" s="193" t="s">
        <v>113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1114</v>
      </c>
      <c r="C1397" s="219" t="s">
        <v>1039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1115</v>
      </c>
      <c r="C1398" s="219" t="s">
        <v>1039</v>
      </c>
      <c r="D1398" s="248" t="s">
        <v>1116</v>
      </c>
      <c r="E1398" s="166">
        <v>74866.666666666672</v>
      </c>
      <c r="F1398" s="193" t="s">
        <v>1116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1117</v>
      </c>
      <c r="C1399" s="219" t="s">
        <v>1039</v>
      </c>
      <c r="D1399" s="248" t="s">
        <v>113</v>
      </c>
      <c r="E1399" s="166">
        <v>19073</v>
      </c>
      <c r="F1399" s="193" t="s">
        <v>113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1118</v>
      </c>
      <c r="C1400" s="219" t="s">
        <v>1039</v>
      </c>
      <c r="D1400" s="248" t="s">
        <v>113</v>
      </c>
      <c r="E1400" s="166">
        <v>866.66499999999996</v>
      </c>
      <c r="F1400" s="193" t="s">
        <v>113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1119</v>
      </c>
      <c r="C1401" s="219" t="s">
        <v>1039</v>
      </c>
      <c r="D1401" s="248" t="s">
        <v>1070</v>
      </c>
      <c r="E1401" s="166">
        <v>513.33285714285716</v>
      </c>
      <c r="F1401" s="193" t="s">
        <v>1070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1120</v>
      </c>
      <c r="C1402" s="219" t="s">
        <v>1039</v>
      </c>
      <c r="D1402" s="248" t="s">
        <v>113</v>
      </c>
      <c r="E1402" s="166">
        <v>19000</v>
      </c>
      <c r="F1402" s="193" t="s">
        <v>113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1121</v>
      </c>
      <c r="C1403" s="219" t="s">
        <v>1039</v>
      </c>
      <c r="D1403" s="248" t="s">
        <v>113</v>
      </c>
      <c r="E1403" s="166">
        <v>3800</v>
      </c>
      <c r="F1403" s="193" t="s">
        <v>113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1122</v>
      </c>
      <c r="C1404" s="219" t="s">
        <v>1039</v>
      </c>
      <c r="D1404" s="248" t="s">
        <v>176</v>
      </c>
      <c r="E1404" s="166">
        <v>3200</v>
      </c>
      <c r="F1404" s="193" t="s">
        <v>176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1123</v>
      </c>
      <c r="C1405" s="219" t="s">
        <v>1039</v>
      </c>
      <c r="D1405" s="248" t="s">
        <v>218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1124</v>
      </c>
      <c r="C1406" s="221" t="s">
        <v>1039</v>
      </c>
      <c r="D1406" s="10" t="s">
        <v>365</v>
      </c>
      <c r="E1406" s="222"/>
      <c r="F1406" s="293" t="s">
        <v>365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1125</v>
      </c>
      <c r="C1407" s="219" t="s">
        <v>1039</v>
      </c>
      <c r="D1407" s="10" t="s">
        <v>365</v>
      </c>
      <c r="E1407" s="166"/>
      <c r="F1407" s="10" t="s">
        <v>365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1126</v>
      </c>
      <c r="C1408" s="219" t="s">
        <v>1039</v>
      </c>
      <c r="D1408" s="10" t="s">
        <v>365</v>
      </c>
      <c r="E1408" s="166"/>
      <c r="F1408" s="10" t="s">
        <v>365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1127</v>
      </c>
      <c r="C1409" s="219" t="s">
        <v>1039</v>
      </c>
      <c r="D1409" s="10" t="s">
        <v>365</v>
      </c>
      <c r="E1409" s="166"/>
      <c r="F1409" s="10" t="s">
        <v>365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1128</v>
      </c>
      <c r="C1410" s="219" t="s">
        <v>1039</v>
      </c>
      <c r="D1410" s="248" t="s">
        <v>113</v>
      </c>
      <c r="E1410" s="166">
        <v>6013.33</v>
      </c>
      <c r="F1410" s="273" t="s">
        <v>113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1129</v>
      </c>
      <c r="C1411" s="219" t="s">
        <v>1039</v>
      </c>
      <c r="D1411" s="248" t="s">
        <v>113</v>
      </c>
      <c r="E1411" s="166">
        <v>1101.5</v>
      </c>
      <c r="F1411" s="273" t="s">
        <v>113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1130</v>
      </c>
      <c r="C1412" s="219" t="s">
        <v>1039</v>
      </c>
      <c r="D1412" s="248" t="s">
        <v>113</v>
      </c>
      <c r="E1412" s="166">
        <v>11100</v>
      </c>
      <c r="F1412" s="273" t="s">
        <v>113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1131</v>
      </c>
      <c r="C1413" s="219" t="s">
        <v>1039</v>
      </c>
      <c r="D1413" s="10" t="s">
        <v>365</v>
      </c>
      <c r="E1413" s="166"/>
      <c r="F1413" s="10" t="s">
        <v>365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1132</v>
      </c>
      <c r="C1414" s="219" t="s">
        <v>1039</v>
      </c>
      <c r="D1414" s="10" t="s">
        <v>365</v>
      </c>
      <c r="E1414" s="166"/>
      <c r="F1414" s="10" t="s">
        <v>365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1133</v>
      </c>
      <c r="C1415" s="221" t="s">
        <v>1039</v>
      </c>
      <c r="D1415" s="10" t="s">
        <v>365</v>
      </c>
      <c r="E1415" s="222"/>
      <c r="F1415" s="10" t="s">
        <v>365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95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80</v>
      </c>
      <c r="B1427" s="68" t="s">
        <v>97</v>
      </c>
      <c r="C1427" s="119" t="s">
        <v>98</v>
      </c>
      <c r="D1427" s="135" t="s">
        <v>99</v>
      </c>
      <c r="E1427" s="59" t="s">
        <v>100</v>
      </c>
      <c r="F1427" s="195" t="s">
        <v>101</v>
      </c>
      <c r="G1427" s="60" t="s">
        <v>102</v>
      </c>
      <c r="H1427" s="61" t="s">
        <v>103</v>
      </c>
      <c r="I1427" s="61" t="s">
        <v>104</v>
      </c>
      <c r="J1427" s="64" t="s">
        <v>105</v>
      </c>
    </row>
    <row r="1428" spans="1:10">
      <c r="A1428" s="41">
        <v>1</v>
      </c>
      <c r="B1428" s="42" t="s">
        <v>1134</v>
      </c>
      <c r="C1428" s="219" t="s">
        <v>59</v>
      </c>
      <c r="D1428" s="235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9" t="s">
        <v>59</v>
      </c>
      <c r="D1429" s="57" t="s">
        <v>113</v>
      </c>
      <c r="E1429" s="43">
        <v>3146.625</v>
      </c>
      <c r="F1429" s="188" t="s">
        <v>113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9" t="s">
        <v>59</v>
      </c>
      <c r="D1430" s="48" t="s">
        <v>113</v>
      </c>
      <c r="E1430" s="43">
        <v>8731.5333333333328</v>
      </c>
      <c r="F1430" s="188" t="s">
        <v>113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9" t="s">
        <v>59</v>
      </c>
      <c r="D1431" s="48" t="s">
        <v>113</v>
      </c>
      <c r="E1431" s="43">
        <v>5376.625</v>
      </c>
      <c r="F1431" s="188" t="s">
        <v>113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9" t="s">
        <v>59</v>
      </c>
      <c r="D1432" s="48" t="s">
        <v>113</v>
      </c>
      <c r="E1432" s="43">
        <v>7039.5</v>
      </c>
      <c r="F1432" s="188" t="s">
        <v>113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9" t="s">
        <v>59</v>
      </c>
      <c r="D1433" s="48" t="s">
        <v>113</v>
      </c>
      <c r="E1433" s="43">
        <v>13260</v>
      </c>
      <c r="F1433" s="188" t="s">
        <v>113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9" t="s">
        <v>59</v>
      </c>
      <c r="D1434" s="48" t="s">
        <v>113</v>
      </c>
      <c r="E1434" s="43">
        <v>5136.2</v>
      </c>
      <c r="F1434" s="188" t="s">
        <v>113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9" t="s">
        <v>59</v>
      </c>
      <c r="D1435" s="48" t="s">
        <v>113</v>
      </c>
      <c r="E1435" s="43">
        <v>5628.6</v>
      </c>
      <c r="F1435" s="188" t="s">
        <v>113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9" t="s">
        <v>59</v>
      </c>
      <c r="D1436" s="48" t="s">
        <v>113</v>
      </c>
      <c r="E1436" s="46">
        <v>7204.6</v>
      </c>
      <c r="F1436" s="188" t="s">
        <v>113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9" t="s">
        <v>59</v>
      </c>
      <c r="D1437" s="48" t="s">
        <v>113</v>
      </c>
      <c r="E1437" s="46">
        <v>12510</v>
      </c>
      <c r="F1437" s="188" t="s">
        <v>113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9" t="s">
        <v>59</v>
      </c>
      <c r="D1438" s="48" t="s">
        <v>113</v>
      </c>
      <c r="E1438" s="46">
        <v>8789</v>
      </c>
      <c r="F1438" s="188" t="s">
        <v>113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9" t="s">
        <v>59</v>
      </c>
      <c r="D1439" s="48" t="s">
        <v>113</v>
      </c>
      <c r="E1439" s="46">
        <v>20643.5</v>
      </c>
      <c r="F1439" s="188" t="s">
        <v>113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9" t="s">
        <v>59</v>
      </c>
      <c r="D1440" s="48" t="s">
        <v>113</v>
      </c>
      <c r="E1440" s="46">
        <v>2006</v>
      </c>
      <c r="F1440" s="188" t="s">
        <v>113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9" t="s">
        <v>59</v>
      </c>
      <c r="D1441" s="48" t="s">
        <v>113</v>
      </c>
      <c r="E1441" s="46">
        <v>36293.5</v>
      </c>
      <c r="F1441" s="188" t="s">
        <v>113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9" t="s">
        <v>59</v>
      </c>
      <c r="D1442" s="48" t="s">
        <v>113</v>
      </c>
      <c r="E1442" s="46">
        <v>9613.3333333333339</v>
      </c>
      <c r="F1442" s="188" t="s">
        <v>113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9" t="s">
        <v>59</v>
      </c>
      <c r="D1443" s="48" t="s">
        <v>113</v>
      </c>
      <c r="E1443" s="46">
        <v>76295</v>
      </c>
      <c r="F1443" s="188" t="s">
        <v>113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9" t="s">
        <v>59</v>
      </c>
      <c r="D1444" s="48" t="s">
        <v>113</v>
      </c>
      <c r="E1444" s="46">
        <v>3326.46</v>
      </c>
      <c r="F1444" s="188" t="s">
        <v>113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1152</v>
      </c>
      <c r="C1445" s="219" t="s">
        <v>59</v>
      </c>
      <c r="D1445" s="48" t="s">
        <v>113</v>
      </c>
      <c r="E1445" s="46">
        <v>61667.5</v>
      </c>
      <c r="F1445" s="188" t="s">
        <v>113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1153</v>
      </c>
      <c r="C1446" s="219" t="s">
        <v>59</v>
      </c>
      <c r="D1446" s="48" t="s">
        <v>113</v>
      </c>
      <c r="E1446" s="43">
        <v>720750</v>
      </c>
      <c r="F1446" s="188" t="s">
        <v>113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9" t="s">
        <v>59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9" t="s">
        <v>59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9" t="s">
        <v>59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9" t="s">
        <v>59</v>
      </c>
      <c r="D1450" s="48" t="s">
        <v>113</v>
      </c>
      <c r="E1450" s="43">
        <v>34700</v>
      </c>
      <c r="F1450" s="188" t="s">
        <v>113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9" t="s">
        <v>59</v>
      </c>
      <c r="D1451" s="48" t="s">
        <v>113</v>
      </c>
      <c r="E1451" s="43">
        <v>16695</v>
      </c>
      <c r="F1451" s="188" t="s">
        <v>113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9" t="s">
        <v>59</v>
      </c>
      <c r="D1452" s="48" t="s">
        <v>113</v>
      </c>
      <c r="E1452" s="43">
        <v>20585</v>
      </c>
      <c r="F1452" s="188" t="s">
        <v>113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9" t="s">
        <v>59</v>
      </c>
      <c r="D1453" s="48" t="s">
        <v>113</v>
      </c>
      <c r="E1453" s="43">
        <v>2912.52</v>
      </c>
      <c r="F1453" s="188" t="s">
        <v>113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9" t="s">
        <v>59</v>
      </c>
      <c r="D1454" s="48" t="s">
        <v>113</v>
      </c>
      <c r="E1454" s="43">
        <v>18486</v>
      </c>
      <c r="F1454" s="188" t="s">
        <v>113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9" t="s">
        <v>59</v>
      </c>
      <c r="D1455" s="48" t="s">
        <v>113</v>
      </c>
      <c r="E1455" s="43">
        <v>18895</v>
      </c>
      <c r="F1455" s="188" t="s">
        <v>113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9" t="s">
        <v>59</v>
      </c>
      <c r="D1456" s="48" t="s">
        <v>113</v>
      </c>
      <c r="E1456" s="43">
        <v>35150</v>
      </c>
      <c r="F1456" s="188" t="s">
        <v>113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9" t="s">
        <v>59</v>
      </c>
      <c r="D1457" s="48" t="s">
        <v>1070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9" t="s">
        <v>59</v>
      </c>
      <c r="D1458" s="48" t="s">
        <v>113</v>
      </c>
      <c r="E1458" s="43">
        <v>8470</v>
      </c>
      <c r="F1458" s="188" t="s">
        <v>113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9" t="s">
        <v>59</v>
      </c>
      <c r="D1459" s="48" t="s">
        <v>113</v>
      </c>
      <c r="E1459" s="43">
        <v>2480</v>
      </c>
      <c r="F1459" s="188" t="s">
        <v>113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9" t="s">
        <v>59</v>
      </c>
      <c r="D1460" s="48" t="s">
        <v>113</v>
      </c>
      <c r="E1460" s="43">
        <v>100620</v>
      </c>
      <c r="F1460" s="188" t="s">
        <v>113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9" t="s">
        <v>59</v>
      </c>
      <c r="D1461" s="48" t="s">
        <v>113</v>
      </c>
      <c r="E1461" s="43">
        <v>50245</v>
      </c>
      <c r="F1461" s="188" t="s">
        <v>113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9" t="s">
        <v>59</v>
      </c>
      <c r="D1462" s="48" t="s">
        <v>218</v>
      </c>
      <c r="E1462" s="43">
        <v>98275.666666666672</v>
      </c>
      <c r="F1462" s="188" t="s">
        <v>218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9" t="s">
        <v>59</v>
      </c>
      <c r="D1463" s="48" t="s">
        <v>113</v>
      </c>
      <c r="E1463" s="43">
        <v>33709</v>
      </c>
      <c r="F1463" s="188" t="s">
        <v>113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9" t="s">
        <v>59</v>
      </c>
      <c r="D1464" s="48" t="s">
        <v>113</v>
      </c>
      <c r="E1464" s="43">
        <v>103948</v>
      </c>
      <c r="F1464" s="188" t="s">
        <v>113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9" t="s">
        <v>59</v>
      </c>
      <c r="D1465" s="48" t="s">
        <v>113</v>
      </c>
      <c r="E1465" s="43">
        <v>32370</v>
      </c>
      <c r="F1465" s="188" t="s">
        <v>113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9" t="s">
        <v>59</v>
      </c>
      <c r="D1466" s="48" t="s">
        <v>113</v>
      </c>
      <c r="E1466" s="43">
        <v>110153</v>
      </c>
      <c r="F1466" s="188" t="s">
        <v>113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9" t="s">
        <v>59</v>
      </c>
      <c r="D1467" s="48" t="s">
        <v>113</v>
      </c>
      <c r="E1467" s="43">
        <v>49830</v>
      </c>
      <c r="F1467" s="188" t="s">
        <v>113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9" t="s">
        <v>59</v>
      </c>
      <c r="D1468" s="48" t="s">
        <v>113</v>
      </c>
      <c r="E1468" s="43">
        <v>45846.5</v>
      </c>
      <c r="F1468" s="188" t="s">
        <v>113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9" t="s">
        <v>59</v>
      </c>
      <c r="D1469" s="48" t="s">
        <v>113</v>
      </c>
      <c r="E1469" s="43">
        <v>12830</v>
      </c>
      <c r="F1469" s="188" t="s">
        <v>113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9" t="s">
        <v>59</v>
      </c>
      <c r="D1470" s="48" t="s">
        <v>113</v>
      </c>
      <c r="E1470" s="43">
        <v>38888.571428571428</v>
      </c>
      <c r="F1470" s="188" t="s">
        <v>113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9" t="s">
        <v>59</v>
      </c>
      <c r="D1471" s="48" t="s">
        <v>241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9" t="s">
        <v>59</v>
      </c>
      <c r="D1472" s="48" t="s">
        <v>113</v>
      </c>
      <c r="E1472" s="43">
        <v>22475</v>
      </c>
      <c r="F1472" s="188" t="s">
        <v>113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9" t="s">
        <v>59</v>
      </c>
      <c r="D1473" s="48" t="s">
        <v>113</v>
      </c>
      <c r="E1473" s="43">
        <v>95966.7</v>
      </c>
      <c r="F1473" s="188" t="s">
        <v>113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9" t="s">
        <v>59</v>
      </c>
      <c r="D1474" s="48" t="s">
        <v>113</v>
      </c>
      <c r="E1474" s="43">
        <v>22654</v>
      </c>
      <c r="F1474" s="188" t="s">
        <v>113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9" t="s">
        <v>59</v>
      </c>
      <c r="D1475" s="48" t="s">
        <v>113</v>
      </c>
      <c r="E1475" s="43">
        <v>73154</v>
      </c>
      <c r="F1475" s="188" t="s">
        <v>113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9" t="s">
        <v>59</v>
      </c>
      <c r="D1476" s="48" t="s">
        <v>113</v>
      </c>
      <c r="E1476" s="43">
        <v>22053.571428571428</v>
      </c>
      <c r="F1476" s="188" t="s">
        <v>113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9" t="s">
        <v>59</v>
      </c>
      <c r="D1477" s="48" t="s">
        <v>113</v>
      </c>
      <c r="E1477" s="43">
        <v>132350</v>
      </c>
      <c r="F1477" s="188" t="s">
        <v>113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9" t="s">
        <v>59</v>
      </c>
      <c r="D1478" s="48" t="s">
        <v>113</v>
      </c>
      <c r="E1478" s="43">
        <v>22518.5</v>
      </c>
      <c r="F1478" s="188" t="s">
        <v>113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9" t="s">
        <v>59</v>
      </c>
      <c r="D1479" s="48" t="s">
        <v>113</v>
      </c>
      <c r="E1479" s="43">
        <v>2242.6</v>
      </c>
      <c r="F1479" s="188" t="s">
        <v>113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9" t="s">
        <v>59</v>
      </c>
      <c r="D1480" s="48" t="s">
        <v>113</v>
      </c>
      <c r="E1480" s="43">
        <v>1875.65</v>
      </c>
      <c r="F1480" s="188" t="s">
        <v>113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1188</v>
      </c>
      <c r="C1481" s="219" t="s">
        <v>59</v>
      </c>
      <c r="D1481" s="48" t="s">
        <v>210</v>
      </c>
      <c r="E1481" s="43">
        <v>3130</v>
      </c>
      <c r="F1481" s="188" t="s">
        <v>210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1189</v>
      </c>
      <c r="C1482" s="219" t="s">
        <v>59</v>
      </c>
      <c r="D1482" s="48" t="s">
        <v>210</v>
      </c>
      <c r="E1482" s="43">
        <v>5010</v>
      </c>
      <c r="F1482" s="188" t="s">
        <v>210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9" t="s">
        <v>59</v>
      </c>
      <c r="D1483" s="48" t="s">
        <v>113</v>
      </c>
      <c r="E1483" s="43">
        <v>37950</v>
      </c>
      <c r="F1483" s="188" t="s">
        <v>113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9" t="s">
        <v>59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9" t="s">
        <v>59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9" t="s">
        <v>59</v>
      </c>
      <c r="D1486" s="48" t="s">
        <v>113</v>
      </c>
      <c r="E1486" s="43">
        <v>2670.7666666666669</v>
      </c>
      <c r="F1486" s="188" t="s">
        <v>113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9" t="s">
        <v>59</v>
      </c>
      <c r="D1487" s="48" t="s">
        <v>210</v>
      </c>
      <c r="E1487" s="43">
        <v>21800</v>
      </c>
      <c r="F1487" s="188" t="s">
        <v>210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9" t="s">
        <v>59</v>
      </c>
      <c r="D1488" s="48" t="s">
        <v>1070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9" t="s">
        <v>59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9" t="s">
        <v>59</v>
      </c>
      <c r="D1490" s="48" t="s">
        <v>113</v>
      </c>
      <c r="E1490" s="43">
        <v>46106.7</v>
      </c>
      <c r="F1490" s="188" t="s">
        <v>113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9" t="s">
        <v>59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9" t="s">
        <v>59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9" t="s">
        <v>59</v>
      </c>
      <c r="D1493" s="48" t="s">
        <v>113</v>
      </c>
      <c r="E1493" s="43">
        <v>13585</v>
      </c>
      <c r="F1493" s="188" t="s">
        <v>113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9" t="s">
        <v>59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9" t="s">
        <v>59</v>
      </c>
      <c r="D1495" s="48" t="s">
        <v>113</v>
      </c>
      <c r="E1495" s="43">
        <v>25650</v>
      </c>
      <c r="F1495" s="188" t="s">
        <v>113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9" t="s">
        <v>59</v>
      </c>
      <c r="D1496" s="48" t="s">
        <v>113</v>
      </c>
      <c r="E1496" s="43">
        <v>2760</v>
      </c>
      <c r="F1496" s="188" t="s">
        <v>113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9" t="s">
        <v>59</v>
      </c>
      <c r="D1497" s="48" t="s">
        <v>113</v>
      </c>
      <c r="E1497" s="43">
        <v>109000</v>
      </c>
      <c r="F1497" s="188" t="s">
        <v>113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9" t="s">
        <v>59</v>
      </c>
      <c r="D1498" s="48" t="s">
        <v>113</v>
      </c>
      <c r="E1498" s="43">
        <v>758.33233532934105</v>
      </c>
      <c r="F1498" s="188" t="s">
        <v>113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9" t="s">
        <v>59</v>
      </c>
      <c r="D1499" s="48" t="s">
        <v>113</v>
      </c>
      <c r="E1499" s="43">
        <v>2233.3000000000002</v>
      </c>
      <c r="F1499" s="188" t="s">
        <v>113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9" t="s">
        <v>59</v>
      </c>
      <c r="D1500" s="48" t="s">
        <v>113</v>
      </c>
      <c r="E1500" s="43">
        <v>17680</v>
      </c>
      <c r="F1500" s="188" t="s">
        <v>113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9" t="s">
        <v>59</v>
      </c>
      <c r="D1501" s="48" t="s">
        <v>113</v>
      </c>
      <c r="E1501" s="43">
        <v>16710</v>
      </c>
      <c r="F1501" s="188" t="s">
        <v>113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9" t="s">
        <v>59</v>
      </c>
      <c r="D1502" s="48" t="s">
        <v>113</v>
      </c>
      <c r="E1502" s="43">
        <v>4120</v>
      </c>
      <c r="F1502" s="188" t="s">
        <v>113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1212</v>
      </c>
      <c r="C1503" s="219" t="s">
        <v>59</v>
      </c>
      <c r="D1503" s="48" t="s">
        <v>218</v>
      </c>
      <c r="E1503" s="43">
        <v>45500</v>
      </c>
      <c r="F1503" s="188" t="s">
        <v>218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1213</v>
      </c>
      <c r="C1504" s="219" t="s">
        <v>59</v>
      </c>
      <c r="D1504" s="48" t="s">
        <v>218</v>
      </c>
      <c r="E1504" s="43">
        <v>44156.666666666664</v>
      </c>
      <c r="F1504" s="188" t="s">
        <v>218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9" t="s">
        <v>59</v>
      </c>
      <c r="D1505" s="48" t="s">
        <v>218</v>
      </c>
      <c r="E1505" s="43">
        <v>43333.333333333336</v>
      </c>
      <c r="F1505" s="188" t="s">
        <v>218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9" t="s">
        <v>59</v>
      </c>
      <c r="D1506" s="48" t="s">
        <v>113</v>
      </c>
      <c r="E1506" s="43">
        <v>2860</v>
      </c>
      <c r="F1506" s="188" t="s">
        <v>113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9" t="s">
        <v>59</v>
      </c>
      <c r="D1507" s="48" t="s">
        <v>113</v>
      </c>
      <c r="E1507" s="43">
        <v>212420</v>
      </c>
      <c r="F1507" s="188" t="s">
        <v>113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9" t="s">
        <v>59</v>
      </c>
      <c r="D1508" s="86" t="s">
        <v>113</v>
      </c>
      <c r="E1508" s="166">
        <v>245960</v>
      </c>
      <c r="F1508" s="192" t="s">
        <v>113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1218</v>
      </c>
      <c r="C1509" s="219" t="s">
        <v>59</v>
      </c>
      <c r="D1509" s="48" t="s">
        <v>113</v>
      </c>
      <c r="E1509" s="43">
        <v>1270000</v>
      </c>
      <c r="F1509" s="188" t="s">
        <v>113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1039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95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80</v>
      </c>
      <c r="B1521" s="139" t="s">
        <v>97</v>
      </c>
      <c r="C1521" s="102" t="s">
        <v>98</v>
      </c>
      <c r="D1521" s="103" t="s">
        <v>99</v>
      </c>
      <c r="E1521" s="91" t="s">
        <v>100</v>
      </c>
      <c r="F1521" s="196" t="s">
        <v>101</v>
      </c>
      <c r="G1521" s="104" t="s">
        <v>102</v>
      </c>
      <c r="H1521" s="105" t="s">
        <v>103</v>
      </c>
      <c r="I1521" s="105" t="s">
        <v>104</v>
      </c>
      <c r="J1521" s="106" t="s">
        <v>105</v>
      </c>
    </row>
    <row r="1522" spans="1:10">
      <c r="A1522" s="83">
        <v>1</v>
      </c>
      <c r="B1522" s="101" t="s">
        <v>1220</v>
      </c>
      <c r="C1522" s="100" t="s">
        <v>30</v>
      </c>
      <c r="D1522" s="96" t="s">
        <v>107</v>
      </c>
      <c r="E1522" s="94"/>
      <c r="F1522" s="197" t="s">
        <v>107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30</v>
      </c>
      <c r="D1523" s="93" t="s">
        <v>107</v>
      </c>
      <c r="E1523" s="94"/>
      <c r="F1523" s="198" t="s">
        <v>107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30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30</v>
      </c>
      <c r="D1525" s="96" t="s">
        <v>107</v>
      </c>
      <c r="E1525" s="94"/>
      <c r="F1525" s="197" t="s">
        <v>107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30</v>
      </c>
      <c r="D1526" s="93" t="s">
        <v>107</v>
      </c>
      <c r="E1526" s="94"/>
      <c r="F1526" s="198" t="s">
        <v>107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30</v>
      </c>
      <c r="D1527" s="93" t="s">
        <v>107</v>
      </c>
      <c r="E1527" s="94"/>
      <c r="F1527" s="198" t="s">
        <v>107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30</v>
      </c>
      <c r="D1528" s="96" t="s">
        <v>107</v>
      </c>
      <c r="E1528" s="94"/>
      <c r="F1528" s="197" t="s">
        <v>107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30</v>
      </c>
      <c r="D1529" s="96" t="s">
        <v>108</v>
      </c>
      <c r="E1529" s="94"/>
      <c r="F1529" s="197" t="s">
        <v>108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30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30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30</v>
      </c>
      <c r="D1532" s="96" t="s">
        <v>107</v>
      </c>
      <c r="E1532" s="94"/>
      <c r="F1532" s="197" t="s">
        <v>107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30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30</v>
      </c>
      <c r="D1534" s="96" t="s">
        <v>108</v>
      </c>
      <c r="E1534" s="94"/>
      <c r="F1534" s="197" t="s">
        <v>108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30</v>
      </c>
      <c r="D1535" s="96" t="s">
        <v>107</v>
      </c>
      <c r="E1535" s="94"/>
      <c r="F1535" s="197" t="s">
        <v>107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30</v>
      </c>
      <c r="D1536" s="93" t="s">
        <v>107</v>
      </c>
      <c r="E1536" s="94"/>
      <c r="F1536" s="198" t="s">
        <v>107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30</v>
      </c>
      <c r="D1537" s="93" t="s">
        <v>107</v>
      </c>
      <c r="E1537" s="94"/>
      <c r="F1537" s="198" t="s">
        <v>107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30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1239</v>
      </c>
      <c r="C1539" s="100" t="s">
        <v>30</v>
      </c>
      <c r="D1539" s="93" t="s">
        <v>107</v>
      </c>
      <c r="E1539" s="94"/>
      <c r="F1539" s="198" t="s">
        <v>107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32</v>
      </c>
      <c r="C1540" s="100" t="s">
        <v>30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30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30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30</v>
      </c>
      <c r="D1543" s="93" t="s">
        <v>108</v>
      </c>
      <c r="E1543" s="94"/>
      <c r="F1543" s="198" t="s">
        <v>108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30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30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30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30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30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30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30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30</v>
      </c>
      <c r="D1551" s="93" t="s">
        <v>107</v>
      </c>
      <c r="E1551" s="94"/>
      <c r="F1551" s="198" t="s">
        <v>107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30</v>
      </c>
      <c r="D1552" s="93" t="s">
        <v>107</v>
      </c>
      <c r="E1552" s="94"/>
      <c r="F1552" s="198" t="s">
        <v>107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30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30</v>
      </c>
      <c r="D1554" s="96" t="s">
        <v>107</v>
      </c>
      <c r="E1554" s="94"/>
      <c r="F1554" s="197" t="s">
        <v>107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30</v>
      </c>
      <c r="D1555" s="93" t="s">
        <v>108</v>
      </c>
      <c r="E1555" s="94"/>
      <c r="F1555" s="198" t="s">
        <v>108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30</v>
      </c>
      <c r="D1556" s="96" t="s">
        <v>107</v>
      </c>
      <c r="E1556" s="94"/>
      <c r="F1556" s="197" t="s">
        <v>107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30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30</v>
      </c>
      <c r="D1558" s="93" t="s">
        <v>107</v>
      </c>
      <c r="E1558" s="94"/>
      <c r="F1558" s="198" t="s">
        <v>107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30</v>
      </c>
      <c r="D1559" s="93" t="s">
        <v>107</v>
      </c>
      <c r="E1559" s="94"/>
      <c r="F1559" s="198" t="s">
        <v>107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30</v>
      </c>
      <c r="D1560" s="93" t="s">
        <v>108</v>
      </c>
      <c r="E1560" s="94"/>
      <c r="F1560" s="198" t="s">
        <v>108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30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30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30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30</v>
      </c>
      <c r="D1564" s="93" t="s">
        <v>107</v>
      </c>
      <c r="E1564" s="94"/>
      <c r="F1564" s="198" t="s">
        <v>107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30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30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30</v>
      </c>
      <c r="D1567" s="96" t="s">
        <v>108</v>
      </c>
      <c r="E1567" s="94"/>
      <c r="F1567" s="197" t="s">
        <v>108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30</v>
      </c>
      <c r="D1568" s="93" t="s">
        <v>107</v>
      </c>
      <c r="E1568" s="94"/>
      <c r="F1568" s="198" t="s">
        <v>107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30</v>
      </c>
      <c r="D1569" s="93" t="s">
        <v>1024</v>
      </c>
      <c r="E1569" s="162">
        <v>205766.7</v>
      </c>
      <c r="F1569" s="198" t="s">
        <v>1024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30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30</v>
      </c>
      <c r="D1571" s="96" t="s">
        <v>107</v>
      </c>
      <c r="E1571" s="94"/>
      <c r="F1571" s="197" t="s">
        <v>107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30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30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30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30</v>
      </c>
      <c r="D1575" s="93" t="s">
        <v>107</v>
      </c>
      <c r="E1575" s="94"/>
      <c r="F1575" s="198" t="s">
        <v>107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30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30</v>
      </c>
      <c r="D1577" s="93" t="s">
        <v>107</v>
      </c>
      <c r="E1577" s="94"/>
      <c r="F1577" s="198" t="s">
        <v>107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30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30</v>
      </c>
      <c r="D1579" s="96" t="s">
        <v>108</v>
      </c>
      <c r="E1579" s="94"/>
      <c r="F1579" s="197" t="s">
        <v>108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30</v>
      </c>
      <c r="D1580" s="96" t="s">
        <v>107</v>
      </c>
      <c r="E1580" s="94"/>
      <c r="F1580" s="197" t="s">
        <v>107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30</v>
      </c>
      <c r="D1581" s="96" t="s">
        <v>107</v>
      </c>
      <c r="E1581" s="94"/>
      <c r="F1581" s="197" t="s">
        <v>107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30</v>
      </c>
      <c r="D1582" s="96" t="s">
        <v>108</v>
      </c>
      <c r="E1582" s="94"/>
      <c r="F1582" s="197" t="s">
        <v>108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31</v>
      </c>
      <c r="C1583" s="100" t="s">
        <v>30</v>
      </c>
      <c r="D1583" s="93" t="s">
        <v>107</v>
      </c>
      <c r="E1583" s="94"/>
      <c r="F1583" s="198" t="s">
        <v>107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30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30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30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30</v>
      </c>
      <c r="D1587" s="96" t="s">
        <v>107</v>
      </c>
      <c r="E1587" s="94"/>
      <c r="F1587" s="197" t="s">
        <v>107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30</v>
      </c>
      <c r="D1588" s="96" t="s">
        <v>108</v>
      </c>
      <c r="E1588" s="94"/>
      <c r="F1588" s="197" t="s">
        <v>108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30</v>
      </c>
      <c r="D1589" s="96" t="s">
        <v>108</v>
      </c>
      <c r="E1589" s="94"/>
      <c r="F1589" s="197" t="s">
        <v>108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30</v>
      </c>
      <c r="D1590" s="96" t="s">
        <v>108</v>
      </c>
      <c r="E1590" s="94"/>
      <c r="F1590" s="197" t="s">
        <v>108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30</v>
      </c>
      <c r="D1591" s="93" t="s">
        <v>108</v>
      </c>
      <c r="E1591" s="94"/>
      <c r="F1591" s="198" t="s">
        <v>108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30</v>
      </c>
      <c r="D1592" s="96" t="s">
        <v>108</v>
      </c>
      <c r="E1592" s="94"/>
      <c r="F1592" s="197" t="s">
        <v>108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30</v>
      </c>
      <c r="D1593" s="93" t="s">
        <v>108</v>
      </c>
      <c r="E1593" s="94"/>
      <c r="F1593" s="198" t="s">
        <v>108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30</v>
      </c>
      <c r="D1594" s="93" t="s">
        <v>108</v>
      </c>
      <c r="E1594" s="94"/>
      <c r="F1594" s="198" t="s">
        <v>108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30</v>
      </c>
      <c r="D1595" s="93" t="s">
        <v>108</v>
      </c>
      <c r="E1595" s="94"/>
      <c r="F1595" s="198" t="s">
        <v>108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30</v>
      </c>
      <c r="D1596" s="96" t="s">
        <v>108</v>
      </c>
      <c r="E1596" s="94"/>
      <c r="F1596" s="197" t="s">
        <v>108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30</v>
      </c>
      <c r="D1597" s="96" t="s">
        <v>108</v>
      </c>
      <c r="E1597" s="94"/>
      <c r="F1597" s="197" t="s">
        <v>108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30</v>
      </c>
      <c r="D1598" s="96" t="s">
        <v>107</v>
      </c>
      <c r="E1598" s="94"/>
      <c r="F1598" s="197" t="s">
        <v>107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30</v>
      </c>
      <c r="D1599" s="96" t="s">
        <v>108</v>
      </c>
      <c r="E1599" s="94"/>
      <c r="F1599" s="197" t="s">
        <v>108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30</v>
      </c>
      <c r="D1600" s="96" t="s">
        <v>108</v>
      </c>
      <c r="E1600" s="94"/>
      <c r="F1600" s="197" t="s">
        <v>108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30</v>
      </c>
      <c r="D1601" s="93" t="s">
        <v>108</v>
      </c>
      <c r="E1601" s="94"/>
      <c r="F1601" s="198" t="s">
        <v>108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30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30</v>
      </c>
      <c r="D1603" s="96" t="s">
        <v>108</v>
      </c>
      <c r="E1603" s="94"/>
      <c r="F1603" s="197" t="s">
        <v>108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30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30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30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30</v>
      </c>
      <c r="D1607" s="93" t="s">
        <v>108</v>
      </c>
      <c r="E1607" s="94"/>
      <c r="F1607" s="198" t="s">
        <v>108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35</v>
      </c>
      <c r="M2" s="79" t="s">
        <v>44</v>
      </c>
    </row>
    <row r="3" spans="1:13" outlineLevel="1">
      <c r="A3" s="3" t="s">
        <v>1317</v>
      </c>
      <c r="B3" s="5" t="s">
        <v>218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26</v>
      </c>
    </row>
    <row r="4" spans="1:13" ht="30" outlineLevel="1">
      <c r="A4" s="2" t="s">
        <v>1322</v>
      </c>
      <c r="B4" s="5" t="s">
        <v>310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28</v>
      </c>
    </row>
    <row r="5" spans="1:13" ht="30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33</v>
      </c>
    </row>
    <row r="6" spans="1:13" outlineLevel="1">
      <c r="A6" s="2" t="s">
        <v>329</v>
      </c>
      <c r="B6" s="5" t="s">
        <v>329</v>
      </c>
      <c r="D6" t="s">
        <v>14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1039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239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61</v>
      </c>
    </row>
    <row r="9" spans="1:13" outlineLevel="1">
      <c r="A9" s="2" t="s">
        <v>1346</v>
      </c>
      <c r="B9" s="5" t="s">
        <v>1203</v>
      </c>
      <c r="F9" s="2" t="s">
        <v>1347</v>
      </c>
      <c r="H9" t="s">
        <v>1348</v>
      </c>
      <c r="I9">
        <v>70323724</v>
      </c>
      <c r="K9" t="s">
        <v>1349</v>
      </c>
      <c r="M9" s="79" t="s">
        <v>63</v>
      </c>
    </row>
    <row r="10" spans="1:13" outlineLevel="1">
      <c r="A10" s="2" t="s">
        <v>1350</v>
      </c>
      <c r="B10" s="5" t="s">
        <v>107</v>
      </c>
      <c r="F10" s="3" t="s">
        <v>9</v>
      </c>
      <c r="H10" s="24" t="s">
        <v>1351</v>
      </c>
      <c r="I10" s="20">
        <v>32142539</v>
      </c>
      <c r="K10" t="s">
        <v>1352</v>
      </c>
      <c r="M10" s="233" t="s">
        <v>124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59</v>
      </c>
    </row>
    <row r="12" spans="1:13" ht="30" outlineLevel="1">
      <c r="A12" s="3" t="s">
        <v>1358</v>
      </c>
      <c r="B12" s="5" t="s">
        <v>1032</v>
      </c>
      <c r="F12" s="302" t="s">
        <v>1359</v>
      </c>
      <c r="H12" s="27" t="s">
        <v>1360</v>
      </c>
      <c r="I12" s="28">
        <v>32184975</v>
      </c>
      <c r="M12" s="233" t="s">
        <v>30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1230</v>
      </c>
      <c r="H14" s="24" t="s">
        <v>1364</v>
      </c>
      <c r="I14" s="20">
        <v>70512283</v>
      </c>
    </row>
    <row r="15" spans="1:13" outlineLevel="1">
      <c r="A15" s="2" t="s">
        <v>208</v>
      </c>
      <c r="B15" s="5" t="s">
        <v>208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241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365</v>
      </c>
      <c r="H17" s="24" t="s">
        <v>6</v>
      </c>
      <c r="I17" s="20">
        <v>1152194903</v>
      </c>
    </row>
    <row r="18" spans="1:9" outlineLevel="1">
      <c r="A18" s="2" t="s">
        <v>1369</v>
      </c>
      <c r="B18" s="5" t="s">
        <v>1223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244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108</v>
      </c>
      <c r="H21" s="21" t="s">
        <v>1378</v>
      </c>
      <c r="I21" s="22">
        <v>1032366226</v>
      </c>
    </row>
    <row r="22" spans="1:9" outlineLevel="1">
      <c r="A22" t="s">
        <v>205</v>
      </c>
      <c r="B22" s="5" t="s">
        <v>205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210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176</v>
      </c>
      <c r="H24" s="21" t="s">
        <v>1383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1384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1385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113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2024-10-24T20:59:51Z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