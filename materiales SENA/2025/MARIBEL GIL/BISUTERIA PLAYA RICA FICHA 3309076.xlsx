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MARIBEL GIL\"/>
    </mc:Choice>
  </mc:AlternateContent>
  <xr:revisionPtr revIDLastSave="0" documentId="13_ncr:1_{C6B1C498-634D-4E82-A438-BEB80B2B67FB}" xr6:coauthVersionLast="36" xr6:coauthVersionMax="47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a="1"/>
  <c r="H16" i="61" s="1"/>
  <c r="S15" i="43"/>
  <c r="H17" i="61" s="1" a="1"/>
  <c r="H17" i="61" s="1"/>
  <c r="S16" i="43"/>
  <c r="H18" i="61" a="1"/>
  <c r="H18" i="61" s="1"/>
  <c r="S17" i="43"/>
  <c r="H19" i="61" a="1"/>
  <c r="H19" i="61" s="1"/>
  <c r="S18" i="43"/>
  <c r="H20" i="61" a="1"/>
  <c r="H20" i="61" s="1"/>
  <c r="S19" i="43"/>
  <c r="H21" i="61" s="1" a="1"/>
  <c r="H21" i="61" s="1"/>
  <c r="S20" i="43"/>
  <c r="H22" i="61" a="1"/>
  <c r="H22" i="61" s="1"/>
  <c r="S21" i="43"/>
  <c r="H23" i="61" a="1"/>
  <c r="H23" i="61" s="1"/>
  <c r="S22" i="43"/>
  <c r="H24" i="61" a="1"/>
  <c r="H24" i="61" s="1"/>
  <c r="S23" i="43"/>
  <c r="H25" i="61" a="1"/>
  <c r="H25" i="61" s="1"/>
  <c r="S24" i="43"/>
  <c r="H26" i="61" a="1"/>
  <c r="H26" i="61" s="1"/>
  <c r="S25" i="43"/>
  <c r="H27" i="61" s="1" a="1"/>
  <c r="H27" i="61" s="1"/>
  <c r="S26" i="43"/>
  <c r="H28" i="61" a="1"/>
  <c r="H28" i="61" s="1"/>
  <c r="S27" i="43"/>
  <c r="H29" i="61" a="1"/>
  <c r="H29" i="61" s="1"/>
  <c r="S28" i="43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/>
  <c r="O26" i="43"/>
  <c r="G28" i="61" s="1"/>
  <c r="O27" i="43"/>
  <c r="G29" i="61" s="1"/>
  <c r="O28" i="43"/>
  <c r="G30" i="6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3" i="43" l="1"/>
  <c r="W10" i="43"/>
  <c r="O14" i="61"/>
  <c r="K14" i="61" a="1"/>
  <c r="K14" i="61" s="1"/>
  <c r="B14" i="61"/>
  <c r="K13" i="61" a="1"/>
  <c r="K13" i="61" s="1"/>
  <c r="O13" i="61"/>
  <c r="B13" i="61"/>
  <c r="B25" i="61"/>
  <c r="K25" i="61" a="1"/>
  <c r="K25" i="61" s="1"/>
  <c r="O25" i="61"/>
  <c r="B19" i="61"/>
  <c r="K19" i="61" a="1"/>
  <c r="K19" i="61" s="1"/>
  <c r="O19" i="61"/>
  <c r="K17" i="61" a="1"/>
  <c r="K17" i="61" s="1"/>
  <c r="O17" i="61"/>
  <c r="B17" i="61"/>
  <c r="K26" i="61" a="1"/>
  <c r="K26" i="61" s="1"/>
  <c r="B26" i="61"/>
  <c r="O26" i="61"/>
  <c r="K12" i="61" a="1"/>
  <c r="K12" i="61" s="1"/>
  <c r="B12" i="61"/>
  <c r="O12" i="61"/>
  <c r="K30" i="61" a="1"/>
  <c r="K30" i="61" s="1"/>
  <c r="O30" i="61"/>
  <c r="B30" i="61"/>
  <c r="O24" i="61"/>
  <c r="K24" i="61" a="1"/>
  <c r="K24" i="61" s="1"/>
  <c r="B24" i="61"/>
  <c r="K18" i="61" a="1"/>
  <c r="K18" i="61" s="1"/>
  <c r="B18" i="61"/>
  <c r="O18" i="61"/>
  <c r="K29" i="61" a="1"/>
  <c r="K29" i="61" s="1"/>
  <c r="O29" i="61"/>
  <c r="B29" i="61"/>
  <c r="K28" i="61" a="1"/>
  <c r="K28" i="61" s="1"/>
  <c r="B28" i="61"/>
  <c r="O28" i="61"/>
  <c r="K22" i="61" a="1"/>
  <c r="K22" i="61" s="1"/>
  <c r="B22" i="61"/>
  <c r="O22" i="61"/>
  <c r="K16" i="61" a="1"/>
  <c r="K16" i="61" s="1"/>
  <c r="B16" i="61"/>
  <c r="O16" i="61"/>
  <c r="K23" i="61" a="1"/>
  <c r="K23" i="61" s="1"/>
  <c r="B23" i="61"/>
  <c r="O23" i="61"/>
  <c r="K32" i="61" a="1"/>
  <c r="K32" i="61" s="1"/>
  <c r="B32" i="61"/>
  <c r="O32" i="61"/>
  <c r="O27" i="61"/>
  <c r="K27" i="61" a="1"/>
  <c r="K27" i="61" s="1"/>
  <c r="B27" i="61"/>
  <c r="B21" i="61"/>
  <c r="K21" i="61" a="1"/>
  <c r="K21" i="61" s="1"/>
  <c r="O21" i="61"/>
  <c r="K15" i="61" a="1"/>
  <c r="K15" i="61" s="1"/>
  <c r="B15" i="61"/>
  <c r="O15" i="61"/>
  <c r="O20" i="61"/>
  <c r="K20" i="61" a="1"/>
  <c r="K20" i="61" s="1"/>
  <c r="B20" i="61"/>
  <c r="O31" i="61"/>
  <c r="K31" i="61" a="1"/>
  <c r="K31" i="61" s="1"/>
  <c r="B31" i="61"/>
  <c r="D5" i="43" l="1"/>
  <c r="O5" i="43" s="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<sst xmlns="http://schemas.openxmlformats.org/spreadsheetml/2006/main" count="5019" uniqueCount="1398">
  <si>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</si>
  <si>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</si>
  <si>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</si>
  <si>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</si>
  <si>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</si>
  <si>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</si>
  <si>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</si>
  <si>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</si>
  <si>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</si>
  <si>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</si>
  <si>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</si>
  <si>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</si>
  <si>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</si>
  <si>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</si>
  <si>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</si>
  <si>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</si>
  <si>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</si>
  <si>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</si>
  <si>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</si>
  <si>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</si>
  <si>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</si>
  <si>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</si>
  <si>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</si>
  <si>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</si>
  <si>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</si>
  <si>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</si>
  <si>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</si>
  <si>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</si>
  <si>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</si>
  <si>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</si>
  <si>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</si>
  <si>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</si>
  <si>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</si>
  <si>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</si>
  <si>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</si>
  <si>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</si>
  <si>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</si>
  <si>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</si>
  <si>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</si>
  <si>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</si>
  <si>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</si>
  <si>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</si>
  <si>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</si>
  <si>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</si>
  <si>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</si>
  <si>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</si>
  <si>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</si>
  <si>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</si>
  <si>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</si>
  <si>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</si>
  <si>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</si>
  <si>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</si>
  <si>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</si>
  <si>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</si>
  <si>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</si>
  <si>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</si>
  <si>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</si>
  <si>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</si>
  <si>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</si>
  <si>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</si>
  <si>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</si>
  <si>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</si>
  <si>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</si>
  <si>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</si>
  <si>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</si>
  <si>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</si>
  <si>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</si>
  <si>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</si>
  <si>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</si>
  <si>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</si>
  <si>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</si>
  <si>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</si>
  <si>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</si>
  <si>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</si>
  <si>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</si>
  <si>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</si>
  <si>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</si>
  <si>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</si>
  <si>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</si>
  <si>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</si>
  <si>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</si>
  <si>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</si>
  <si>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</si>
  <si>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</si>
  <si>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</si>
  <si>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</si>
  <si>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</si>
  <si>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</si>
  <si>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</si>
  <si>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</si>
  <si>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</si>
  <si>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</si>
  <si>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</si>
  <si>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</si>
  <si>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</si>
  <si>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</si>
  <si>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</si>
  <si>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</si>
  <si>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</si>
  <si>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</si>
  <si>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</si>
  <si>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</si>
  <si>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</si>
  <si>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</si>
  <si>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</si>
  <si>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</si>
  <si>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</si>
  <si>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</si>
  <si>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</si>
  <si>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</si>
  <si>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</si>
  <si>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</si>
  <si>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</si>
  <si>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</si>
  <si>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</si>
  <si>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</si>
  <si>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</si>
  <si>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</si>
  <si>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</si>
  <si>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</si>
  <si>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</si>
  <si>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</si>
  <si>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</si>
  <si>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</si>
  <si>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</si>
  <si>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</si>
  <si>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</si>
  <si>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</si>
  <si>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</si>
  <si>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</si>
  <si>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</si>
  <si>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</si>
  <si>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</si>
  <si>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</si>
  <si>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</si>
  <si>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</si>
  <si>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</si>
  <si>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</si>
  <si>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</si>
  <si>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</si>
  <si>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</si>
  <si>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</si>
  <si>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</si>
  <si>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</si>
  <si>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</si>
  <si>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</si>
  <si>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</si>
  <si>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</si>
  <si>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</si>
  <si>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</si>
  <si>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</si>
  <si>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</si>
  <si>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</si>
  <si>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</si>
  <si>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</si>
  <si>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</si>
  <si>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</si>
  <si>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</si>
  <si>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</si>
  <si>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</si>
  <si>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</si>
  <si>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</si>
  <si>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</si>
  <si>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</si>
  <si>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</si>
  <si>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</si>
  <si>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</si>
  <si>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</si>
  <si>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</si>
  <si>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</si>
  <si>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</si>
  <si>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</si>
  <si>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</si>
  <si>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</si>
  <si>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</si>
  <si>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</si>
  <si>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</si>
  <si>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</si>
  <si>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</si>
  <si>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</si>
  <si>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</si>
  <si>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</si>
  <si>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</si>
  <si>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</si>
  <si>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</si>
  <si>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</si>
  <si>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</si>
  <si>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</si>
  <si>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</si>
  <si>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</si>
  <si>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</si>
  <si>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</si>
  <si>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</si>
  <si>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</si>
  <si>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</si>
  <si>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</si>
  <si>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</si>
  <si>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</si>
  <si>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</si>
  <si>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</si>
  <si>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</si>
  <si>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</si>
  <si>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</si>
  <si>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</si>
  <si>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</si>
  <si>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</si>
  <si>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</si>
  <si>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</si>
  <si>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</si>
  <si>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</si>
  <si>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</si>
  <si>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</si>
  <si>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</si>
  <si>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</si>
  <si>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</si>
  <si>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</si>
  <si>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</si>
  <si>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</si>
  <si>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</si>
  <si>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</si>
  <si>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</si>
  <si>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</si>
  <si>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</si>
  <si>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</si>
  <si>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</si>
  <si>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</si>
  <si>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</si>
  <si>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</si>
  <si>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</si>
  <si>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</si>
  <si>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</si>
  <si>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</si>
  <si>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</si>
  <si>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</si>
  <si>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</si>
  <si>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</si>
  <si>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</si>
  <si>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</si>
  <si>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</si>
  <si>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</si>
  <si>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</si>
  <si>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</si>
  <si>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</si>
  <si>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</si>
  <si>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</si>
  <si>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</si>
  <si>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</si>
  <si>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</si>
  <si>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</si>
  <si>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</si>
  <si>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</si>
  <si>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</si>
  <si>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</si>
  <si>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</si>
  <si>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</si>
  <si>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</si>
  <si>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</si>
  <si>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</si>
  <si>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</si>
  <si>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</si>
  <si>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</si>
  <si>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</si>
  <si>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</si>
  <si>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</si>
  <si>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</si>
  <si>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</si>
  <si>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</si>
  <si>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</si>
  <si>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</si>
  <si>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</si>
  <si>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</si>
  <si>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</si>
  <si>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</si>
  <si>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</si>
  <si>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</si>
  <si>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</si>
  <si>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</si>
  <si>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</si>
  <si>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</si>
  <si>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</si>
  <si>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</si>
  <si>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</si>
  <si>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</si>
  <si>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</si>
  <si>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</si>
  <si>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</si>
  <si>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</si>
  <si>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</si>
  <si>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</si>
  <si>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</si>
  <si>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</si>
  <si>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</si>
  <si>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</si>
  <si>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</si>
  <si>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</si>
  <si>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</si>
  <si>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</si>
  <si>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</si>
  <si>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</si>
  <si>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</si>
  <si>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</si>
  <si>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</si>
  <si>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</si>
  <si>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</si>
  <si>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</si>
  <si>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</si>
  <si>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</si>
  <si>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</si>
  <si>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</si>
  <si>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</si>
  <si>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</si>
  <si>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</si>
  <si>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</si>
  <si>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</si>
  <si>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</si>
  <si>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</si>
  <si>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</si>
  <si>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</si>
  <si>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</si>
  <si>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</si>
  <si>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</si>
  <si>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</si>
  <si>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</si>
  <si>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</si>
  <si>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</si>
  <si>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</si>
  <si>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</si>
  <si>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</si>
  <si>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</si>
  <si>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</si>
  <si>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</si>
  <si>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</si>
  <si>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</si>
  <si>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</si>
  <si>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</si>
  <si>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</si>
  <si>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</si>
  <si>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</si>
  <si>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</si>
  <si>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</si>
  <si>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</si>
  <si>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</si>
  <si>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</si>
  <si>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</si>
  <si>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</si>
  <si>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</si>
  <si>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</si>
  <si>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</si>
  <si>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</si>
  <si>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</si>
  <si>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</si>
  <si>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</si>
  <si>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</si>
  <si>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</si>
  <si>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</si>
  <si>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</si>
  <si>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</si>
  <si>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</si>
  <si>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</si>
  <si>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</si>
  <si>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</si>
  <si>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</si>
  <si>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</si>
  <si>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</si>
  <si>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</si>
  <si>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</si>
  <si>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</si>
  <si>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</si>
  <si>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</si>
  <si>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</si>
  <si>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</si>
  <si>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</si>
  <si>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</si>
  <si>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</si>
  <si>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</si>
  <si>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</si>
  <si>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</si>
  <si>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</si>
  <si>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</si>
  <si>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</si>
  <si>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</si>
  <si>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</si>
  <si>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</si>
  <si>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</si>
  <si>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</si>
  <si>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</si>
  <si>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</si>
  <si>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</si>
  <si>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</si>
  <si>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</si>
  <si>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</si>
  <si>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</si>
  <si>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</si>
  <si>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</si>
  <si>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</si>
  <si>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</si>
  <si>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</si>
  <si>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</si>
  <si>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</si>
  <si>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</si>
  <si>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</si>
  <si>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</si>
  <si>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</si>
  <si>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</si>
  <si>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</si>
  <si>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</si>
  <si>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</si>
  <si>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</si>
  <si>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</si>
  <si>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</si>
  <si>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</si>
  <si>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</si>
  <si>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</si>
  <si>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</si>
  <si>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</si>
  <si>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</si>
  <si>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</si>
  <si>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</si>
  <si>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</si>
  <si>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</si>
  <si>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</si>
  <si>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</si>
  <si>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</si>
  <si>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</si>
  <si>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</si>
  <si>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</si>
  <si>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</si>
  <si>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</si>
  <si>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</si>
  <si>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</si>
  <si>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</si>
  <si>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</si>
  <si>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</si>
  <si>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</si>
  <si>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</si>
  <si>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</si>
  <si>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</si>
  <si>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</si>
  <si>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</si>
  <si>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</si>
  <si>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</si>
  <si>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</si>
  <si>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</si>
  <si>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</si>
  <si>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</si>
  <si>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</si>
  <si>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</si>
  <si>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</si>
  <si>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</si>
  <si>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</si>
  <si>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</si>
  <si>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</si>
  <si>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</si>
  <si>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</si>
  <si>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</si>
  <si>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</si>
  <si>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</si>
  <si>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</si>
  <si>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</si>
  <si>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</si>
  <si>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</si>
  <si>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</si>
  <si>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</si>
  <si>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</si>
  <si>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</si>
  <si>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</si>
  <si>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</si>
  <si>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</si>
  <si>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</si>
  <si>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</si>
  <si>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</si>
  <si>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</si>
  <si>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</si>
  <si>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</si>
  <si>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</si>
  <si>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</si>
  <si>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</si>
  <si>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</si>
  <si>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</si>
  <si>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</si>
  <si>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</si>
  <si>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</si>
  <si>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</si>
  <si>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</si>
  <si>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</si>
  <si>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</si>
  <si>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</si>
  <si>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</si>
  <si>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</si>
  <si>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</si>
  <si>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</si>
  <si>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</si>
  <si>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</si>
  <si>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</si>
  <si>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</si>
  <si>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</si>
  <si>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</si>
  <si>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</si>
  <si>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</si>
  <si>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</si>
  <si>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</si>
  <si>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</si>
  <si>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</si>
  <si>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</si>
  <si>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</si>
  <si>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</si>
  <si>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</si>
  <si>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</si>
  <si>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</si>
  <si>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</si>
  <si>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</si>
  <si>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</si>
  <si>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</si>
  <si>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</si>
  <si>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</si>
  <si>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</si>
  <si>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</si>
  <si>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</si>
  <si>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</si>
  <si>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</si>
  <si>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</si>
  <si>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</si>
  <si>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</si>
  <si>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</si>
  <si>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</si>
  <si>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</si>
  <si>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</si>
  <si>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</si>
  <si>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</si>
  <si>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</si>
  <si>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</si>
  <si>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</si>
  <si>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</si>
  <si>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</si>
  <si>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</si>
  <si>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</si>
  <si>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</si>
  <si>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</si>
  <si>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</si>
  <si>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</si>
  <si>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</si>
  <si>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</si>
  <si>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</si>
  <si>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</si>
  <si>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</si>
  <si>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</si>
  <si>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</si>
  <si>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</si>
  <si>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</si>
  <si>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</si>
  <si>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</si>
  <si>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</si>
  <si>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</si>
  <si>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</si>
  <si>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</si>
  <si>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</si>
  <si>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</si>
  <si>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</si>
  <si>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</si>
  <si>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</si>
  <si>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</si>
  <si>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</si>
  <si>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</si>
  <si>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</si>
  <si>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</si>
  <si>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</si>
  <si>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</si>
  <si>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</si>
  <si>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</si>
  <si>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</si>
  <si>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</si>
  <si>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</si>
  <si>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</si>
  <si>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</si>
  <si>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</si>
  <si>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</si>
  <si>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</si>
  <si>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</si>
  <si>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</si>
  <si>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</si>
  <si>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</si>
  <si>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</si>
  <si>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</si>
  <si>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</si>
  <si>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</si>
  <si>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</si>
  <si>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</si>
  <si>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</si>
  <si>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</si>
  <si>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</si>
  <si>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</si>
  <si>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</si>
  <si>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</si>
  <si>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</si>
  <si>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</si>
  <si>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</si>
  <si>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</si>
  <si>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</si>
  <si>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</si>
  <si>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</si>
  <si>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</si>
  <si>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</si>
  <si>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</si>
  <si>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</si>
  <si>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</si>
  <si>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</si>
  <si>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</si>
  <si>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</si>
  <si>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</si>
  <si>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</si>
  <si>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</si>
  <si>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</si>
  <si>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</si>
  <si>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</si>
  <si>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</si>
  <si>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</si>
  <si>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</si>
  <si>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</si>
  <si>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</si>
  <si>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</si>
  <si>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</si>
  <si>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</si>
  <si>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</si>
  <si>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</si>
  <si>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</si>
  <si>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</si>
  <si>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</si>
  <si>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</si>
  <si>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</si>
  <si>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</si>
  <si>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</si>
  <si>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</si>
  <si>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</si>
  <si>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</si>
  <si>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</si>
  <si>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</si>
  <si>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</si>
  <si>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</si>
  <si>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</si>
  <si>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</si>
  <si>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</si>
  <si>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</si>
  <si>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</si>
  <si>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</si>
  <si>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</si>
  <si>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</si>
  <si>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</si>
  <si>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</si>
  <si>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</si>
  <si>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</si>
  <si>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</si>
  <si>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</si>
  <si>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</si>
  <si>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</si>
  <si>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</si>
  <si>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</si>
  <si>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</si>
  <si>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</si>
  <si>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</si>
  <si>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</si>
  <si>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</si>
  <si>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</si>
  <si>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</si>
  <si>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</si>
  <si>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</si>
  <si>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</si>
  <si>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</si>
  <si>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</si>
  <si>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</si>
  <si>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</si>
  <si>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</si>
  <si>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</si>
  <si>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</si>
  <si>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</si>
  <si>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</si>
  <si>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</si>
  <si>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</si>
  <si>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</si>
  <si>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</si>
  <si>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</si>
  <si>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</si>
  <si>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</si>
  <si>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</si>
  <si>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</si>
  <si>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</si>
  <si>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</si>
  <si>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</si>
  <si>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</si>
  <si>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</si>
  <si>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</si>
  <si>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</si>
  <si>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</si>
  <si>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</si>
  <si>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</si>
  <si>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</si>
  <si>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</si>
  <si>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</si>
  <si>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</si>
  <si>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</si>
  <si>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</si>
  <si>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</si>
  <si>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</si>
  <si>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</si>
  <si>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</si>
  <si>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</si>
  <si>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</si>
  <si>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</si>
  <si>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</si>
  <si>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</si>
  <si>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</si>
  <si>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</si>
  <si>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</si>
  <si>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</si>
  <si>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</si>
  <si>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</si>
  <si>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</si>
  <si>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</si>
  <si>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</si>
  <si>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</si>
  <si>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</si>
  <si>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</si>
  <si>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</si>
  <si>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</si>
  <si>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</si>
  <si>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</si>
  <si>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</si>
  <si>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</si>
  <si>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</si>
  <si>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</si>
  <si>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</si>
  <si>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</si>
  <si>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</si>
  <si>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</si>
  <si>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</si>
  <si>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</si>
  <si>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</si>
  <si>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</si>
  <si>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</si>
  <si>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</si>
  <si>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</si>
  <si>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</si>
  <si>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</si>
  <si>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</si>
  <si>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</si>
  <si>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</si>
  <si>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</si>
  <si>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</si>
  <si>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</si>
  <si>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</si>
  <si>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</si>
  <si>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</si>
  <si>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</si>
  <si>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</si>
  <si>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</si>
  <si>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</si>
  <si>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</si>
  <si>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</si>
  <si>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</si>
  <si>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</si>
  <si>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</si>
  <si>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</si>
  <si>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</si>
  <si>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</si>
  <si>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</si>
  <si>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</si>
  <si>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</si>
  <si>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</si>
  <si>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</si>
  <si>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</si>
  <si>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</si>
  <si>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</si>
  <si>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</si>
  <si>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</si>
  <si>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</si>
  <si>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</si>
  <si>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</si>
  <si>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</si>
  <si>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</si>
  <si>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</si>
  <si>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</si>
  <si>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</si>
  <si>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</si>
  <si>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</si>
  <si>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</si>
  <si>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</si>
  <si>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</si>
  <si>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</si>
  <si>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</si>
  <si>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</si>
  <si>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</si>
  <si>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</si>
  <si>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</si>
  <si>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</si>
  <si>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</si>
  <si>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</si>
  <si>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</si>
  <si>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</si>
  <si>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</si>
  <si>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</si>
  <si>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</si>
  <si>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</si>
  <si>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</si>
  <si>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</si>
  <si>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</si>
  <si>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</si>
  <si>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</si>
  <si>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</si>
  <si>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</si>
  <si>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</si>
  <si>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</si>
  <si>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</si>
  <si>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</si>
  <si>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</si>
  <si>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</si>
  <si>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</si>
  <si>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</si>
  <si>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</si>
  <si>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</si>
  <si>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</si>
  <si>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</si>
  <si>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</si>
  <si>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</si>
  <si>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</si>
  <si>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</si>
  <si>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</si>
  <si>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</si>
  <si>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</si>
  <si>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</si>
  <si>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</si>
  <si>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</si>
  <si>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</si>
  <si>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</si>
  <si>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</si>
  <si>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</si>
  <si>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</si>
  <si>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</si>
  <si>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</si>
  <si>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</si>
  <si>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</si>
  <si>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</si>
  <si>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</si>
  <si>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</si>
  <si>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</si>
  <si>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</si>
  <si>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</si>
  <si>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</si>
  <si>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</si>
  <si>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</si>
  <si>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</si>
  <si>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</si>
  <si>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</si>
  <si>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</si>
  <si>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</si>
  <si>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</si>
  <si>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</si>
  <si>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</si>
  <si>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</si>
  <si>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</si>
  <si>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</si>
  <si>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</si>
  <si>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</si>
  <si>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</si>
  <si>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</si>
  <si>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</si>
  <si>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</si>
  <si>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</si>
  <si>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</si>
  <si>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</si>
  <si>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</si>
  <si>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</si>
  <si>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</si>
  <si>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</si>
  <si>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</si>
  <si>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</si>
  <si>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</si>
  <si>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</si>
  <si>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</si>
  <si>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</si>
  <si>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</si>
  <si>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</si>
  <si>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</si>
  <si>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</si>
  <si>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</si>
  <si>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</si>
  <si>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</si>
  <si>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</si>
  <si>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</si>
  <si>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</si>
  <si>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</si>
  <si>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</si>
  <si>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</si>
  <si>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</si>
  <si>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</si>
  <si>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</si>
  <si>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</si>
  <si>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</si>
  <si>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</si>
  <si>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</si>
  <si>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</si>
  <si>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</si>
  <si>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</si>
  <si>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</si>
  <si>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</si>
  <si>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</si>
  <si>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</si>
  <si>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</si>
  <si>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</si>
  <si>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</si>
  <si>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</si>
  <si>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</si>
  <si>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</si>
  <si>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</si>
  <si>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</si>
  <si>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</si>
  <si>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</si>
  <si>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</si>
  <si>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</si>
  <si>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</si>
  <si>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</si>
  <si>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</si>
  <si>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</si>
  <si>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</si>
  <si>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</si>
  <si>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</si>
  <si>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</si>
  <si>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</si>
  <si>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</si>
  <si>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</si>
  <si>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</si>
  <si>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</si>
  <si>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</si>
  <si>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</si>
  <si>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</si>
  <si>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</si>
  <si>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</si>
  <si>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</si>
  <si>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</si>
  <si>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</si>
  <si>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</si>
  <si>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</si>
  <si>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</si>
  <si>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</si>
  <si>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</si>
  <si>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</si>
  <si>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</si>
  <si>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</si>
  <si>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</si>
  <si>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</si>
  <si>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</si>
  <si>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</si>
  <si>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</si>
  <si>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</si>
  <si>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</si>
  <si>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</si>
  <si>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</si>
  <si>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</si>
  <si>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</si>
  <si>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</si>
  <si>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</si>
  <si>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</si>
  <si>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</si>
  <si>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</si>
  <si>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</si>
  <si>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</si>
  <si>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</si>
  <si>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</si>
  <si>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</si>
  <si>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</si>
  <si>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</si>
  <si>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</si>
  <si>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</si>
  <si>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</si>
  <si>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</si>
  <si>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</si>
  <si>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</si>
  <si>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</si>
  <si>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</si>
  <si>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</si>
  <si>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</si>
  <si>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</si>
  <si>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</si>
  <si>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</si>
  <si>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</si>
  <si>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</si>
  <si>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</si>
  <si>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</si>
  <si>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</si>
  <si>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</si>
  <si>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</si>
  <si>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</si>
  <si>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</si>
  <si>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</si>
  <si>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</si>
  <si>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</si>
  <si>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</si>
  <si>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</si>
  <si>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</si>
  <si>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</si>
  <si>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</si>
  <si>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</si>
  <si>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</si>
  <si>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</si>
  <si>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</si>
  <si>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</si>
  <si>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</si>
  <si>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</si>
  <si>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</si>
  <si>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</si>
  <si>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</si>
  <si>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</si>
  <si>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</si>
  <si>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</si>
  <si>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</si>
  <si>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</si>
  <si>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</si>
  <si>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</si>
  <si>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</si>
  <si>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</si>
  <si>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</si>
  <si>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</si>
  <si>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</si>
  <si>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</si>
  <si>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</si>
  <si>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</si>
  <si>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</si>
  <si>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</si>
  <si>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</si>
  <si>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</si>
  <si>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</si>
  <si>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</si>
  <si>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</si>
  <si>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</si>
  <si>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</si>
  <si>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</si>
  <si>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</si>
  <si>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</si>
  <si>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</si>
  <si>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</si>
  <si>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</si>
  <si>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</si>
  <si>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</si>
  <si>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</si>
  <si>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</si>
  <si>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</si>
  <si>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</si>
  <si>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</si>
  <si>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</si>
  <si>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</si>
  <si>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</si>
  <si>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</si>
  <si>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</si>
  <si>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</si>
  <si>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</si>
  <si>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</si>
  <si>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</si>
  <si>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</si>
  <si>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</si>
  <si>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</si>
  <si>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</si>
  <si>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</si>
  <si>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</si>
  <si>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</si>
  <si>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</si>
  <si>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</si>
  <si>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</si>
  <si>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</si>
  <si>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</si>
  <si>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</si>
  <si>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</si>
  <si>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</si>
  <si>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</si>
  <si>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</si>
  <si>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</si>
  <si>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</si>
  <si>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</si>
  <si>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</si>
  <si>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</si>
  <si>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</si>
  <si>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</si>
  <si>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</si>
  <si>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</si>
  <si>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</si>
  <si>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</si>
  <si>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</si>
  <si>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</si>
  <si>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</si>
  <si>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</si>
  <si>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</si>
  <si>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</si>
  <si>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</si>
  <si>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</si>
  <si>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</si>
  <si>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</si>
  <si>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</si>
  <si>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</si>
  <si>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</si>
  <si>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</si>
  <si>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</si>
  <si>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</si>
  <si>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</si>
  <si>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</si>
  <si>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</si>
  <si>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</si>
  <si>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</si>
  <si>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</si>
  <si>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</si>
  <si>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</si>
  <si>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</si>
  <si>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</si>
  <si>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</si>
  <si>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</si>
  <si>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</si>
  <si>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</si>
  <si>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</si>
  <si>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</si>
  <si>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</si>
  <si>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</si>
  <si>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</si>
  <si>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</si>
  <si>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</si>
  <si>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</si>
  <si>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</si>
  <si>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</si>
  <si>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</si>
  <si>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</si>
  <si>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</si>
  <si>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</si>
  <si>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</si>
  <si>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</si>
  <si>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</si>
  <si>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</si>
  <si>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</si>
  <si>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</si>
  <si>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</si>
  <si>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</si>
  <si>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</si>
  <si>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</si>
  <si>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</si>
  <si>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</si>
  <si>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</si>
  <si>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</si>
  <si>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</si>
  <si>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</si>
  <si>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</si>
  <si>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</si>
  <si>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</si>
  <si>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</si>
  <si>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</si>
  <si>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</si>
  <si>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</si>
  <si>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</si>
  <si>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</si>
  <si>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</si>
  <si>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</si>
  <si>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</si>
  <si>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</si>
  <si>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</si>
  <si>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</si>
  <si>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</si>
  <si>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</si>
  <si>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</si>
  <si>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</si>
  <si>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</si>
  <si>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</si>
  <si>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</si>
  <si>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</si>
  <si>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</si>
  <si>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</si>
  <si>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</si>
  <si>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</si>
  <si>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</si>
  <si>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</si>
  <si>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</si>
  <si>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</si>
  <si>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</si>
  <si>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</si>
  <si>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</si>
  <si>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</si>
  <si>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</si>
  <si>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</si>
  <si>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</si>
  <si>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</si>
  <si>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</si>
  <si>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</si>
  <si>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</si>
  <si>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</si>
  <si>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</si>
  <si>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</si>
  <si>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</si>
  <si>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</si>
  <si>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</si>
  <si>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</si>
  <si>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</si>
  <si>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</si>
  <si>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</si>
  <si>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</si>
  <si>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</si>
  <si>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</si>
  <si>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</si>
  <si>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</si>
  <si>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</si>
  <si>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</si>
  <si>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</si>
  <si>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</si>
  <si>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</si>
  <si>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</si>
  <si>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</si>
  <si>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</si>
  <si>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</si>
  <si>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</si>
  <si>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</si>
  <si>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</si>
  <si>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</si>
  <si>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</si>
  <si>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</si>
  <si>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</si>
  <si>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</si>
  <si>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</si>
  <si>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</si>
  <si>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</si>
  <si>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</si>
  <si>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</si>
  <si>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</si>
  <si>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</si>
  <si>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</si>
  <si>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</si>
  <si>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</si>
  <si>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</si>
  <si>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</si>
  <si>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</si>
  <si>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</si>
  <si>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</si>
  <si>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</si>
  <si>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</si>
  <si>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</si>
  <si>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</si>
  <si>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</si>
  <si>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</si>
  <si>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</si>
  <si>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</si>
  <si>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</si>
  <si>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</si>
  <si>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</si>
  <si>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</si>
  <si>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</si>
  <si>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</si>
  <si>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</si>
  <si>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</si>
  <si>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</si>
  <si>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</si>
  <si>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</si>
  <si>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</si>
  <si>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</si>
  <si>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</si>
  <si>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</si>
  <si>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</si>
  <si>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</si>
  <si>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</si>
  <si>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</si>
  <si>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</si>
  <si>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</si>
  <si>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</si>
  <si>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</si>
  <si>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</si>
  <si>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</si>
  <si>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</si>
  <si>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</si>
  <si>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</si>
  <si>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</si>
  <si>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</si>
  <si>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</si>
  <si>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</si>
  <si>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</si>
  <si>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</si>
  <si>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</si>
  <si>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</si>
  <si>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</si>
  <si>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</si>
  <si>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</si>
  <si>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</si>
  <si>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</si>
  <si>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</si>
  <si>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</si>
  <si>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</si>
  <si>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</si>
  <si>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</si>
  <si>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</si>
  <si>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</si>
  <si>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</si>
  <si>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</si>
  <si>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</si>
  <si>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</si>
  <si>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</si>
  <si>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</si>
  <si>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</si>
  <si>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</si>
  <si>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</si>
  <si>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</si>
  <si>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</si>
  <si>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</si>
  <si>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</si>
  <si>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</si>
  <si>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</si>
  <si>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</si>
  <si>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</si>
  <si>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</si>
  <si>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</si>
  <si>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</si>
  <si>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</si>
  <si>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</si>
  <si>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</si>
  <si>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</si>
  <si>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</si>
  <si>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</si>
  <si>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</si>
  <si>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</si>
  <si>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</si>
  <si>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</si>
  <si>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</si>
  <si>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</si>
  <si>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</si>
  <si>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</si>
  <si>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</si>
  <si>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</si>
  <si>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</si>
  <si>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</si>
  <si>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</si>
  <si>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</si>
  <si>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</si>
  <si>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</si>
  <si>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</si>
  <si>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</si>
  <si>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</si>
  <si>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</si>
  <si>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</si>
  <si>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</si>
  <si>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</si>
  <si>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</si>
  <si>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</si>
  <si>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</si>
  <si>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</si>
  <si>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</si>
  <si>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</si>
  <si>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</si>
  <si>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</si>
  <si>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</si>
  <si>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</si>
  <si>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</si>
  <si>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</si>
  <si>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</si>
  <si>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</si>
  <si>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</si>
  <si>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</si>
  <si>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</si>
  <si>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</si>
  <si>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</si>
  <si>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</si>
  <si>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</si>
  <si>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</si>
  <si>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</si>
  <si>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</si>
  <si>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</si>
  <si>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</si>
  <si>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</si>
  <si>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</si>
  <si>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</si>
  <si>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</si>
  <si>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</si>
  <si>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</si>
  <si>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</si>
  <si>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</si>
  <si>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</si>
  <si>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</si>
  <si>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</si>
  <si>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</si>
  <si>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</si>
  <si>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</si>
  <si>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</si>
  <si>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</si>
  <si>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</si>
  <si>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</si>
  <si>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</si>
  <si>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</si>
  <si>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</si>
  <si>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</si>
  <si>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</si>
  <si>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</si>
  <si>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</si>
  <si>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</si>
  <si>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Elaboración de bisuteria con técnica de ensartado</t>
  </si>
  <si>
    <t>aretes</t>
  </si>
  <si>
    <t>formación en bisuteria con cuero</t>
  </si>
  <si>
    <t>Un tarro de Eco Tack</t>
  </si>
  <si>
    <t>Un metro</t>
  </si>
  <si>
    <t>No hay</t>
  </si>
  <si>
    <t>Un cono hilo encerado</t>
  </si>
  <si>
    <t>Un tarro x 500 cc</t>
  </si>
  <si>
    <t>Un bulto de retal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</si>
</sst>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  <xdr:twoCellAnchor editAs="oneCell">
    <xdr:from>
      <xdr:col>20</xdr:col>
      <xdr:colOff>68580</xdr:colOff>
      <xdr:row>0</xdr:row>
      <xdr:rowOff>40365</xdr:rowOff>
    </xdr:from>
    <xdr:to>
      <xdr:col>24</xdr:col>
      <xdr:colOff>480060</xdr:colOff>
      <xdr:row>6</xdr:row>
      <xdr:rowOff>251461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5562820-C2DA-B560-4CB1-7CC269CAE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3880" y="40365"/>
          <a:ext cx="2202180" cy="19636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0" sqref="D10:N1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MG1908-1</v>
      </c>
      <c r="G1" s="405"/>
      <c r="H1" s="406"/>
      <c r="I1" s="351" t="s">
        <v>1</v>
      </c>
      <c r="J1" s="352"/>
      <c r="K1" s="232">
        <v>1</v>
      </c>
      <c r="L1" s="353" t="s">
        <v>2</v>
      </c>
      <c r="M1" s="354"/>
      <c r="N1" s="354"/>
      <c r="O1" s="355">
        <v>45888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1374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>
        <f>IF(E2="","",INDEX(Listas!H2:I30,MATCH('Soli_citud '!E2,Intructores,0),2))</f>
        <v>43498846</v>
      </c>
      <c r="P2" s="394"/>
      <c r="Q2" s="394"/>
      <c r="R2" s="395"/>
      <c r="S2" s="298">
        <v>6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1389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3309076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1391</v>
      </c>
      <c r="P4" s="361"/>
      <c r="Q4" s="361"/>
      <c r="R4" s="361"/>
      <c r="S4" s="298">
        <v>4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705.05214851858841</v>
      </c>
      <c r="E5" s="346"/>
      <c r="F5" s="347"/>
      <c r="G5" s="348" t="s">
        <v>16</v>
      </c>
      <c r="H5" s="349"/>
      <c r="I5" s="349"/>
      <c r="J5" s="350"/>
      <c r="K5" s="400">
        <v>50</v>
      </c>
      <c r="L5" s="400"/>
      <c r="M5" s="401" t="s">
        <v>17</v>
      </c>
      <c r="N5" s="401"/>
      <c r="O5" s="397">
        <f>IFERROR(IF(K5=0,"",D5*K5),"")</f>
        <v>35252.607425929418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0.02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33</v>
      </c>
      <c r="B10" s="309"/>
      <c r="C10" s="310"/>
      <c r="D10" s="322" t="s">
        <v>108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ml</v>
      </c>
      <c r="P10" s="315"/>
      <c r="Q10" s="316">
        <v>20</v>
      </c>
      <c r="R10" s="317"/>
      <c r="S10" s="318">
        <f>IFERROR(IF(Q10="Unidad","1",(Q10*$K$5)),"")</f>
        <v>1000</v>
      </c>
      <c r="T10" s="319"/>
      <c r="U10" s="320"/>
      <c r="V10" s="326"/>
      <c r="W10" s="321">
        <f>IFERROR(IF(D10="","",INDEX(Tabla_Completa,MATCH('Soli_citud '!D10,Materiales,0),7)*S10),"")</f>
        <v>17465.785997357991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233</v>
      </c>
      <c r="B11" s="309"/>
      <c r="C11" s="310"/>
      <c r="D11" s="322" t="s">
        <v>433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2</v>
      </c>
      <c r="R11" s="317"/>
      <c r="S11" s="318">
        <f t="shared" ref="S11:S31" si="1">IFERROR(IF(Q11="Unidad","1",(Q11*$K$5)),"")</f>
        <v>100</v>
      </c>
      <c r="T11" s="319"/>
      <c r="U11" s="320"/>
      <c r="V11" s="320"/>
      <c r="W11" s="321">
        <f>IFERROR(IF(D11="","",INDEX(Tabla_Completa,MATCH('Soli_citud '!D11,Materiales,0),7)*S11),"")</f>
        <v>78.571428571428569</v>
      </c>
      <c r="X11" s="321"/>
      <c r="Y11" s="321"/>
    </row>
    <row r="12" spans="1:31" ht="15.75" customHeight="1">
      <c r="A12" s="308" t="s">
        <v>1058</v>
      </c>
      <c r="B12" s="309"/>
      <c r="C12" s="310"/>
      <c r="D12" s="325" t="s">
        <v>1078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0.5</v>
      </c>
      <c r="R12" s="317"/>
      <c r="S12" s="318">
        <f t="shared" si="1"/>
        <v>25</v>
      </c>
      <c r="T12" s="319"/>
      <c r="U12" s="320"/>
      <c r="V12" s="320"/>
      <c r="W12" s="321">
        <f>IFERROR(IF(D12="","",INDEX(Tabla_Completa,MATCH('Soli_citud '!D12,Materiales,0),7)*S12),"")</f>
        <v>7708.25</v>
      </c>
      <c r="X12" s="321"/>
      <c r="Y12" s="321"/>
    </row>
    <row r="13" spans="1:31" ht="15.75" customHeight="1">
      <c r="A13" s="308" t="s">
        <v>233</v>
      </c>
      <c r="B13" s="309"/>
      <c r="C13" s="310"/>
      <c r="D13" s="322" t="s">
        <v>351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Cono</v>
      </c>
      <c r="P13" s="315"/>
      <c r="Q13" s="316">
        <v>0.04</v>
      </c>
      <c r="R13" s="317"/>
      <c r="S13" s="318">
        <f t="shared" si="1"/>
        <v>2</v>
      </c>
      <c r="T13" s="319"/>
      <c r="U13" s="320"/>
      <c r="V13" s="320"/>
      <c r="W13" s="321">
        <f>IFERROR(IF(D13="","",INDEX(Tabla_Completa,MATCH('Soli_citud '!D13,Materiales,0),7)*S13),"")</f>
        <v>10000</v>
      </c>
      <c r="X13" s="321"/>
      <c r="Y13" s="321"/>
    </row>
    <row r="14" spans="1:31" ht="17.25" customHeight="1">
      <c r="A14" s="308" t="s">
        <v>1215</v>
      </c>
      <c r="B14" s="309"/>
      <c r="C14" s="310"/>
      <c r="D14" s="322" t="s">
        <v>1277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0.02</v>
      </c>
      <c r="R14" s="317"/>
      <c r="S14" s="318">
        <f t="shared" si="1"/>
        <v>1</v>
      </c>
      <c r="T14" s="319"/>
      <c r="U14" s="320"/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27</v>
      </c>
      <c r="B15" s="309"/>
      <c r="C15" s="310"/>
      <c r="D15" s="322" t="s">
        <v>28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kg</v>
      </c>
      <c r="P15" s="315"/>
      <c r="Q15" s="316">
        <v>0.5</v>
      </c>
      <c r="R15" s="317"/>
      <c r="S15" s="318">
        <f t="shared" si="1"/>
        <v>25</v>
      </c>
      <c r="T15" s="319"/>
      <c r="U15" s="320" t="s">
        <v>1339</v>
      </c>
      <c r="V15" s="320"/>
      <c r="W15" s="321">
        <f>IFERROR(IF(D15="","",INDEX(Tabla_Completa,MATCH('Soli_citud '!D15,Materiales,0),7)*S15),"")</f>
        <v>0</v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29</v>
      </c>
      <c r="B39" s="376"/>
      <c r="C39" s="376"/>
      <c r="D39" s="377" t="s">
        <v>30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32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33</v>
      </c>
      <c r="O44" s="373"/>
      <c r="P44" s="373"/>
      <c r="Q44" s="373"/>
      <c r="R44" s="382" t="s">
        <v>34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35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36</v>
      </c>
      <c r="O45" s="373"/>
      <c r="P45" s="373"/>
      <c r="Q45" s="373"/>
      <c r="R45" s="383" t="s">
        <v>37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38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27</v>
      </c>
      <c r="O46" s="373"/>
      <c r="P46" s="373"/>
      <c r="Q46" s="373"/>
      <c r="R46" s="372" t="s">
        <v>39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40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41</v>
      </c>
      <c r="O47" s="373"/>
      <c r="P47" s="373"/>
      <c r="Q47" s="373"/>
      <c r="R47" s="372" t="s">
        <v>42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43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44</v>
      </c>
      <c r="O48" s="373"/>
      <c r="P48" s="373"/>
      <c r="Q48" s="373"/>
      <c r="R48" s="372" t="s">
        <v>45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46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47</v>
      </c>
      <c r="O49" s="374"/>
      <c r="P49" s="374"/>
      <c r="Q49" s="374"/>
      <c r="R49" s="383" t="s">
        <v>48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49</v>
      </c>
      <c r="O50" s="373"/>
      <c r="P50" s="373"/>
      <c r="Q50" s="373"/>
      <c r="R50" s="372" t="s">
        <v>50</v>
      </c>
      <c r="S50" s="372"/>
      <c r="T50" s="372"/>
      <c r="U50" s="372"/>
      <c r="V50" s="372"/>
      <c r="W50" s="372"/>
      <c r="X50" s="372"/>
    </row>
    <row r="51" spans="1:24" ht="15.75">
      <c r="N51" s="373" t="s">
        <v>51</v>
      </c>
      <c r="O51" s="373"/>
      <c r="P51" s="373"/>
      <c r="Q51" s="373"/>
      <c r="R51" s="372" t="s">
        <v>52</v>
      </c>
      <c r="S51" s="372"/>
      <c r="T51" s="372"/>
      <c r="U51" s="372"/>
      <c r="V51" s="372"/>
      <c r="W51" s="372"/>
      <c r="X51" s="372"/>
    </row>
    <row r="52" spans="1:24" ht="15.75">
      <c r="N52" s="373" t="s">
        <v>53</v>
      </c>
      <c r="O52" s="373"/>
      <c r="P52" s="373"/>
      <c r="Q52" s="373"/>
      <c r="R52" s="372" t="s">
        <v>42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8" sqref="L18:M18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54</v>
      </c>
      <c r="E1" s="482"/>
      <c r="F1" s="482"/>
      <c r="G1" s="482"/>
      <c r="H1" s="482"/>
      <c r="I1" s="483"/>
      <c r="J1" s="413" t="s">
        <v>55</v>
      </c>
      <c r="K1" s="414"/>
      <c r="L1" s="414"/>
      <c r="M1" s="415"/>
      <c r="N1" s="416">
        <f>IF('Soli_citud '!O1="","",'Soli_citud '!O1)</f>
        <v>45888</v>
      </c>
      <c r="O1" s="417"/>
      <c r="P1" s="452" t="s">
        <v>56</v>
      </c>
      <c r="Q1" s="453"/>
      <c r="R1" s="458" t="str">
        <f>IF('Soli_citud '!D4="","",'Soli_citud '!D4)</f>
        <v>aretes</v>
      </c>
      <c r="S1" s="459"/>
      <c r="Z1" t="s">
        <v>57</v>
      </c>
      <c r="AA1" s="241" t="s">
        <v>57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58</v>
      </c>
      <c r="K2" s="419"/>
      <c r="L2" s="419"/>
      <c r="M2" s="420"/>
      <c r="N2" s="421" t="str">
        <f>'Soli_citud '!F1</f>
        <v>MG1908-1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59</v>
      </c>
      <c r="K3" s="423"/>
      <c r="L3" s="423"/>
      <c r="M3" s="423"/>
      <c r="N3" s="424">
        <f>IF('Soli_citud '!O3="","",'Soli_citud '!O3)</f>
        <v>3309076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60</v>
      </c>
      <c r="K4" s="467"/>
      <c r="L4" s="467"/>
      <c r="M4" s="468" t="str">
        <f>IF('Soli_citud '!O4="","",'Soli_citud '!O4)</f>
        <v>formación en bisuteria con cuero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61</v>
      </c>
      <c r="C6" s="471"/>
      <c r="D6" s="472"/>
      <c r="E6" s="476" t="s">
        <v>62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705.05214851858841</v>
      </c>
      <c r="C8" s="445"/>
      <c r="D8" s="446"/>
      <c r="E8" s="447" t="s">
        <v>63</v>
      </c>
      <c r="F8" s="448"/>
      <c r="G8" s="448"/>
      <c r="H8" s="448"/>
      <c r="I8" s="449"/>
      <c r="J8" s="450" t="str">
        <f>IF('Soli_citud '!E2="","",'Soli_citud '!E2)</f>
        <v>Maribel Gil Zapata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64</v>
      </c>
      <c r="C9" s="427"/>
      <c r="D9" s="430"/>
      <c r="E9" s="431" t="s">
        <v>65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66</v>
      </c>
      <c r="K10" s="438"/>
      <c r="L10" s="439"/>
      <c r="M10" s="250">
        <f>'[1]Soli_citud '!K5</f>
        <v>1</v>
      </c>
      <c r="N10" s="465" t="s">
        <v>67</v>
      </c>
      <c r="O10" s="466"/>
      <c r="P10" s="456"/>
      <c r="Q10" s="457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90" t="s">
        <v>71</v>
      </c>
      <c r="D11" s="491"/>
      <c r="E11" s="491"/>
      <c r="F11" s="49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22" t="s">
        <v>25</v>
      </c>
      <c r="M11" s="493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MG1908-1</v>
      </c>
      <c r="C12" s="494" t="str">
        <f>IFERROR(IF('Soli_citud '!D10="","",'Soli_citud '!D10),"")</f>
        <v xml:space="preserve">PEGANTE CEMENTO DE CONTACTO BASE CLOROPRENO
</v>
      </c>
      <c r="D12" s="494"/>
      <c r="E12" s="494"/>
      <c r="F12" s="494"/>
      <c r="G12" s="213" t="str">
        <f>IF('Soli_citud '!O10="","",'Soli_citud '!O10)</f>
        <v>ml</v>
      </c>
      <c r="H12" s="213" cm="1">
        <f t="array" ref="H12">_xlfn.IFS('Soli_citud '!S10="","",'Soli_citud '!S10&lt;=0,"",'Soli_citud '!S10&gt;0,'Soli_citud '!S10)</f>
        <v>1000</v>
      </c>
      <c r="I12" s="214">
        <v>45890</v>
      </c>
      <c r="J12" s="215">
        <v>1000</v>
      </c>
      <c r="K12" s="197" t="str" cm="1">
        <f t="array" ref="K12">IFERROR(_xlfn.IFS(H12="","",J12=H12,"Cumplido",J12&lt;H12,H12-J12,J12&gt;H12,"Revisar"),"")</f>
        <v>Cumplido</v>
      </c>
      <c r="L12" s="495" t="s">
        <v>1392</v>
      </c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MG1908-1</v>
      </c>
      <c r="C13" s="494" t="str">
        <f>IFERROR(IF('Soli_citud '!D11="","",'Soli_citud '!D11),"")</f>
        <v>SALPA 0.5mm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100</v>
      </c>
      <c r="I13" s="214">
        <v>45890</v>
      </c>
      <c r="J13" s="216">
        <v>100</v>
      </c>
      <c r="K13" s="197" t="str" cm="1">
        <f t="array" ref="K13">IFERROR(_xlfn.IFS(H13="","",J13=H13,"Cumplido",J13&lt;H13,H13-J13,J13&gt;H13,"Revisar"),"")</f>
        <v>Cumplido</v>
      </c>
      <c r="L13" s="495" t="s">
        <v>1393</v>
      </c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MG1908-1</v>
      </c>
      <c r="C14" s="494" t="str">
        <f>IFERROR(IF('Soli_citud '!D12="","",'Soli_citud '!D12),"")</f>
        <v xml:space="preserve">AGUJAS CAPOTERA CON PUNTA #5
</v>
      </c>
      <c r="D14" s="494"/>
      <c r="E14" s="494"/>
      <c r="F14" s="494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25</v>
      </c>
      <c r="I14" s="214">
        <v>45890</v>
      </c>
      <c r="J14" s="216"/>
      <c r="K14" s="197" cm="1">
        <f t="array" ref="K14">IFERROR(_xlfn.IFS(H14="","",J14=H14,"Cumplido",J14&lt;H14,H14-J14,J14&gt;H14,"Revisar"),"")</f>
        <v>25</v>
      </c>
      <c r="L14" s="495" t="s">
        <v>1394</v>
      </c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MG1908-1</v>
      </c>
      <c r="C15" s="494" t="str">
        <f>IFERROR(IF('Soli_citud '!D13="","",'Soli_citud '!D13),"")</f>
        <v>HILO TERLENKA</v>
      </c>
      <c r="D15" s="494"/>
      <c r="E15" s="494"/>
      <c r="F15" s="494"/>
      <c r="G15" s="213" t="str">
        <f>IF('Soli_citud '!O13="","",'Soli_citud '!O13)</f>
        <v>Cono</v>
      </c>
      <c r="H15" s="213" cm="1">
        <f t="array" ref="H15">_xlfn.IFS('Soli_citud '!S13="","",'Soli_citud '!S13&lt;=0,"",'Soli_citud '!S13&gt;0,'Soli_citud '!S13)</f>
        <v>2</v>
      </c>
      <c r="I15" s="214">
        <v>45890</v>
      </c>
      <c r="J15" s="216">
        <v>1</v>
      </c>
      <c r="K15" s="197" cm="1">
        <f t="array" ref="K15">IFERROR(_xlfn.IFS(H15="","",J15=H15,"Cumplido",J15&lt;H15,H15-J15,J15&gt;H15,"Revisar"),"")</f>
        <v>1</v>
      </c>
      <c r="L15" s="495" t="s">
        <v>1395</v>
      </c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MG1908-1</v>
      </c>
      <c r="C16" s="494" t="str">
        <f>IFERROR(IF('Soli_citud '!D14="","",'Soli_citud '!D14),"")</f>
        <v>Sellafix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</v>
      </c>
      <c r="I16" s="214">
        <v>45890</v>
      </c>
      <c r="J16" s="216">
        <v>1</v>
      </c>
      <c r="K16" s="197" t="str" cm="1">
        <f t="array" ref="K16">IFERROR(_xlfn.IFS(H16="","",J16=H16,"Cumplido",J16&lt;H16,H16-J16,J16&gt;H16,"Revisar"),"")</f>
        <v>Cumplido</v>
      </c>
      <c r="L16" s="495" t="s">
        <v>1396</v>
      </c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MG1908-1</v>
      </c>
      <c r="C17" s="494" t="str">
        <f>IFERROR(IF('Soli_citud '!D15="","",'Soli_citud '!D15),"")</f>
        <v>Retal</v>
      </c>
      <c r="D17" s="494"/>
      <c r="E17" s="494"/>
      <c r="F17" s="494"/>
      <c r="G17" s="213" t="str">
        <f>IF('Soli_citud '!O15="","",'Soli_citud '!O15)</f>
        <v>kg</v>
      </c>
      <c r="H17" s="213" cm="1">
        <f t="array" ref="H17">_xlfn.IFS('Soli_citud '!S15="","",'Soli_citud '!S15&lt;=0,"",'Soli_citud '!S15&gt;0,'Soli_citud '!S15)</f>
        <v>25</v>
      </c>
      <c r="I17" s="214">
        <v>45890</v>
      </c>
      <c r="J17" s="216">
        <v>25</v>
      </c>
      <c r="K17" s="197" t="str" cm="1">
        <f t="array" ref="K17">IFERROR(_xlfn.IFS(H17="","",J17=H17,"Cumplido",J17&lt;H17,H17-J17,J17&gt;H17,"Revisar"),"")</f>
        <v>Cumplido</v>
      </c>
      <c r="L17" s="495" t="s">
        <v>1397</v>
      </c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83</v>
      </c>
      <c r="F1" s="502"/>
      <c r="H1" s="278" t="s">
        <v>84</v>
      </c>
      <c r="Z1" s="241" t="s">
        <v>85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499"/>
      <c r="D6" s="500"/>
      <c r="H6" s="497" t="s">
        <v>87</v>
      </c>
      <c r="I6" s="497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2025-08-26T13:09:00Z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