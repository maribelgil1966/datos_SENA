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EDIDOS\"/>
    </mc:Choice>
  </mc:AlternateContent>
  <xr:revisionPtr revIDLastSave="0" documentId="13_ncr:1_{DE9A4C8F-A1ED-4022-8D67-BF57C3F4B549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B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B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B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B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/>
  <c r="O25" i="43"/>
  <c r="G27" i="61"/>
  <c r="O26" i="43"/>
  <c r="G28" i="61"/>
  <c r="O27" i="43"/>
  <c r="G29" i="61"/>
  <c r="O28" i="43"/>
  <c r="G30" i="6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/>
  <c r="O13" i="43"/>
  <c r="G15" i="61" s="1"/>
  <c r="W15" i="43"/>
  <c r="A65" i="38"/>
  <c r="J64" i="38"/>
  <c r="A1112" i="38"/>
  <c r="J229" i="38"/>
  <c r="A1421" i="38"/>
  <c r="O12" i="43"/>
  <c r="G14" i="6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0" i="61" l="1"/>
  <c r="D5" i="43"/>
  <c r="O5" i="43" s="1"/>
  <c r="O21" i="61"/>
  <c r="K21" i="61" a="1"/>
  <c r="K21" i="61" s="1"/>
  <c r="O29" i="61"/>
  <c r="K29" i="61" a="1"/>
  <c r="K29" i="61" s="1"/>
  <c r="O25" i="61"/>
  <c r="K25" i="61" a="1"/>
  <c r="K25" i="61" s="1"/>
  <c r="K17" i="61" a="1"/>
  <c r="K17" i="61" s="1"/>
  <c r="O30" i="61"/>
  <c r="B30" i="61"/>
  <c r="K30" i="61" a="1"/>
  <c r="K30" i="61" s="1"/>
  <c r="B23" i="61"/>
  <c r="O23" i="61"/>
  <c r="K23" i="61" a="1"/>
  <c r="K23" i="61" s="1"/>
  <c r="B14" i="61"/>
  <c r="O14" i="61"/>
  <c r="K14" i="61" a="1"/>
  <c r="K14" i="61" s="1"/>
  <c r="O13" i="61"/>
  <c r="B13" i="61"/>
  <c r="K13" i="61" a="1"/>
  <c r="K13" i="61" s="1"/>
  <c r="B31" i="61"/>
  <c r="O31" i="61"/>
  <c r="K31" i="61" a="1"/>
  <c r="K31" i="61" s="1"/>
  <c r="B22" i="61"/>
  <c r="O22" i="61"/>
  <c r="K22" i="61" a="1"/>
  <c r="K22" i="61" s="1"/>
  <c r="B15" i="61"/>
  <c r="O15" i="61"/>
  <c r="K15" i="61" a="1"/>
  <c r="K15" i="61" s="1"/>
  <c r="B12" i="61"/>
  <c r="O12" i="61"/>
  <c r="K12" i="61" a="1"/>
  <c r="K12" i="61" s="1"/>
  <c r="B26" i="61"/>
  <c r="O26" i="61"/>
  <c r="K26" i="61" a="1"/>
  <c r="K26" i="61" s="1"/>
  <c r="O19" i="61"/>
  <c r="K19" i="61" a="1"/>
  <c r="K19" i="61" s="1"/>
  <c r="B19" i="61"/>
  <c r="B27" i="61"/>
  <c r="O27" i="61"/>
  <c r="K27" i="61" a="1"/>
  <c r="K27" i="61" s="1"/>
  <c r="B18" i="61"/>
  <c r="O18" i="61"/>
  <c r="K18" i="61" a="1"/>
  <c r="K18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O20" i="61"/>
  <c r="O28" i="61"/>
  <c r="B21" i="61"/>
  <c r="B29" i="61"/>
  <c r="O32" i="61"/>
  <c r="O24" i="61"/>
  <c r="O16" i="61"/>
  <c r="B17" i="61"/>
  <c r="B25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<sst xmlns="http://schemas.openxmlformats.org/spreadsheetml/2006/main" count="5011" uniqueCount="1390">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</sst>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C:/Users/ezuleta/Desktop/Proyectos%20Centro/Ficha%20Solicitud/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A13" sqref="A13:C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AP1507-1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45853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3266573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/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0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0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/>
      <c r="B11" s="309"/>
      <c r="C11" s="310"/>
      <c r="D11" s="322"/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/>
      </c>
      <c r="P11" s="315"/>
      <c r="Q11" s="316"/>
      <c r="R11" s="317"/>
      <c r="S11" s="318">
        <f t="shared" ref="S11:S31" si="1">IFERROR(IF(Q11="Unidad","1",(Q11*$K$5)),"")</f>
        <v>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51</v>
      </c>
      <c r="B14" s="309"/>
      <c r="C14" s="310"/>
      <c r="D14" s="322" t="s">
        <v>930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27</v>
      </c>
      <c r="B15" s="309"/>
      <c r="C15" s="310"/>
      <c r="D15" s="322" t="s">
        <v>28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kg</v>
      </c>
      <c r="P15" s="315"/>
      <c r="Q15" s="316">
        <v>150</v>
      </c>
      <c r="R15" s="317"/>
      <c r="S15" s="318">
        <f t="shared" si="1"/>
        <v>150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1215</v>
      </c>
      <c r="B16" s="309"/>
      <c r="C16" s="310"/>
      <c r="D16" s="322" t="s">
        <v>1233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gal</v>
      </c>
      <c r="P16" s="315"/>
      <c r="Q16" s="316">
        <v>1</v>
      </c>
      <c r="R16" s="317"/>
      <c r="S16" s="318">
        <f t="shared" si="1"/>
        <v>1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1215</v>
      </c>
      <c r="B17" s="309"/>
      <c r="C17" s="310"/>
      <c r="D17" s="322" t="s">
        <v>1252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gal</v>
      </c>
      <c r="P17" s="315"/>
      <c r="Q17" s="316">
        <v>0.5</v>
      </c>
      <c r="R17" s="317"/>
      <c r="S17" s="318">
        <f t="shared" si="1"/>
        <v>0.5</v>
      </c>
      <c r="T17" s="319"/>
      <c r="U17" s="320"/>
      <c r="V17" s="320"/>
      <c r="W17" s="321">
        <f>IFERROR(IF(D17="","",INDEX(Tabla_Completa,MATCH('Soli_citud '!D17,Materiales,0),7)*S17),"")</f>
        <v>0</v>
      </c>
      <c r="X17" s="321"/>
      <c r="Y17" s="321"/>
    </row>
    <row r="18" spans="1:25" ht="15.75" customHeight="1">
      <c r="A18" s="308" t="s">
        <v>1215</v>
      </c>
      <c r="B18" s="309"/>
      <c r="C18" s="310"/>
      <c r="D18" s="322" t="s">
        <v>1289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ml</v>
      </c>
      <c r="P18" s="315"/>
      <c r="Q18" s="316">
        <v>1</v>
      </c>
      <c r="R18" s="317"/>
      <c r="S18" s="318">
        <f t="shared" si="1"/>
        <v>1</v>
      </c>
      <c r="T18" s="319"/>
      <c r="U18" s="320"/>
      <c r="V18" s="320"/>
      <c r="W18" s="321">
        <f>IFERROR(IF(D18="","",INDEX(Tabla_Completa,MATCH('Soli_citud '!D18,Materiales,0),7)*S18),"")</f>
        <v>0</v>
      </c>
      <c r="X18" s="321"/>
      <c r="Y18" s="321"/>
    </row>
    <row r="19" spans="1:25" ht="15.75">
      <c r="A19" s="308" t="s">
        <v>1215</v>
      </c>
      <c r="B19" s="309"/>
      <c r="C19" s="310"/>
      <c r="D19" s="311" t="s">
        <v>1277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ml</v>
      </c>
      <c r="P19" s="315"/>
      <c r="Q19" s="316">
        <v>2</v>
      </c>
      <c r="R19" s="317"/>
      <c r="S19" s="318">
        <f t="shared" si="1"/>
        <v>2</v>
      </c>
      <c r="T19" s="319"/>
      <c r="U19" s="320"/>
      <c r="V19" s="320"/>
      <c r="W19" s="321">
        <f>IFERROR(IF(D19="","",INDEX(Tabla_Completa,MATCH('Soli_citud '!D19,Materiales,0),7)*S19),"")</f>
        <v>0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45853</v>
      </c>
      <c r="O1" s="417"/>
      <c r="P1" s="452" t="s">
        <v>56</v>
      </c>
      <c r="Q1" s="453"/>
      <c r="R1" s="458" t="str">
        <f>IF('Soli_citud '!D4="","",'Soli_citud '!D4)</f>
        <v/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AP1507-1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3266573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IF('Soli_citud '!D5&lt;= 0,"",'Soli_citud '!D5)</f>
        <v/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Adriana Posada C.C. 43400464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/>
      </c>
      <c r="C13" s="494" t="str">
        <f>IFERROR(IF('Soli_citud '!D11="","",'Soli_citud '!D11),"")</f>
        <v/>
      </c>
      <c r="D13" s="494"/>
      <c r="E13" s="494"/>
      <c r="F13" s="494"/>
      <c r="G13" s="213" t="str">
        <f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/>
      </c>
      <c r="C14" s="494" t="str">
        <f>IFERROR(IF('Soli_citud '!D12="","",'Soli_citud '!D12),"")</f>
        <v/>
      </c>
      <c r="D14" s="494"/>
      <c r="E14" s="494"/>
      <c r="F14" s="494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/>
      </c>
      <c r="C16" s="494" t="str">
        <f>IFERROR(IF('Soli_citud '!D14="","",'Soli_citud '!D14),"")</f>
        <v>POLITEX-KAMBREL 100 GR</v>
      </c>
      <c r="D16" s="494"/>
      <c r="E16" s="494"/>
      <c r="F16" s="494"/>
      <c r="G16" s="213" t="str">
        <f>IF('Soli_citud '!O14="","",'Soli_citud '!O14)</f>
        <v>cm2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>AP1507-1</v>
      </c>
      <c r="C17" s="494" t="str">
        <f>IFERROR(IF('Soli_citud '!D15="","",'Soli_citud '!D15),"")</f>
        <v>Retal</v>
      </c>
      <c r="D17" s="494"/>
      <c r="E17" s="494"/>
      <c r="F17" s="494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150</v>
      </c>
      <c r="I17" s="214"/>
      <c r="J17" s="216"/>
      <c r="K17" s="197" cm="1">
        <f t="array" ref="K17">IFERROR(_xlfn.IFS(H17="","",J17=H17,"Cumplido",J17&lt;H17,H17-J17,J17&gt;H17,"Revisar"),"")</f>
        <v>150</v>
      </c>
      <c r="L17" s="495"/>
      <c r="M17" s="496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>AP1507-1</v>
      </c>
      <c r="C18" s="494" t="str">
        <f>IFERROR(IF('Soli_citud '!D16="","",'Soli_citud '!D16),"")</f>
        <v>Cemento de contacto</v>
      </c>
      <c r="D18" s="494"/>
      <c r="E18" s="494"/>
      <c r="F18" s="494"/>
      <c r="G18" s="213" t="str">
        <f>IF('Soli_citud '!O16="","",'Soli_citud '!O16)</f>
        <v>gal</v>
      </c>
      <c r="H18" s="213" cm="1">
        <f t="array" ref="H18">_xlfn.IFS('Soli_citud '!S16="","",'Soli_citud '!S16&lt;=0,"",'Soli_citud '!S16&gt;0,'Soli_citud '!S16)</f>
        <v>1</v>
      </c>
      <c r="I18" s="214"/>
      <c r="J18" s="216"/>
      <c r="K18" s="197" cm="1">
        <f t="array" ref="K18">IFERROR(_xlfn.IFS(H18="","",J18=H18,"Cumplido",J18&lt;H18,H18-J18,J18&gt;H18,"Revisar"),"")</f>
        <v>1</v>
      </c>
      <c r="L18" s="495"/>
      <c r="M18" s="496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>AP1507-1</v>
      </c>
      <c r="C19" s="494" t="str">
        <f>IFERROR(IF('Soli_citud '!D17="","",'Soli_citud '!D17),"")</f>
        <v>Limpiador para acabados</v>
      </c>
      <c r="D19" s="494"/>
      <c r="E19" s="494"/>
      <c r="F19" s="494"/>
      <c r="G19" s="213" t="str">
        <f>IF('Soli_citud '!O17="","",'Soli_citud '!O17)</f>
        <v>gal</v>
      </c>
      <c r="H19" s="213" cm="1">
        <f t="array" ref="H19">_xlfn.IFS('Soli_citud '!S17="","",'Soli_citud '!S17&lt;=0,"",'Soli_citud '!S17&gt;0,'Soli_citud '!S17)</f>
        <v>0.5</v>
      </c>
      <c r="I19" s="214"/>
      <c r="J19" s="216"/>
      <c r="K19" s="197" cm="1">
        <f t="array" ref="K19">IFERROR(_xlfn.IFS(H19="","",J19=H19,"Cumplido",J19&lt;H19,H19-J19,J19&gt;H19,"Revisar"),"")</f>
        <v>0.5</v>
      </c>
      <c r="L19" s="495"/>
      <c r="M19" s="496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>AP1507-1</v>
      </c>
      <c r="C20" s="494" t="str">
        <f>IFERROR(IF('Soli_citud '!D18="","",'Soli_citud '!D18),"")</f>
        <v>Tinta marroquinera café</v>
      </c>
      <c r="D20" s="494"/>
      <c r="E20" s="494"/>
      <c r="F20" s="494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1</v>
      </c>
      <c r="I20" s="214"/>
      <c r="J20" s="216"/>
      <c r="K20" s="197" cm="1">
        <f t="array" ref="K20">IFERROR(_xlfn.IFS(H20="","",J20=H20,"Cumplido",J20&lt;H20,H20-J20,J20&gt;H20,"Revisar"),"")</f>
        <v>1</v>
      </c>
      <c r="L20" s="495"/>
      <c r="M20" s="496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>AP1507-1</v>
      </c>
      <c r="C21" s="494" t="str">
        <f>IFERROR(IF('Soli_citud '!D19="","",'Soli_citud '!D19),"")</f>
        <v>Sellafix</v>
      </c>
      <c r="D21" s="494"/>
      <c r="E21" s="494"/>
      <c r="F21" s="494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2</v>
      </c>
      <c r="I21" s="214"/>
      <c r="J21" s="216"/>
      <c r="K21" s="197" cm="1">
        <f t="array" ref="K21">IFERROR(_xlfn.IFS(H21="","",J21=H21,"Cumplido",J21&lt;H21,H21-J21,J21&gt;H21,"Revisar"),"")</f>
        <v>2</v>
      </c>
      <c r="L21" s="495"/>
      <c r="M21" s="496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Adriana Lucia  Posada Villada</cp:lastModifiedBy>
  <cp:revision/>
  <dcterms:created xsi:type="dcterms:W3CDTF">2012-12-07T12:25:35Z</dcterms:created>
  <dcterms:modified xsi:type="dcterms:W3CDTF">2025-07-16T04:04:20Z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