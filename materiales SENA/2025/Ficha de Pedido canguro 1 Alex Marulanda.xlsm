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899C9086-67A9-5B14-2C2D-5A8001700F7D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"/>
    </mc:Choice>
  </mc:AlternateContent>
  <xr:revisionPtr revIDLastSave="0" documentId="8_{099F5E20-A283-4E18-B1E1-9122FD9B407C}" xr6:coauthVersionLast="36" xr6:coauthVersionMax="36" xr10:uidLastSave="{00000000-0000-0000-0000-000000000000}"/>
  <bookViews>
    <workbookView xWindow="0" yWindow="0" windowWidth="15165" windowHeight="153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6" i="43"/>
  <c r="O17" i="43"/>
  <c r="G19" i="59" s="1"/>
  <c r="W17" i="43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<sst xmlns="http://schemas.openxmlformats.org/spreadsheetml/2006/main" count="5063" uniqueCount="1391">
  <si>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</si>
  <si>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</si>
  <si>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</si>
  <si>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</si>
  <si>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</si>
  <si>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</si>
  <si>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</si>
  <si>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</si>
  <si>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</si>
  <si>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</si>
  <si>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</si>
  <si>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</si>
  <si>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</si>
  <si>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</si>
  <si>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</si>
  <si>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</si>
  <si>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</si>
  <si>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</si>
  <si>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</si>
  <si>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</si>
  <si>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</si>
  <si>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</si>
  <si>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</si>
  <si>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</si>
  <si>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</si>
  <si>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</si>
  <si>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</si>
  <si>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</si>
  <si>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</si>
  <si>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</si>
  <si>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</si>
  <si>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</si>
  <si>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</si>
  <si>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</si>
  <si>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</si>
  <si>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</si>
  <si>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</si>
  <si>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</si>
  <si>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</si>
  <si>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</si>
  <si>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</si>
  <si>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</si>
  <si>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</si>
  <si>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</si>
  <si>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</si>
  <si>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</si>
  <si>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</si>
  <si>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</si>
  <si>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</si>
  <si>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</si>
  <si>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</si>
  <si>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</si>
  <si>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</si>
  <si>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</si>
  <si>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</si>
  <si>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</si>
  <si>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</si>
  <si>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</si>
  <si>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</si>
  <si>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</si>
  <si>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</si>
  <si>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</si>
  <si>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</si>
  <si>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</si>
  <si>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</si>
  <si>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</si>
  <si>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</si>
  <si>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</si>
  <si>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</si>
  <si>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</si>
  <si>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</si>
  <si>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</si>
  <si>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</si>
  <si>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</si>
  <si>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</si>
  <si>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</si>
  <si>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</si>
  <si>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</si>
  <si>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</si>
  <si>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</si>
  <si>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</si>
  <si>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</si>
  <si>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</si>
  <si>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</si>
  <si>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</si>
  <si>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</si>
  <si>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</si>
  <si>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</si>
  <si>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</si>
  <si>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</si>
  <si>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</si>
  <si>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</si>
  <si>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</si>
  <si>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</si>
  <si>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</si>
  <si>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</si>
  <si>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</si>
  <si>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</si>
  <si>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</si>
  <si>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</si>
  <si>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</si>
  <si>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</si>
  <si>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</si>
  <si>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</si>
  <si>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</si>
  <si>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</si>
  <si>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</si>
  <si>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</si>
  <si>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</si>
  <si>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</si>
  <si>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</si>
  <si>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</si>
  <si>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</si>
  <si>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</si>
  <si>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</si>
  <si>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</si>
  <si>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</si>
  <si>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</si>
  <si>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</si>
  <si>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</si>
  <si>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</si>
  <si>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</si>
  <si>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</si>
  <si>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</si>
  <si>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</si>
  <si>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</si>
  <si>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</si>
  <si>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</si>
  <si>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</si>
  <si>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</si>
  <si>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</si>
  <si>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</si>
  <si>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</si>
  <si>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</si>
  <si>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</si>
  <si>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</si>
  <si>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</si>
  <si>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</si>
  <si>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</si>
  <si>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</si>
  <si>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</si>
  <si>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</si>
  <si>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</si>
  <si>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</si>
  <si>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</si>
  <si>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</si>
  <si>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</si>
  <si>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</si>
  <si>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</si>
  <si>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</si>
  <si>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</si>
  <si>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</si>
  <si>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</si>
  <si>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</si>
  <si>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</si>
  <si>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</si>
  <si>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</si>
  <si>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</si>
  <si>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</si>
  <si>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</si>
  <si>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</si>
  <si>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</si>
  <si>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</si>
  <si>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</si>
  <si>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</si>
  <si>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</si>
  <si>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</si>
  <si>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</si>
  <si>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</si>
  <si>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</si>
  <si>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</si>
  <si>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</si>
  <si>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</si>
  <si>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</si>
  <si>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</si>
  <si>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</si>
  <si>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</si>
  <si>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</si>
  <si>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</si>
  <si>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</si>
  <si>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</si>
  <si>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</si>
  <si>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</si>
  <si>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</si>
  <si>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</si>
  <si>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</si>
  <si>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</si>
  <si>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</si>
  <si>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</si>
  <si>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</si>
  <si>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</si>
  <si>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</si>
  <si>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</si>
  <si>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</si>
  <si>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</si>
  <si>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</si>
  <si>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</si>
  <si>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</si>
  <si>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</si>
  <si>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</si>
  <si>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</si>
  <si>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</si>
  <si>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</si>
  <si>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</si>
  <si>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</si>
  <si>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</si>
  <si>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</si>
  <si>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</si>
  <si>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</si>
  <si>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</si>
  <si>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</si>
  <si>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</si>
  <si>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</si>
  <si>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</si>
  <si>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</si>
  <si>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</si>
  <si>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</si>
  <si>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</si>
  <si>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</si>
  <si>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</si>
  <si>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</si>
  <si>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</si>
  <si>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</si>
  <si>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</si>
  <si>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</si>
  <si>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</si>
  <si>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</si>
  <si>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</si>
  <si>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</si>
  <si>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</si>
  <si>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</si>
  <si>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</si>
  <si>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</si>
  <si>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</si>
  <si>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</si>
  <si>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</si>
  <si>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</si>
  <si>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</si>
  <si>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</si>
  <si>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</si>
  <si>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</si>
  <si>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</si>
  <si>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</si>
  <si>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</si>
  <si>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</si>
  <si>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</si>
  <si>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</si>
  <si>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</si>
  <si>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</si>
  <si>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</si>
  <si>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</si>
  <si>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</si>
  <si>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</si>
  <si>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</si>
  <si>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</si>
  <si>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</si>
  <si>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</si>
  <si>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</si>
  <si>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</si>
  <si>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</si>
  <si>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</si>
  <si>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</si>
  <si>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</si>
  <si>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</si>
  <si>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</si>
  <si>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</si>
  <si>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</si>
  <si>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</si>
  <si>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</si>
  <si>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</si>
  <si>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</si>
  <si>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</si>
  <si>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</si>
  <si>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</si>
  <si>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</si>
  <si>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</si>
  <si>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</si>
  <si>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</si>
  <si>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</si>
  <si>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</si>
  <si>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</si>
  <si>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</si>
  <si>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</si>
  <si>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</si>
  <si>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</si>
  <si>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</si>
  <si>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</si>
  <si>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</si>
  <si>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</si>
  <si>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</si>
  <si>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</si>
  <si>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</si>
  <si>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</si>
  <si>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</si>
  <si>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</si>
  <si>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</si>
  <si>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</si>
  <si>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</si>
  <si>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</si>
  <si>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</si>
  <si>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</si>
  <si>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</si>
  <si>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</si>
  <si>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</si>
  <si>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</si>
  <si>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</si>
  <si>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</si>
  <si>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</si>
  <si>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</si>
  <si>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</si>
  <si>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</si>
  <si>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</si>
  <si>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</si>
  <si>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</si>
  <si>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</si>
  <si>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</si>
  <si>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</si>
  <si>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</si>
  <si>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</si>
  <si>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</si>
  <si>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</si>
  <si>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</si>
  <si>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</si>
  <si>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</si>
  <si>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</si>
  <si>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</si>
  <si>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</si>
  <si>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</si>
  <si>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</si>
  <si>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</si>
  <si>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</si>
  <si>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</si>
  <si>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</si>
  <si>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</si>
  <si>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</si>
  <si>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</si>
  <si>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</si>
  <si>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</si>
  <si>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</si>
  <si>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</si>
  <si>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</si>
  <si>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</si>
  <si>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</si>
  <si>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</si>
  <si>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</si>
  <si>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</si>
  <si>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</si>
  <si>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</si>
  <si>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</si>
  <si>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</si>
  <si>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</si>
  <si>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</si>
  <si>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</si>
  <si>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</si>
  <si>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</si>
  <si>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</si>
  <si>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</si>
  <si>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</si>
  <si>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</si>
  <si>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</si>
  <si>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</si>
  <si>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</si>
  <si>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</si>
  <si>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</si>
  <si>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</si>
  <si>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</si>
  <si>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</si>
  <si>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</si>
  <si>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</si>
  <si>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</si>
  <si>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</si>
  <si>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</si>
  <si>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</si>
  <si>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</si>
  <si>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</si>
  <si>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</si>
  <si>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</si>
  <si>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</si>
  <si>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</si>
  <si>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</si>
  <si>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</si>
  <si>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</si>
  <si>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</si>
  <si>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</si>
  <si>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</si>
  <si>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</si>
  <si>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</si>
  <si>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</si>
  <si>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</si>
  <si>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</si>
  <si>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</si>
  <si>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</si>
  <si>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</si>
  <si>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</si>
  <si>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</si>
  <si>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</si>
  <si>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</si>
  <si>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</si>
  <si>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</si>
  <si>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</si>
  <si>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</si>
  <si>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</si>
  <si>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</si>
  <si>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</si>
  <si>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</si>
  <si>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</si>
  <si>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</si>
  <si>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</si>
  <si>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</si>
  <si>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</si>
  <si>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</si>
  <si>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</si>
  <si>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</si>
  <si>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</si>
  <si>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</si>
  <si>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</si>
  <si>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</si>
  <si>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</si>
  <si>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</si>
  <si>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</si>
  <si>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</si>
  <si>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</si>
  <si>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</si>
  <si>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</si>
  <si>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</si>
  <si>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</si>
  <si>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</si>
  <si>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</si>
  <si>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</si>
  <si>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</si>
  <si>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</si>
  <si>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</si>
  <si>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</si>
  <si>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</si>
  <si>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</si>
  <si>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</si>
  <si>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</si>
  <si>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</si>
  <si>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</si>
  <si>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</si>
  <si>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</si>
  <si>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</si>
  <si>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</si>
  <si>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</si>
  <si>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</si>
  <si>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</si>
  <si>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</si>
  <si>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</si>
  <si>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</si>
  <si>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</si>
  <si>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</si>
  <si>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</si>
  <si>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</si>
  <si>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</si>
  <si>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</si>
  <si>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</si>
  <si>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</si>
  <si>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</si>
  <si>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</si>
  <si>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</si>
  <si>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</si>
  <si>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</si>
  <si>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</si>
  <si>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</si>
  <si>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</si>
  <si>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</si>
  <si>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</si>
  <si>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</si>
  <si>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</si>
  <si>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</si>
  <si>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</si>
  <si>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</si>
  <si>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</si>
  <si>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</si>
  <si>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</si>
  <si>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</si>
  <si>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</si>
  <si>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</si>
  <si>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</si>
  <si>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</si>
  <si>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</si>
  <si>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</si>
  <si>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</si>
  <si>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</si>
  <si>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</si>
  <si>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</si>
  <si>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</si>
  <si>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</si>
  <si>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</si>
  <si>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</si>
  <si>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</si>
  <si>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</si>
  <si>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</si>
  <si>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</si>
  <si>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</si>
  <si>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</si>
  <si>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</si>
  <si>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</si>
  <si>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</si>
  <si>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</si>
  <si>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</si>
  <si>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</si>
  <si>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</si>
  <si>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</si>
  <si>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</si>
  <si>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</si>
  <si>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</si>
  <si>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</si>
  <si>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</si>
  <si>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</si>
  <si>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</si>
  <si>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</si>
  <si>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</si>
  <si>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</si>
  <si>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</si>
  <si>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</si>
  <si>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</si>
  <si>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</si>
  <si>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</si>
  <si>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</si>
  <si>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</si>
  <si>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</si>
  <si>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</si>
  <si>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</si>
  <si>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</si>
  <si>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</si>
  <si>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</si>
  <si>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</si>
  <si>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</si>
  <si>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</si>
  <si>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</si>
  <si>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</si>
  <si>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</si>
  <si>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</si>
  <si>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</si>
  <si>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</si>
  <si>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</si>
  <si>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</si>
  <si>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</si>
  <si>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</si>
  <si>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</si>
  <si>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</si>
  <si>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</si>
  <si>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</si>
  <si>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</si>
  <si>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</si>
  <si>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</si>
  <si>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</si>
  <si>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</si>
  <si>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</si>
  <si>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</si>
  <si>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</si>
  <si>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</si>
  <si>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</si>
  <si>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</si>
  <si>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</si>
  <si>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</si>
  <si>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</si>
  <si>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</si>
  <si>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</si>
  <si>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</si>
  <si>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</si>
  <si>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</si>
  <si>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</si>
  <si>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</si>
  <si>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</si>
  <si>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</si>
  <si>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</si>
  <si>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</si>
  <si>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</si>
  <si>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</si>
  <si>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</si>
  <si>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</si>
  <si>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</si>
  <si>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</si>
  <si>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</si>
  <si>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</si>
  <si>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</si>
  <si>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</si>
  <si>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</si>
  <si>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</si>
  <si>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</si>
  <si>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</si>
  <si>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</si>
  <si>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</si>
  <si>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</si>
  <si>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</si>
  <si>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</si>
  <si>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</si>
  <si>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</si>
  <si>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</si>
  <si>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</si>
  <si>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</si>
  <si>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</si>
  <si>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</si>
  <si>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</si>
  <si>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</si>
  <si>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</si>
  <si>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</si>
  <si>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</si>
  <si>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</si>
  <si>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</si>
  <si>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</si>
  <si>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</si>
  <si>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</si>
  <si>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</si>
  <si>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</si>
  <si>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</si>
  <si>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</si>
  <si>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</si>
  <si>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</si>
  <si>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</si>
  <si>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</si>
  <si>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</si>
  <si>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</si>
  <si>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</si>
  <si>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</si>
  <si>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</si>
  <si>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</si>
  <si>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</si>
  <si>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</si>
  <si>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</si>
  <si>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</si>
  <si>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</si>
  <si>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</si>
  <si>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</si>
  <si>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</si>
  <si>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</si>
  <si>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</si>
  <si>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</si>
  <si>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</si>
  <si>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</si>
  <si>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</si>
  <si>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</si>
  <si>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</si>
  <si>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</si>
  <si>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</si>
  <si>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</si>
  <si>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</si>
  <si>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</si>
  <si>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</si>
  <si>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</si>
  <si>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</si>
  <si>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</si>
  <si>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</si>
  <si>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</si>
  <si>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</si>
  <si>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</si>
  <si>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</si>
  <si>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</si>
  <si>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</si>
  <si>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</si>
  <si>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</si>
  <si>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</si>
  <si>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</si>
  <si>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</si>
  <si>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</si>
  <si>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</si>
  <si>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</si>
  <si>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</si>
  <si>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</si>
  <si>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</si>
  <si>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</si>
  <si>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</si>
  <si>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</si>
  <si>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</si>
  <si>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</si>
  <si>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</si>
  <si>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</si>
  <si>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</si>
  <si>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</si>
  <si>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</si>
  <si>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</si>
  <si>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</si>
  <si>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</si>
  <si>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</si>
  <si>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</si>
  <si>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</si>
  <si>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</si>
  <si>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</si>
  <si>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</si>
  <si>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</si>
  <si>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</si>
  <si>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</si>
  <si>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</si>
  <si>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</si>
  <si>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</si>
  <si>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</si>
  <si>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</si>
  <si>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</si>
  <si>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</si>
  <si>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</si>
  <si>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</si>
  <si>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</si>
  <si>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</si>
  <si>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</si>
  <si>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</si>
  <si>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</si>
  <si>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</si>
  <si>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</si>
  <si>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</si>
  <si>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</si>
  <si>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</si>
  <si>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</si>
  <si>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</si>
  <si>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</si>
  <si>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</si>
  <si>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</si>
  <si>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</si>
  <si>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</si>
  <si>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</si>
  <si>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</si>
  <si>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</si>
  <si>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</si>
  <si>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</si>
  <si>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</si>
  <si>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</si>
  <si>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</si>
  <si>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</si>
  <si>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</si>
  <si>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</si>
  <si>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</si>
  <si>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</si>
  <si>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</si>
  <si>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</si>
  <si>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</si>
  <si>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</si>
  <si>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</si>
  <si>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</si>
  <si>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</si>
  <si>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</si>
  <si>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</si>
  <si>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</si>
  <si>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</si>
  <si>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</si>
  <si>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</si>
  <si>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</si>
  <si>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</si>
  <si>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</si>
  <si>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</si>
  <si>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</si>
  <si>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</si>
  <si>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</si>
  <si>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</si>
  <si>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</si>
  <si>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</si>
  <si>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</si>
  <si>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</si>
  <si>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</si>
  <si>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</si>
  <si>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</si>
  <si>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</si>
  <si>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</si>
  <si>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</si>
  <si>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</si>
  <si>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</si>
  <si>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</si>
  <si>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</si>
  <si>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</si>
  <si>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</si>
  <si>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</si>
  <si>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</si>
  <si>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</si>
  <si>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</si>
  <si>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</si>
  <si>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</si>
  <si>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</si>
  <si>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</si>
  <si>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</si>
  <si>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</si>
  <si>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</si>
  <si>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</si>
  <si>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</si>
  <si>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</si>
  <si>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</si>
  <si>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</si>
  <si>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</si>
  <si>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</si>
  <si>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</si>
  <si>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</si>
  <si>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</si>
  <si>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</si>
  <si>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</si>
  <si>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</si>
  <si>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</si>
  <si>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</si>
  <si>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</si>
  <si>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</si>
  <si>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</si>
  <si>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</si>
  <si>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</si>
  <si>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</si>
  <si>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</si>
  <si>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</si>
  <si>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</si>
  <si>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</si>
  <si>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</si>
  <si>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</si>
  <si>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</si>
  <si>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</si>
  <si>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</si>
  <si>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</si>
  <si>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</si>
  <si>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</si>
  <si>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</si>
  <si>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</si>
  <si>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</si>
  <si>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</si>
  <si>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</si>
  <si>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</si>
  <si>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</si>
  <si>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</si>
  <si>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</si>
  <si>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</si>
  <si>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</si>
  <si>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</si>
  <si>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</si>
  <si>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</si>
  <si>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</si>
  <si>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</si>
  <si>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</si>
  <si>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</si>
  <si>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</si>
  <si>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</si>
  <si>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</si>
  <si>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</si>
  <si>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</si>
  <si>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</si>
  <si>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</si>
  <si>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</si>
  <si>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</si>
  <si>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</si>
  <si>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</si>
  <si>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</si>
  <si>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</si>
  <si>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</si>
  <si>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</si>
  <si>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</si>
  <si>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</si>
  <si>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</si>
  <si>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</si>
  <si>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</si>
  <si>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</si>
  <si>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</si>
  <si>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</si>
  <si>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</si>
  <si>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</si>
  <si>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</si>
  <si>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</si>
  <si>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</si>
  <si>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</si>
  <si>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</si>
  <si>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</si>
  <si>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</si>
  <si>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</si>
  <si>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</si>
  <si>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</si>
  <si>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</si>
  <si>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</si>
  <si>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</si>
  <si>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</si>
  <si>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</si>
  <si>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</si>
  <si>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</si>
  <si>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</si>
  <si>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</si>
  <si>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</si>
  <si>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</si>
  <si>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</si>
  <si>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</si>
  <si>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</si>
  <si>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</si>
  <si>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</si>
  <si>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</si>
  <si>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</si>
  <si>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</si>
  <si>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</si>
  <si>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</si>
  <si>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</si>
  <si>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</si>
  <si>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</si>
  <si>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</si>
  <si>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</si>
  <si>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</si>
  <si>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</si>
  <si>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</si>
  <si>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</si>
  <si>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</si>
  <si>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</si>
  <si>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</si>
  <si>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</si>
  <si>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</si>
  <si>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</si>
  <si>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</si>
  <si>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</si>
  <si>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</si>
  <si>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</si>
  <si>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</si>
  <si>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</si>
  <si>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</si>
  <si>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</si>
  <si>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</si>
  <si>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</si>
  <si>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</si>
  <si>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</si>
  <si>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</si>
  <si>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</si>
  <si>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</si>
  <si>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</si>
  <si>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</si>
  <si>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</si>
  <si>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</si>
  <si>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</si>
  <si>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</si>
  <si>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</si>
  <si>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</si>
  <si>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</si>
  <si>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</si>
  <si>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</si>
  <si>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</si>
  <si>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</si>
  <si>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</si>
  <si>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</si>
  <si>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</si>
  <si>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</si>
  <si>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</si>
  <si>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</si>
  <si>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</si>
  <si>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</si>
  <si>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</si>
  <si>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</si>
  <si>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</si>
  <si>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</si>
  <si>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</si>
  <si>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</si>
  <si>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</si>
  <si>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</si>
  <si>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</si>
  <si>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</si>
  <si>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</si>
  <si>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</si>
  <si>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</si>
  <si>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</si>
  <si>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</si>
  <si>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</si>
  <si>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</si>
  <si>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</si>
  <si>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</si>
  <si>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</si>
  <si>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</si>
  <si>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</si>
  <si>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</si>
  <si>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</si>
  <si>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</si>
  <si>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</si>
  <si>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</si>
  <si>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</si>
  <si>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</si>
  <si>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</si>
  <si>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</si>
  <si>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</si>
  <si>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</si>
  <si>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</si>
  <si>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</si>
  <si>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</si>
  <si>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</si>
  <si>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</si>
  <si>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</si>
  <si>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</si>
  <si>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</si>
  <si>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</si>
  <si>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</si>
  <si>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</si>
  <si>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</si>
  <si>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</si>
  <si>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</si>
  <si>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</si>
  <si>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</si>
  <si>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</si>
  <si>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</si>
  <si>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</si>
  <si>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</si>
  <si>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</si>
  <si>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</si>
  <si>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</si>
  <si>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</si>
  <si>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</si>
  <si>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</si>
  <si>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</si>
  <si>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</si>
  <si>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</si>
  <si>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</si>
  <si>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</si>
  <si>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</si>
  <si>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</si>
  <si>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</si>
  <si>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</si>
  <si>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</si>
  <si>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</si>
  <si>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</si>
  <si>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</si>
  <si>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</si>
  <si>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</si>
  <si>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</si>
  <si>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</si>
  <si>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</si>
  <si>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</si>
  <si>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</si>
  <si>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</si>
  <si>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</si>
  <si>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</si>
  <si>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</si>
  <si>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</si>
  <si>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</si>
  <si>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</si>
  <si>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</si>
  <si>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</si>
  <si>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</si>
  <si>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</si>
  <si>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</si>
  <si>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</si>
  <si>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</si>
  <si>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</si>
  <si>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</si>
  <si>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</si>
  <si>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</si>
  <si>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</si>
  <si>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</si>
  <si>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</si>
  <si>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</si>
  <si>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</si>
  <si>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</si>
  <si>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</si>
  <si>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</si>
  <si>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</si>
  <si>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</si>
  <si>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</si>
  <si>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</si>
  <si>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</si>
  <si>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</si>
  <si>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</si>
  <si>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</si>
  <si>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</si>
  <si>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</si>
  <si>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</si>
  <si>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</si>
  <si>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</si>
  <si>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</si>
  <si>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</si>
  <si>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</si>
  <si>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</si>
  <si>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</si>
  <si>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</si>
  <si>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</si>
  <si>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</si>
  <si>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</si>
  <si>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</si>
  <si>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</si>
  <si>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</si>
  <si>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</si>
  <si>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</si>
  <si>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</si>
  <si>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</si>
  <si>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</si>
  <si>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</si>
  <si>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</si>
  <si>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</si>
  <si>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</si>
  <si>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</si>
  <si>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</si>
  <si>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</si>
  <si>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</si>
  <si>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</si>
  <si>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</si>
  <si>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</si>
  <si>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</si>
  <si>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</si>
  <si>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</si>
  <si>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</si>
  <si>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</si>
  <si>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</si>
  <si>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</si>
  <si>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</si>
  <si>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</si>
  <si>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</si>
  <si>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</si>
  <si>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</si>
  <si>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</si>
  <si>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</si>
  <si>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</si>
  <si>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</si>
  <si>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</si>
  <si>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</si>
  <si>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</si>
  <si>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</si>
  <si>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</si>
  <si>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</si>
  <si>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</si>
  <si>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</si>
  <si>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</si>
  <si>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</si>
  <si>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</si>
  <si>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</si>
  <si>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</si>
  <si>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</si>
  <si>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</si>
  <si>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</si>
  <si>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</si>
  <si>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</si>
  <si>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</si>
  <si>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</si>
  <si>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</si>
  <si>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</si>
  <si>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</si>
  <si>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</si>
  <si>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</si>
  <si>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</si>
  <si>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</si>
  <si>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</si>
  <si>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</si>
  <si>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</si>
  <si>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</si>
  <si>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</si>
  <si>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</si>
  <si>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</si>
  <si>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</si>
  <si>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</si>
  <si>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</si>
  <si>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</si>
  <si>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</si>
  <si>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</si>
  <si>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</si>
  <si>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</si>
  <si>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</si>
  <si>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</si>
  <si>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</si>
  <si>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</si>
  <si>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</si>
  <si>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</si>
  <si>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</si>
  <si>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</si>
  <si>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</si>
  <si>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</si>
  <si>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</si>
  <si>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</si>
  <si>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</si>
  <si>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</si>
  <si>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</si>
  <si>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</si>
  <si>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</si>
  <si>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</si>
  <si>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</si>
  <si>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</si>
  <si>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</si>
  <si>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</si>
  <si>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</si>
  <si>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</si>
  <si>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</si>
  <si>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</si>
  <si>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</si>
  <si>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</si>
  <si>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</si>
  <si>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</si>
  <si>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</si>
  <si>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</si>
  <si>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</si>
  <si>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</si>
  <si>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</si>
  <si>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</si>
  <si>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</si>
  <si>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</si>
  <si>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</si>
  <si>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</si>
  <si>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</si>
  <si>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</si>
  <si>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</si>
  <si>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</si>
  <si>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</si>
  <si>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</si>
  <si>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</si>
  <si>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</si>
  <si>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</si>
  <si>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</si>
  <si>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</si>
  <si>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</si>
  <si>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</si>
  <si>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</si>
  <si>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</si>
  <si>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</si>
  <si>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</si>
  <si>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</si>
  <si>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</si>
  <si>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</si>
  <si>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</si>
  <si>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</si>
  <si>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</si>
  <si>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</si>
  <si>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</si>
  <si>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</si>
  <si>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</si>
  <si>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</si>
  <si>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</si>
  <si>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</si>
  <si>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</si>
  <si>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</si>
  <si>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</si>
  <si>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</si>
  <si>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</si>
  <si>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</si>
  <si>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</si>
  <si>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</si>
  <si>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</si>
  <si>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</si>
  <si>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</si>
  <si>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</si>
  <si>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</si>
  <si>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</si>
  <si>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</si>
  <si>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</si>
  <si>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</si>
  <si>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</si>
  <si>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</si>
  <si>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</si>
  <si>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</si>
  <si>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</si>
  <si>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</si>
  <si>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</si>
  <si>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</si>
  <si>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</si>
  <si>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</si>
  <si>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</si>
  <si>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</si>
  <si>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</si>
  <si>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</si>
  <si>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</si>
  <si>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</si>
  <si>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</si>
  <si>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</si>
  <si>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</si>
  <si>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</si>
  <si>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</si>
  <si>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</si>
  <si>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</si>
  <si>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</si>
  <si>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</si>
  <si>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</si>
  <si>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</si>
  <si>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</si>
  <si>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</si>
  <si>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</si>
  <si>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</si>
  <si>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</si>
  <si>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</si>
  <si>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</si>
  <si>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</si>
  <si>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</si>
  <si>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</si>
  <si>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</si>
  <si>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</si>
  <si>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</si>
  <si>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</si>
  <si>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</si>
  <si>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</si>
  <si>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</si>
  <si>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</si>
  <si>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</si>
  <si>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</si>
  <si>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</si>
  <si>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</si>
  <si>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</si>
  <si>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</si>
  <si>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</si>
  <si>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</si>
  <si>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</si>
  <si>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</si>
  <si>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</si>
  <si>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</si>
  <si>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</si>
  <si>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</si>
  <si>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</si>
  <si>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</si>
  <si>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</si>
  <si>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</si>
  <si>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</si>
  <si>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</si>
  <si>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</si>
  <si>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</si>
  <si>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</si>
  <si>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</si>
  <si>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</si>
  <si>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</si>
  <si>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</si>
  <si>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</si>
  <si>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</si>
  <si>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</si>
  <si>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</si>
  <si>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</si>
  <si>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</si>
  <si>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</si>
  <si>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</si>
  <si>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</si>
  <si>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</si>
  <si>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</si>
  <si>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</si>
  <si>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</si>
  <si>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</si>
  <si>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</si>
  <si>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</si>
  <si>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</si>
  <si>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</si>
  <si>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</si>
  <si>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</si>
  <si>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</si>
  <si>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</si>
  <si>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</si>
  <si>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</si>
  <si>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</si>
  <si>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</si>
  <si>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</si>
  <si>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</si>
  <si>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</si>
  <si>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</si>
  <si>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</si>
  <si>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</si>
  <si>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</si>
  <si>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</si>
  <si>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</si>
  <si>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</si>
  <si>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</si>
  <si>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</si>
  <si>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</si>
  <si>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</si>
  <si>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</si>
  <si>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</si>
  <si>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</si>
  <si>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</si>
  <si>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</si>
  <si>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</si>
  <si>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</si>
  <si>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</si>
  <si>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</si>
  <si>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</si>
  <si>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</si>
  <si>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</si>
  <si>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</si>
  <si>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</si>
  <si>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</si>
  <si>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</si>
  <si>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</si>
  <si>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</si>
  <si>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</si>
  <si>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</si>
  <si>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</si>
  <si>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</si>
  <si>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</si>
  <si>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</si>
  <si>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</si>
  <si>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</si>
  <si>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</si>
  <si>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</si>
  <si>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</si>
  <si>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</si>
  <si>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</si>
  <si>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</si>
  <si>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</si>
  <si>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</si>
  <si>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</si>
  <si>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</si>
  <si>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</si>
  <si>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</si>
  <si>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</si>
  <si>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</si>
  <si>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</si>
  <si>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</si>
  <si>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</si>
  <si>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</si>
  <si>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</si>
  <si>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</si>
  <si>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</si>
  <si>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</si>
  <si>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</si>
  <si>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</si>
  <si>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</si>
  <si>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</si>
  <si>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</si>
  <si>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</si>
  <si>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</si>
  <si>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</si>
  <si>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</si>
  <si>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</si>
  <si>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Canguro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</si>
</sst>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273325</xdr:colOff>
      <xdr:row>0</xdr:row>
      <xdr:rowOff>240196</xdr:rowOff>
    </xdr:from>
    <xdr:to>
      <xdr:col>22</xdr:col>
      <xdr:colOff>173934</xdr:colOff>
      <xdr:row>6</xdr:row>
      <xdr:rowOff>223632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0268ED4-511B-CCA4-EEAE-9C8320B40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 flipV="1">
          <a:off x="7777368" y="240196"/>
          <a:ext cx="1366631" cy="17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1" sqref="O1:R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AM2302-1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45711</v>
      </c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1309</v>
      </c>
      <c r="F2" s="354"/>
      <c r="G2" s="354"/>
      <c r="H2" s="354"/>
      <c r="I2" s="354"/>
      <c r="J2" s="354"/>
      <c r="K2" s="355"/>
      <c r="L2" s="374" t="s">
        <v>5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6</v>
      </c>
      <c r="D3" s="361"/>
      <c r="E3" s="362" t="s">
        <v>1355</v>
      </c>
      <c r="F3" s="363"/>
      <c r="G3" s="363"/>
      <c r="H3" s="363"/>
      <c r="I3" s="363"/>
      <c r="J3" s="363"/>
      <c r="K3" s="364"/>
      <c r="L3" s="374" t="s">
        <v>7</v>
      </c>
      <c r="M3" s="375"/>
      <c r="N3" s="334"/>
      <c r="O3" s="313">
        <v>2925712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8</v>
      </c>
      <c r="B4" s="344"/>
      <c r="C4" s="344"/>
      <c r="D4" s="338" t="s">
        <v>1390</v>
      </c>
      <c r="E4" s="339"/>
      <c r="F4" s="339"/>
      <c r="G4" s="339"/>
      <c r="H4" s="339"/>
      <c r="I4" s="339"/>
      <c r="J4" s="339"/>
      <c r="K4" s="339"/>
      <c r="L4" s="340" t="s">
        <v>9</v>
      </c>
      <c r="M4" s="340"/>
      <c r="N4" s="340"/>
      <c r="O4" s="341" t="s">
        <v>1323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10</v>
      </c>
      <c r="B5" s="365"/>
      <c r="C5" s="365"/>
      <c r="D5" s="366">
        <f>IF(K5="","",(SUM(W10:Y28)-(SUMIF(U10:V28,"Restar_Pedido",W10:Y28)))/$K$5)</f>
        <v>14998.23731013713</v>
      </c>
      <c r="E5" s="367"/>
      <c r="F5" s="368"/>
      <c r="G5" s="351" t="s">
        <v>11</v>
      </c>
      <c r="H5" s="369"/>
      <c r="I5" s="369"/>
      <c r="J5" s="352"/>
      <c r="K5" s="325">
        <v>15</v>
      </c>
      <c r="L5" s="325"/>
      <c r="M5" s="326" t="s">
        <v>12</v>
      </c>
      <c r="N5" s="326"/>
      <c r="O5" s="379">
        <f>IFERROR(IF(K5=0,"",D5*K5),"")</f>
        <v>224973.55965205695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13</v>
      </c>
      <c r="B7" s="356"/>
      <c r="C7" s="356"/>
      <c r="D7" s="357" t="s">
        <v>14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15</v>
      </c>
      <c r="P7" s="358"/>
      <c r="Q7" s="359" t="s">
        <v>16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6.6666666666666666E-2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17</v>
      </c>
      <c r="T9" s="370"/>
      <c r="U9" s="358" t="s">
        <v>18</v>
      </c>
      <c r="V9" s="358"/>
      <c r="W9" s="358" t="s">
        <v>19</v>
      </c>
      <c r="X9" s="358"/>
      <c r="Y9" s="358"/>
    </row>
    <row r="10" spans="1:28" ht="17.25" customHeight="1">
      <c r="A10" s="306" t="s">
        <v>44</v>
      </c>
      <c r="B10" s="306"/>
      <c r="C10" s="307"/>
      <c r="D10" s="319" t="s">
        <v>828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cm2</v>
      </c>
      <c r="P10" s="312"/>
      <c r="Q10" s="313">
        <v>1200</v>
      </c>
      <c r="R10" s="314"/>
      <c r="S10" s="315">
        <f>IFERROR(IF(Q10="Unidad","1",(Q10*$K$5)),"")</f>
        <v>18000</v>
      </c>
      <c r="T10" s="316"/>
      <c r="U10" s="317"/>
      <c r="V10" s="323"/>
      <c r="W10" s="318">
        <f>IFERROR(IF(D10="","",INDEX(Tabla_Completa,MATCH('Soli_citud '!D10,Materiales,0),7)*S10),"")</f>
        <v>50271.428571428565</v>
      </c>
      <c r="X10" s="318"/>
      <c r="Y10" s="318"/>
      <c r="Z10" s="34"/>
    </row>
    <row r="11" spans="1:28" ht="17.25" customHeight="1">
      <c r="A11" s="305" t="s">
        <v>44</v>
      </c>
      <c r="B11" s="306"/>
      <c r="C11" s="307"/>
      <c r="D11" s="319" t="s">
        <v>822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cm2</v>
      </c>
      <c r="P11" s="312"/>
      <c r="Q11" s="313">
        <v>1370</v>
      </c>
      <c r="R11" s="314"/>
      <c r="S11" s="315">
        <f t="shared" ref="S11:S31" si="1">IFERROR(IF(Q11="Unidad","1",(Q11*$K$5)),"")</f>
        <v>20550</v>
      </c>
      <c r="T11" s="316"/>
      <c r="U11" s="317"/>
      <c r="V11" s="317"/>
      <c r="W11" s="318">
        <f>IFERROR(IF(D11="","",INDEX(Tabla_Completa,MATCH('Soli_citud '!D11,Materiales,0),7)*S11),"")</f>
        <v>10230.964285714284</v>
      </c>
      <c r="X11" s="318"/>
      <c r="Y11" s="318"/>
    </row>
    <row r="12" spans="1:28" ht="15.75" customHeight="1">
      <c r="A12" s="305" t="s">
        <v>222</v>
      </c>
      <c r="B12" s="306"/>
      <c r="C12" s="307"/>
      <c r="D12" s="322" t="s">
        <v>296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cm</v>
      </c>
      <c r="P12" s="312"/>
      <c r="Q12" s="313">
        <v>0.3</v>
      </c>
      <c r="R12" s="314"/>
      <c r="S12" s="315">
        <f t="shared" si="1"/>
        <v>4.5</v>
      </c>
      <c r="T12" s="316"/>
      <c r="U12" s="317"/>
      <c r="V12" s="317"/>
      <c r="W12" s="318">
        <f>IFERROR(IF(D12="","",INDEX(Tabla_Completa,MATCH('Soli_citud '!D12,Materiales,0),7)*S12),"")</f>
        <v>55.035000000000004</v>
      </c>
      <c r="X12" s="318"/>
      <c r="Y12" s="318"/>
    </row>
    <row r="13" spans="1:28" ht="15.75" customHeight="1">
      <c r="A13" s="305" t="s">
        <v>34</v>
      </c>
      <c r="B13" s="306"/>
      <c r="C13" s="307"/>
      <c r="D13" s="319" t="s">
        <v>626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>U</v>
      </c>
      <c r="P13" s="312"/>
      <c r="Q13" s="313">
        <v>1</v>
      </c>
      <c r="R13" s="314"/>
      <c r="S13" s="315">
        <f t="shared" si="1"/>
        <v>15</v>
      </c>
      <c r="T13" s="316"/>
      <c r="U13" s="317"/>
      <c r="V13" s="317"/>
      <c r="W13" s="318">
        <f>IFERROR(IF(D13="","",INDEX(Tabla_Completa,MATCH('Soli_citud '!D13,Materiales,0),7)*S13),"")</f>
        <v>6834.9937499999996</v>
      </c>
      <c r="X13" s="318"/>
      <c r="Y13" s="318"/>
    </row>
    <row r="14" spans="1:28" ht="17.25" customHeight="1">
      <c r="A14" s="305" t="s">
        <v>222</v>
      </c>
      <c r="B14" s="306"/>
      <c r="C14" s="307"/>
      <c r="D14" s="319" t="s">
        <v>333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>cm</v>
      </c>
      <c r="P14" s="312"/>
      <c r="Q14" s="313">
        <v>110</v>
      </c>
      <c r="R14" s="314"/>
      <c r="S14" s="315">
        <f t="shared" si="1"/>
        <v>1650</v>
      </c>
      <c r="T14" s="316"/>
      <c r="U14" s="317"/>
      <c r="V14" s="317"/>
      <c r="W14" s="318">
        <f>IFERROR(IF(D14="","",INDEX(Tabla_Completa,MATCH('Soli_citud '!D14,Materiales,0),7)*S14),"")</f>
        <v>30574.500000000004</v>
      </c>
      <c r="X14" s="318"/>
      <c r="Y14" s="318"/>
    </row>
    <row r="15" spans="1:28" ht="15.75" customHeight="1">
      <c r="A15" s="305" t="s">
        <v>222</v>
      </c>
      <c r="B15" s="306"/>
      <c r="C15" s="307"/>
      <c r="D15" s="319" t="s">
        <v>314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>Cono</v>
      </c>
      <c r="P15" s="312"/>
      <c r="Q15" s="313">
        <v>0.1</v>
      </c>
      <c r="R15" s="314"/>
      <c r="S15" s="315">
        <f t="shared" si="1"/>
        <v>1.5</v>
      </c>
      <c r="T15" s="316"/>
      <c r="U15" s="317"/>
      <c r="V15" s="317"/>
      <c r="W15" s="318">
        <f>IFERROR(IF(D15="","",INDEX(Tabla_Completa,MATCH('Soli_citud '!D15,Materiales,0),7)*S15),"")</f>
        <v>10900</v>
      </c>
      <c r="X15" s="318"/>
      <c r="Y15" s="318"/>
    </row>
    <row r="16" spans="1:28" ht="15.75" customHeight="1">
      <c r="A16" s="305" t="s">
        <v>34</v>
      </c>
      <c r="B16" s="306"/>
      <c r="C16" s="307"/>
      <c r="D16" s="319" t="s">
        <v>772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>U</v>
      </c>
      <c r="P16" s="312"/>
      <c r="Q16" s="313">
        <v>1</v>
      </c>
      <c r="R16" s="314"/>
      <c r="S16" s="315">
        <f t="shared" si="1"/>
        <v>15</v>
      </c>
      <c r="T16" s="316"/>
      <c r="U16" s="317"/>
      <c r="V16" s="317"/>
      <c r="W16" s="318">
        <f>IFERROR(IF(D16="","",INDEX(Tabla_Completa,MATCH('Soli_citud '!D16,Materiales,0),7)*S16),"")</f>
        <v>16500</v>
      </c>
      <c r="X16" s="318"/>
      <c r="Y16" s="318"/>
    </row>
    <row r="17" spans="1:25" ht="15.75" customHeight="1">
      <c r="A17" s="305" t="s">
        <v>34</v>
      </c>
      <c r="B17" s="306"/>
      <c r="C17" s="307"/>
      <c r="D17" s="319" t="s">
        <v>517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>U</v>
      </c>
      <c r="P17" s="312"/>
      <c r="Q17" s="313">
        <v>1</v>
      </c>
      <c r="R17" s="314"/>
      <c r="S17" s="315">
        <f t="shared" si="1"/>
        <v>15</v>
      </c>
      <c r="T17" s="316"/>
      <c r="U17" s="317"/>
      <c r="V17" s="317"/>
      <c r="W17" s="318">
        <f>IFERROR(IF(D17="","",INDEX(Tabla_Completa,MATCH('Soli_citud '!D17,Materiales,0),7)*S17),"")</f>
        <v>23205</v>
      </c>
      <c r="X17" s="318"/>
      <c r="Y17" s="318"/>
    </row>
    <row r="18" spans="1:25" ht="15.75" customHeight="1">
      <c r="A18" s="305" t="s">
        <v>25</v>
      </c>
      <c r="B18" s="306"/>
      <c r="C18" s="307"/>
      <c r="D18" s="319" t="s">
        <v>99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>ml</v>
      </c>
      <c r="P18" s="312"/>
      <c r="Q18" s="313">
        <v>210</v>
      </c>
      <c r="R18" s="314"/>
      <c r="S18" s="315">
        <f t="shared" si="1"/>
        <v>3150</v>
      </c>
      <c r="T18" s="316"/>
      <c r="U18" s="317"/>
      <c r="V18" s="317"/>
      <c r="W18" s="318">
        <f>IFERROR(IF(D18="","",INDEX(Tabla_Completa,MATCH('Soli_citud '!D18,Materiales,0),7)*S18),"")</f>
        <v>55017.22589167767</v>
      </c>
      <c r="X18" s="318"/>
      <c r="Y18" s="318"/>
    </row>
    <row r="19" spans="1:25" ht="15.75">
      <c r="A19" s="305" t="s">
        <v>25</v>
      </c>
      <c r="B19" s="306"/>
      <c r="C19" s="307"/>
      <c r="D19" s="308" t="s">
        <v>102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>ml</v>
      </c>
      <c r="P19" s="312"/>
      <c r="Q19" s="313">
        <v>190</v>
      </c>
      <c r="R19" s="314"/>
      <c r="S19" s="315">
        <f t="shared" si="1"/>
        <v>2850</v>
      </c>
      <c r="T19" s="316"/>
      <c r="U19" s="317"/>
      <c r="V19" s="317"/>
      <c r="W19" s="318">
        <f>IFERROR(IF(D19="","",INDEX(Tabla_Completa,MATCH('Soli_citud '!D19,Materiales,0),7)*S19),"")</f>
        <v>21384.412153236462</v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20</v>
      </c>
      <c r="B39" s="399"/>
      <c r="C39" s="399"/>
      <c r="D39" s="400" t="s">
        <v>21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23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24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25</v>
      </c>
      <c r="O44" s="389"/>
      <c r="P44" s="389"/>
      <c r="Q44" s="389"/>
      <c r="R44" s="395" t="s">
        <v>26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27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28</v>
      </c>
      <c r="O45" s="389"/>
      <c r="P45" s="389"/>
      <c r="Q45" s="389"/>
      <c r="R45" s="396" t="s">
        <v>29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30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31</v>
      </c>
      <c r="O46" s="389"/>
      <c r="P46" s="389"/>
      <c r="Q46" s="389"/>
      <c r="R46" s="388" t="s">
        <v>32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33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34</v>
      </c>
      <c r="O47" s="389"/>
      <c r="P47" s="389"/>
      <c r="Q47" s="389"/>
      <c r="R47" s="388" t="s">
        <v>35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36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37</v>
      </c>
      <c r="O48" s="389"/>
      <c r="P48" s="389"/>
      <c r="Q48" s="389"/>
      <c r="R48" s="388" t="s">
        <v>38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39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40</v>
      </c>
      <c r="O49" s="390"/>
      <c r="P49" s="390"/>
      <c r="Q49" s="390"/>
      <c r="R49" s="396" t="s">
        <v>41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42</v>
      </c>
      <c r="O50" s="389"/>
      <c r="P50" s="389"/>
      <c r="Q50" s="389"/>
      <c r="R50" s="388" t="s">
        <v>43</v>
      </c>
      <c r="S50" s="388"/>
      <c r="T50" s="388"/>
      <c r="U50" s="388"/>
      <c r="V50" s="388"/>
      <c r="W50" s="388"/>
      <c r="X50" s="388"/>
    </row>
    <row r="51" spans="1:24" ht="15.75">
      <c r="N51" s="389" t="s">
        <v>44</v>
      </c>
      <c r="O51" s="389"/>
      <c r="P51" s="389"/>
      <c r="Q51" s="389"/>
      <c r="R51" s="388" t="s">
        <v>45</v>
      </c>
      <c r="S51" s="388"/>
      <c r="T51" s="388"/>
      <c r="U51" s="388"/>
      <c r="V51" s="388"/>
      <c r="W51" s="388"/>
      <c r="X51" s="388"/>
    </row>
    <row r="52" spans="1:24" ht="15.75">
      <c r="N52" s="389" t="s">
        <v>46</v>
      </c>
      <c r="O52" s="389"/>
      <c r="P52" s="389"/>
      <c r="Q52" s="389"/>
      <c r="R52" s="388" t="s">
        <v>35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47</v>
      </c>
      <c r="E1" s="472"/>
      <c r="F1" s="472"/>
      <c r="G1" s="472"/>
      <c r="H1" s="472"/>
      <c r="I1" s="472"/>
      <c r="J1" s="477" t="s">
        <v>48</v>
      </c>
      <c r="K1" s="478"/>
      <c r="L1" s="478"/>
      <c r="M1" s="479"/>
      <c r="N1" s="473">
        <f>IF('Soli_citud '!O1="","",'Soli_citud '!O1)</f>
        <v>45711</v>
      </c>
      <c r="O1" s="474"/>
      <c r="P1" s="407" t="s">
        <v>49</v>
      </c>
      <c r="Q1" s="408"/>
      <c r="R1" s="403" t="str">
        <f>IF('Soli_citud '!D4="","",'Soli_citud '!D4)</f>
        <v>Canguro</v>
      </c>
      <c r="S1" s="40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51</v>
      </c>
      <c r="K2" s="455"/>
      <c r="L2" s="455"/>
      <c r="M2" s="456"/>
      <c r="N2" s="475" t="str">
        <f>'Soli_citud '!F1</f>
        <v>AM2302-1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52</v>
      </c>
      <c r="K3" s="476"/>
      <c r="L3" s="476"/>
      <c r="M3" s="476"/>
      <c r="N3" s="463">
        <f>IF('Soli_citud '!O3="","",'Soli_citud '!O3)</f>
        <v>2925712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53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54</v>
      </c>
      <c r="C6" s="449"/>
      <c r="D6" s="450"/>
      <c r="E6" s="465" t="s">
        <v>55</v>
      </c>
      <c r="F6" s="465"/>
      <c r="G6" s="465"/>
      <c r="H6" s="465"/>
      <c r="I6" s="466"/>
      <c r="J6" s="439" t="s">
        <v>56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14998.23731013713</v>
      </c>
      <c r="C8" s="427"/>
      <c r="D8" s="428"/>
      <c r="E8" s="445" t="s">
        <v>57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58</v>
      </c>
      <c r="C9" s="430"/>
      <c r="D9" s="422"/>
      <c r="E9" s="421" t="s">
        <v>59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60</v>
      </c>
      <c r="K10" s="461"/>
      <c r="L10" s="462"/>
      <c r="M10" s="242">
        <f>'Soli_citud '!K5</f>
        <v>15</v>
      </c>
      <c r="N10" s="443" t="s">
        <v>61</v>
      </c>
      <c r="O10" s="444"/>
      <c r="P10" s="411"/>
      <c r="Q10" s="41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23" t="s">
        <v>65</v>
      </c>
      <c r="D11" s="424"/>
      <c r="E11" s="424"/>
      <c r="F11" s="425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59" t="s">
        <v>18</v>
      </c>
      <c r="M11" s="460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AM2302-1</v>
      </c>
      <c r="C12" s="420" t="str">
        <f>IFERROR(IF('Soli_citud '!D10="","",'Soli_citud '!D10),"")</f>
        <v>SINTETICO PVC</v>
      </c>
      <c r="D12" s="420"/>
      <c r="E12" s="420"/>
      <c r="F12" s="420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18000</v>
      </c>
      <c r="I12" s="227"/>
      <c r="J12" s="228"/>
      <c r="K12" s="207" cm="1">
        <f t="array" ref="K12">IFERROR(_xlfn.IFS(H12="","",J12=H12,"Cumplido",J12&lt;H12,H12-J12,J12&gt;H12,"Revisar"),"")</f>
        <v>18000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AM2302-1</v>
      </c>
      <c r="C13" s="420" t="str">
        <f>IFERROR(IF('Soli_citud '!D11="","",'Soli_citud '!D11),"")</f>
        <v>SEDA 30-100 O SEDA TIFON</v>
      </c>
      <c r="D13" s="420"/>
      <c r="E13" s="420"/>
      <c r="F13" s="420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20550</v>
      </c>
      <c r="I13" s="227"/>
      <c r="J13" s="229"/>
      <c r="K13" s="207" cm="1">
        <f t="array" ref="K13">IFERROR(_xlfn.IFS(H13="","",J13=H13,"Cumplido",J13&lt;H13,H13-J13,J13&gt;H13,"Revisar"),"")</f>
        <v>20550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AM2302-1</v>
      </c>
      <c r="C14" s="420" t="str">
        <f>IFERROR(IF('Soli_citud '!D12="","",'Soli_citud '!D12),"")</f>
        <v>CREMALLERA POLIÉSTER #6</v>
      </c>
      <c r="D14" s="420"/>
      <c r="E14" s="420"/>
      <c r="F14" s="420"/>
      <c r="G14" s="226" t="str">
        <f>IF('Soli_citud '!O12="","",'Soli_citud '!O12)</f>
        <v>cm</v>
      </c>
      <c r="H14" s="226" cm="1">
        <f t="array" ref="H14">_xlfn.IFS('Soli_citud '!S12="","",'Soli_citud '!S12&lt;=0,"",'Soli_citud '!S12&gt;0,'Soli_citud '!S12)</f>
        <v>4.5</v>
      </c>
      <c r="I14" s="230"/>
      <c r="J14" s="229"/>
      <c r="K14" s="207" cm="1">
        <f t="array" ref="K14">IFERROR(_xlfn.IFS(H14="","",J14=H14,"Cumplido",J14&lt;H14,H14-J14,J14&gt;H14,"Revisar"),"")</f>
        <v>4.5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AM2302-1</v>
      </c>
      <c r="C15" s="420" t="str">
        <f>IFERROR(IF('Soli_citud '!D13="","",'Soli_citud '!D13),"")</f>
        <v xml:space="preserve">LLAVE METÁLICA DESLIZADOR   #6 PARA CREMALLERA INVISIBLE- NÍQUEL </v>
      </c>
      <c r="D15" s="420"/>
      <c r="E15" s="420"/>
      <c r="F15" s="420"/>
      <c r="G15" s="226" t="str">
        <f>IF('Soli_citud '!O13="","",'Soli_citud '!O13)</f>
        <v>U</v>
      </c>
      <c r="H15" s="226" cm="1">
        <f t="array" ref="H15">_xlfn.IFS('Soli_citud '!S13="","",'Soli_citud '!S13&lt;=0,"",'Soli_citud '!S13&gt;0,'Soli_citud '!S13)</f>
        <v>15</v>
      </c>
      <c r="I15" s="230"/>
      <c r="J15" s="229"/>
      <c r="K15" s="207" cm="1">
        <f t="array" ref="K15">IFERROR(_xlfn.IFS(H15="","",J15=H15,"Cumplido",J15&lt;H15,H15-J15,J15&gt;H15,"Revisar"),"")</f>
        <v>15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AM2302-1</v>
      </c>
      <c r="C16" s="420" t="str">
        <f>IFERROR(IF('Soli_citud '!D14="","",'Soli_citud '!D14),"")</f>
        <v>REATA SINTETICA 1 1/4</v>
      </c>
      <c r="D16" s="420"/>
      <c r="E16" s="420"/>
      <c r="F16" s="420"/>
      <c r="G16" s="226" t="str">
        <f>IF('Soli_citud '!O14="","",'Soli_citud '!O14)</f>
        <v>cm</v>
      </c>
      <c r="H16" s="226" cm="1">
        <f t="array" ref="H16">_xlfn.IFS('Soli_citud '!S14="","",'Soli_citud '!S14&lt;=0,"",'Soli_citud '!S14&gt;0,'Soli_citud '!S14)</f>
        <v>1650</v>
      </c>
      <c r="I16" s="230"/>
      <c r="J16" s="229"/>
      <c r="K16" s="207" cm="1">
        <f t="array" ref="K16">IFERROR(_xlfn.IFS(H16="","",J16=H16,"Cumplido",J16&lt;H16,H16-J16,J16&gt;H16,"Revisar"),"")</f>
        <v>1650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AM2302-1</v>
      </c>
      <c r="C17" s="420" t="str">
        <f>IFERROR(IF('Soli_citud '!D15="","",'Soli_citud '!D15),"")</f>
        <v xml:space="preserve">HILO NYLON #20
</v>
      </c>
      <c r="D17" s="420"/>
      <c r="E17" s="420"/>
      <c r="F17" s="420"/>
      <c r="G17" s="226" t="str">
        <f>IF('Soli_citud '!O15="","",'Soli_citud '!O15)</f>
        <v>Cono</v>
      </c>
      <c r="H17" s="226" cm="1">
        <f t="array" ref="H17">_xlfn.IFS('Soli_citud '!S15="","",'Soli_citud '!S15&lt;=0,"",'Soli_citud '!S15&gt;0,'Soli_citud '!S15)</f>
        <v>1.5</v>
      </c>
      <c r="I17" s="230"/>
      <c r="J17" s="229"/>
      <c r="K17" s="207" cm="1">
        <f t="array" ref="K17">IFERROR(_xlfn.IFS(H17="","",J17=H17,"Cumplido",J17&lt;H17,H17-J17,J17&gt;H17,"Revisar"),"")</f>
        <v>1.5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AM2302-1</v>
      </c>
      <c r="C18" s="420" t="str">
        <f>IFERROR(IF('Soli_citud '!D16="","",'Soli_citud '!D16),"")</f>
        <v xml:space="preserve">TENSOR O TRABILLA PLÁSTICA 32 MM 1 1/4" </v>
      </c>
      <c r="D18" s="420"/>
      <c r="E18" s="420"/>
      <c r="F18" s="420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15</v>
      </c>
      <c r="I18" s="230"/>
      <c r="J18" s="229"/>
      <c r="K18" s="207" cm="1">
        <f t="array" ref="K18">IFERROR(_xlfn.IFS(H18="","",J18=H18,"Cumplido",J18&lt;H18,H18-J18,J18&gt;H18,"Revisar"),"")</f>
        <v>15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AM2302-1</v>
      </c>
      <c r="C19" s="420" t="str">
        <f>IFERROR(IF('Soli_citud '!D17="","",'Soli_citud '!D17),"")</f>
        <v>HEBILLA BURBUJA  PLÁSTICA 32 MM 1 1/2"</v>
      </c>
      <c r="D19" s="420"/>
      <c r="E19" s="420"/>
      <c r="F19" s="420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15</v>
      </c>
      <c r="I19" s="230"/>
      <c r="J19" s="229"/>
      <c r="K19" s="207" cm="1">
        <f t="array" ref="K19">IFERROR(_xlfn.IFS(H19="","",J19=H19,"Cumplido",J19&lt;H19,H19-J19,J19&gt;H19,"Revisar"),"")</f>
        <v>15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AM2302-1</v>
      </c>
      <c r="C20" s="420" t="str">
        <f>IFERROR(IF('Soli_citud '!D18="","",'Soli_citud '!D18),"")</f>
        <v xml:space="preserve">PEGANTE CEMENTO DE CONTACTO BASE CLOROPRENO
</v>
      </c>
      <c r="D20" s="420"/>
      <c r="E20" s="420"/>
      <c r="F20" s="420"/>
      <c r="G20" s="226" t="str">
        <f>IF('Soli_citud '!O18="","",'Soli_citud '!O18)</f>
        <v>ml</v>
      </c>
      <c r="H20" s="226" cm="1">
        <f t="array" ref="H20">_xlfn.IFS('Soli_citud '!S18="","",'Soli_citud '!S18&lt;=0,"",'Soli_citud '!S18&gt;0,'Soli_citud '!S18)</f>
        <v>3150</v>
      </c>
      <c r="I20" s="230"/>
      <c r="J20" s="229"/>
      <c r="K20" s="207" cm="1">
        <f t="array" ref="K20">IFERROR(_xlfn.IFS(H20="","",J20=H20,"Cumplido",J20&lt;H20,H20-J20,J20&gt;H20,"Revisar"),"")</f>
        <v>3150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AM2302-1</v>
      </c>
      <c r="C21" s="420" t="str">
        <f>IFERROR(IF('Soli_citud '!D19="","",'Soli_citud '!D19),"")</f>
        <v>SOLUCIÓN DE CAUCHO</v>
      </c>
      <c r="D21" s="420"/>
      <c r="E21" s="420"/>
      <c r="F21" s="420"/>
      <c r="G21" s="226" t="str">
        <f>IF('Soli_citud '!O19="","",'Soli_citud '!O19)</f>
        <v>ml</v>
      </c>
      <c r="H21" s="226" cm="1">
        <f t="array" ref="H21">_xlfn.IFS('Soli_citud '!S19="","",'Soli_citud '!S19&lt;=0,"",'Soli_citud '!S19&gt;0,'Soli_citud '!S19)</f>
        <v>2850</v>
      </c>
      <c r="I21" s="230"/>
      <c r="J21" s="229"/>
      <c r="K21" s="207" cm="1">
        <f t="array" ref="K21">IFERROR(_xlfn.IFS(H21="","",J21=H21,"Cumplido",J21&lt;H21,H21-J21,J21&gt;H21,"Revisar"),"")</f>
        <v>2850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77</v>
      </c>
      <c r="F1" s="486"/>
      <c r="Z1" s="252" t="s">
        <v>50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2"/>
      <c r="D6" s="483"/>
      <c r="H6" s="480" t="s">
        <v>79</v>
      </c>
      <c r="I6" s="480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2025-03-06T14:15:25Z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