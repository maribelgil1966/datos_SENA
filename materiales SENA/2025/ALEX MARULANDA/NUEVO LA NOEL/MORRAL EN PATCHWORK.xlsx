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ALEX MARULANDA\NUEVO LA NOEL\"/>
    </mc:Choice>
  </mc:AlternateContent>
  <xr:revisionPtr revIDLastSave="0" documentId="13_ncr:1_{29CB22CB-1484-43BF-8A23-5EF38F12948B}" xr6:coauthVersionLast="36" xr6:coauthVersionMax="47" xr10:uidLastSave="{00000000-0000-0000-0000-000000000000}"/>
  <bookViews>
    <workbookView xWindow="0" yWindow="0" windowWidth="2049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/>
  <c r="P16" i="61" a="1"/>
  <c r="P16" i="61" s="1"/>
  <c r="P17" i="61" a="1"/>
  <c r="P17" i="61" s="1"/>
  <c r="P18" i="61" a="1"/>
  <c r="P18" i="61" s="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K30" i="61" l="1" a="1"/>
  <c r="K30" i="61" s="1"/>
  <c r="B30" i="61"/>
  <c r="K22" i="61" a="1"/>
  <c r="K22" i="61" s="1"/>
  <c r="O22" i="61"/>
  <c r="K26" i="61" a="1"/>
  <c r="K26" i="61" s="1"/>
  <c r="O26" i="61"/>
  <c r="K18" i="61" a="1"/>
  <c r="K18" i="61" s="1"/>
  <c r="O18" i="61"/>
  <c r="W16" i="43"/>
  <c r="W13" i="43"/>
  <c r="K14" i="61" a="1"/>
  <c r="K14" i="61" s="1"/>
  <c r="O14" i="61"/>
  <c r="K31" i="61" a="1"/>
  <c r="K31" i="61" s="1"/>
  <c r="B31" i="61"/>
  <c r="O31" i="61"/>
  <c r="K29" i="61" a="1"/>
  <c r="K29" i="61" s="1"/>
  <c r="O29" i="61"/>
  <c r="B29" i="61"/>
  <c r="K20" i="61" a="1"/>
  <c r="K20" i="61" s="1"/>
  <c r="B20" i="61"/>
  <c r="O20" i="61"/>
  <c r="K15" i="61" a="1"/>
  <c r="K15" i="61" s="1"/>
  <c r="B15" i="61"/>
  <c r="O15" i="61"/>
  <c r="K13" i="61" a="1"/>
  <c r="K13" i="61" s="1"/>
  <c r="O13" i="61"/>
  <c r="B13" i="61"/>
  <c r="K24" i="61" a="1"/>
  <c r="K24" i="61" s="1"/>
  <c r="B24" i="61"/>
  <c r="O24" i="61"/>
  <c r="B19" i="61"/>
  <c r="O19" i="61"/>
  <c r="K19" i="61" a="1"/>
  <c r="K19" i="61" s="1"/>
  <c r="K17" i="61" a="1"/>
  <c r="K17" i="61" s="1"/>
  <c r="O17" i="61"/>
  <c r="B17" i="61"/>
  <c r="K28" i="61" a="1"/>
  <c r="K28" i="61" s="1"/>
  <c r="B28" i="61"/>
  <c r="O28" i="61"/>
  <c r="K23" i="61" a="1"/>
  <c r="K23" i="61" s="1"/>
  <c r="B23" i="61"/>
  <c r="O23" i="61"/>
  <c r="K21" i="61" a="1"/>
  <c r="K21" i="61" s="1"/>
  <c r="O21" i="61"/>
  <c r="B21" i="61"/>
  <c r="K12" i="61" a="1"/>
  <c r="K12" i="61" s="1"/>
  <c r="B12" i="61"/>
  <c r="O12" i="61"/>
  <c r="K32" i="61" a="1"/>
  <c r="K32" i="61" s="1"/>
  <c r="B32" i="61"/>
  <c r="O32" i="61"/>
  <c r="K27" i="61" a="1"/>
  <c r="K27" i="61" s="1"/>
  <c r="B27" i="61"/>
  <c r="O27" i="61"/>
  <c r="K25" i="61" a="1"/>
  <c r="K25" i="61" s="1"/>
  <c r="O25" i="61"/>
  <c r="B25" i="61"/>
  <c r="K16" i="61" a="1"/>
  <c r="K16" i="61" s="1"/>
  <c r="B16" i="61"/>
  <c r="O16" i="61"/>
  <c r="B14" i="61"/>
  <c r="B22" i="61"/>
  <c r="O30" i="61"/>
  <c r="B18" i="61"/>
  <c r="B26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<sst xmlns="http://schemas.openxmlformats.org/spreadsheetml/2006/main" count="5017" uniqueCount="1392">
  <si>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</si>
  <si>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</si>
  <si>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</si>
  <si>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</si>
  <si>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</si>
  <si>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</si>
  <si>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</si>
  <si>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</si>
  <si>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</si>
  <si>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</si>
  <si>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</si>
  <si>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</si>
  <si>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</si>
  <si>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</si>
  <si>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</si>
  <si>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</si>
  <si>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</si>
  <si>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</si>
  <si>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</si>
  <si>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</si>
  <si>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</si>
  <si>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</si>
  <si>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</si>
  <si>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</si>
  <si>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</si>
  <si>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</si>
  <si>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</si>
  <si>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</si>
  <si>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</si>
  <si>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</si>
  <si>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</si>
  <si>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</si>
  <si>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</si>
  <si>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</si>
  <si>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</si>
  <si>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</si>
  <si>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</si>
  <si>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</si>
  <si>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</si>
  <si>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</si>
  <si>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</si>
  <si>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</si>
  <si>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</si>
  <si>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</si>
  <si>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</si>
  <si>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</si>
  <si>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</si>
  <si>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</si>
  <si>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</si>
  <si>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</si>
  <si>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</si>
  <si>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</si>
  <si>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</si>
  <si>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</si>
  <si>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</si>
  <si>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</si>
  <si>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</si>
  <si>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</si>
  <si>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</si>
  <si>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</si>
  <si>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</si>
  <si>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</si>
  <si>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</si>
  <si>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</si>
  <si>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</si>
  <si>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</si>
  <si>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</si>
  <si>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</si>
  <si>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</si>
  <si>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</si>
  <si>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</si>
  <si>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</si>
  <si>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</si>
  <si>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</si>
  <si>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</si>
  <si>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</si>
  <si>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</si>
  <si>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</si>
  <si>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</si>
  <si>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</si>
  <si>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</si>
  <si>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</si>
  <si>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</si>
  <si>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</si>
  <si>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</si>
  <si>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</si>
  <si>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</si>
  <si>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</si>
  <si>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</si>
  <si>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</si>
  <si>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</si>
  <si>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</si>
  <si>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</si>
  <si>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</si>
  <si>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</si>
  <si>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</si>
  <si>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</si>
  <si>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</si>
  <si>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</si>
  <si>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</si>
  <si>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</si>
  <si>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</si>
  <si>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</si>
  <si>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</si>
  <si>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</si>
  <si>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</si>
  <si>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</si>
  <si>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</si>
  <si>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</si>
  <si>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</si>
  <si>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</si>
  <si>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</si>
  <si>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</si>
  <si>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</si>
  <si>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</si>
  <si>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</si>
  <si>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</si>
  <si>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</si>
  <si>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</si>
  <si>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</si>
  <si>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</si>
  <si>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</si>
  <si>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</si>
  <si>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</si>
  <si>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</si>
  <si>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</si>
  <si>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</si>
  <si>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</si>
  <si>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</si>
  <si>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</si>
  <si>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</si>
  <si>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</si>
  <si>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</si>
  <si>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</si>
  <si>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</si>
  <si>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</si>
  <si>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</si>
  <si>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</si>
  <si>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</si>
  <si>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</si>
  <si>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</si>
  <si>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</si>
  <si>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</si>
  <si>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</si>
  <si>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</si>
  <si>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</si>
  <si>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</si>
  <si>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</si>
  <si>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</si>
  <si>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</si>
  <si>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</si>
  <si>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</si>
  <si>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</si>
  <si>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</si>
  <si>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</si>
  <si>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</si>
  <si>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</si>
  <si>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</si>
  <si>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</si>
  <si>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</si>
  <si>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</si>
  <si>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</si>
  <si>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</si>
  <si>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</si>
  <si>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</si>
  <si>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</si>
  <si>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</si>
  <si>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</si>
  <si>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</si>
  <si>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</si>
  <si>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</si>
  <si>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</si>
  <si>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</si>
  <si>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</si>
  <si>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</si>
  <si>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</si>
  <si>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</si>
  <si>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</si>
  <si>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</si>
  <si>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</si>
  <si>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</si>
  <si>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</si>
  <si>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</si>
  <si>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</si>
  <si>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</si>
  <si>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</si>
  <si>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</si>
  <si>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</si>
  <si>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</si>
  <si>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</si>
  <si>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</si>
  <si>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</si>
  <si>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</si>
  <si>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</si>
  <si>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</si>
  <si>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</si>
  <si>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</si>
  <si>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</si>
  <si>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</si>
  <si>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</si>
  <si>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</si>
  <si>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</si>
  <si>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</si>
  <si>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</si>
  <si>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</si>
  <si>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</si>
  <si>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</si>
  <si>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</si>
  <si>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</si>
  <si>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</si>
  <si>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</si>
  <si>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</si>
  <si>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</si>
  <si>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</si>
  <si>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</si>
  <si>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</si>
  <si>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</si>
  <si>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</si>
  <si>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</si>
  <si>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</si>
  <si>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</si>
  <si>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</si>
  <si>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</si>
  <si>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</si>
  <si>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</si>
  <si>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</si>
  <si>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</si>
  <si>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</si>
  <si>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</si>
  <si>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</si>
  <si>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</si>
  <si>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</si>
  <si>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</si>
  <si>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</si>
  <si>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</si>
  <si>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</si>
  <si>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</si>
  <si>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</si>
  <si>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</si>
  <si>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</si>
  <si>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</si>
  <si>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</si>
  <si>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</si>
  <si>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</si>
  <si>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</si>
  <si>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</si>
  <si>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</si>
  <si>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</si>
  <si>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</si>
  <si>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</si>
  <si>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</si>
  <si>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</si>
  <si>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</si>
  <si>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</si>
  <si>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</si>
  <si>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</si>
  <si>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</si>
  <si>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</si>
  <si>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</si>
  <si>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</si>
  <si>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</si>
  <si>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</si>
  <si>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</si>
  <si>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</si>
  <si>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</si>
  <si>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</si>
  <si>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</si>
  <si>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</si>
  <si>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</si>
  <si>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</si>
  <si>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</si>
  <si>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</si>
  <si>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</si>
  <si>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</si>
  <si>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</si>
  <si>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</si>
  <si>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</si>
  <si>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</si>
  <si>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</si>
  <si>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</si>
  <si>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</si>
  <si>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</si>
  <si>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</si>
  <si>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</si>
  <si>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</si>
  <si>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</si>
  <si>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</si>
  <si>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</si>
  <si>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</si>
  <si>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</si>
  <si>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</si>
  <si>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</si>
  <si>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</si>
  <si>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</si>
  <si>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</si>
  <si>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</si>
  <si>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</si>
  <si>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</si>
  <si>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</si>
  <si>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</si>
  <si>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</si>
  <si>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</si>
  <si>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</si>
  <si>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</si>
  <si>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</si>
  <si>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</si>
  <si>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</si>
  <si>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</si>
  <si>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</si>
  <si>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</si>
  <si>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</si>
  <si>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</si>
  <si>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</si>
  <si>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</si>
  <si>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</si>
  <si>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</si>
  <si>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</si>
  <si>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</si>
  <si>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</si>
  <si>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</si>
  <si>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</si>
  <si>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</si>
  <si>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</si>
  <si>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</si>
  <si>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</si>
  <si>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</si>
  <si>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</si>
  <si>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</si>
  <si>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</si>
  <si>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</si>
  <si>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</si>
  <si>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</si>
  <si>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</si>
  <si>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</si>
  <si>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</si>
  <si>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</si>
  <si>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</si>
  <si>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</si>
  <si>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</si>
  <si>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</si>
  <si>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</si>
  <si>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</si>
  <si>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</si>
  <si>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</si>
  <si>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</si>
  <si>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</si>
  <si>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</si>
  <si>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</si>
  <si>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</si>
  <si>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</si>
  <si>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</si>
  <si>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</si>
  <si>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</si>
  <si>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</si>
  <si>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</si>
  <si>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</si>
  <si>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</si>
  <si>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</si>
  <si>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</si>
  <si>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</si>
  <si>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</si>
  <si>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</si>
  <si>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</si>
  <si>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</si>
  <si>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</si>
  <si>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</si>
  <si>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</si>
  <si>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</si>
  <si>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</si>
  <si>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</si>
  <si>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</si>
  <si>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</si>
  <si>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</si>
  <si>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</si>
  <si>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</si>
  <si>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</si>
  <si>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</si>
  <si>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</si>
  <si>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</si>
  <si>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</si>
  <si>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</si>
  <si>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</si>
  <si>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</si>
  <si>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</si>
  <si>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</si>
  <si>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</si>
  <si>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</si>
  <si>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</si>
  <si>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</si>
  <si>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</si>
  <si>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</si>
  <si>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</si>
  <si>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</si>
  <si>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</si>
  <si>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</si>
  <si>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</si>
  <si>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</si>
  <si>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</si>
  <si>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</si>
  <si>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</si>
  <si>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</si>
  <si>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</si>
  <si>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</si>
  <si>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</si>
  <si>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</si>
  <si>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</si>
  <si>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</si>
  <si>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</si>
  <si>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</si>
  <si>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</si>
  <si>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</si>
  <si>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</si>
  <si>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</si>
  <si>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</si>
  <si>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</si>
  <si>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</si>
  <si>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</si>
  <si>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</si>
  <si>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</si>
  <si>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</si>
  <si>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</si>
  <si>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</si>
  <si>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</si>
  <si>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</si>
  <si>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</si>
  <si>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</si>
  <si>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</si>
  <si>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</si>
  <si>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</si>
  <si>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</si>
  <si>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</si>
  <si>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</si>
  <si>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</si>
  <si>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</si>
  <si>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</si>
  <si>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</si>
  <si>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</si>
  <si>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</si>
  <si>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</si>
  <si>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</si>
  <si>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</si>
  <si>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</si>
  <si>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</si>
  <si>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</si>
  <si>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</si>
  <si>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</si>
  <si>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</si>
  <si>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</si>
  <si>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</si>
  <si>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</si>
  <si>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</si>
  <si>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</si>
  <si>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</si>
  <si>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</si>
  <si>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</si>
  <si>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</si>
  <si>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</si>
  <si>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</si>
  <si>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</si>
  <si>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</si>
  <si>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</si>
  <si>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</si>
  <si>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</si>
  <si>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</si>
  <si>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</si>
  <si>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</si>
  <si>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</si>
  <si>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</si>
  <si>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</si>
  <si>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</si>
  <si>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</si>
  <si>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</si>
  <si>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</si>
  <si>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</si>
  <si>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</si>
  <si>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</si>
  <si>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</si>
  <si>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</si>
  <si>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</si>
  <si>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</si>
  <si>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</si>
  <si>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</si>
  <si>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</si>
  <si>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</si>
  <si>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</si>
  <si>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</si>
  <si>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</si>
  <si>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</si>
  <si>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</si>
  <si>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</si>
  <si>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</si>
  <si>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</si>
  <si>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</si>
  <si>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</si>
  <si>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</si>
  <si>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</si>
  <si>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</si>
  <si>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</si>
  <si>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</si>
  <si>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</si>
  <si>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</si>
  <si>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</si>
  <si>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</si>
  <si>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</si>
  <si>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</si>
  <si>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</si>
  <si>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</si>
  <si>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</si>
  <si>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</si>
  <si>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</si>
  <si>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</si>
  <si>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</si>
  <si>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</si>
  <si>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</si>
  <si>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</si>
  <si>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</si>
  <si>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</si>
  <si>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</si>
  <si>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</si>
  <si>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</si>
  <si>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</si>
  <si>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</si>
  <si>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</si>
  <si>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</si>
  <si>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</si>
  <si>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</si>
  <si>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</si>
  <si>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</si>
  <si>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</si>
  <si>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</si>
  <si>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</si>
  <si>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</si>
  <si>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</si>
  <si>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</si>
  <si>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</si>
  <si>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</si>
  <si>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</si>
  <si>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</si>
  <si>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</si>
  <si>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</si>
  <si>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</si>
  <si>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</si>
  <si>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</si>
  <si>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</si>
  <si>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</si>
  <si>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</si>
  <si>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</si>
  <si>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</si>
  <si>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</si>
  <si>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</si>
  <si>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</si>
  <si>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</si>
  <si>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</si>
  <si>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</si>
  <si>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</si>
  <si>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</si>
  <si>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</si>
  <si>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</si>
  <si>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</si>
  <si>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</si>
  <si>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</si>
  <si>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</si>
  <si>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</si>
  <si>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</si>
  <si>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</si>
  <si>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</si>
  <si>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</si>
  <si>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</si>
  <si>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</si>
  <si>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</si>
  <si>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</si>
  <si>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</si>
  <si>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</si>
  <si>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</si>
  <si>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</si>
  <si>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</si>
  <si>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</si>
  <si>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</si>
  <si>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</si>
  <si>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</si>
  <si>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</si>
  <si>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</si>
  <si>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</si>
  <si>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</si>
  <si>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</si>
  <si>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</si>
  <si>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</si>
  <si>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</si>
  <si>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</si>
  <si>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</si>
  <si>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</si>
  <si>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</si>
  <si>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</si>
  <si>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</si>
  <si>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</si>
  <si>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</si>
  <si>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</si>
  <si>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</si>
  <si>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</si>
  <si>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</si>
  <si>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</si>
  <si>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</si>
  <si>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</si>
  <si>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</si>
  <si>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</si>
  <si>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</si>
  <si>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</si>
  <si>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</si>
  <si>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</si>
  <si>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</si>
  <si>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</si>
  <si>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</si>
  <si>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</si>
  <si>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</si>
  <si>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</si>
  <si>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</si>
  <si>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</si>
  <si>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</si>
  <si>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</si>
  <si>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</si>
  <si>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</si>
  <si>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</si>
  <si>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</si>
  <si>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</si>
  <si>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</si>
  <si>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</si>
  <si>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</si>
  <si>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</si>
  <si>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</si>
  <si>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</si>
  <si>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</si>
  <si>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</si>
  <si>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</si>
  <si>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</si>
  <si>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</si>
  <si>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</si>
  <si>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</si>
  <si>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</si>
  <si>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</si>
  <si>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</si>
  <si>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</si>
  <si>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</si>
  <si>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</si>
  <si>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</si>
  <si>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</si>
  <si>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</si>
  <si>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</si>
  <si>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</si>
  <si>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</si>
  <si>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</si>
  <si>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</si>
  <si>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</si>
  <si>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</si>
  <si>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</si>
  <si>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</si>
  <si>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</si>
  <si>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</si>
  <si>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</si>
  <si>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</si>
  <si>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</si>
  <si>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</si>
  <si>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</si>
  <si>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</si>
  <si>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</si>
  <si>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</si>
  <si>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</si>
  <si>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</si>
  <si>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</si>
  <si>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</si>
  <si>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</si>
  <si>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</si>
  <si>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</si>
  <si>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</si>
  <si>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</si>
  <si>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</si>
  <si>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</si>
  <si>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</si>
  <si>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</si>
  <si>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</si>
  <si>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</si>
  <si>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</si>
  <si>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</si>
  <si>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</si>
  <si>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</si>
  <si>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</si>
  <si>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</si>
  <si>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</si>
  <si>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</si>
  <si>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</si>
  <si>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</si>
  <si>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</si>
  <si>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</si>
  <si>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</si>
  <si>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</si>
  <si>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</si>
  <si>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</si>
  <si>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</si>
  <si>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</si>
  <si>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</si>
  <si>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</si>
  <si>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</si>
  <si>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</si>
  <si>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</si>
  <si>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</si>
  <si>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</si>
  <si>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</si>
  <si>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</si>
  <si>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</si>
  <si>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</si>
  <si>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</si>
  <si>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</si>
  <si>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</si>
  <si>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</si>
  <si>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</si>
  <si>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</si>
  <si>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</si>
  <si>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</si>
  <si>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</si>
  <si>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</si>
  <si>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</si>
  <si>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</si>
  <si>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</si>
  <si>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</si>
  <si>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</si>
  <si>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</si>
  <si>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</si>
  <si>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</si>
  <si>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</si>
  <si>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</si>
  <si>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</si>
  <si>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</si>
  <si>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</si>
  <si>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</si>
  <si>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</si>
  <si>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</si>
  <si>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</si>
  <si>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</si>
  <si>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</si>
  <si>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</si>
  <si>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</si>
  <si>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</si>
  <si>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</si>
  <si>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</si>
  <si>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</si>
  <si>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</si>
  <si>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</si>
  <si>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</si>
  <si>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</si>
  <si>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</si>
  <si>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</si>
  <si>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</si>
  <si>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</si>
  <si>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</si>
  <si>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</si>
  <si>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</si>
  <si>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</si>
  <si>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</si>
  <si>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</si>
  <si>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</si>
  <si>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</si>
  <si>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</si>
  <si>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</si>
  <si>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</si>
  <si>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</si>
  <si>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</si>
  <si>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</si>
  <si>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</si>
  <si>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</si>
  <si>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</si>
  <si>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</si>
  <si>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</si>
  <si>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</si>
  <si>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</si>
  <si>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</si>
  <si>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</si>
  <si>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</si>
  <si>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</si>
  <si>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</si>
  <si>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</si>
  <si>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</si>
  <si>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</si>
  <si>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</si>
  <si>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</si>
  <si>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</si>
  <si>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</si>
  <si>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</si>
  <si>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</si>
  <si>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</si>
  <si>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</si>
  <si>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</si>
  <si>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</si>
  <si>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</si>
  <si>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</si>
  <si>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</si>
  <si>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</si>
  <si>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</si>
  <si>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</si>
  <si>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</si>
  <si>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</si>
  <si>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</si>
  <si>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</si>
  <si>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</si>
  <si>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</si>
  <si>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</si>
  <si>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</si>
  <si>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</si>
  <si>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</si>
  <si>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</si>
  <si>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</si>
  <si>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</si>
  <si>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</si>
  <si>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</si>
  <si>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</si>
  <si>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</si>
  <si>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</si>
  <si>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</si>
  <si>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</si>
  <si>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</si>
  <si>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</si>
  <si>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</si>
  <si>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</si>
  <si>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</si>
  <si>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</si>
  <si>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</si>
  <si>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</si>
  <si>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</si>
  <si>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</si>
  <si>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</si>
  <si>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</si>
  <si>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</si>
  <si>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</si>
  <si>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</si>
  <si>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</si>
  <si>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</si>
  <si>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</si>
  <si>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</si>
  <si>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</si>
  <si>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</si>
  <si>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</si>
  <si>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</si>
  <si>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</si>
  <si>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</si>
  <si>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</si>
  <si>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</si>
  <si>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</si>
  <si>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</si>
  <si>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</si>
  <si>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</si>
  <si>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</si>
  <si>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</si>
  <si>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</si>
  <si>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</si>
  <si>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</si>
  <si>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</si>
  <si>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</si>
  <si>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</si>
  <si>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</si>
  <si>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</si>
  <si>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</si>
  <si>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</si>
  <si>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</si>
  <si>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</si>
  <si>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</si>
  <si>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</si>
  <si>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</si>
  <si>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</si>
  <si>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</si>
  <si>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</si>
  <si>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</si>
  <si>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</si>
  <si>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</si>
  <si>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</si>
  <si>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</si>
  <si>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</si>
  <si>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</si>
  <si>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</si>
  <si>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</si>
  <si>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</si>
  <si>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</si>
  <si>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</si>
  <si>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</si>
  <si>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</si>
  <si>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</si>
  <si>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</si>
  <si>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</si>
  <si>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</si>
  <si>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</si>
  <si>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</si>
  <si>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</si>
  <si>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</si>
  <si>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</si>
  <si>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</si>
  <si>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</si>
  <si>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</si>
  <si>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</si>
  <si>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</si>
  <si>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</si>
  <si>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</si>
  <si>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</si>
  <si>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</si>
  <si>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</si>
  <si>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</si>
  <si>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</si>
  <si>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</si>
  <si>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</si>
  <si>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</si>
  <si>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</si>
  <si>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</si>
  <si>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</si>
  <si>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</si>
  <si>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</si>
  <si>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</si>
  <si>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</si>
  <si>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</si>
  <si>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</si>
  <si>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</si>
  <si>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</si>
  <si>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</si>
  <si>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</si>
  <si>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</si>
  <si>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</si>
  <si>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</si>
  <si>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</si>
  <si>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</si>
  <si>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</si>
  <si>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</si>
  <si>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</si>
  <si>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</si>
  <si>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</si>
  <si>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</si>
  <si>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</si>
  <si>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</si>
  <si>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</si>
  <si>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</si>
  <si>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</si>
  <si>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</si>
  <si>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</si>
  <si>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</si>
  <si>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</si>
  <si>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</si>
  <si>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</si>
  <si>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</si>
  <si>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</si>
  <si>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</si>
  <si>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</si>
  <si>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</si>
  <si>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</si>
  <si>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</si>
  <si>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</si>
  <si>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</si>
  <si>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</si>
  <si>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</si>
  <si>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</si>
  <si>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</si>
  <si>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</si>
  <si>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</si>
  <si>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</si>
  <si>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</si>
  <si>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</si>
  <si>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</si>
  <si>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</si>
  <si>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</si>
  <si>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</si>
  <si>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</si>
  <si>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</si>
  <si>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</si>
  <si>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</si>
  <si>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</si>
  <si>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</si>
  <si>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</si>
  <si>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</si>
  <si>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</si>
  <si>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</si>
  <si>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</si>
  <si>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</si>
  <si>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</si>
  <si>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</si>
  <si>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</si>
  <si>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</si>
  <si>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</si>
  <si>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</si>
  <si>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</si>
  <si>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</si>
  <si>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</si>
  <si>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</si>
  <si>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</si>
  <si>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</si>
  <si>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</si>
  <si>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</si>
  <si>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</si>
  <si>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</si>
  <si>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</si>
  <si>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</si>
  <si>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</si>
  <si>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</si>
  <si>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</si>
  <si>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</si>
  <si>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</si>
  <si>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</si>
  <si>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</si>
  <si>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</si>
  <si>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</si>
  <si>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</si>
  <si>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</si>
  <si>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</si>
  <si>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</si>
  <si>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</si>
  <si>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</si>
  <si>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</si>
  <si>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</si>
  <si>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</si>
  <si>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</si>
  <si>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</si>
  <si>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</si>
  <si>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</si>
  <si>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</si>
  <si>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</si>
  <si>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</si>
  <si>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</si>
  <si>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</si>
  <si>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</si>
  <si>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</si>
  <si>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</si>
  <si>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</si>
  <si>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</si>
  <si>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</si>
  <si>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</si>
  <si>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</si>
  <si>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</si>
  <si>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</si>
  <si>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</si>
  <si>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</si>
  <si>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</si>
  <si>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</si>
  <si>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</si>
  <si>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</si>
  <si>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</si>
  <si>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</si>
  <si>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</si>
  <si>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</si>
  <si>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</si>
  <si>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</si>
  <si>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</si>
  <si>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</si>
  <si>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</si>
  <si>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</si>
  <si>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</si>
  <si>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</si>
  <si>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</si>
  <si>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</si>
  <si>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</si>
  <si>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</si>
  <si>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</si>
  <si>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</si>
  <si>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</si>
  <si>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</si>
  <si>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</si>
  <si>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</si>
  <si>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</si>
  <si>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</si>
  <si>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</si>
  <si>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</si>
  <si>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</si>
  <si>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</si>
  <si>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</si>
  <si>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</si>
  <si>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</si>
  <si>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</si>
  <si>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</si>
  <si>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</si>
  <si>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</si>
  <si>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</si>
  <si>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</si>
  <si>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</si>
  <si>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</si>
  <si>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</si>
  <si>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</si>
  <si>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</si>
  <si>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</si>
  <si>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</si>
  <si>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</si>
  <si>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</si>
  <si>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</si>
  <si>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</si>
  <si>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</si>
  <si>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</si>
  <si>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</si>
  <si>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</si>
  <si>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</si>
  <si>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</si>
  <si>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</si>
  <si>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</si>
  <si>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</si>
  <si>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</si>
  <si>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</si>
  <si>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</si>
  <si>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</si>
  <si>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</si>
  <si>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</si>
  <si>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</si>
  <si>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</si>
  <si>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</si>
  <si>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</si>
  <si>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</si>
  <si>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</si>
  <si>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</si>
  <si>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</si>
  <si>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</si>
  <si>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</si>
  <si>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</si>
  <si>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</si>
  <si>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</si>
  <si>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</si>
  <si>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</si>
  <si>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</si>
  <si>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</si>
  <si>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</si>
  <si>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</si>
  <si>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</si>
  <si>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</si>
  <si>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</si>
  <si>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</si>
  <si>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</si>
  <si>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</si>
  <si>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</si>
  <si>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</si>
  <si>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</si>
  <si>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</si>
  <si>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</si>
  <si>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</si>
  <si>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</si>
  <si>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</si>
  <si>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</si>
  <si>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</si>
  <si>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</si>
  <si>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</si>
  <si>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</si>
  <si>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</si>
  <si>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</si>
  <si>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</si>
  <si>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</si>
  <si>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</si>
  <si>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</si>
  <si>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</si>
  <si>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</si>
  <si>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</si>
  <si>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</si>
  <si>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</si>
  <si>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</si>
  <si>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</si>
  <si>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</si>
  <si>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</si>
  <si>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</si>
  <si>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</si>
  <si>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</si>
  <si>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</si>
  <si>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</si>
  <si>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</si>
  <si>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</si>
  <si>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</si>
  <si>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</si>
  <si>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</si>
  <si>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</si>
  <si>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</si>
  <si>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</si>
  <si>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</si>
  <si>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</si>
  <si>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</si>
  <si>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</si>
  <si>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</si>
  <si>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</si>
  <si>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</si>
  <si>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</si>
  <si>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</si>
  <si>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</si>
  <si>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</si>
  <si>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</si>
  <si>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</si>
  <si>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</si>
  <si>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</si>
  <si>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</si>
  <si>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</si>
  <si>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</si>
  <si>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</si>
  <si>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</si>
  <si>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</si>
  <si>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</si>
  <si>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</si>
  <si>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</si>
  <si>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</si>
  <si>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</si>
  <si>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</si>
  <si>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</si>
  <si>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</si>
  <si>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</si>
  <si>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</si>
  <si>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</si>
  <si>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</si>
  <si>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</si>
  <si>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</si>
  <si>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</si>
  <si>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</si>
  <si>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</si>
  <si>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</si>
  <si>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</si>
  <si>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</si>
  <si>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</si>
  <si>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</si>
  <si>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</si>
  <si>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</si>
  <si>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</si>
  <si>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</si>
  <si>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</si>
  <si>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</si>
  <si>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</si>
  <si>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</si>
  <si>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</si>
  <si>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</si>
  <si>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</si>
  <si>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</si>
  <si>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</si>
  <si>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</si>
  <si>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</si>
  <si>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</si>
  <si>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</si>
  <si>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</si>
  <si>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</si>
  <si>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</si>
  <si>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</si>
  <si>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</si>
  <si>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</si>
  <si>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</si>
  <si>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</si>
  <si>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</si>
  <si>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</si>
  <si>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</si>
  <si>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</si>
  <si>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</si>
  <si>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</si>
  <si>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</si>
  <si>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</si>
  <si>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</si>
  <si>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</si>
  <si>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</si>
  <si>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</si>
  <si>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</si>
  <si>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</si>
  <si>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</si>
  <si>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</si>
  <si>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</si>
  <si>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</si>
  <si>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</si>
  <si>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</si>
  <si>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</si>
  <si>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</si>
  <si>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</si>
  <si>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</si>
  <si>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</si>
  <si>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</si>
  <si>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</si>
  <si>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</si>
  <si>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</si>
  <si>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</si>
  <si>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</si>
  <si>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</si>
  <si>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</si>
  <si>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</si>
  <si>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</si>
  <si>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</si>
  <si>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</si>
  <si>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</si>
  <si>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</si>
  <si>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</si>
  <si>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</si>
  <si>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</si>
  <si>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</si>
  <si>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</si>
  <si>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</si>
  <si>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</si>
  <si>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</si>
  <si>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</si>
  <si>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</si>
  <si>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</si>
  <si>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</si>
  <si>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</si>
  <si>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</si>
  <si>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</si>
  <si>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</si>
  <si>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</si>
  <si>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</si>
  <si>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</si>
  <si>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</si>
  <si>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</si>
  <si>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</si>
  <si>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</si>
  <si>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</si>
  <si>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</si>
  <si>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</si>
  <si>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</si>
  <si>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</si>
  <si>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</si>
  <si>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</si>
  <si>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</si>
  <si>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</si>
  <si>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</si>
  <si>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</si>
  <si>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</si>
  <si>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</si>
  <si>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</si>
  <si>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</si>
  <si>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</si>
  <si>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</si>
  <si>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</si>
  <si>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</si>
  <si>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</si>
  <si>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</si>
  <si>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</si>
  <si>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</si>
  <si>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</si>
  <si>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</si>
  <si>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</si>
  <si>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</si>
  <si>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</si>
  <si>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</si>
  <si>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</si>
  <si>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</si>
  <si>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</si>
  <si>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</si>
  <si>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</si>
  <si>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</si>
  <si>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</si>
  <si>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</si>
  <si>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</si>
  <si>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</si>
  <si>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</si>
  <si>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</si>
  <si>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</si>
  <si>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</si>
  <si>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</si>
  <si>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</si>
  <si>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</si>
  <si>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</si>
  <si>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</si>
  <si>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</si>
  <si>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</si>
  <si>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</si>
  <si>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</si>
  <si>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</si>
  <si>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</si>
  <si>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</si>
  <si>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</si>
  <si>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</si>
  <si>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</si>
  <si>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</si>
  <si>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</si>
  <si>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</si>
  <si>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</si>
  <si>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</si>
  <si>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</si>
  <si>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</si>
  <si>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</si>
  <si>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</si>
  <si>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</si>
  <si>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</si>
  <si>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</si>
  <si>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</si>
  <si>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</si>
  <si>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</si>
  <si>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</si>
  <si>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</si>
  <si>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</si>
  <si>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</si>
  <si>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</si>
  <si>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</si>
  <si>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</si>
  <si>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</si>
  <si>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</si>
  <si>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</si>
  <si>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</si>
  <si>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</si>
  <si>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</si>
  <si>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</si>
  <si>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</si>
  <si>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</si>
  <si>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</si>
  <si>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</si>
  <si>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</si>
  <si>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</si>
  <si>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</si>
  <si>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Morral en patchwork</t>
  </si>
  <si>
    <t>NUEVO LA NOEL</t>
  </si>
  <si>
    <t>NO 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</si>
</sst>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47626</xdr:rowOff>
    </xdr:from>
    <xdr:to>
      <xdr:col>24</xdr:col>
      <xdr:colOff>219075</xdr:colOff>
      <xdr:row>6</xdr:row>
      <xdr:rowOff>232128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9A47CA3-CB67-3B20-BC39-8AB74D9A8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47626"/>
          <a:ext cx="1781175" cy="1956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Q15" sqref="Q15:R15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AM2006-1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45828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1313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71765586</v>
      </c>
      <c r="P2" s="394"/>
      <c r="Q2" s="394"/>
      <c r="R2" s="395"/>
      <c r="S2" s="298">
        <v>40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1317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 t="s">
        <v>1390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>
        <v>32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60073.632760898283</v>
      </c>
      <c r="E5" s="346"/>
      <c r="F5" s="347"/>
      <c r="G5" s="348" t="s">
        <v>16</v>
      </c>
      <c r="H5" s="349"/>
      <c r="I5" s="349"/>
      <c r="J5" s="350"/>
      <c r="K5" s="400">
        <v>20</v>
      </c>
      <c r="L5" s="400"/>
      <c r="M5" s="401" t="s">
        <v>17</v>
      </c>
      <c r="N5" s="401"/>
      <c r="O5" s="397">
        <f>IFERROR(IF(K5=0,"",D5*K5),"")</f>
        <v>1201472.6552179656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>
        <v>20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0.05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27</v>
      </c>
      <c r="B10" s="309"/>
      <c r="C10" s="310"/>
      <c r="D10" s="322" t="s">
        <v>28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kg</v>
      </c>
      <c r="P10" s="315"/>
      <c r="Q10" s="316">
        <v>4</v>
      </c>
      <c r="R10" s="317"/>
      <c r="S10" s="318">
        <f>IFERROR(IF(Q10="Unidad","1",(Q10*$K$5)),"")</f>
        <v>80</v>
      </c>
      <c r="T10" s="319"/>
      <c r="U10" s="320"/>
      <c r="V10" s="326"/>
      <c r="W10" s="321">
        <f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1014</v>
      </c>
      <c r="B11" s="309"/>
      <c r="C11" s="310"/>
      <c r="D11" s="322" t="s">
        <v>1052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U</v>
      </c>
      <c r="P11" s="315"/>
      <c r="Q11" s="316">
        <v>1</v>
      </c>
      <c r="R11" s="317"/>
      <c r="S11" s="318">
        <f t="shared" ref="S11:S31" si="1">IFERROR(IF(Q11="Unidad","1",(Q11*$K$5)),"")</f>
        <v>20</v>
      </c>
      <c r="T11" s="319"/>
      <c r="U11" s="320"/>
      <c r="V11" s="320"/>
      <c r="W11" s="321" t="str">
        <f>IFERROR(IF(D11="","",INDEX(Tabla_Completa,MATCH('Soli_citud '!D11,Materiales,0),7)*S11),"")</f>
        <v/>
      </c>
      <c r="X11" s="321"/>
      <c r="Y11" s="321"/>
    </row>
    <row r="12" spans="1:31" ht="15.75" customHeight="1">
      <c r="A12" s="308" t="s">
        <v>33</v>
      </c>
      <c r="B12" s="309"/>
      <c r="C12" s="310"/>
      <c r="D12" s="325" t="s">
        <v>108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ml</v>
      </c>
      <c r="P12" s="315"/>
      <c r="Q12" s="316">
        <v>1500</v>
      </c>
      <c r="R12" s="317"/>
      <c r="S12" s="318">
        <f t="shared" si="1"/>
        <v>30000</v>
      </c>
      <c r="T12" s="319"/>
      <c r="U12" s="320"/>
      <c r="V12" s="320"/>
      <c r="W12" s="321">
        <f>IFERROR(IF(D12="","",INDEX(Tabla_Completa,MATCH('Soli_citud '!D12,Materiales,0),7)*S12),"")</f>
        <v>523973.57992073969</v>
      </c>
      <c r="X12" s="321"/>
      <c r="Y12" s="321"/>
    </row>
    <row r="13" spans="1:31" ht="15.75" customHeight="1">
      <c r="A13" s="308" t="s">
        <v>33</v>
      </c>
      <c r="B13" s="309"/>
      <c r="C13" s="310"/>
      <c r="D13" s="322" t="s">
        <v>111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ml</v>
      </c>
      <c r="P13" s="315"/>
      <c r="Q13" s="316">
        <v>1500</v>
      </c>
      <c r="R13" s="317"/>
      <c r="S13" s="318">
        <f t="shared" si="1"/>
        <v>30000</v>
      </c>
      <c r="T13" s="319"/>
      <c r="U13" s="320"/>
      <c r="V13" s="320"/>
      <c r="W13" s="321">
        <f>IFERROR(IF(D13="","",INDEX(Tabla_Completa,MATCH('Soli_citud '!D13,Materiales,0),7)*S13),"")</f>
        <v>225099.07529722591</v>
      </c>
      <c r="X13" s="321"/>
      <c r="Y13" s="321"/>
    </row>
    <row r="14" spans="1:31" ht="17.25" customHeight="1">
      <c r="A14" s="308" t="s">
        <v>1058</v>
      </c>
      <c r="B14" s="309"/>
      <c r="C14" s="310"/>
      <c r="D14" s="322" t="s">
        <v>1089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Pliego</v>
      </c>
      <c r="P14" s="315"/>
      <c r="Q14" s="316">
        <v>0.3</v>
      </c>
      <c r="R14" s="317"/>
      <c r="S14" s="318">
        <f t="shared" si="1"/>
        <v>6</v>
      </c>
      <c r="T14" s="319"/>
      <c r="U14" s="320"/>
      <c r="V14" s="320"/>
      <c r="W14" s="321" t="str">
        <f>IFERROR(IF(D14="","",INDEX(Tabla_Completa,MATCH('Soli_citud '!D14,Materiales,0),7)*S14),"")</f>
        <v/>
      </c>
      <c r="X14" s="321"/>
      <c r="Y14" s="321"/>
    </row>
    <row r="15" spans="1:31" ht="15.75" customHeight="1">
      <c r="A15" s="308" t="s">
        <v>51</v>
      </c>
      <c r="B15" s="309"/>
      <c r="C15" s="310"/>
      <c r="D15" s="322" t="s">
        <v>937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cm2</v>
      </c>
      <c r="P15" s="315"/>
      <c r="Q15" s="316">
        <v>5600</v>
      </c>
      <c r="R15" s="317"/>
      <c r="S15" s="318">
        <f t="shared" si="1"/>
        <v>112000</v>
      </c>
      <c r="T15" s="319"/>
      <c r="U15" s="320"/>
      <c r="V15" s="320"/>
      <c r="W15" s="321">
        <f>IFERROR(IF(D15="","",INDEX(Tabla_Completa,MATCH('Soli_citud '!D15,Materiales,0),7)*S15),"")</f>
        <v>201600</v>
      </c>
      <c r="X15" s="321"/>
      <c r="Y15" s="321"/>
    </row>
    <row r="16" spans="1:31" ht="15.75" customHeight="1">
      <c r="A16" s="308" t="s">
        <v>1058</v>
      </c>
      <c r="B16" s="309"/>
      <c r="C16" s="310"/>
      <c r="D16" s="322" t="s">
        <v>1091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Rollo</v>
      </c>
      <c r="P16" s="315"/>
      <c r="Q16" s="316">
        <v>3</v>
      </c>
      <c r="R16" s="317"/>
      <c r="S16" s="318">
        <f t="shared" si="1"/>
        <v>60</v>
      </c>
      <c r="T16" s="319"/>
      <c r="U16" s="320"/>
      <c r="V16" s="320"/>
      <c r="W16" s="321">
        <f>IFERROR(IF(D16="","",INDEX(Tabla_Completa,MATCH('Soli_citud '!D16,Materiales,0),7)*S16),"")</f>
        <v>250800</v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29</v>
      </c>
      <c r="B39" s="376"/>
      <c r="C39" s="376"/>
      <c r="D39" s="377" t="s">
        <v>30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32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33</v>
      </c>
      <c r="O44" s="373"/>
      <c r="P44" s="373"/>
      <c r="Q44" s="373"/>
      <c r="R44" s="382" t="s">
        <v>34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35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36</v>
      </c>
      <c r="O45" s="373"/>
      <c r="P45" s="373"/>
      <c r="Q45" s="373"/>
      <c r="R45" s="383" t="s">
        <v>37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38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27</v>
      </c>
      <c r="O46" s="373"/>
      <c r="P46" s="373"/>
      <c r="Q46" s="373"/>
      <c r="R46" s="372" t="s">
        <v>39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40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41</v>
      </c>
      <c r="O47" s="373"/>
      <c r="P47" s="373"/>
      <c r="Q47" s="373"/>
      <c r="R47" s="372" t="s">
        <v>42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43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44</v>
      </c>
      <c r="O48" s="373"/>
      <c r="P48" s="373"/>
      <c r="Q48" s="373"/>
      <c r="R48" s="372" t="s">
        <v>45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46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47</v>
      </c>
      <c r="O49" s="374"/>
      <c r="P49" s="374"/>
      <c r="Q49" s="374"/>
      <c r="R49" s="383" t="s">
        <v>48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49</v>
      </c>
      <c r="O50" s="373"/>
      <c r="P50" s="373"/>
      <c r="Q50" s="373"/>
      <c r="R50" s="372" t="s">
        <v>50</v>
      </c>
      <c r="S50" s="372"/>
      <c r="T50" s="372"/>
      <c r="U50" s="372"/>
      <c r="V50" s="372"/>
      <c r="W50" s="372"/>
      <c r="X50" s="372"/>
    </row>
    <row r="51" spans="1:24" ht="15.75">
      <c r="N51" s="373" t="s">
        <v>51</v>
      </c>
      <c r="O51" s="373"/>
      <c r="P51" s="373"/>
      <c r="Q51" s="373"/>
      <c r="R51" s="372" t="s">
        <v>52</v>
      </c>
      <c r="S51" s="372"/>
      <c r="T51" s="372"/>
      <c r="U51" s="372"/>
      <c r="V51" s="372"/>
      <c r="W51" s="372"/>
      <c r="X51" s="372"/>
    </row>
    <row r="52" spans="1:24" ht="15.75">
      <c r="N52" s="373" t="s">
        <v>53</v>
      </c>
      <c r="O52" s="373"/>
      <c r="P52" s="373"/>
      <c r="Q52" s="373"/>
      <c r="R52" s="372" t="s">
        <v>42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3" activePane="bottomLeft" state="frozen"/>
      <selection activeCell="C1" sqref="C1"/>
      <selection pane="bottomLeft" activeCell="G16" sqref="G16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54</v>
      </c>
      <c r="E1" s="482"/>
      <c r="F1" s="482"/>
      <c r="G1" s="482"/>
      <c r="H1" s="482"/>
      <c r="I1" s="483"/>
      <c r="J1" s="413" t="s">
        <v>55</v>
      </c>
      <c r="K1" s="414"/>
      <c r="L1" s="414"/>
      <c r="M1" s="415"/>
      <c r="N1" s="416">
        <f>IF('Soli_citud '!O1="","",'Soli_citud '!O1)</f>
        <v>45828</v>
      </c>
      <c r="O1" s="417"/>
      <c r="P1" s="452" t="s">
        <v>56</v>
      </c>
      <c r="Q1" s="453"/>
      <c r="R1" s="458" t="str">
        <f>IF('Soli_citud '!D4="","",'Soli_citud '!D4)</f>
        <v>Morral en patchwork</v>
      </c>
      <c r="S1" s="459"/>
      <c r="Z1" t="s">
        <v>57</v>
      </c>
      <c r="AA1" s="241" t="s">
        <v>57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58</v>
      </c>
      <c r="K2" s="419"/>
      <c r="L2" s="419"/>
      <c r="M2" s="420"/>
      <c r="N2" s="421" t="str">
        <f>'Soli_citud '!F1</f>
        <v>AM2006-1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59</v>
      </c>
      <c r="K3" s="423"/>
      <c r="L3" s="423"/>
      <c r="M3" s="423"/>
      <c r="N3" s="424" t="str">
        <f>IF('Soli_citud '!O3="","",'Soli_citud '!O3)</f>
        <v>NUEVO LA NOEL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60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61</v>
      </c>
      <c r="C6" s="471"/>
      <c r="D6" s="472"/>
      <c r="E6" s="476" t="s">
        <v>62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60073.632760898283</v>
      </c>
      <c r="C8" s="445"/>
      <c r="D8" s="446"/>
      <c r="E8" s="447" t="s">
        <v>63</v>
      </c>
      <c r="F8" s="448"/>
      <c r="G8" s="448"/>
      <c r="H8" s="448"/>
      <c r="I8" s="449"/>
      <c r="J8" s="450" t="str">
        <f>IF('Soli_citud '!E2="","",'Soli_citud '!E2)</f>
        <v>Alexander Marulanda Bedoya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64</v>
      </c>
      <c r="C9" s="427"/>
      <c r="D9" s="430"/>
      <c r="E9" s="431" t="s">
        <v>65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66</v>
      </c>
      <c r="K10" s="438"/>
      <c r="L10" s="439"/>
      <c r="M10" s="250">
        <f>'[1]Soli_citud '!K5</f>
        <v>1</v>
      </c>
      <c r="N10" s="465" t="s">
        <v>67</v>
      </c>
      <c r="O10" s="466"/>
      <c r="P10" s="456"/>
      <c r="Q10" s="457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90" t="s">
        <v>71</v>
      </c>
      <c r="D11" s="491"/>
      <c r="E11" s="491"/>
      <c r="F11" s="49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22" t="s">
        <v>25</v>
      </c>
      <c r="M11" s="493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AM2006-1</v>
      </c>
      <c r="C12" s="494" t="str">
        <f>IFERROR(IF('Soli_citud '!D10="","",'Soli_citud '!D10),"")</f>
        <v>Retal</v>
      </c>
      <c r="D12" s="494"/>
      <c r="E12" s="494"/>
      <c r="F12" s="494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80</v>
      </c>
      <c r="I12" s="214">
        <v>45833</v>
      </c>
      <c r="J12" s="215">
        <v>80</v>
      </c>
      <c r="K12" s="197" t="str" cm="1">
        <f t="array" ref="K12">IFERROR(_xlfn.IFS(H12="","",J12=H12,"Cumplido",J12&lt;H12,H12-J12,J12&gt;H12,"Revisar"),"")</f>
        <v>Cumplido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AM2006-1</v>
      </c>
      <c r="C13" s="494" t="str">
        <f>IFERROR(IF('Soli_citud '!D11="","",'Soli_citud '!D11),"")</f>
        <v>TABLA SALVACORTE 45X60 CM</v>
      </c>
      <c r="D13" s="494"/>
      <c r="E13" s="494"/>
      <c r="F13" s="494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20</v>
      </c>
      <c r="I13" s="214">
        <v>45833</v>
      </c>
      <c r="J13" s="216"/>
      <c r="K13" s="197" cm="1">
        <f t="array" ref="K13">IFERROR(_xlfn.IFS(H13="","",J13=H13,"Cumplido",J13&lt;H13,H13-J13,J13&gt;H13,"Revisar"),"")</f>
        <v>20</v>
      </c>
      <c r="L13" s="495" t="s">
        <v>1391</v>
      </c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>DEVOLUTIVO</v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AM2006-1</v>
      </c>
      <c r="C14" s="494" t="str">
        <f>IFERROR(IF('Soli_citud '!D12="","",'Soli_citud '!D12),"")</f>
        <v xml:space="preserve">PEGANTE CEMENTO DE CONTACTO BASE CLOROPRENO
</v>
      </c>
      <c r="D14" s="494"/>
      <c r="E14" s="494"/>
      <c r="F14" s="494"/>
      <c r="G14" s="213" t="str">
        <f>IF('Soli_citud '!O12="","",'Soli_citud '!O12)</f>
        <v>ml</v>
      </c>
      <c r="H14" s="213" cm="1">
        <f t="array" ref="H14">_xlfn.IFS('Soli_citud '!S12="","",'Soli_citud '!S12&lt;=0,"",'Soli_citud '!S12&gt;0,'Soli_citud '!S12)</f>
        <v>30000</v>
      </c>
      <c r="I14" s="214">
        <v>45833</v>
      </c>
      <c r="J14" s="216">
        <v>30000</v>
      </c>
      <c r="K14" s="197" t="str" cm="1">
        <f t="array" ref="K14">IFERROR(_xlfn.IFS(H14="","",J14=H14,"Cumplido",J14&lt;H14,H14-J14,J14&gt;H14,"Revisar"),"")</f>
        <v>Cumplido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AM2006-1</v>
      </c>
      <c r="C15" s="494" t="str">
        <f>IFERROR(IF('Soli_citud '!D13="","",'Soli_citud '!D13),"")</f>
        <v>SOLUCIÓN DE CAUCHO</v>
      </c>
      <c r="D15" s="494"/>
      <c r="E15" s="494"/>
      <c r="F15" s="494"/>
      <c r="G15" s="213" t="str">
        <f>IF('Soli_citud '!O13="","",'Soli_citud '!O13)</f>
        <v>ml</v>
      </c>
      <c r="H15" s="213" cm="1">
        <f t="array" ref="H15">_xlfn.IFS('Soli_citud '!S13="","",'Soli_citud '!S13&lt;=0,"",'Soli_citud '!S13&gt;0,'Soli_citud '!S13)</f>
        <v>30000</v>
      </c>
      <c r="I15" s="214">
        <v>45833</v>
      </c>
      <c r="J15" s="216">
        <v>30000</v>
      </c>
      <c r="K15" s="197" t="str" cm="1">
        <f t="array" ref="K15">IFERROR(_xlfn.IFS(H15="","",J15=H15,"Cumplido",J15&lt;H15,H15-J15,J15&gt;H15,"Revisar"),"")</f>
        <v>Cumplido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AM2006-1</v>
      </c>
      <c r="C16" s="494" t="str">
        <f>IFERROR(IF('Soli_citud '!D14="","",'Soli_citud '!D14),"")</f>
        <v xml:space="preserve">CARTULINA PLANA </v>
      </c>
      <c r="D16" s="494"/>
      <c r="E16" s="494"/>
      <c r="F16" s="494"/>
      <c r="G16" s="213" t="str">
        <f>IF('Soli_citud '!O14="","",'Soli_citud '!O14)</f>
        <v>Pliego</v>
      </c>
      <c r="H16" s="213" cm="1">
        <f t="array" ref="H16">_xlfn.IFS('Soli_citud '!S14="","",'Soli_citud '!S14&lt;=0,"",'Soli_citud '!S14&gt;0,'Soli_citud '!S14)</f>
        <v>6</v>
      </c>
      <c r="I16" s="214">
        <v>45833</v>
      </c>
      <c r="J16" s="216"/>
      <c r="K16" s="197" cm="1">
        <f t="array" ref="K16">IFERROR(_xlfn.IFS(H16="","",J16=H16,"Cumplido",J16&lt;H16,H16-J16,J16&gt;H16,"Revisar"),"")</f>
        <v>6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AM2006-1</v>
      </c>
      <c r="C17" s="494" t="str">
        <f>IFERROR(IF('Soli_citud '!D15="","",'Soli_citud '!D15),"")</f>
        <v xml:space="preserve">SEDA POLIESTER  </v>
      </c>
      <c r="D17" s="494"/>
      <c r="E17" s="494"/>
      <c r="F17" s="494"/>
      <c r="G17" s="213" t="str">
        <f>IF('Soli_citud '!O15="","",'Soli_citud '!O15)</f>
        <v>cm2</v>
      </c>
      <c r="H17" s="213" cm="1">
        <f t="array" ref="H17">_xlfn.IFS('Soli_citud '!S15="","",'Soli_citud '!S15&lt;=0,"",'Soli_citud '!S15&gt;0,'Soli_citud '!S15)</f>
        <v>112000</v>
      </c>
      <c r="I17" s="214">
        <v>45833</v>
      </c>
      <c r="J17" s="216">
        <v>112000</v>
      </c>
      <c r="K17" s="197" t="str" cm="1">
        <f t="array" ref="K17">IFERROR(_xlfn.IFS(H17="","",J17=H17,"Cumplido",J17&lt;H17,H17-J17,J17&gt;H17,"Revisar"),"")</f>
        <v>Cumplido</v>
      </c>
      <c r="L17" s="495"/>
      <c r="M17" s="496"/>
      <c r="N17" s="215">
        <v>140</v>
      </c>
      <c r="O17" s="198">
        <f t="shared" ref="O17:O32" si="3">IFERROR(H17/N17,"")</f>
        <v>800</v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AM2006-1</v>
      </c>
      <c r="C18" s="494" t="str">
        <f>IFERROR(IF('Soli_citud '!D16="","",'Soli_citud '!D16),"")</f>
        <v>CINTA  DE ENMASCARAR</v>
      </c>
      <c r="D18" s="494"/>
      <c r="E18" s="494"/>
      <c r="F18" s="494"/>
      <c r="G18" s="213" t="str">
        <f>IF('Soli_citud '!O16="","",'Soli_citud '!O16)</f>
        <v>Rollo</v>
      </c>
      <c r="H18" s="213" cm="1">
        <f t="array" ref="H18">_xlfn.IFS('Soli_citud '!S16="","",'Soli_citud '!S16&lt;=0,"",'Soli_citud '!S16&gt;0,'Soli_citud '!S16)</f>
        <v>60</v>
      </c>
      <c r="I18" s="214">
        <v>45833</v>
      </c>
      <c r="J18" s="216"/>
      <c r="K18" s="197" cm="1">
        <f t="array" ref="K18">IFERROR(_xlfn.IFS(H18="","",J18=H18,"Cumplido",J18&lt;H18,H18-J18,J18&gt;H18,"Revisar"),"")</f>
        <v>60</v>
      </c>
      <c r="L18" s="495" t="s">
        <v>1391</v>
      </c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83</v>
      </c>
      <c r="F1" s="502"/>
      <c r="H1" s="278" t="s">
        <v>84</v>
      </c>
      <c r="Z1" s="241" t="s">
        <v>85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499"/>
      <c r="D6" s="500"/>
      <c r="H6" s="497" t="s">
        <v>87</v>
      </c>
      <c r="I6" s="497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2025-07-03T21:31:37Z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