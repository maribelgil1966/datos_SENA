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ALEX MARULANDA\BILLETERA UNISEX\"/>
    </mc:Choice>
  </mc:AlternateContent>
  <xr:revisionPtr revIDLastSave="0" documentId="13_ncr:1_{E7A42F02-5C37-45BB-B776-50EE11AE67A2}" xr6:coauthVersionLast="36" xr6:coauthVersionMax="47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K12" i="59" s="1" a="1"/>
  <c r="K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W16" i="43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<sst xmlns="http://schemas.openxmlformats.org/spreadsheetml/2006/main" count="5049" uniqueCount="1391">
  <si>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</si>
  <si>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</si>
  <si>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</si>
  <si>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</si>
  <si>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</si>
  <si>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</si>
  <si>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</si>
  <si>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</si>
  <si>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</si>
  <si>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</si>
  <si>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</si>
  <si>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</si>
  <si>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</si>
  <si>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</si>
  <si>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</si>
  <si>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</si>
  <si>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</si>
  <si>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</si>
  <si>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</si>
  <si>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</si>
  <si>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</si>
  <si>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</si>
  <si>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</si>
  <si>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</si>
  <si>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</si>
  <si>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</si>
  <si>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</si>
  <si>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</si>
  <si>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</si>
  <si>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</si>
  <si>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</si>
  <si>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</si>
  <si>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</si>
  <si>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</si>
  <si>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</si>
  <si>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</si>
  <si>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</si>
  <si>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</si>
  <si>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</si>
  <si>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</si>
  <si>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</si>
  <si>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</si>
  <si>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</si>
  <si>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</si>
  <si>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</si>
  <si>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</si>
  <si>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</si>
  <si>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</si>
  <si>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</si>
  <si>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</si>
  <si>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</si>
  <si>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</si>
  <si>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</si>
  <si>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</si>
  <si>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</si>
  <si>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</si>
  <si>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</si>
  <si>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</si>
  <si>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</si>
  <si>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</si>
  <si>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</si>
  <si>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</si>
  <si>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</si>
  <si>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</si>
  <si>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</si>
  <si>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</si>
  <si>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</si>
  <si>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</si>
  <si>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</si>
  <si>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</si>
  <si>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</si>
  <si>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</si>
  <si>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</si>
  <si>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</si>
  <si>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</si>
  <si>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</si>
  <si>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</si>
  <si>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</si>
  <si>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</si>
  <si>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</si>
  <si>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</si>
  <si>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</si>
  <si>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</si>
  <si>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</si>
  <si>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</si>
  <si>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</si>
  <si>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</si>
  <si>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</si>
  <si>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</si>
  <si>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</si>
  <si>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</si>
  <si>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</si>
  <si>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</si>
  <si>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</si>
  <si>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</si>
  <si>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</si>
  <si>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</si>
  <si>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</si>
  <si>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</si>
  <si>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</si>
  <si>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</si>
  <si>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</si>
  <si>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</si>
  <si>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</si>
  <si>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</si>
  <si>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</si>
  <si>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</si>
  <si>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</si>
  <si>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</si>
  <si>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</si>
  <si>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</si>
  <si>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</si>
  <si>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</si>
  <si>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</si>
  <si>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</si>
  <si>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</si>
  <si>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</si>
  <si>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</si>
  <si>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</si>
  <si>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</si>
  <si>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</si>
  <si>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</si>
  <si>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</si>
  <si>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</si>
  <si>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</si>
  <si>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</si>
  <si>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</si>
  <si>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</si>
  <si>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</si>
  <si>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</si>
  <si>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</si>
  <si>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</si>
  <si>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</si>
  <si>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</si>
  <si>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</si>
  <si>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</si>
  <si>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</si>
  <si>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</si>
  <si>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</si>
  <si>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</si>
  <si>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</si>
  <si>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</si>
  <si>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</si>
  <si>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</si>
  <si>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</si>
  <si>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</si>
  <si>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</si>
  <si>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</si>
  <si>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</si>
  <si>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</si>
  <si>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</si>
  <si>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</si>
  <si>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</si>
  <si>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</si>
  <si>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</si>
  <si>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</si>
  <si>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</si>
  <si>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</si>
  <si>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</si>
  <si>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</si>
  <si>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</si>
  <si>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</si>
  <si>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</si>
  <si>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</si>
  <si>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</si>
  <si>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</si>
  <si>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</si>
  <si>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</si>
  <si>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</si>
  <si>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</si>
  <si>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</si>
  <si>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</si>
  <si>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</si>
  <si>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</si>
  <si>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</si>
  <si>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</si>
  <si>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</si>
  <si>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</si>
  <si>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</si>
  <si>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</si>
  <si>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</si>
  <si>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</si>
  <si>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</si>
  <si>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</si>
  <si>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</si>
  <si>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</si>
  <si>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</si>
  <si>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</si>
  <si>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</si>
  <si>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</si>
  <si>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</si>
  <si>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</si>
  <si>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</si>
  <si>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</si>
  <si>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</si>
  <si>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</si>
  <si>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</si>
  <si>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</si>
  <si>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</si>
  <si>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</si>
  <si>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</si>
  <si>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</si>
  <si>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</si>
  <si>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</si>
  <si>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</si>
  <si>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</si>
  <si>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</si>
  <si>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</si>
  <si>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</si>
  <si>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</si>
  <si>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</si>
  <si>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</si>
  <si>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</si>
  <si>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</si>
  <si>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</si>
  <si>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</si>
  <si>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</si>
  <si>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</si>
  <si>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</si>
  <si>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</si>
  <si>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</si>
  <si>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</si>
  <si>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</si>
  <si>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</si>
  <si>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</si>
  <si>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</si>
  <si>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</si>
  <si>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</si>
  <si>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</si>
  <si>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</si>
  <si>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</si>
  <si>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</si>
  <si>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</si>
  <si>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</si>
  <si>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</si>
  <si>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</si>
  <si>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</si>
  <si>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</si>
  <si>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</si>
  <si>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</si>
  <si>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</si>
  <si>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</si>
  <si>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</si>
  <si>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</si>
  <si>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</si>
  <si>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</si>
  <si>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</si>
  <si>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</si>
  <si>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</si>
  <si>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</si>
  <si>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</si>
  <si>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</si>
  <si>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</si>
  <si>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</si>
  <si>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</si>
  <si>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</si>
  <si>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</si>
  <si>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</si>
  <si>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</si>
  <si>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</si>
  <si>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</si>
  <si>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</si>
  <si>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</si>
  <si>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</si>
  <si>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</si>
  <si>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</si>
  <si>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</si>
  <si>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</si>
  <si>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</si>
  <si>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</si>
  <si>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</si>
  <si>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</si>
  <si>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</si>
  <si>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</si>
  <si>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</si>
  <si>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</si>
  <si>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</si>
  <si>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</si>
  <si>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</si>
  <si>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</si>
  <si>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</si>
  <si>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</si>
  <si>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</si>
  <si>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</si>
  <si>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</si>
  <si>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</si>
  <si>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</si>
  <si>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</si>
  <si>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</si>
  <si>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</si>
  <si>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</si>
  <si>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</si>
  <si>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</si>
  <si>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</si>
  <si>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</si>
  <si>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</si>
  <si>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</si>
  <si>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</si>
  <si>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</si>
  <si>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</si>
  <si>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</si>
  <si>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</si>
  <si>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</si>
  <si>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</si>
  <si>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</si>
  <si>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</si>
  <si>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</si>
  <si>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</si>
  <si>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</si>
  <si>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</si>
  <si>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</si>
  <si>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</si>
  <si>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</si>
  <si>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</si>
  <si>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</si>
  <si>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</si>
  <si>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</si>
  <si>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</si>
  <si>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</si>
  <si>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</si>
  <si>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</si>
  <si>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</si>
  <si>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</si>
  <si>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</si>
  <si>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</si>
  <si>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</si>
  <si>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</si>
  <si>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</si>
  <si>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</si>
  <si>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</si>
  <si>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</si>
  <si>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</si>
  <si>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</si>
  <si>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</si>
  <si>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</si>
  <si>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</si>
  <si>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</si>
  <si>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</si>
  <si>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</si>
  <si>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</si>
  <si>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</si>
  <si>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</si>
  <si>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</si>
  <si>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</si>
  <si>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</si>
  <si>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</si>
  <si>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</si>
  <si>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</si>
  <si>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</si>
  <si>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</si>
  <si>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</si>
  <si>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</si>
  <si>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</si>
  <si>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</si>
  <si>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</si>
  <si>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</si>
  <si>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</si>
  <si>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</si>
  <si>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</si>
  <si>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</si>
  <si>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</si>
  <si>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</si>
  <si>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</si>
  <si>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</si>
  <si>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</si>
  <si>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</si>
  <si>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</si>
  <si>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</si>
  <si>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</si>
  <si>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</si>
  <si>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</si>
  <si>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</si>
  <si>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</si>
  <si>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</si>
  <si>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</si>
  <si>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</si>
  <si>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</si>
  <si>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</si>
  <si>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</si>
  <si>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</si>
  <si>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</si>
  <si>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</si>
  <si>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</si>
  <si>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</si>
  <si>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</si>
  <si>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</si>
  <si>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</si>
  <si>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</si>
  <si>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</si>
  <si>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</si>
  <si>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</si>
  <si>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</si>
  <si>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</si>
  <si>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</si>
  <si>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</si>
  <si>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</si>
  <si>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</si>
  <si>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</si>
  <si>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</si>
  <si>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</si>
  <si>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</si>
  <si>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</si>
  <si>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</si>
  <si>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</si>
  <si>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</si>
  <si>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</si>
  <si>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</si>
  <si>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</si>
  <si>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</si>
  <si>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</si>
  <si>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</si>
  <si>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</si>
  <si>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</si>
  <si>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</si>
  <si>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</si>
  <si>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</si>
  <si>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</si>
  <si>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</si>
  <si>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</si>
  <si>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</si>
  <si>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</si>
  <si>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</si>
  <si>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</si>
  <si>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</si>
  <si>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</si>
  <si>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</si>
  <si>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</si>
  <si>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</si>
  <si>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</si>
  <si>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</si>
  <si>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</si>
  <si>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</si>
  <si>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</si>
  <si>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</si>
  <si>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</si>
  <si>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</si>
  <si>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</si>
  <si>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</si>
  <si>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</si>
  <si>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</si>
  <si>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</si>
  <si>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</si>
  <si>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</si>
  <si>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</si>
  <si>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</si>
  <si>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</si>
  <si>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</si>
  <si>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</si>
  <si>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</si>
  <si>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</si>
  <si>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</si>
  <si>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</si>
  <si>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</si>
  <si>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</si>
  <si>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</si>
  <si>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</si>
  <si>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</si>
  <si>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</si>
  <si>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</si>
  <si>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</si>
  <si>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</si>
  <si>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</si>
  <si>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</si>
  <si>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</si>
  <si>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</si>
  <si>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</si>
  <si>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</si>
  <si>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</si>
  <si>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</si>
  <si>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</si>
  <si>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</si>
  <si>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</si>
  <si>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</si>
  <si>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</si>
  <si>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</si>
  <si>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</si>
  <si>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</si>
  <si>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</si>
  <si>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</si>
  <si>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</si>
  <si>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</si>
  <si>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</si>
  <si>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</si>
  <si>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</si>
  <si>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</si>
  <si>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</si>
  <si>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</si>
  <si>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</si>
  <si>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</si>
  <si>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</si>
  <si>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</si>
  <si>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</si>
  <si>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</si>
  <si>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</si>
  <si>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</si>
  <si>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</si>
  <si>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</si>
  <si>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</si>
  <si>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</si>
  <si>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</si>
  <si>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</si>
  <si>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</si>
  <si>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</si>
  <si>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</si>
  <si>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</si>
  <si>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</si>
  <si>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</si>
  <si>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</si>
  <si>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</si>
  <si>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</si>
  <si>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</si>
  <si>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</si>
  <si>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</si>
  <si>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</si>
  <si>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</si>
  <si>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</si>
  <si>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</si>
  <si>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</si>
  <si>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</si>
  <si>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</si>
  <si>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</si>
  <si>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</si>
  <si>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</si>
  <si>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</si>
  <si>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</si>
  <si>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</si>
  <si>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</si>
  <si>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</si>
  <si>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</si>
  <si>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</si>
  <si>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</si>
  <si>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</si>
  <si>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</si>
  <si>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</si>
  <si>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</si>
  <si>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</si>
  <si>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</si>
  <si>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</si>
  <si>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</si>
  <si>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</si>
  <si>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</si>
  <si>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</si>
  <si>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</si>
  <si>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</si>
  <si>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</si>
  <si>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</si>
  <si>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</si>
  <si>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</si>
  <si>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</si>
  <si>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</si>
  <si>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</si>
  <si>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</si>
  <si>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</si>
  <si>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</si>
  <si>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</si>
  <si>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</si>
  <si>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</si>
  <si>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</si>
  <si>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</si>
  <si>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</si>
  <si>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</si>
  <si>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</si>
  <si>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</si>
  <si>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</si>
  <si>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</si>
  <si>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</si>
  <si>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</si>
  <si>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</si>
  <si>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</si>
  <si>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</si>
  <si>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</si>
  <si>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</si>
  <si>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</si>
  <si>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</si>
  <si>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</si>
  <si>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</si>
  <si>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</si>
  <si>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</si>
  <si>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</si>
  <si>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</si>
  <si>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</si>
  <si>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</si>
  <si>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</si>
  <si>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</si>
  <si>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</si>
  <si>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</si>
  <si>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</si>
  <si>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</si>
  <si>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</si>
  <si>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</si>
  <si>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</si>
  <si>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</si>
  <si>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</si>
  <si>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</si>
  <si>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</si>
  <si>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</si>
  <si>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</si>
  <si>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</si>
  <si>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</si>
  <si>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</si>
  <si>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</si>
  <si>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</si>
  <si>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</si>
  <si>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</si>
  <si>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</si>
  <si>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</si>
  <si>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</si>
  <si>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</si>
  <si>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</si>
  <si>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</si>
  <si>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</si>
  <si>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</si>
  <si>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</si>
  <si>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</si>
  <si>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</si>
  <si>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</si>
  <si>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</si>
  <si>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</si>
  <si>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</si>
  <si>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</si>
  <si>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</si>
  <si>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</si>
  <si>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</si>
  <si>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</si>
  <si>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</si>
  <si>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</si>
  <si>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</si>
  <si>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</si>
  <si>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</si>
  <si>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</si>
  <si>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</si>
  <si>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</si>
  <si>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</si>
  <si>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</si>
  <si>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</si>
  <si>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</si>
  <si>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</si>
  <si>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</si>
  <si>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</si>
  <si>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</si>
  <si>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</si>
  <si>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</si>
  <si>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</si>
  <si>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</si>
  <si>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</si>
  <si>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</si>
  <si>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</si>
  <si>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</si>
  <si>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</si>
  <si>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</si>
  <si>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</si>
  <si>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</si>
  <si>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</si>
  <si>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</si>
  <si>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</si>
  <si>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</si>
  <si>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</si>
  <si>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</si>
  <si>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</si>
  <si>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</si>
  <si>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</si>
  <si>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</si>
  <si>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</si>
  <si>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</si>
  <si>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</si>
  <si>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</si>
  <si>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</si>
  <si>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</si>
  <si>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</si>
  <si>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</si>
  <si>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</si>
  <si>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</si>
  <si>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</si>
  <si>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</si>
  <si>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</si>
  <si>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</si>
  <si>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</si>
  <si>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</si>
  <si>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</si>
  <si>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</si>
  <si>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</si>
  <si>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</si>
  <si>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</si>
  <si>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</si>
  <si>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</si>
  <si>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</si>
  <si>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</si>
  <si>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</si>
  <si>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</si>
  <si>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</si>
  <si>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</si>
  <si>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</si>
  <si>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</si>
  <si>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</si>
  <si>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</si>
  <si>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</si>
  <si>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</si>
  <si>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</si>
  <si>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</si>
  <si>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</si>
  <si>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</si>
  <si>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</si>
  <si>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</si>
  <si>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</si>
  <si>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</si>
  <si>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</si>
  <si>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</si>
  <si>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</si>
  <si>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</si>
  <si>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</si>
  <si>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</si>
  <si>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</si>
  <si>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</si>
  <si>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</si>
  <si>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</si>
  <si>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</si>
  <si>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</si>
  <si>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</si>
  <si>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</si>
  <si>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</si>
  <si>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</si>
  <si>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</si>
  <si>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</si>
  <si>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</si>
  <si>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</si>
  <si>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</si>
  <si>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</si>
  <si>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</si>
  <si>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</si>
  <si>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</si>
  <si>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</si>
  <si>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</si>
  <si>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</si>
  <si>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</si>
  <si>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</si>
  <si>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</si>
  <si>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</si>
  <si>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</si>
  <si>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</si>
  <si>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</si>
  <si>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</si>
  <si>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</si>
  <si>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</si>
  <si>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</si>
  <si>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</si>
  <si>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</si>
  <si>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</si>
  <si>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</si>
  <si>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</si>
  <si>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</si>
  <si>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</si>
  <si>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</si>
  <si>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</si>
  <si>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</si>
  <si>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</si>
  <si>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</si>
  <si>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</si>
  <si>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</si>
  <si>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</si>
  <si>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</si>
  <si>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</si>
  <si>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</si>
  <si>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</si>
  <si>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</si>
  <si>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</si>
  <si>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</si>
  <si>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</si>
  <si>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</si>
  <si>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</si>
  <si>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</si>
  <si>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</si>
  <si>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</si>
  <si>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</si>
  <si>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</si>
  <si>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</si>
  <si>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</si>
  <si>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</si>
  <si>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</si>
  <si>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</si>
  <si>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</si>
  <si>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</si>
  <si>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</si>
  <si>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</si>
  <si>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</si>
  <si>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</si>
  <si>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</si>
  <si>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</si>
  <si>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</si>
  <si>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</si>
  <si>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</si>
  <si>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</si>
  <si>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</si>
  <si>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</si>
  <si>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</si>
  <si>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</si>
  <si>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</si>
  <si>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</si>
  <si>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</si>
  <si>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</si>
  <si>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</si>
  <si>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</si>
  <si>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</si>
  <si>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</si>
  <si>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</si>
  <si>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</si>
  <si>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</si>
  <si>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</si>
  <si>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</si>
  <si>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</si>
  <si>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</si>
  <si>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</si>
  <si>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</si>
  <si>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</si>
  <si>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</si>
  <si>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</si>
  <si>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</si>
  <si>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</si>
  <si>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</si>
  <si>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</si>
  <si>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</si>
  <si>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</si>
  <si>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</si>
  <si>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</si>
  <si>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</si>
  <si>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</si>
  <si>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</si>
  <si>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</si>
  <si>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</si>
  <si>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</si>
  <si>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</si>
  <si>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</si>
  <si>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</si>
  <si>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</si>
  <si>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</si>
  <si>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</si>
  <si>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</si>
  <si>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</si>
  <si>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</si>
  <si>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</si>
  <si>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</si>
  <si>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</si>
  <si>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</si>
  <si>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</si>
  <si>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</si>
  <si>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</si>
  <si>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</si>
  <si>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</si>
  <si>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</si>
  <si>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</si>
  <si>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</si>
  <si>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</si>
  <si>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</si>
  <si>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</si>
  <si>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</si>
  <si>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</si>
  <si>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</si>
  <si>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</si>
  <si>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</si>
  <si>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</si>
  <si>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</si>
  <si>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</si>
  <si>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</si>
  <si>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</si>
  <si>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</si>
  <si>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</si>
  <si>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</si>
  <si>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</si>
  <si>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</si>
  <si>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</si>
  <si>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</si>
  <si>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</si>
  <si>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</si>
  <si>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</si>
  <si>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</si>
  <si>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</si>
  <si>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</si>
  <si>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</si>
  <si>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</si>
  <si>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</si>
  <si>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</si>
  <si>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</si>
  <si>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</si>
  <si>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</si>
  <si>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</si>
  <si>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</si>
  <si>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</si>
  <si>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</si>
  <si>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</si>
  <si>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</si>
  <si>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</si>
  <si>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</si>
  <si>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</si>
  <si>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</si>
  <si>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</si>
  <si>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</si>
  <si>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</si>
  <si>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</si>
  <si>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</si>
  <si>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</si>
  <si>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</si>
  <si>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</si>
  <si>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</si>
  <si>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</si>
  <si>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</si>
  <si>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</si>
  <si>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</si>
  <si>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</si>
  <si>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</si>
  <si>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</si>
  <si>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</si>
  <si>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</si>
  <si>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</si>
  <si>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</si>
  <si>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</si>
  <si>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</si>
  <si>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</si>
  <si>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</si>
  <si>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</si>
  <si>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</si>
  <si>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</si>
  <si>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</si>
  <si>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</si>
  <si>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</si>
  <si>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</si>
  <si>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</si>
  <si>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</si>
  <si>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</si>
  <si>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</si>
  <si>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</si>
  <si>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</si>
  <si>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</si>
  <si>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</si>
  <si>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</si>
  <si>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</si>
  <si>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</si>
  <si>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</si>
  <si>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</si>
  <si>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</si>
  <si>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</si>
  <si>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</si>
  <si>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</si>
  <si>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</si>
  <si>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</si>
  <si>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</si>
  <si>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</si>
  <si>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</si>
  <si>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</si>
  <si>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</si>
  <si>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</si>
  <si>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</si>
  <si>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</si>
  <si>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</si>
  <si>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</si>
  <si>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</si>
  <si>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</si>
  <si>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</si>
  <si>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</si>
  <si>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</si>
  <si>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</si>
  <si>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</si>
  <si>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</si>
  <si>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</si>
  <si>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</si>
  <si>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</si>
  <si>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</si>
  <si>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</si>
  <si>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</si>
  <si>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</si>
  <si>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</si>
  <si>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</si>
  <si>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</si>
  <si>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</si>
  <si>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</si>
  <si>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</si>
  <si>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</si>
  <si>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</si>
  <si>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</si>
  <si>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</si>
  <si>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</si>
  <si>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</si>
  <si>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</si>
  <si>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</si>
  <si>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</si>
  <si>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</si>
  <si>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</si>
  <si>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</si>
  <si>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</si>
  <si>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</si>
  <si>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</si>
  <si>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</si>
  <si>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</si>
  <si>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</si>
  <si>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</si>
  <si>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</si>
  <si>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</si>
  <si>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</si>
  <si>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</si>
  <si>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</si>
  <si>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</si>
  <si>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</si>
  <si>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</si>
  <si>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</si>
  <si>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</si>
  <si>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</si>
  <si>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</si>
  <si>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</si>
  <si>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</si>
  <si>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</si>
  <si>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</si>
  <si>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</si>
  <si>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</si>
  <si>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</si>
  <si>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</si>
  <si>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</si>
  <si>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</si>
  <si>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</si>
  <si>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</si>
  <si>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</si>
  <si>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</si>
  <si>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</si>
  <si>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</si>
  <si>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</si>
  <si>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</si>
  <si>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</si>
  <si>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</si>
  <si>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</si>
  <si>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</si>
  <si>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</si>
  <si>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</si>
  <si>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</si>
  <si>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</si>
  <si>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</si>
  <si>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</si>
  <si>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</si>
  <si>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</si>
  <si>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</si>
  <si>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</si>
  <si>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</si>
  <si>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</si>
  <si>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</si>
  <si>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</si>
  <si>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</si>
  <si>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</si>
  <si>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</si>
  <si>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</si>
  <si>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</si>
  <si>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</si>
  <si>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</si>
  <si>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</si>
  <si>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</si>
  <si>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</si>
  <si>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</si>
  <si>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</si>
  <si>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</si>
  <si>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</si>
  <si>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</si>
  <si>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</si>
  <si>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</si>
  <si>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</si>
  <si>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</si>
  <si>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</si>
  <si>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</si>
  <si>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</si>
  <si>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</si>
  <si>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</si>
  <si>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</si>
  <si>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</si>
  <si>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</si>
  <si>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</si>
  <si>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</si>
  <si>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</si>
  <si>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</si>
  <si>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</si>
  <si>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</si>
  <si>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</si>
  <si>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</si>
  <si>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</si>
  <si>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</si>
  <si>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</si>
  <si>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</si>
  <si>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</si>
  <si>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</si>
  <si>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</si>
  <si>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</si>
  <si>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</si>
  <si>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</si>
  <si>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</si>
  <si>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</si>
  <si>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</si>
  <si>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</si>
  <si>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</si>
  <si>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</si>
  <si>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</si>
  <si>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</si>
  <si>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</si>
  <si>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</si>
  <si>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</si>
  <si>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</si>
  <si>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</si>
  <si>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</si>
  <si>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</si>
  <si>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</si>
  <si>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</si>
  <si>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</si>
  <si>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</si>
  <si>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</si>
  <si>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</si>
  <si>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</si>
  <si>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</si>
  <si>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</si>
  <si>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</si>
  <si>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</si>
  <si>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</si>
  <si>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</si>
  <si>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</si>
  <si>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</si>
  <si>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</si>
  <si>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</si>
  <si>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</si>
  <si>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</si>
  <si>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</si>
  <si>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</si>
  <si>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</si>
  <si>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</si>
  <si>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</si>
  <si>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</si>
  <si>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</si>
  <si>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</si>
  <si>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</si>
  <si>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</si>
  <si>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</si>
  <si>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</si>
  <si>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</si>
  <si>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</si>
  <si>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</si>
  <si>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</si>
  <si>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</si>
  <si>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</si>
  <si>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</si>
  <si>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</si>
  <si>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</si>
  <si>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</si>
  <si>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</si>
  <si>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</si>
  <si>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</si>
  <si>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</si>
  <si>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</si>
  <si>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</si>
  <si>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</si>
  <si>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</si>
  <si>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</si>
  <si>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</si>
  <si>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</si>
  <si>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</si>
  <si>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</si>
  <si>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</si>
  <si>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</si>
  <si>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</si>
  <si>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</si>
  <si>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</si>
  <si>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</si>
  <si>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</si>
  <si>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</si>
  <si>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</si>
  <si>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</si>
  <si>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</si>
  <si>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</si>
  <si>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</si>
  <si>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</si>
  <si>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</si>
  <si>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</si>
  <si>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</si>
  <si>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</si>
  <si>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</si>
  <si>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</si>
  <si>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</si>
  <si>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</si>
  <si>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</si>
  <si>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</si>
  <si>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</si>
  <si>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</si>
  <si>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</si>
  <si>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</si>
  <si>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</si>
  <si>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</si>
  <si>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</si>
  <si>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</si>
  <si>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</si>
  <si>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</si>
  <si>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</si>
  <si>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</si>
  <si>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</si>
  <si>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</si>
  <si>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</si>
  <si>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</si>
  <si>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</si>
  <si>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</si>
  <si>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</si>
  <si>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</si>
  <si>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</si>
  <si>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</si>
  <si>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</si>
  <si>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</si>
  <si>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</si>
  <si>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</si>
  <si>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</si>
  <si>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</si>
  <si>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</si>
  <si>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</si>
  <si>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</si>
  <si>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</si>
  <si>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</si>
  <si>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</si>
  <si>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</si>
  <si>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</si>
  <si>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</si>
  <si>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</si>
  <si>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</si>
  <si>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</si>
  <si>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</si>
  <si>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</si>
  <si>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</si>
  <si>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</si>
  <si>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</si>
  <si>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</si>
  <si>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</si>
  <si>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</si>
  <si>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</si>
  <si>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</si>
  <si>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</si>
  <si>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</si>
  <si>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</si>
  <si>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</si>
  <si>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</si>
  <si>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</si>
  <si>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</si>
  <si>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</si>
  <si>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</si>
  <si>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</si>
  <si>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</si>
  <si>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</si>
  <si>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</si>
  <si>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</si>
  <si>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</si>
  <si>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</si>
  <si>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</si>
  <si>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</si>
  <si>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</si>
  <si>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</si>
  <si>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</si>
  <si>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</si>
  <si>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</si>
  <si>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</si>
  <si>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</si>
  <si>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</si>
  <si>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</si>
  <si>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</si>
  <si>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</si>
  <si>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</si>
  <si>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</si>
  <si>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</si>
  <si>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</si>
  <si>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</si>
  <si>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</si>
  <si>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</si>
  <si>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</si>
  <si>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</si>
  <si>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</si>
  <si>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</si>
  <si>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</si>
  <si>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</si>
  <si>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</si>
  <si>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</si>
  <si>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</si>
  <si>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</si>
  <si>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</si>
  <si>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</si>
  <si>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</si>
  <si>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</si>
  <si>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</si>
  <si>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</si>
  <si>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</si>
  <si>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</si>
  <si>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</si>
  <si>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</si>
  <si>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</si>
  <si>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</si>
  <si>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</si>
  <si>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</si>
  <si>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</si>
  <si>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</si>
  <si>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</si>
  <si>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</si>
  <si>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</si>
  <si>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</si>
  <si>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</si>
  <si>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</si>
  <si>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</si>
  <si>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</si>
  <si>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</si>
  <si>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</si>
  <si>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</si>
  <si>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</si>
  <si>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</si>
  <si>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</si>
  <si>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</si>
  <si>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</si>
  <si>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</si>
  <si>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</si>
  <si>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</si>
  <si>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</si>
  <si>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</si>
  <si>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</si>
  <si>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</si>
  <si>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</si>
  <si>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</si>
  <si>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</si>
  <si>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</si>
  <si>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</si>
  <si>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</si>
  <si>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</si>
  <si>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</si>
  <si>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</si>
  <si>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</si>
  <si>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</si>
  <si>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</si>
  <si>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</si>
  <si>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</si>
  <si>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</si>
  <si>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</si>
  <si>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</si>
  <si>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</si>
  <si>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</si>
  <si>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</si>
  <si>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</si>
  <si>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</si>
  <si>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</si>
  <si>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</si>
  <si>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</si>
  <si>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</si>
  <si>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</si>
  <si>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</si>
  <si>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</si>
  <si>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</si>
  <si>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</si>
  <si>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</si>
  <si>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</si>
  <si>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</si>
  <si>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</si>
  <si>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</si>
  <si>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</si>
  <si>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</si>
  <si>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</si>
  <si>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</si>
  <si>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</si>
  <si>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</si>
  <si>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</si>
  <si>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</si>
  <si>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</si>
  <si>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</si>
  <si>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</si>
  <si>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</si>
  <si>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</si>
  <si>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</si>
  <si>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</si>
  <si>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</si>
  <si>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</si>
  <si>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</si>
  <si>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</si>
  <si>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</si>
  <si>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</si>
  <si>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</si>
  <si>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</si>
  <si>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</si>
  <si>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</si>
  <si>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</si>
  <si>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</si>
  <si>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</si>
  <si>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</si>
  <si>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</si>
  <si>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</si>
  <si>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</si>
  <si>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</si>
  <si>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</si>
  <si>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</si>
  <si>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</si>
  <si>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</si>
  <si>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</si>
  <si>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</si>
  <si>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</si>
  <si>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Billetera unisex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</si>
</sst>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223631</xdr:colOff>
      <xdr:row>0</xdr:row>
      <xdr:rowOff>0</xdr:rowOff>
    </xdr:from>
    <xdr:to>
      <xdr:col>24</xdr:col>
      <xdr:colOff>532261</xdr:colOff>
      <xdr:row>6</xdr:row>
      <xdr:rowOff>213762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E1A25A4-2729-4554-55C7-FA3EEF9AB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46674" y="0"/>
          <a:ext cx="2809978" cy="19862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C1" zoomScale="115" zoomScaleNormal="115" workbookViewId="0">
      <pane ySplit="8" topLeftCell="A9" activePane="bottomLeft" state="frozen"/>
      <selection pane="bottomLeft" activeCell="Q13" sqref="Q13:R1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AM1105-3</v>
      </c>
      <c r="G1" s="330"/>
      <c r="H1" s="331"/>
      <c r="I1" s="332" t="s">
        <v>1</v>
      </c>
      <c r="J1" s="333"/>
      <c r="K1" s="246">
        <v>3</v>
      </c>
      <c r="L1" s="334" t="s">
        <v>2</v>
      </c>
      <c r="M1" s="335"/>
      <c r="N1" s="335"/>
      <c r="O1" s="336">
        <v>45788</v>
      </c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1309</v>
      </c>
      <c r="F2" s="354"/>
      <c r="G2" s="354"/>
      <c r="H2" s="354"/>
      <c r="I2" s="354"/>
      <c r="J2" s="354"/>
      <c r="K2" s="355"/>
      <c r="L2" s="374" t="s">
        <v>5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6</v>
      </c>
      <c r="D3" s="361"/>
      <c r="E3" s="362" t="s">
        <v>1318</v>
      </c>
      <c r="F3" s="363"/>
      <c r="G3" s="363"/>
      <c r="H3" s="363"/>
      <c r="I3" s="363"/>
      <c r="J3" s="363"/>
      <c r="K3" s="364"/>
      <c r="L3" s="374" t="s">
        <v>7</v>
      </c>
      <c r="M3" s="375"/>
      <c r="N3" s="334"/>
      <c r="O3" s="313">
        <v>2925712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8</v>
      </c>
      <c r="B4" s="344"/>
      <c r="C4" s="344"/>
      <c r="D4" s="338" t="s">
        <v>1390</v>
      </c>
      <c r="E4" s="339"/>
      <c r="F4" s="339"/>
      <c r="G4" s="339"/>
      <c r="H4" s="339"/>
      <c r="I4" s="339"/>
      <c r="J4" s="339"/>
      <c r="K4" s="339"/>
      <c r="L4" s="340" t="s">
        <v>9</v>
      </c>
      <c r="M4" s="340"/>
      <c r="N4" s="340"/>
      <c r="O4" s="341" t="s">
        <v>1323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10</v>
      </c>
      <c r="B5" s="365"/>
      <c r="C5" s="365"/>
      <c r="D5" s="366">
        <f>IF(K5="","",(SUM(W10:Y28)-(SUMIF(U10:V28,"Restar_Pedido",W10:Y28)))/$K$5)</f>
        <v>11362.42</v>
      </c>
      <c r="E5" s="367"/>
      <c r="F5" s="368"/>
      <c r="G5" s="351" t="s">
        <v>11</v>
      </c>
      <c r="H5" s="369"/>
      <c r="I5" s="369"/>
      <c r="J5" s="352"/>
      <c r="K5" s="325">
        <v>28</v>
      </c>
      <c r="L5" s="325"/>
      <c r="M5" s="326" t="s">
        <v>12</v>
      </c>
      <c r="N5" s="326"/>
      <c r="O5" s="379">
        <f>IFERROR(IF(K5=0,"",D5*K5),"")</f>
        <v>318147.76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13</v>
      </c>
      <c r="B7" s="356"/>
      <c r="C7" s="356"/>
      <c r="D7" s="357" t="s">
        <v>14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15</v>
      </c>
      <c r="P7" s="358"/>
      <c r="Q7" s="359" t="s">
        <v>16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3.5714285714285712E-2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17</v>
      </c>
      <c r="T9" s="370"/>
      <c r="U9" s="358" t="s">
        <v>18</v>
      </c>
      <c r="V9" s="358"/>
      <c r="W9" s="358" t="s">
        <v>19</v>
      </c>
      <c r="X9" s="358"/>
      <c r="Y9" s="358"/>
    </row>
    <row r="10" spans="1:28" ht="17.25" customHeight="1">
      <c r="A10" s="306" t="s">
        <v>31</v>
      </c>
      <c r="B10" s="306"/>
      <c r="C10" s="307"/>
      <c r="D10" s="319" t="s">
        <v>365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>dm2</v>
      </c>
      <c r="P10" s="312"/>
      <c r="Q10" s="313">
        <v>5.5</v>
      </c>
      <c r="R10" s="314"/>
      <c r="S10" s="315">
        <f>IFERROR(IF(Q10="Unidad","1",(Q10*$K$5)),"")</f>
        <v>154</v>
      </c>
      <c r="T10" s="316"/>
      <c r="U10" s="317"/>
      <c r="V10" s="323"/>
      <c r="W10" s="318">
        <f>IFERROR(IF(D10="","",INDEX(Tabla_Completa,MATCH('Soli_citud '!D10,Materiales,0),7)*S10),"")</f>
        <v>153755.13999999998</v>
      </c>
      <c r="X10" s="318"/>
      <c r="Y10" s="318"/>
      <c r="Z10" s="34"/>
    </row>
    <row r="11" spans="1:28" ht="17.25" customHeight="1">
      <c r="A11" s="305" t="s">
        <v>31</v>
      </c>
      <c r="B11" s="306"/>
      <c r="C11" s="307"/>
      <c r="D11" s="319" t="s">
        <v>377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>dm2</v>
      </c>
      <c r="P11" s="312"/>
      <c r="Q11" s="313">
        <v>5.7</v>
      </c>
      <c r="R11" s="314"/>
      <c r="S11" s="315">
        <f t="shared" ref="S11:S31" si="1">IFERROR(IF(Q11="Unidad","1",(Q11*$K$5)),"")</f>
        <v>159.6</v>
      </c>
      <c r="T11" s="316"/>
      <c r="U11" s="317"/>
      <c r="V11" s="317"/>
      <c r="W11" s="318">
        <f>IFERROR(IF(D11="","",INDEX(Tabla_Completa,MATCH('Soli_citud '!D11,Materiales,0),7)*S11),"")</f>
        <v>143392.62</v>
      </c>
      <c r="X11" s="318"/>
      <c r="Y11" s="318"/>
    </row>
    <row r="12" spans="1:28" ht="15.75" customHeight="1">
      <c r="A12" s="305" t="s">
        <v>34</v>
      </c>
      <c r="B12" s="306"/>
      <c r="C12" s="307"/>
      <c r="D12" s="322" t="s">
        <v>433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>U</v>
      </c>
      <c r="P12" s="312"/>
      <c r="Q12" s="313">
        <v>2</v>
      </c>
      <c r="R12" s="314"/>
      <c r="S12" s="315">
        <f t="shared" si="1"/>
        <v>56</v>
      </c>
      <c r="T12" s="316"/>
      <c r="U12" s="317"/>
      <c r="V12" s="317"/>
      <c r="W12" s="318">
        <f>IFERROR(IF(D12="","",INDEX(Tabla_Completa,MATCH('Soli_citud '!D12,Materiales,0),7)*S12),"")</f>
        <v>21000</v>
      </c>
      <c r="X12" s="318"/>
      <c r="Y12" s="318"/>
    </row>
    <row r="13" spans="1:28" ht="15.75" customHeight="1">
      <c r="A13" s="305"/>
      <c r="B13" s="306"/>
      <c r="C13" s="307"/>
      <c r="D13" s="319"/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/>
      </c>
      <c r="P13" s="312"/>
      <c r="Q13" s="313">
        <v>10</v>
      </c>
      <c r="R13" s="314"/>
      <c r="S13" s="315">
        <f t="shared" si="1"/>
        <v>280</v>
      </c>
      <c r="T13" s="316"/>
      <c r="U13" s="317"/>
      <c r="V13" s="317"/>
      <c r="W13" s="318" t="str">
        <f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/>
      </c>
      <c r="P14" s="312"/>
      <c r="Q14" s="313">
        <v>4</v>
      </c>
      <c r="R14" s="314"/>
      <c r="S14" s="315">
        <f t="shared" si="1"/>
        <v>112</v>
      </c>
      <c r="T14" s="316"/>
      <c r="U14" s="317"/>
      <c r="V14" s="317"/>
      <c r="W14" s="318" t="str">
        <f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/>
      </c>
      <c r="P15" s="312"/>
      <c r="Q15" s="313">
        <v>0.2</v>
      </c>
      <c r="R15" s="314"/>
      <c r="S15" s="315">
        <f t="shared" si="1"/>
        <v>5.6000000000000005</v>
      </c>
      <c r="T15" s="316"/>
      <c r="U15" s="317"/>
      <c r="V15" s="317"/>
      <c r="W15" s="318" t="str">
        <f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/>
      </c>
      <c r="P16" s="312"/>
      <c r="Q16" s="313">
        <v>0.1</v>
      </c>
      <c r="R16" s="314"/>
      <c r="S16" s="315">
        <f t="shared" si="1"/>
        <v>2.8000000000000003</v>
      </c>
      <c r="T16" s="316"/>
      <c r="U16" s="317"/>
      <c r="V16" s="317"/>
      <c r="W16" s="318" t="str">
        <f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/>
      </c>
      <c r="P17" s="312"/>
      <c r="Q17" s="313">
        <v>0.2</v>
      </c>
      <c r="R17" s="314"/>
      <c r="S17" s="315">
        <f t="shared" si="1"/>
        <v>5.6000000000000005</v>
      </c>
      <c r="T17" s="316"/>
      <c r="U17" s="317"/>
      <c r="V17" s="317"/>
      <c r="W17" s="318" t="str">
        <f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/>
      </c>
      <c r="P18" s="312"/>
      <c r="Q18" s="313">
        <v>0.1</v>
      </c>
      <c r="R18" s="314"/>
      <c r="S18" s="315">
        <f t="shared" si="1"/>
        <v>2.8000000000000003</v>
      </c>
      <c r="T18" s="316"/>
      <c r="U18" s="317"/>
      <c r="V18" s="317"/>
      <c r="W18" s="318" t="str">
        <f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20</v>
      </c>
      <c r="B39" s="399"/>
      <c r="C39" s="399"/>
      <c r="D39" s="400" t="s">
        <v>21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23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24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25</v>
      </c>
      <c r="O44" s="389"/>
      <c r="P44" s="389"/>
      <c r="Q44" s="389"/>
      <c r="R44" s="395" t="s">
        <v>26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28</v>
      </c>
      <c r="O45" s="389"/>
      <c r="P45" s="389"/>
      <c r="Q45" s="389"/>
      <c r="R45" s="396" t="s">
        <v>29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31</v>
      </c>
      <c r="O46" s="389"/>
      <c r="P46" s="389"/>
      <c r="Q46" s="389"/>
      <c r="R46" s="388" t="s">
        <v>32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34</v>
      </c>
      <c r="O47" s="389"/>
      <c r="P47" s="389"/>
      <c r="Q47" s="389"/>
      <c r="R47" s="388" t="s">
        <v>35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37</v>
      </c>
      <c r="O48" s="389"/>
      <c r="P48" s="389"/>
      <c r="Q48" s="389"/>
      <c r="R48" s="388" t="s">
        <v>38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39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40</v>
      </c>
      <c r="O49" s="390"/>
      <c r="P49" s="390"/>
      <c r="Q49" s="390"/>
      <c r="R49" s="396" t="s">
        <v>41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42</v>
      </c>
      <c r="O50" s="389"/>
      <c r="P50" s="389"/>
      <c r="Q50" s="389"/>
      <c r="R50" s="388" t="s">
        <v>43</v>
      </c>
      <c r="S50" s="388"/>
      <c r="T50" s="388"/>
      <c r="U50" s="388"/>
      <c r="V50" s="388"/>
      <c r="W50" s="388"/>
      <c r="X50" s="388"/>
    </row>
    <row r="51" spans="1:24" ht="15.75">
      <c r="N51" s="389" t="s">
        <v>44</v>
      </c>
      <c r="O51" s="389"/>
      <c r="P51" s="389"/>
      <c r="Q51" s="389"/>
      <c r="R51" s="388" t="s">
        <v>45</v>
      </c>
      <c r="S51" s="388"/>
      <c r="T51" s="388"/>
      <c r="U51" s="388"/>
      <c r="V51" s="388"/>
      <c r="W51" s="388"/>
      <c r="X51" s="388"/>
    </row>
    <row r="52" spans="1:24" ht="15.75">
      <c r="N52" s="389" t="s">
        <v>46</v>
      </c>
      <c r="O52" s="389"/>
      <c r="P52" s="389"/>
      <c r="Q52" s="389"/>
      <c r="R52" s="388" t="s">
        <v>35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G11" sqref="G11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47</v>
      </c>
      <c r="E1" s="472"/>
      <c r="F1" s="472"/>
      <c r="G1" s="472"/>
      <c r="H1" s="472"/>
      <c r="I1" s="472"/>
      <c r="J1" s="477" t="s">
        <v>48</v>
      </c>
      <c r="K1" s="478"/>
      <c r="L1" s="478"/>
      <c r="M1" s="479"/>
      <c r="N1" s="473">
        <f>IF('Soli_citud '!O1="","",'Soli_citud '!O1)</f>
        <v>45788</v>
      </c>
      <c r="O1" s="474"/>
      <c r="P1" s="407" t="s">
        <v>49</v>
      </c>
      <c r="Q1" s="408"/>
      <c r="R1" s="403" t="str">
        <f>IF('Soli_citud '!D4="","",'Soli_citud '!D4)</f>
        <v>Billetera unisex</v>
      </c>
      <c r="S1" s="40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51</v>
      </c>
      <c r="K2" s="455"/>
      <c r="L2" s="455"/>
      <c r="M2" s="456"/>
      <c r="N2" s="475" t="str">
        <f>'Soli_citud '!F1</f>
        <v>AM1105-3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52</v>
      </c>
      <c r="K3" s="476"/>
      <c r="L3" s="476"/>
      <c r="M3" s="476"/>
      <c r="N3" s="463">
        <f>IF('Soli_citud '!O3="","",'Soli_citud '!O3)</f>
        <v>2925712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53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54</v>
      </c>
      <c r="C6" s="449"/>
      <c r="D6" s="450"/>
      <c r="E6" s="465" t="s">
        <v>55</v>
      </c>
      <c r="F6" s="465"/>
      <c r="G6" s="465"/>
      <c r="H6" s="465"/>
      <c r="I6" s="466"/>
      <c r="J6" s="439" t="s">
        <v>56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7"/>
      <c r="B8" s="426">
        <f>IF('Soli_citud '!D5&lt;= 0,"",'Soli_citud '!D5)</f>
        <v>11362.42</v>
      </c>
      <c r="C8" s="427"/>
      <c r="D8" s="428"/>
      <c r="E8" s="445" t="s">
        <v>57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58</v>
      </c>
      <c r="C9" s="430"/>
      <c r="D9" s="422"/>
      <c r="E9" s="421" t="s">
        <v>59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60</v>
      </c>
      <c r="K10" s="461"/>
      <c r="L10" s="462"/>
      <c r="M10" s="242">
        <f>'Soli_citud '!K5</f>
        <v>28</v>
      </c>
      <c r="N10" s="443" t="s">
        <v>61</v>
      </c>
      <c r="O10" s="444"/>
      <c r="P10" s="411"/>
      <c r="Q10" s="412"/>
      <c r="R10" s="243" t="s">
        <v>62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63</v>
      </c>
      <c r="B11" s="264" t="s">
        <v>64</v>
      </c>
      <c r="C11" s="423" t="s">
        <v>65</v>
      </c>
      <c r="D11" s="424"/>
      <c r="E11" s="424"/>
      <c r="F11" s="425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59" t="s">
        <v>18</v>
      </c>
      <c r="M11" s="460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AM1105-3</v>
      </c>
      <c r="C12" s="420" t="str">
        <f>IFERROR(IF('Soli_citud '!D10="","",'Soli_citud '!D10),"")</f>
        <v>CUERO GRASO</v>
      </c>
      <c r="D12" s="420"/>
      <c r="E12" s="420"/>
      <c r="F12" s="420"/>
      <c r="G12" s="226" t="str">
        <f>IF('Soli_citud '!O10="","",'Soli_citud '!O10)</f>
        <v>dm2</v>
      </c>
      <c r="H12" s="226" cm="1">
        <f t="array" ref="H12">_xlfn.IFS('Soli_citud '!S10="","",'Soli_citud '!S10&lt;=0,"",'Soli_citud '!S10&gt;0,'Soli_citud '!S10)</f>
        <v>154</v>
      </c>
      <c r="I12" s="227">
        <v>45803</v>
      </c>
      <c r="J12" s="228">
        <v>154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>
        <v>140</v>
      </c>
      <c r="O12" s="208">
        <f t="shared" ref="O12:O30" si="0">IFERROR(H12/N12,"")</f>
        <v>1.1000000000000001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AM1105-3</v>
      </c>
      <c r="C13" s="420" t="str">
        <f>IFERROR(IF('Soli_citud '!D11="","",'Soli_citud '!D11),"")</f>
        <v>NAPPA</v>
      </c>
      <c r="D13" s="420"/>
      <c r="E13" s="420"/>
      <c r="F13" s="420"/>
      <c r="G13" s="226" t="str">
        <f>IF('Soli_citud '!O11="","",'Soli_citud '!O11)</f>
        <v>dm2</v>
      </c>
      <c r="H13" s="226" cm="1">
        <f t="array" ref="H13">_xlfn.IFS('Soli_citud '!S11="","",'Soli_citud '!S11&lt;=0,"",'Soli_citud '!S11&gt;0,'Soli_citud '!S11)</f>
        <v>159.6</v>
      </c>
      <c r="I13" s="227">
        <v>45803</v>
      </c>
      <c r="J13" s="229">
        <v>159.6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140</v>
      </c>
      <c r="O13" s="208">
        <f t="shared" si="0"/>
        <v>1.1399999999999999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AM1105-3</v>
      </c>
      <c r="C14" s="420" t="str">
        <f>IFERROR(IF('Soli_citud '!D12="","",'Soli_citud '!D12),"")</f>
        <v>BROCHE BILLETERA NÍQUEL, 10 MM</v>
      </c>
      <c r="D14" s="420"/>
      <c r="E14" s="420"/>
      <c r="F14" s="420"/>
      <c r="G14" s="226" t="str">
        <f>IF('Soli_citud '!O12="","",'Soli_citud '!O12)</f>
        <v>U</v>
      </c>
      <c r="H14" s="226" cm="1">
        <f t="array" ref="H14">_xlfn.IFS('Soli_citud '!S12="","",'Soli_citud '!S12&lt;=0,"",'Soli_citud '!S12&gt;0,'Soli_citud '!S12)</f>
        <v>56</v>
      </c>
      <c r="I14" s="227">
        <v>45803</v>
      </c>
      <c r="J14" s="229">
        <v>56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AM1105-3</v>
      </c>
      <c r="C15" s="420" t="str">
        <f>IFERROR(IF('Soli_citud '!D13="","",'Soli_citud '!D13),"")</f>
        <v/>
      </c>
      <c r="D15" s="420"/>
      <c r="E15" s="420"/>
      <c r="F15" s="420"/>
      <c r="G15" s="226" t="str">
        <f>IF('Soli_citud '!O13="","",'Soli_citud '!O13)</f>
        <v/>
      </c>
      <c r="H15" s="226" cm="1">
        <f t="array" ref="H15">_xlfn.IFS('Soli_citud '!S13="","",'Soli_citud '!S13&lt;=0,"",'Soli_citud '!S13&gt;0,'Soli_citud '!S13)</f>
        <v>280</v>
      </c>
      <c r="I15" s="230"/>
      <c r="J15" s="229"/>
      <c r="K15" s="207" cm="1">
        <f t="array" ref="K15">IFERROR(_xlfn.IFS(H15="","",J15=H15,"Cumplido",J15&lt;H15,H15-J15,J15&gt;H15,"Revisar"),"")</f>
        <v>280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AM1105-3</v>
      </c>
      <c r="C16" s="420" t="str">
        <f>IFERROR(IF('Soli_citud '!D14="","",'Soli_citud '!D14),"")</f>
        <v/>
      </c>
      <c r="D16" s="420"/>
      <c r="E16" s="420"/>
      <c r="F16" s="420"/>
      <c r="G16" s="226" t="str">
        <f>IF('Soli_citud '!O14="","",'Soli_citud '!O14)</f>
        <v/>
      </c>
      <c r="H16" s="226" cm="1">
        <f t="array" ref="H16">_xlfn.IFS('Soli_citud '!S14="","",'Soli_citud '!S14&lt;=0,"",'Soli_citud '!S14&gt;0,'Soli_citud '!S14)</f>
        <v>112</v>
      </c>
      <c r="I16" s="230"/>
      <c r="J16" s="229"/>
      <c r="K16" s="207" cm="1">
        <f t="array" ref="K16">IFERROR(_xlfn.IFS(H16="","",J16=H16,"Cumplido",J16&lt;H16,H16-J16,J16&gt;H16,"Revisar"),"")</f>
        <v>112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AM1105-3</v>
      </c>
      <c r="C17" s="420" t="str">
        <f>IFERROR(IF('Soli_citud '!D15="","",'Soli_citud '!D15),"")</f>
        <v/>
      </c>
      <c r="D17" s="420"/>
      <c r="E17" s="420"/>
      <c r="F17" s="420"/>
      <c r="G17" s="226" t="str">
        <f>IF('Soli_citud '!O15="","",'Soli_citud '!O15)</f>
        <v/>
      </c>
      <c r="H17" s="226" cm="1">
        <f t="array" ref="H17">_xlfn.IFS('Soli_citud '!S15="","",'Soli_citud '!S15&lt;=0,"",'Soli_citud '!S15&gt;0,'Soli_citud '!S15)</f>
        <v>5.6000000000000005</v>
      </c>
      <c r="I17" s="230"/>
      <c r="J17" s="229"/>
      <c r="K17" s="207" cm="1">
        <f t="array" ref="K17">IFERROR(_xlfn.IFS(H17="","",J17=H17,"Cumplido",J17&lt;H17,H17-J17,J17&gt;H17,"Revisar"),"")</f>
        <v>5.6000000000000005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AM1105-3</v>
      </c>
      <c r="C18" s="420" t="str">
        <f>IFERROR(IF('Soli_citud '!D16="","",'Soli_citud '!D16),"")</f>
        <v/>
      </c>
      <c r="D18" s="420"/>
      <c r="E18" s="420"/>
      <c r="F18" s="420"/>
      <c r="G18" s="226" t="str">
        <f>IF('Soli_citud '!O16="","",'Soli_citud '!O16)</f>
        <v/>
      </c>
      <c r="H18" s="226" cm="1">
        <f t="array" ref="H18">_xlfn.IFS('Soli_citud '!S16="","",'Soli_citud '!S16&lt;=0,"",'Soli_citud '!S16&gt;0,'Soli_citud '!S16)</f>
        <v>2.8000000000000003</v>
      </c>
      <c r="I18" s="230"/>
      <c r="J18" s="229"/>
      <c r="K18" s="207" cm="1">
        <f t="array" ref="K18">IFERROR(_xlfn.IFS(H18="","",J18=H18,"Cumplido",J18&lt;H18,H18-J18,J18&gt;H18,"Revisar"),"")</f>
        <v>2.8000000000000003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AM1105-3</v>
      </c>
      <c r="C19" s="420" t="str">
        <f>IFERROR(IF('Soli_citud '!D17="","",'Soli_citud '!D17),"")</f>
        <v/>
      </c>
      <c r="D19" s="420"/>
      <c r="E19" s="420"/>
      <c r="F19" s="420"/>
      <c r="G19" s="226" t="str">
        <f>IF('Soli_citud '!O17="","",'Soli_citud '!O17)</f>
        <v/>
      </c>
      <c r="H19" s="226" cm="1">
        <f t="array" ref="H19">_xlfn.IFS('Soli_citud '!S17="","",'Soli_citud '!S17&lt;=0,"",'Soli_citud '!S17&gt;0,'Soli_citud '!S17)</f>
        <v>5.6000000000000005</v>
      </c>
      <c r="I19" s="230"/>
      <c r="J19" s="229"/>
      <c r="K19" s="207" cm="1">
        <f t="array" ref="K19">IFERROR(_xlfn.IFS(H19="","",J19=H19,"Cumplido",J19&lt;H19,H19-J19,J19&gt;H19,"Revisar"),"")</f>
        <v>5.6000000000000005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AM1105-3</v>
      </c>
      <c r="C20" s="420" t="str">
        <f>IFERROR(IF('Soli_citud '!D18="","",'Soli_citud '!D18),"")</f>
        <v/>
      </c>
      <c r="D20" s="420"/>
      <c r="E20" s="420"/>
      <c r="F20" s="420"/>
      <c r="G20" s="226" t="str">
        <f>IF('Soli_citud '!O18="","",'Soli_citud '!O18)</f>
        <v/>
      </c>
      <c r="H20" s="226" cm="1">
        <f t="array" ref="H20">_xlfn.IFS('Soli_citud '!S18="","",'Soli_citud '!S18&lt;=0,"",'Soli_citud '!S18&gt;0,'Soli_citud '!S18)</f>
        <v>2.8000000000000003</v>
      </c>
      <c r="I20" s="230"/>
      <c r="J20" s="229"/>
      <c r="K20" s="207" cm="1">
        <f t="array" ref="K20">IFERROR(_xlfn.IFS(H20="","",J20=H20,"Cumplido",J20&lt;H20,H20-J20,J20&gt;H20,"Revisar"),"")</f>
        <v>2.8000000000000003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77</v>
      </c>
      <c r="F1" s="486"/>
      <c r="Z1" s="252" t="s">
        <v>50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2"/>
      <c r="D6" s="483"/>
      <c r="H6" s="480" t="s">
        <v>79</v>
      </c>
      <c r="I6" s="480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2025-05-26T21:27:34Z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