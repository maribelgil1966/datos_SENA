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0EB19EB7-96B0-4FDC-A6CF-2061906B1224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COSMETIQUERA GRANDE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<sst xmlns="http://schemas.openxmlformats.org/spreadsheetml/2006/main" count="5010" uniqueCount="1390">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</sst>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28573</xdr:colOff>
      <xdr:row>0</xdr:row>
      <xdr:rowOff>371474</xdr:rowOff>
    </xdr:from>
    <xdr:to>
      <xdr:col>24</xdr:col>
      <xdr:colOff>464635</xdr:colOff>
      <xdr:row>5</xdr:row>
      <xdr:rowOff>19049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D3866-B1F1-2C1A-FC01-C609DF284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745" t="58163" b="6123"/>
        <a:stretch>
          <a:fillRect/>
        </a:stretch>
      </xdr:blipFill>
      <xdr:spPr>
        <a:xfrm>
          <a:off x="7905748" y="371474"/>
          <a:ext cx="2179137" cy="1400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11" activePane="bottomLeft" state="frozen"/>
      <selection pane="bottomLeft" activeCell="A14" sqref="A14:N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LV2710-1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45957</v>
      </c>
      <c r="P1" s="355"/>
      <c r="Q1" s="355"/>
      <c r="R1" s="356"/>
      <c r="S1" s="296" t="s">
        <v>3</v>
      </c>
      <c r="T1" s="297"/>
      <c r="U1" s="302"/>
      <c r="V1" s="303"/>
      <c r="W1" s="303"/>
      <c r="X1" s="303"/>
      <c r="Y1" s="304"/>
      <c r="Z1" s="384" t="s">
        <v>4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5</v>
      </c>
      <c r="D2" s="350"/>
      <c r="E2" s="369" t="s">
        <v>1388</v>
      </c>
      <c r="F2" s="370"/>
      <c r="G2" s="370"/>
      <c r="H2" s="370"/>
      <c r="I2" s="370"/>
      <c r="J2" s="370"/>
      <c r="K2" s="371"/>
      <c r="L2" s="392" t="s">
        <v>6</v>
      </c>
      <c r="M2" s="393"/>
      <c r="N2" s="353"/>
      <c r="O2" s="394" t="e">
        <f>IF(E2="","",INDEX(Listas!H2:I30,MATCH('COSMETIQUERA GRANDE'!E2,Intructores,0),2))</f>
        <v>#N/A</v>
      </c>
      <c r="P2" s="394"/>
      <c r="Q2" s="394"/>
      <c r="R2" s="395"/>
      <c r="S2" s="298">
        <v>15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7</v>
      </c>
      <c r="D3" s="340"/>
      <c r="E3" s="341" t="s">
        <v>1316</v>
      </c>
      <c r="F3" s="342"/>
      <c r="G3" s="342"/>
      <c r="H3" s="342"/>
      <c r="I3" s="342"/>
      <c r="J3" s="342"/>
      <c r="K3" s="343"/>
      <c r="L3" s="392" t="s">
        <v>9</v>
      </c>
      <c r="M3" s="393"/>
      <c r="N3" s="353"/>
      <c r="O3" s="316">
        <v>3371158</v>
      </c>
      <c r="P3" s="396"/>
      <c r="Q3" s="396"/>
      <c r="R3" s="396"/>
      <c r="S3" s="298" t="s">
        <v>10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11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1"/>
      <c r="S4" s="298">
        <v>29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14</v>
      </c>
      <c r="B5" s="344"/>
      <c r="C5" s="344"/>
      <c r="D5" s="345">
        <f>IF(K5="","",(SUM(W10:Y28)-(SUMIF(U10:V28,"Restar_Pedido",W10:Y28)))/$K$5)</f>
        <v>1084.94625</v>
      </c>
      <c r="E5" s="346"/>
      <c r="F5" s="347"/>
      <c r="G5" s="348" t="s">
        <v>15</v>
      </c>
      <c r="H5" s="349"/>
      <c r="I5" s="349"/>
      <c r="J5" s="350"/>
      <c r="K5" s="400">
        <v>15</v>
      </c>
      <c r="L5" s="400"/>
      <c r="M5" s="401" t="s">
        <v>16</v>
      </c>
      <c r="N5" s="401"/>
      <c r="O5" s="397">
        <f>IFERROR(IF(K5=0,"",D5*K5),"")</f>
        <v>16274.193749999999</v>
      </c>
      <c r="P5" s="398"/>
      <c r="Q5" s="398"/>
      <c r="R5" s="398"/>
      <c r="S5" s="300" t="s">
        <v>17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18</v>
      </c>
      <c r="B7" s="327"/>
      <c r="C7" s="328"/>
      <c r="D7" s="329" t="s">
        <v>19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20</v>
      </c>
      <c r="P7" s="336"/>
      <c r="Q7" s="337" t="s">
        <v>21</v>
      </c>
      <c r="R7" s="338"/>
      <c r="S7" s="298">
        <v>8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22</v>
      </c>
      <c r="T8" s="388"/>
      <c r="U8" s="389"/>
      <c r="V8" s="390">
        <f>IF(K5="","",1/K5)</f>
        <v>6.6666666666666666E-2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23</v>
      </c>
      <c r="T9" s="387"/>
      <c r="U9" s="336" t="s">
        <v>24</v>
      </c>
      <c r="V9" s="336"/>
      <c r="W9" s="336" t="s">
        <v>25</v>
      </c>
      <c r="X9" s="336"/>
      <c r="Y9" s="336"/>
    </row>
    <row r="10" spans="1:31" ht="17.25" customHeight="1">
      <c r="A10" s="309" t="s">
        <v>1214</v>
      </c>
      <c r="B10" s="309"/>
      <c r="C10" s="310"/>
      <c r="D10" s="322" t="s">
        <v>1292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gal</v>
      </c>
      <c r="P10" s="315"/>
      <c r="Q10" s="316">
        <v>0.01</v>
      </c>
      <c r="R10" s="317"/>
      <c r="S10" s="318">
        <f>IFERROR(IF(Q10="Unidad","1",(Q10*$K$5)),"")</f>
        <v>0.15</v>
      </c>
      <c r="T10" s="319"/>
      <c r="U10" s="320" t="s">
        <v>1347</v>
      </c>
      <c r="V10" s="326"/>
      <c r="W10" s="321">
        <f>IFERROR(IF(D10="","",INDEX(Tabla_Completa,MATCH('COSMETIQUERA GRANDE'!D10,Materiales,0),7)*S10),"")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1214</v>
      </c>
      <c r="B11" s="309"/>
      <c r="C11" s="310"/>
      <c r="D11" s="322" t="s">
        <v>1232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gal</v>
      </c>
      <c r="P11" s="315"/>
      <c r="Q11" s="316">
        <v>1.2999999999999999E-3</v>
      </c>
      <c r="R11" s="317"/>
      <c r="S11" s="318">
        <f t="shared" ref="S11:S31" si="1">IFERROR(IF(Q11="Unidad","1",(Q11*$K$5)),"")</f>
        <v>1.95E-2</v>
      </c>
      <c r="T11" s="319"/>
      <c r="U11" s="320"/>
      <c r="V11" s="320"/>
      <c r="W11" s="321">
        <f>IFERROR(IF(D11="","",INDEX(Tabla_Completa,MATCH('COSMETIQUERA GRANDE'!D11,Materiales,0),7)*S11),"")</f>
        <v>0</v>
      </c>
      <c r="X11" s="321"/>
      <c r="Y11" s="321"/>
    </row>
    <row r="12" spans="1:31" ht="15.75" customHeight="1">
      <c r="A12" s="308" t="s">
        <v>231</v>
      </c>
      <c r="B12" s="309"/>
      <c r="C12" s="310"/>
      <c r="D12" s="325" t="s">
        <v>317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40</v>
      </c>
      <c r="R12" s="317"/>
      <c r="S12" s="318">
        <f t="shared" si="1"/>
        <v>600</v>
      </c>
      <c r="T12" s="319"/>
      <c r="U12" s="320"/>
      <c r="V12" s="320"/>
      <c r="W12" s="321">
        <f>IFERROR(IF(D12="","",INDEX(Tabla_Completa,MATCH('COSMETIQUERA GRANDE'!D12,Materiales,0),7)*S12),"")</f>
        <v>7338</v>
      </c>
      <c r="X12" s="321"/>
      <c r="Y12" s="321"/>
    </row>
    <row r="13" spans="1:31" ht="15.75" customHeight="1">
      <c r="A13" s="308" t="s">
        <v>39</v>
      </c>
      <c r="B13" s="309"/>
      <c r="C13" s="310"/>
      <c r="D13" s="322" t="s">
        <v>721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1</v>
      </c>
      <c r="R13" s="317"/>
      <c r="S13" s="318">
        <f t="shared" si="1"/>
        <v>15</v>
      </c>
      <c r="T13" s="319"/>
      <c r="U13" s="320"/>
      <c r="V13" s="320"/>
      <c r="W13" s="321">
        <f>IFERROR(IF(D13="","",INDEX(Tabla_Completa,MATCH('COSMETIQUERA GRANDE'!D13,Materiales,0),7)*S13),"")</f>
        <v>6834.9937499999996</v>
      </c>
      <c r="X13" s="321"/>
      <c r="Y13" s="321"/>
    </row>
    <row r="14" spans="1:31" ht="17.25" customHeight="1">
      <c r="A14" s="308" t="s">
        <v>49</v>
      </c>
      <c r="B14" s="309"/>
      <c r="C14" s="310"/>
      <c r="D14" s="322" t="s">
        <v>902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cm2</v>
      </c>
      <c r="P14" s="315"/>
      <c r="Q14" s="316">
        <v>70</v>
      </c>
      <c r="R14" s="317"/>
      <c r="S14" s="318">
        <f t="shared" si="1"/>
        <v>1050</v>
      </c>
      <c r="T14" s="319"/>
      <c r="U14" s="320"/>
      <c r="V14" s="320"/>
      <c r="W14" s="321">
        <f>IFERROR(IF(D14="","",INDEX(Tabla_Completa,MATCH('COSMETIQUERA GRANDE'!D14,Materiales,0),7)*S14),"")</f>
        <v>2101.2000000000003</v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IFERROR(IF(D15="","",INDEX(Tabla_Completa,MATCH('COSMETIQUERA GRANDE'!D15,Materiales,0),7)*S15),"")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IFERROR(IF(D16="","",INDEX(Tabla_Completa,MATCH('COSMETIQUERA GRANDE'!D16,Materiales,0),7)*S16),"")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IFERROR(IF(D17="","",INDEX(Tabla_Completa,MATCH('COSMETIQUERA GRANDE'!D17,Materiales,0),7)*S17),"")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IFERROR(IF(D18="","",INDEX(Tabla_Completa,MATCH('COSMETIQUERA GRANDE'!D18,Materiales,0),7)*S18),"")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IFERROR(IF(D19="","",INDEX(Tabla_Completa,MATCH('COSMETIQUERA GRANDE'!D19,Materiales,0),7)*S19),"")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IFERROR(IF(D20="","",INDEX(Tabla_Completa,MATCH('COSMETIQUERA GRANDE'!D20,Materiales,0),7)*S20),"")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IFERROR(IF(D21="","",INDEX(Tabla_Completa,MATCH('COSMETIQUERA GRANDE'!D21,Materiales,0),7)*S21),"")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IFERROR(IF(D22="","",INDEX(Tabla_Completa,MATCH('COSMETIQUERA GRANDE'!D22,Materiales,0),7)*S22),"")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IFERROR(IF(D23="","",INDEX(Tabla_Completa,MATCH('COSMETIQUERA GRANDE'!D23,Materiales,0),7)*S23),"")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IFERROR(IF(D24="","",INDEX(Tabla_Completa,MATCH('COSMETIQUERA GRANDE'!D24,Materiales,0),7)*S24),"")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IFERROR(IF(D25="","",INDEX(Tabla_Completa,MATCH('COSMETIQUERA GRANDE'!D25,Materiales,0),7)*S25),"")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IFERROR(IF(D26="","",INDEX(Tabla_Completa,MATCH('COSMETIQUERA GRANDE'!D26,Materiales,0),7)*S26),"")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IFERROR(IF(D27="","",INDEX(Tabla_Completa,MATCH('COSMETIQUERA GRANDE'!D27,Materiales,0),7)*S27),"")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IFERROR(IF(D28="","",INDEX(Tabla_Completa,MATCH('COSMETIQUERA GRANDE'!D28,Materiales,0),7)*S28),"")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IFERROR(IF(D29="","",INDEX(Tabla_Completa,MATCH('COSMETIQUERA GRANDE'!D29,Materiales,0),7)*S29),"")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IFERROR(IF(D30="","",INDEX(Tabla_Completa,MATCH('COSMETIQUERA GRANDE'!D30,Materiales,0),7)*S30),"")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IFERROR(IF(D31="","",INDEX(Tabla_Completa,MATCH('COSMETIQUERA GRANDE'!D31,Materiales,0),7)*S31),"")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26</v>
      </c>
      <c r="B39" s="376"/>
      <c r="C39" s="376"/>
      <c r="D39" s="377" t="s">
        <v>27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29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30</v>
      </c>
      <c r="O44" s="373"/>
      <c r="P44" s="373"/>
      <c r="Q44" s="373"/>
      <c r="R44" s="382" t="s">
        <v>31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32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33</v>
      </c>
      <c r="O45" s="373"/>
      <c r="P45" s="373"/>
      <c r="Q45" s="373"/>
      <c r="R45" s="383" t="s">
        <v>34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35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36</v>
      </c>
      <c r="O46" s="373"/>
      <c r="P46" s="373"/>
      <c r="Q46" s="373"/>
      <c r="R46" s="372" t="s">
        <v>37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38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39</v>
      </c>
      <c r="O47" s="373"/>
      <c r="P47" s="373"/>
      <c r="Q47" s="373"/>
      <c r="R47" s="372" t="s">
        <v>40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41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42</v>
      </c>
      <c r="O48" s="373"/>
      <c r="P48" s="373"/>
      <c r="Q48" s="373"/>
      <c r="R48" s="372" t="s">
        <v>43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44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45</v>
      </c>
      <c r="O49" s="374"/>
      <c r="P49" s="374"/>
      <c r="Q49" s="374"/>
      <c r="R49" s="383" t="s">
        <v>46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47</v>
      </c>
      <c r="O50" s="373"/>
      <c r="P50" s="373"/>
      <c r="Q50" s="373"/>
      <c r="R50" s="372" t="s">
        <v>48</v>
      </c>
      <c r="S50" s="372"/>
      <c r="T50" s="372"/>
      <c r="U50" s="372"/>
      <c r="V50" s="372"/>
      <c r="W50" s="372"/>
      <c r="X50" s="372"/>
    </row>
    <row r="51" spans="1:24" ht="15.75">
      <c r="N51" s="373" t="s">
        <v>49</v>
      </c>
      <c r="O51" s="373"/>
      <c r="P51" s="373"/>
      <c r="Q51" s="373"/>
      <c r="R51" s="372" t="s">
        <v>50</v>
      </c>
      <c r="S51" s="372"/>
      <c r="T51" s="372"/>
      <c r="U51" s="372"/>
      <c r="V51" s="372"/>
      <c r="W51" s="372"/>
      <c r="X51" s="372"/>
    </row>
    <row r="52" spans="1:24" ht="15.75">
      <c r="N52" s="373" t="s">
        <v>51</v>
      </c>
      <c r="O52" s="373"/>
      <c r="P52" s="373"/>
      <c r="Q52" s="373"/>
      <c r="R52" s="372" t="s">
        <v>40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52</v>
      </c>
      <c r="E1" s="482"/>
      <c r="F1" s="482"/>
      <c r="G1" s="482"/>
      <c r="H1" s="482"/>
      <c r="I1" s="483"/>
      <c r="J1" s="413" t="s">
        <v>53</v>
      </c>
      <c r="K1" s="414"/>
      <c r="L1" s="414"/>
      <c r="M1" s="415"/>
      <c r="N1" s="416">
        <f>IF('COSMETIQUERA GRANDE'!O1="","",'COSMETIQUERA GRANDE'!O1)</f>
        <v>45957</v>
      </c>
      <c r="O1" s="417"/>
      <c r="P1" s="452" t="s">
        <v>54</v>
      </c>
      <c r="Q1" s="453"/>
      <c r="R1" s="458" t="str">
        <f>IF('COSMETIQUERA GRANDE'!D4="","",'COSMETIQUERA GRANDE'!D4)</f>
        <v>Complementarios Betania</v>
      </c>
      <c r="S1" s="459"/>
      <c r="Z1" t="s">
        <v>55</v>
      </c>
      <c r="AA1" s="241" t="s">
        <v>55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56</v>
      </c>
      <c r="K2" s="419"/>
      <c r="L2" s="419"/>
      <c r="M2" s="420"/>
      <c r="N2" s="421" t="str">
        <f>'COSMETIQUERA GRANDE'!F1</f>
        <v>LV2710-1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57</v>
      </c>
      <c r="K3" s="423"/>
      <c r="L3" s="423"/>
      <c r="M3" s="423"/>
      <c r="N3" s="424">
        <f>IF('COSMETIQUERA GRANDE'!O3="","",'COSMETIQUERA GRANDE'!O3)</f>
        <v>3371158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58</v>
      </c>
      <c r="K4" s="467"/>
      <c r="L4" s="467"/>
      <c r="M4" s="468" t="str">
        <f>IF('COSMETIQUERA GRANDE'!O4="","",'COSMETIQUERA GRANDE'!O4)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59</v>
      </c>
      <c r="C6" s="471"/>
      <c r="D6" s="472"/>
      <c r="E6" s="476" t="s">
        <v>60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IF('COSMETIQUERA GRANDE'!D5&lt;= 0,"",'COSMETIQUERA GRANDE'!D5)</f>
        <v>1084.94625</v>
      </c>
      <c r="C8" s="445"/>
      <c r="D8" s="446"/>
      <c r="E8" s="447" t="s">
        <v>61</v>
      </c>
      <c r="F8" s="448"/>
      <c r="G8" s="448"/>
      <c r="H8" s="448"/>
      <c r="I8" s="449"/>
      <c r="J8" s="450" t="str">
        <f>IF('COSMETIQUERA GRANDE'!E2="","",'COSMETIQUERA GRANDE'!E2)</f>
        <v>Laura Victoria Bautista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62</v>
      </c>
      <c r="C9" s="427"/>
      <c r="D9" s="430"/>
      <c r="E9" s="431" t="s">
        <v>63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64</v>
      </c>
      <c r="K10" s="438"/>
      <c r="L10" s="439"/>
      <c r="M10" s="250">
        <f>'[1]Soli_citud '!K5</f>
        <v>1</v>
      </c>
      <c r="N10" s="465" t="s">
        <v>65</v>
      </c>
      <c r="O10" s="466"/>
      <c r="P10" s="456"/>
      <c r="Q10" s="457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90" t="s">
        <v>69</v>
      </c>
      <c r="D11" s="491"/>
      <c r="E11" s="491"/>
      <c r="F11" s="49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22" t="s">
        <v>24</v>
      </c>
      <c r="M11" s="493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94" t="str">
        <f>IFERROR(IF('COSMETIQUERA GRANDE'!D10="","",'COSMETIQUERA GRANDE'!D10),"")</f>
        <v>Tinta marroquinera negra</v>
      </c>
      <c r="D12" s="494"/>
      <c r="E12" s="494"/>
      <c r="F12" s="494"/>
      <c r="G12" s="213" t="str">
        <f>IF('COSMETIQUERA GRANDE'!O10="","",'COSMETIQUERA GRANDE'!O10)</f>
        <v>gal</v>
      </c>
      <c r="H12" s="213" cm="1">
        <f t="array" ref="H12">_xlfn.IFS('COSMETIQUERA GRANDE'!S10="","",'COSMETIQUERA GRANDE'!S10&lt;=0,"",'COSMETIQUERA GRANDE'!S10&gt;0,'COSMETIQUERA GRANDE'!S10)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IFERROR(_xlfn.IFS(Q12&gt;0,"ENTREGADO",'COSMETIQUERA GRANDE'!A10="HERRAMIENTAS_","DEVOLUTIVO"),"")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94" t="str">
        <f>IFERROR(IF('COSMETIQUERA GRANDE'!D11="","",'COSMETIQUERA GRANDE'!D11),"")</f>
        <v>Cemento de contacto</v>
      </c>
      <c r="D13" s="494"/>
      <c r="E13" s="494"/>
      <c r="F13" s="494"/>
      <c r="G13" s="213" t="str">
        <f>IF('COSMETIQUERA GRANDE'!O11="","",'COSMETIQUERA GRANDE'!O11)</f>
        <v>gal</v>
      </c>
      <c r="H13" s="213" cm="1">
        <f t="array" ref="H13">_xlfn.IFS('COSMETIQUERA GRANDE'!S11="","",'COSMETIQUERA GRANDE'!S11&lt;=0,"",'COSMETIQUERA GRANDE'!S11&gt;0,'COSMETIQUERA GRANDE'!S11)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IFERROR(_xlfn.IFS(Q13&gt;0,"ENTREGADO",'COSMETIQUERA GRANDE'!A11="HERRAMIENTAS_","DEVOLUTIVO"),"")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94" t="str">
        <f>IFERROR(IF('COSMETIQUERA GRANDE'!D12="","",'COSMETIQUERA GRANDE'!D12),"")</f>
        <v>CREMALLERA POLIÉSTER #6</v>
      </c>
      <c r="D14" s="494"/>
      <c r="E14" s="494"/>
      <c r="F14" s="494"/>
      <c r="G14" s="213" t="str">
        <f>IF('COSMETIQUERA GRANDE'!O12="","",'COSMETIQUERA GRANDE'!O12)</f>
        <v>cm</v>
      </c>
      <c r="H14" s="213" cm="1">
        <f t="array" ref="H14">_xlfn.IFS('COSMETIQUERA GRANDE'!S12="","",'COSMETIQUERA GRANDE'!S12&lt;=0,"",'COSMETIQUERA GRANDE'!S12&gt;0,'COSMETIQUERA GRANDE'!S12)</f>
        <v>600</v>
      </c>
      <c r="I14" s="214"/>
      <c r="J14" s="216"/>
      <c r="K14" s="197" cm="1">
        <f t="array" ref="K14">IFERROR(_xlfn.IFS(H14="","",J14=H14,"Cumplido",J14&lt;H14,H14-J14,J14&gt;H14,"Revisar"),"")</f>
        <v>600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IFERROR(_xlfn.IFS(Q14&gt;0,"ENTREGADO",'COSMETIQUERA GRANDE'!A12="HERRAMIENTAS_","DEVOLUTIVO"),"")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94" t="str">
        <f>IFERROR(IF('COSMETIQUERA GRANDE'!D13="","",'COSMETIQUERA GRANDE'!D13),"")</f>
        <v xml:space="preserve">LLAVE METÁLICA DESLIZADOR   #6 PARA CREMALLERA - NÍQUEL </v>
      </c>
      <c r="D15" s="494"/>
      <c r="E15" s="494"/>
      <c r="F15" s="494"/>
      <c r="G15" s="213" t="str">
        <f>IF('COSMETIQUERA GRANDE'!O13="","",'COSMETIQUERA GRANDE'!O13)</f>
        <v>U</v>
      </c>
      <c r="H15" s="213" cm="1">
        <f t="array" ref="H15">_xlfn.IFS('COSMETIQUERA GRANDE'!S13="","",'COSMETIQUERA GRANDE'!S13&lt;=0,"",'COSMETIQUERA GRANDE'!S13&gt;0,'COSMETIQUERA GRANDE'!S13)</f>
        <v>15</v>
      </c>
      <c r="I15" s="214"/>
      <c r="J15" s="216"/>
      <c r="K15" s="197" cm="1">
        <f t="array" ref="K15">IFERROR(_xlfn.IFS(H15="","",J15=H15,"Cumplido",J15&lt;H15,H15-J15,J15&gt;H15,"Revisar"),"")</f>
        <v>15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IFERROR(_xlfn.IFS(Q15&gt;0,"ENTREGADO",'COSMETIQUERA GRANDE'!A13="HERRAMIENTAS_","DEVOLUTIVO"),"")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94" t="str">
        <f>IFERROR(IF('COSMETIQUERA GRANDE'!D14="","",'COSMETIQUERA GRANDE'!D14),"")</f>
        <v>FORRO MARROQUINERO DE POLIÉSTER</v>
      </c>
      <c r="D16" s="494"/>
      <c r="E16" s="494"/>
      <c r="F16" s="494"/>
      <c r="G16" s="213" t="str">
        <f>IF('COSMETIQUERA GRANDE'!O14="","",'COSMETIQUERA GRANDE'!O14)</f>
        <v>cm2</v>
      </c>
      <c r="H16" s="213" cm="1">
        <f t="array" ref="H16">_xlfn.IFS('COSMETIQUERA GRANDE'!S14="","",'COSMETIQUERA GRANDE'!S14&lt;=0,"",'COSMETIQUERA GRANDE'!S14&gt;0,'COSMETIQUERA GRANDE'!S14)</f>
        <v>1050</v>
      </c>
      <c r="I16" s="214"/>
      <c r="J16" s="216"/>
      <c r="K16" s="197" cm="1">
        <f t="array" ref="K16">IFERROR(_xlfn.IFS(H16="","",J16=H16,"Cumplido",J16&lt;H16,H16-J16,J16&gt;H16,"Revisar"),"")</f>
        <v>1050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IFERROR(_xlfn.IFS(Q16&gt;0,"ENTREGADO",'COSMETIQUERA GRANDE'!A14="HERRAMIENTAS_","DEVOLUTIVO"),"")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IFERROR(IF('COSMETIQUERA GRANDE'!D15="","",'COSMETIQUERA GRANDE'!D15),"")</f>
        <v/>
      </c>
      <c r="D17" s="494"/>
      <c r="E17" s="494"/>
      <c r="F17" s="494"/>
      <c r="G17" s="213" t="str">
        <f>IF('COSMETIQUERA GRANDE'!O15="","",'COSMETIQUERA GRANDE'!O15)</f>
        <v/>
      </c>
      <c r="H17" s="213" t="str" cm="1">
        <f t="array" ref="H17">_xlfn.IFS('COSMETIQUERA GRANDE'!S15="","",'COSMETIQUERA GRANDE'!S15&lt;=0,"",'COSMETIQUERA GRANDE'!S15&gt;0,'COSMETIQUERA GRANDE'!S15)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IFERROR(_xlfn.IFS(Q17&gt;0,"ENTREGADO",'COSMETIQUERA GRANDE'!A15="HERRAMIENTAS_","DEVOLUTIVO"),"")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IFERROR(IF('COSMETIQUERA GRANDE'!D16="","",'COSMETIQUERA GRANDE'!D16),"")</f>
        <v/>
      </c>
      <c r="D18" s="494"/>
      <c r="E18" s="494"/>
      <c r="F18" s="494"/>
      <c r="G18" s="213" t="str">
        <f>IF('COSMETIQUERA GRANDE'!O16="","",'COSMETIQUERA GRANDE'!O16)</f>
        <v/>
      </c>
      <c r="H18" s="213" t="str" cm="1">
        <f t="array" ref="H18">_xlfn.IFS('COSMETIQUERA GRANDE'!S16="","",'COSMETIQUERA GRANDE'!S16&lt;=0,"",'COSMETIQUERA GRANDE'!S16&gt;0,'COSMETIQUERA GRANDE'!S16)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IFERROR(_xlfn.IFS(Q18&gt;0,"ENTREGADO",'COSMETIQUERA GRANDE'!A16="HERRAMIENTAS_","DEVOLUTIVO"),"")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IFERROR(IF('COSMETIQUERA GRANDE'!D17="","",'COSMETIQUERA GRANDE'!D17),"")</f>
        <v/>
      </c>
      <c r="D19" s="494"/>
      <c r="E19" s="494"/>
      <c r="F19" s="494"/>
      <c r="G19" s="213" t="str">
        <f>IF('COSMETIQUERA GRANDE'!O17="","",'COSMETIQUERA GRANDE'!O17)</f>
        <v/>
      </c>
      <c r="H19" s="213" t="str" cm="1">
        <f t="array" ref="H19">_xlfn.IFS('COSMETIQUERA GRANDE'!S17="","",'COSMETIQUERA GRANDE'!S17&lt;=0,"",'COSMETIQUERA GRANDE'!S17&gt;0,'COSMETIQUERA GRANDE'!S17)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IFERROR(_xlfn.IFS(Q19&gt;0,"ENTREGADO",'COSMETIQUERA GRANDE'!A17="HERRAMIENTAS_","DEVOLUTIVO"),"")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IFERROR(IF('COSMETIQUERA GRANDE'!D18="","",'COSMETIQUERA GRANDE'!D18),"")</f>
        <v/>
      </c>
      <c r="D20" s="494"/>
      <c r="E20" s="494"/>
      <c r="F20" s="494"/>
      <c r="G20" s="213" t="str">
        <f>IF('COSMETIQUERA GRANDE'!O18="","",'COSMETIQUERA GRANDE'!O18)</f>
        <v/>
      </c>
      <c r="H20" s="213" t="str" cm="1">
        <f t="array" ref="H20">_xlfn.IFS('COSMETIQUERA GRANDE'!S18="","",'COSMETIQUERA GRANDE'!S18&lt;=0,"",'COSMETIQUERA GRANDE'!S18&gt;0,'COSMETIQUERA GRANDE'!S18)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IFERROR(_xlfn.IFS(Q20&gt;0,"ENTREGADO",'COSMETIQUERA GRANDE'!A18="HERRAMIENTAS_","DEVOLUTIVO"),"")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IFERROR(IF('COSMETIQUERA GRANDE'!D19="","",'COSMETIQUERA GRANDE'!D19),"")</f>
        <v/>
      </c>
      <c r="D21" s="494"/>
      <c r="E21" s="494"/>
      <c r="F21" s="494"/>
      <c r="G21" s="213" t="str">
        <f>IF('COSMETIQUERA GRANDE'!O19="","",'COSMETIQUERA GRANDE'!O19)</f>
        <v/>
      </c>
      <c r="H21" s="213" t="str" cm="1">
        <f t="array" ref="H21">_xlfn.IFS('COSMETIQUERA GRANDE'!S19="","",'COSMETIQUERA GRANDE'!S19&lt;=0,"",'COSMETIQUERA GRANDE'!S19&gt;0,'COSMETIQUERA GRANDE'!S19)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IFERROR(_xlfn.IFS(Q21&gt;0,"ENTREGADO",'COSMETIQUERA GRANDE'!A19="HERRAMIENTAS_","DEVOLUTIVO"),"")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IFERROR(IF('COSMETIQUERA GRANDE'!D20="","",'COSMETIQUERA GRANDE'!D20),"")</f>
        <v/>
      </c>
      <c r="D22" s="494"/>
      <c r="E22" s="494"/>
      <c r="F22" s="494"/>
      <c r="G22" s="213" t="str">
        <f>IF('COSMETIQUERA GRANDE'!O20="","",'COSMETIQUERA GRANDE'!O20)</f>
        <v/>
      </c>
      <c r="H22" s="213" t="str" cm="1">
        <f t="array" ref="H22">_xlfn.IFS('COSMETIQUERA GRANDE'!S20="","",'COSMETIQUERA GRANDE'!S20&lt;=0,"",'COSMETIQUERA GRANDE'!S20&gt;0,'COSMETIQUERA GRANDE'!S20)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IFERROR(_xlfn.IFS(Q22&gt;0,"ENTREGADO",'COSMETIQUERA GRANDE'!A20="HERRAMIENTAS_","DEVOLUTIVO"),"")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IFERROR(IF('COSMETIQUERA GRANDE'!D21="","",'COSMETIQUERA GRANDE'!D21),"")</f>
        <v/>
      </c>
      <c r="D23" s="494"/>
      <c r="E23" s="494"/>
      <c r="F23" s="494"/>
      <c r="G23" s="213" t="str">
        <f>IF('COSMETIQUERA GRANDE'!O21="","",'COSMETIQUERA GRANDE'!O21)</f>
        <v/>
      </c>
      <c r="H23" s="213" t="str" cm="1">
        <f t="array" ref="H23">_xlfn.IFS('COSMETIQUERA GRANDE'!S21="","",'COSMETIQUERA GRANDE'!S21&lt;=0,"",'COSMETIQUERA GRANDE'!S21&gt;0,'COSMETIQUERA GRANDE'!S21)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IFERROR(_xlfn.IFS(Q23&gt;0,"ENTREGADO",'COSMETIQUERA GRANDE'!A21="HERRAMIENTAS_","DEVOLUTIVO"),"")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IFERROR(IF('COSMETIQUERA GRANDE'!D22="","",'COSMETIQUERA GRANDE'!D22),"")</f>
        <v/>
      </c>
      <c r="D24" s="494"/>
      <c r="E24" s="494"/>
      <c r="F24" s="494"/>
      <c r="G24" s="213" t="str">
        <f>IF('COSMETIQUERA GRANDE'!O22="","",'COSMETIQUERA GRANDE'!O22)</f>
        <v/>
      </c>
      <c r="H24" s="213" t="str" cm="1">
        <f t="array" ref="H24">_xlfn.IFS('COSMETIQUERA GRANDE'!S22="","",'COSMETIQUERA GRANDE'!S22&lt;=0,"",'COSMETIQUERA GRANDE'!S22&gt;0,'COSMETIQUERA GRANDE'!S22)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IFERROR(_xlfn.IFS(Q24&gt;0,"ENTREGADO",'COSMETIQUERA GRANDE'!A22="HERRAMIENTAS_","DEVOLUTIVO"),"")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IFERROR(IF('COSMETIQUERA GRANDE'!D23="","",'COSMETIQUERA GRANDE'!D23),"")</f>
        <v/>
      </c>
      <c r="D25" s="494"/>
      <c r="E25" s="494"/>
      <c r="F25" s="494"/>
      <c r="G25" s="213" t="str">
        <f>IF('COSMETIQUERA GRANDE'!O23="","",'COSMETIQUERA GRANDE'!O23)</f>
        <v/>
      </c>
      <c r="H25" s="213" t="str" cm="1">
        <f t="array" ref="H25">_xlfn.IFS('COSMETIQUERA GRANDE'!S23="","",'COSMETIQUERA GRANDE'!S23&lt;=0,"",'COSMETIQUERA GRANDE'!S23&gt;0,'COSMETIQUERA GRANDE'!S23)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IFERROR(_xlfn.IFS(Q25&gt;0,"ENTREGADO",'COSMETIQUERA GRANDE'!A23="HERRAMIENTAS_","DEVOLUTIVO"),"")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IFERROR(IF('COSMETIQUERA GRANDE'!D24="","",'COSMETIQUERA GRANDE'!D24),"")</f>
        <v/>
      </c>
      <c r="D26" s="494"/>
      <c r="E26" s="494"/>
      <c r="F26" s="494"/>
      <c r="G26" s="213" t="str">
        <f>IF('COSMETIQUERA GRANDE'!O24="","",'COSMETIQUERA GRANDE'!O24)</f>
        <v/>
      </c>
      <c r="H26" s="213" t="str" cm="1">
        <f t="array" ref="H26">_xlfn.IFS('COSMETIQUERA GRANDE'!S24="","",'COSMETIQUERA GRANDE'!S24&lt;=0,"",'COSMETIQUERA GRANDE'!S24&gt;0,'COSMETIQUERA GRANDE'!S24)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IFERROR(_xlfn.IFS(Q26&gt;0,"ENTREGADO",'COSMETIQUERA GRANDE'!A24="HERRAMIENTAS_","DEVOLUTIVO"),"")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IFERROR(IF('COSMETIQUERA GRANDE'!D25="","",'COSMETIQUERA GRANDE'!D25),"")</f>
        <v/>
      </c>
      <c r="D27" s="494"/>
      <c r="E27" s="494"/>
      <c r="F27" s="494"/>
      <c r="G27" s="213" t="str">
        <f>IF('COSMETIQUERA GRANDE'!O25="","",'COSMETIQUERA GRANDE'!O25)</f>
        <v/>
      </c>
      <c r="H27" s="213" t="str" cm="1">
        <f t="array" ref="H27">_xlfn.IFS('COSMETIQUERA GRANDE'!S25="","",'COSMETIQUERA GRANDE'!S25&lt;=0,"",'COSMETIQUERA GRANDE'!S25&gt;0,'COSMETIQUERA GRANDE'!S25)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IFERROR(_xlfn.IFS(Q27&gt;0,"ENTREGADO",'COSMETIQUERA GRANDE'!A25="HERRAMIENTAS_","DEVOLUTIVO"),"")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IFERROR(IF('COSMETIQUERA GRANDE'!D26="","",'COSMETIQUERA GRANDE'!D26),"")</f>
        <v/>
      </c>
      <c r="D28" s="494"/>
      <c r="E28" s="494"/>
      <c r="F28" s="494"/>
      <c r="G28" s="213" t="str">
        <f>IF('COSMETIQUERA GRANDE'!O26="","",'COSMETIQUERA GRANDE'!O26)</f>
        <v/>
      </c>
      <c r="H28" s="213" t="str" cm="1">
        <f t="array" ref="H28">_xlfn.IFS('COSMETIQUERA GRANDE'!S26="","",'COSMETIQUERA GRANDE'!S26&lt;=0,"",'COSMETIQUERA GRANDE'!S26&gt;0,'COSMETIQUERA GRANDE'!S26)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IFERROR(_xlfn.IFS(Q28&gt;0,"ENTREGADO",'COSMETIQUERA GRANDE'!A26="HERRAMIENTAS_","DEVOLUTIVO"),"")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IFERROR(IF('COSMETIQUERA GRANDE'!D27="","",'COSMETIQUERA GRANDE'!D27),"")</f>
        <v/>
      </c>
      <c r="D29" s="494"/>
      <c r="E29" s="494"/>
      <c r="F29" s="494"/>
      <c r="G29" s="213" t="str">
        <f>IF('COSMETIQUERA GRANDE'!O27="","",'COSMETIQUERA GRANDE'!O27)</f>
        <v/>
      </c>
      <c r="H29" s="213" t="str" cm="1">
        <f t="array" ref="H29">_xlfn.IFS('COSMETIQUERA GRANDE'!S27="","",'COSMETIQUERA GRANDE'!S27&lt;=0,"",'COSMETIQUERA GRANDE'!S27&gt;0,'COSMETIQUERA GRANDE'!S27)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IFERROR(_xlfn.IFS(Q29&gt;0,"ENTREGADO",'COSMETIQUERA GRANDE'!A27="HERRAMIENTAS_","DEVOLUTIVO"),"")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IFERROR(IF('COSMETIQUERA GRANDE'!D28="","",'COSMETIQUERA GRANDE'!D28),"")</f>
        <v/>
      </c>
      <c r="D30" s="494"/>
      <c r="E30" s="494"/>
      <c r="F30" s="494"/>
      <c r="G30" s="213" t="str">
        <f>IF('COSMETIQUERA GRANDE'!O28="","",'COSMETIQUERA GRANDE'!O28)</f>
        <v/>
      </c>
      <c r="H30" s="213" t="str" cm="1">
        <f t="array" ref="H30">_xlfn.IFS('COSMETIQUERA GRANDE'!S28="","",'COSMETIQUERA GRANDE'!S28&lt;=0,"",'COSMETIQUERA GRANDE'!S28&gt;0,'COSMETIQUERA GRANDE'!S28)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IFERROR(_xlfn.IFS(Q30&gt;0,"ENTREGADO",'COSMETIQUERA GRANDE'!A28="HERRAMIENTAS_","DEVOLUTIVO"),"")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IFERROR(IF('COSMETIQUERA GRANDE'!D29="","",'COSMETIQUERA GRANDE'!D29),"")</f>
        <v/>
      </c>
      <c r="D31" s="494"/>
      <c r="E31" s="494"/>
      <c r="F31" s="494"/>
      <c r="G31" s="213" t="str">
        <f>IF('COSMETIQUERA GRANDE'!O29="","",'COSMETIQUERA GRANDE'!O29)</f>
        <v/>
      </c>
      <c r="H31" s="213" t="str" cm="1">
        <f t="array" ref="H31">_xlfn.IFS('COSMETIQUERA GRANDE'!S29="","",'COSMETIQUERA GRANDE'!S29&lt;=0,"",'COSMETIQUERA GRANDE'!S29&gt;0,'COSMETIQUERA GRANDE'!S29)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IFERROR(_xlfn.IFS(Q31&gt;0,"ENTREGADO",'COSMETIQUERA GRANDE'!A29="HERRAMIENTAS_","DEVOLUTIVO"),"")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IFERROR(IF('COSMETIQUERA GRANDE'!D30="","",'COSMETIQUERA GRANDE'!D30),"")</f>
        <v/>
      </c>
      <c r="D32" s="494"/>
      <c r="E32" s="494"/>
      <c r="F32" s="494"/>
      <c r="G32" s="213" t="str">
        <f>IF('COSMETIQUERA GRANDE'!O30="","",'COSMETIQUERA GRANDE'!O30)</f>
        <v/>
      </c>
      <c r="H32" s="213" t="str" cm="1">
        <f t="array" ref="H32">_xlfn.IFS('COSMETIQUERA GRANDE'!S30="","",'COSMETIQUERA GRANDE'!S30&lt;=0,"",'COSMETIQUERA GRANDE'!S30&gt;0,'COSMETIQUERA GRANDE'!S30)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IFERROR(_xlfn.IFS(Q32&gt;0,"ENTREGADO",'COSMETIQUERA GRANDE'!A30="HERRAMIENTAS_","DEVOLUTIVO"),"")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81</v>
      </c>
      <c r="F1" s="502"/>
      <c r="H1" s="278" t="s">
        <v>82</v>
      </c>
      <c r="Z1" s="241" t="s">
        <v>83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499"/>
      <c r="D6" s="500"/>
      <c r="H6" s="497" t="s">
        <v>85</v>
      </c>
      <c r="I6" s="497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COSMETIQUERA GRANDE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2025-10-28T03:15:35Z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